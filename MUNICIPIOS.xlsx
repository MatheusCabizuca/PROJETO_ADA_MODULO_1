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ixa-my.sharepoint.com/personal/c121733_corp_caixa_gov_br/Documents/Área de Trabalho/CURSO_CIENTISTA_DE_DADOS_ADA/PROJETO ADA - 1º MODULO/PROJETO_GIT/"/>
    </mc:Choice>
  </mc:AlternateContent>
  <xr:revisionPtr revIDLastSave="0" documentId="8_{A2AB33A3-0626-4C0E-B6EE-DF9F74F443FB}" xr6:coauthVersionLast="47" xr6:coauthVersionMax="47" xr10:uidLastSave="{00000000-0000-0000-0000-000000000000}"/>
  <bookViews>
    <workbookView xWindow="28680" yWindow="-120" windowWidth="24240" windowHeight="13020" xr2:uid="{17733A19-5998-40F6-90E3-E7A4C7714D8B}"/>
  </bookViews>
  <sheets>
    <sheet name="Planilha1" sheetId="1" r:id="rId1"/>
    <sheet name="Planilha2" sheetId="2" r:id="rId2"/>
  </sheets>
  <externalReferences>
    <externalReference r:id="rId3"/>
  </externalReferences>
  <definedNames>
    <definedName name="_xlnm._FilterDatabase" localSheetId="0" hidden="1">Planilha1!$A$1:$C$5581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578" i="1" l="1"/>
  <c r="C5573" i="1"/>
  <c r="C5534" i="1"/>
  <c r="C5533" i="1"/>
  <c r="C5530" i="1"/>
  <c r="C5488" i="1"/>
  <c r="C5361" i="1"/>
  <c r="C5351" i="1"/>
  <c r="C5228" i="1"/>
  <c r="C4722" i="1"/>
  <c r="C4697" i="1"/>
  <c r="C3830" i="1"/>
  <c r="C3656" i="1"/>
  <c r="C3635" i="1"/>
  <c r="C3527" i="1"/>
  <c r="C3485" i="1"/>
  <c r="C3363" i="1"/>
  <c r="C2945" i="1"/>
  <c r="C1931" i="1"/>
  <c r="C1706" i="1"/>
  <c r="C1351" i="1"/>
  <c r="C1223" i="1"/>
  <c r="C1209" i="1"/>
  <c r="C1205" i="1"/>
  <c r="C987" i="1"/>
  <c r="C93" i="1"/>
  <c r="B5578" i="1"/>
  <c r="B5573" i="1"/>
  <c r="B5534" i="1"/>
  <c r="B5533" i="1"/>
  <c r="B5530" i="1"/>
  <c r="B5488" i="1"/>
  <c r="B5361" i="1"/>
  <c r="B5351" i="1"/>
  <c r="B5228" i="1"/>
  <c r="B4722" i="1"/>
  <c r="B4697" i="1"/>
  <c r="B3830" i="1"/>
  <c r="B3656" i="1"/>
  <c r="B3635" i="1"/>
  <c r="B3527" i="1"/>
  <c r="B3485" i="1"/>
  <c r="B3363" i="1"/>
  <c r="B2945" i="1"/>
  <c r="B1931" i="1"/>
  <c r="B1706" i="1"/>
  <c r="B1351" i="1"/>
  <c r="B1223" i="1"/>
  <c r="B1209" i="1"/>
  <c r="B1205" i="1"/>
  <c r="B987" i="1"/>
  <c r="B9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6" i="1"/>
  <c r="C1207" i="1"/>
  <c r="C1208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2" i="1"/>
  <c r="C5353" i="1"/>
  <c r="C5354" i="1"/>
  <c r="C5355" i="1"/>
  <c r="C5356" i="1"/>
  <c r="C5357" i="1"/>
  <c r="C5358" i="1"/>
  <c r="C5359" i="1"/>
  <c r="C5360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1" i="1"/>
  <c r="C5532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4" i="1"/>
  <c r="C5575" i="1"/>
  <c r="C5576" i="1"/>
  <c r="C5577" i="1"/>
  <c r="C5579" i="1"/>
  <c r="C5580" i="1"/>
  <c r="C558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6" i="1"/>
  <c r="B1207" i="1"/>
  <c r="B1208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2" i="1"/>
  <c r="B5353" i="1"/>
  <c r="B5354" i="1"/>
  <c r="B5355" i="1"/>
  <c r="B5356" i="1"/>
  <c r="B5357" i="1"/>
  <c r="B5358" i="1"/>
  <c r="B5359" i="1"/>
  <c r="B5360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1" i="1"/>
  <c r="B5532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4" i="1"/>
  <c r="B5575" i="1"/>
  <c r="B5576" i="1"/>
  <c r="B5577" i="1"/>
  <c r="B5579" i="1"/>
  <c r="B5580" i="1"/>
  <c r="B5581" i="1"/>
  <c r="B2" i="1"/>
</calcChain>
</file>

<file path=xl/sharedStrings.xml><?xml version="1.0" encoding="utf-8"?>
<sst xmlns="http://schemas.openxmlformats.org/spreadsheetml/2006/main" count="27879" uniqueCount="5676">
  <si>
    <t>CODMUNRES</t>
  </si>
  <si>
    <t>iMunicipio_IBGE</t>
  </si>
  <si>
    <t>iMunicipio_SIACI</t>
  </si>
  <si>
    <t>vMunicipio</t>
  </si>
  <si>
    <t>cSG_UF</t>
  </si>
  <si>
    <t>vRegiao</t>
  </si>
  <si>
    <t>iPopulacao_Total</t>
  </si>
  <si>
    <t>iPorte_Municipio</t>
  </si>
  <si>
    <t>vRegiao_Metropolitana</t>
  </si>
  <si>
    <t>mLatitude</t>
  </si>
  <si>
    <t>mLongitude</t>
  </si>
  <si>
    <t>iAltitude</t>
  </si>
  <si>
    <t>iArea</t>
  </si>
  <si>
    <t>IDH</t>
  </si>
  <si>
    <t>ARIQUEMES</t>
  </si>
  <si>
    <t>RO</t>
  </si>
  <si>
    <t>NULL</t>
  </si>
  <si>
    <t>CABIXI</t>
  </si>
  <si>
    <t>COLORADO DO OESTE</t>
  </si>
  <si>
    <t>CACOAL</t>
  </si>
  <si>
    <t>CEREJEIRAS</t>
  </si>
  <si>
    <t>CORUMBIARA</t>
  </si>
  <si>
    <t>COSTA MARQUES</t>
  </si>
  <si>
    <t>GUAJARA-MIRIM</t>
  </si>
  <si>
    <t>ESPIGÃO D`OESTE</t>
  </si>
  <si>
    <t>GUAJARÁ-MIRIM</t>
  </si>
  <si>
    <t>JARU</t>
  </si>
  <si>
    <t>JI-PARANA</t>
  </si>
  <si>
    <t>JI-PARANÁ</t>
  </si>
  <si>
    <t>MACHADINHO D`OESTE</t>
  </si>
  <si>
    <t>NOVA BRASILÂNDIA D`OESTE</t>
  </si>
  <si>
    <t>ALVORADA D`OESTE</t>
  </si>
  <si>
    <t>OURO PRETO DO OESTE</t>
  </si>
  <si>
    <t>PIMENTA BUENO</t>
  </si>
  <si>
    <t>VILHENA</t>
  </si>
  <si>
    <t>PORTO VELHO</t>
  </si>
  <si>
    <t>PRESIDENTE MÉDICI</t>
  </si>
  <si>
    <t>RIO CRESPO</t>
  </si>
  <si>
    <t>ROLIM DE MOURA</t>
  </si>
  <si>
    <t>SANTA LUZIA D`OESTE</t>
  </si>
  <si>
    <t>SÃO MIGUEL DO GUAPORÉ</t>
  </si>
  <si>
    <t>NOVA MAMORÉ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</si>
  <si>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</si>
  <si>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</si>
  <si>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</si>
  <si>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</si>
  <si>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</si>
  <si>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</si>
  <si>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</si>
  <si>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</si>
  <si>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</si>
  <si>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</si>
  <si>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</si>
  <si>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</si>
  <si>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</si>
  <si>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</si>
  <si>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</si>
  <si>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</si>
  <si>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</si>
  <si>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</si>
  <si>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</si>
  <si>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D`OESTE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</si>
  <si>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</si>
  <si>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</si>
  <si>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</si>
  <si>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</si>
  <si>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</si>
  <si>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</si>
  <si>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</si>
  <si>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</si>
  <si>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</t>
  </si>
  <si>
    <t>RIO BRANCO</t>
  </si>
  <si>
    <t>ASSIS BRASIL</t>
  </si>
  <si>
    <t>BRASILEIA</t>
  </si>
  <si>
    <t>BRASILÉIA</t>
  </si>
  <si>
    <t>BUJARI</t>
  </si>
  <si>
    <t>CAPIXABA</t>
  </si>
  <si>
    <t>CRUZEIRO DO SUL</t>
  </si>
  <si>
    <t>EPITACIOLÂNDIA</t>
  </si>
  <si>
    <t>FEIJÓ</t>
  </si>
  <si>
    <t>TARAUACA</t>
  </si>
  <si>
    <t>JORDÃO</t>
  </si>
  <si>
    <t>MÂNCIO LIMA</t>
  </si>
  <si>
    <t>MANOEL URBANO</t>
  </si>
  <si>
    <t>SENA MADUREIRA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</si>
  <si>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</si>
  <si>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</si>
  <si>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</si>
  <si>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</si>
  <si>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</si>
  <si>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</si>
  <si>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TARAUACÁ</t>
  </si>
  <si>
    <t>XAPURI</t>
  </si>
  <si>
    <t>PORTO ACRE</t>
  </si>
  <si>
    <t>ALVARÃES</t>
  </si>
  <si>
    <t>AM</t>
  </si>
  <si>
    <t>TEFE</t>
  </si>
  <si>
    <t>AMATURÁ</t>
  </si>
  <si>
    <t>ALTO SOLIMOES</t>
  </si>
  <si>
    <t>ANAMÃ</t>
  </si>
  <si>
    <t>COARI</t>
  </si>
  <si>
    <t>ANORI</t>
  </si>
  <si>
    <t>APUÍ</t>
  </si>
  <si>
    <t>MADEIRA</t>
  </si>
  <si>
    <t>ATALAIA DO NORTE</t>
  </si>
  <si>
    <t>AUTAZES</t>
  </si>
  <si>
    <t>MANAUS</t>
  </si>
  <si>
    <t>RM MANAUS</t>
  </si>
  <si>
    <t>BARCELOS</t>
  </si>
  <si>
    <t>RIO NEGRO</t>
  </si>
  <si>
    <t>-0.97500</t>
  </si>
  <si>
    <t>BARREIRINHA</t>
  </si>
  <si>
    <t>PARINTINS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</si>
  <si>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</si>
  <si>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</si>
  <si>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</si>
  <si>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</si>
  <si>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</si>
  <si>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</si>
  <si>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</si>
  <si>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PURUS</t>
  </si>
  <si>
    <t>CARAUARI</t>
  </si>
  <si>
    <t>JURUA</t>
  </si>
  <si>
    <t>CAREIRO</t>
  </si>
  <si>
    <t>CAREIRO DA VÁRZEA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</si>
  <si>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</si>
  <si>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</si>
  <si>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</si>
  <si>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</si>
  <si>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</si>
  <si>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</si>
  <si>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</si>
  <si>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</si>
  <si>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</si>
  <si>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</si>
  <si>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</si>
  <si>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</si>
  <si>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JAPURA</t>
  </si>
  <si>
    <t>JURUÁ</t>
  </si>
  <si>
    <t>JUTAÍ</t>
  </si>
  <si>
    <t>LÁBREA</t>
  </si>
  <si>
    <t>MANACAPURU</t>
  </si>
  <si>
    <t>MANAQUIRI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</si>
  <si>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</si>
  <si>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</si>
  <si>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</si>
  <si>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</si>
  <si>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</si>
  <si>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</si>
  <si>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</si>
  <si>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</si>
  <si>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</si>
  <si>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</si>
  <si>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</si>
  <si>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-0.41400</t>
  </si>
  <si>
    <t>SANTO ANTÔNIO DO IÇÁ</t>
  </si>
  <si>
    <t>SÃO GABRIEL DA CACHOEIRA</t>
  </si>
  <si>
    <t>-0.13000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</si>
  <si>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</si>
  <si>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</si>
  <si>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</si>
  <si>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</si>
  <si>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</si>
  <si>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</si>
  <si>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</si>
  <si>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</si>
  <si>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</si>
  <si>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</si>
  <si>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</si>
  <si>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RR</t>
  </si>
  <si>
    <t>BOA VISTA</t>
  </si>
  <si>
    <t>ALTO ALEGRE</t>
  </si>
  <si>
    <t>BONFIM</t>
  </si>
  <si>
    <t>NORDESTE DE RORAIMA</t>
  </si>
  <si>
    <t>CANTÁ</t>
  </si>
  <si>
    <t>CARACARAÍ</t>
  </si>
  <si>
    <t>CARACARAI</t>
  </si>
  <si>
    <t>CAROEBE</t>
  </si>
  <si>
    <t>SUDESTE DE RORAIMA</t>
  </si>
  <si>
    <t>0.88400</t>
  </si>
  <si>
    <t>IRACEMA</t>
  </si>
  <si>
    <t>MUCAJAÍ</t>
  </si>
  <si>
    <t>NORMANDIA</t>
  </si>
  <si>
    <t>PACARAIMA</t>
  </si>
  <si>
    <t>RORAINÓPOLIS</t>
  </si>
  <si>
    <t>0.94600</t>
  </si>
  <si>
    <t>SÃO JOÃO DA BALIZA</t>
  </si>
  <si>
    <t>0.95100</t>
  </si>
  <si>
    <t>SÃO LUIZ</t>
  </si>
  <si>
    <t>UIRAMUTÃ</t>
  </si>
  <si>
    <t>ABAETETUBA</t>
  </si>
  <si>
    <t>PA</t>
  </si>
  <si>
    <t>CAMETA</t>
  </si>
  <si>
    <t>ABEL FIGUEIREDO</t>
  </si>
  <si>
    <t>PARAGOMINAS</t>
  </si>
  <si>
    <t>ACARÁ</t>
  </si>
  <si>
    <t>TOME-AÇU</t>
  </si>
  <si>
    <t>AFUÁ</t>
  </si>
  <si>
    <t>FUROS DE BREVES</t>
  </si>
  <si>
    <t>-0.15700</t>
  </si>
  <si>
    <t>ÁGUA AZUL DO NORTE</t>
  </si>
  <si>
    <t>PARAUAPEBAS</t>
  </si>
  <si>
    <t>ALENQUER</t>
  </si>
  <si>
    <t>SANTAREM</t>
  </si>
  <si>
    <t>ALMEIRIM</t>
  </si>
  <si>
    <t>ALTAMIRA</t>
  </si>
  <si>
    <t>ANAJÁS</t>
  </si>
  <si>
    <t>-0.98700</t>
  </si>
  <si>
    <t>ANANINDEUA</t>
  </si>
  <si>
    <t>BELEM</t>
  </si>
  <si>
    <t>RM BELÉM</t>
  </si>
  <si>
    <t>ANAPU</t>
  </si>
  <si>
    <t>AUGUSTO CORRÊA</t>
  </si>
  <si>
    <t>BRAGANTINA</t>
  </si>
  <si>
    <t>AURORA DO PARÁ</t>
  </si>
  <si>
    <t>GUAMA</t>
  </si>
  <si>
    <t>AVEIRO</t>
  </si>
  <si>
    <t>ITAITUBA</t>
  </si>
  <si>
    <t>BAGRE</t>
  </si>
  <si>
    <t>PORTEL</t>
  </si>
  <si>
    <t>BAIÃO</t>
  </si>
  <si>
    <t>BANNACH</t>
  </si>
  <si>
    <t>SAO FELIX DO XINGU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</si>
  <si>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</si>
  <si>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</si>
  <si>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</si>
  <si>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</si>
  <si>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</si>
  <si>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</si>
  <si>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</si>
  <si>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</si>
  <si>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</si>
  <si>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MARABA</t>
  </si>
  <si>
    <t>BREU BRANCO</t>
  </si>
  <si>
    <t>TUCURUI</t>
  </si>
  <si>
    <t>BREVES</t>
  </si>
  <si>
    <t>BUJARU</t>
  </si>
  <si>
    <t>CASTANHAL</t>
  </si>
  <si>
    <t>CACHOEIRA DO PIRIÁ</t>
  </si>
  <si>
    <t>CACHOEIRA DO ARARI</t>
  </si>
  <si>
    <t>ARARI</t>
  </si>
  <si>
    <t>CAMETÁ</t>
  </si>
  <si>
    <t>CANAÃ DOS CARAJÁS</t>
  </si>
  <si>
    <t>CAPANEMA</t>
  </si>
  <si>
    <t>CAPITÃO POÇO</t>
  </si>
  <si>
    <t>CHAVES</t>
  </si>
  <si>
    <t>-0.16000</t>
  </si>
  <si>
    <t>COLARES</t>
  </si>
  <si>
    <t>SALGADO</t>
  </si>
  <si>
    <t>-0.93700</t>
  </si>
  <si>
    <t>CONCEIÇÃO DO ARAGUAIA</t>
  </si>
  <si>
    <t>CONCEIÇAO DO ARAGUAIA</t>
  </si>
  <si>
    <t>CONCÓRDIA DO PARÁ</t>
  </si>
  <si>
    <t>CUMARU DO NORTE</t>
  </si>
  <si>
    <t>CURIONÓPOLIS</t>
  </si>
  <si>
    <t>CURRALINHO</t>
  </si>
  <si>
    <t>CURUÁ</t>
  </si>
  <si>
    <t>CURUÇÁ</t>
  </si>
  <si>
    <t>-0.73400</t>
  </si>
  <si>
    <t>DOM ELISEU</t>
  </si>
  <si>
    <t>ELDORADO DOS CARAJÁS</t>
  </si>
  <si>
    <t>FARO</t>
  </si>
  <si>
    <t>OBIDOS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</si>
  <si>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</si>
  <si>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</si>
  <si>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</si>
  <si>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</si>
  <si>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</si>
  <si>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</si>
  <si>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</si>
  <si>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</si>
  <si>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</si>
  <si>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</si>
  <si>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</si>
  <si>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</si>
  <si>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</si>
  <si>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</si>
  <si>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</si>
  <si>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</si>
  <si>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-0.79500</t>
  </si>
  <si>
    <t>MARABÁ</t>
  </si>
  <si>
    <t>MARACANÃ</t>
  </si>
  <si>
    <t>-0.76500</t>
  </si>
  <si>
    <t>MARAPANIM</t>
  </si>
  <si>
    <t>-0.71400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</si>
  <si>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</si>
  <si>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</si>
  <si>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</si>
  <si>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</si>
  <si>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</si>
  <si>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</si>
  <si>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</si>
  <si>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</si>
  <si>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</si>
  <si>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</si>
  <si>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</si>
  <si>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</si>
  <si>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</si>
  <si>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</si>
  <si>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</si>
  <si>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</si>
  <si>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</si>
  <si>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</si>
  <si>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</si>
  <si>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PAU D`ARCO</t>
  </si>
  <si>
    <t>REDENÇAO</t>
  </si>
  <si>
    <t>PEIXE-BOI</t>
  </si>
  <si>
    <t>PIÇARRA</t>
  </si>
  <si>
    <t>PLACAS</t>
  </si>
  <si>
    <t>PONTA DE PEDRAS</t>
  </si>
  <si>
    <t>PORTO DE MOZ</t>
  </si>
  <si>
    <t>PRAINHA</t>
  </si>
  <si>
    <t>PRIMAVERA</t>
  </si>
  <si>
    <t>-0.94300</t>
  </si>
  <si>
    <t>QUATIPURU</t>
  </si>
  <si>
    <t>-0.90100</t>
  </si>
  <si>
    <t>REDENÇÃO</t>
  </si>
  <si>
    <t>RIO MARIA</t>
  </si>
  <si>
    <t>RONDON DO PARÁ</t>
  </si>
  <si>
    <t>RURÓPOLIS</t>
  </si>
  <si>
    <t>SALINÓPOLIS</t>
  </si>
  <si>
    <t>-0.62900</t>
  </si>
  <si>
    <t>SALVATERRA</t>
  </si>
  <si>
    <t>-0.75300</t>
  </si>
  <si>
    <t>SANTA BÁRBARA DO PARÁ</t>
  </si>
  <si>
    <t>SANTA CRUZ DO ARARI</t>
  </si>
  <si>
    <t>-0.66400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</si>
  <si>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</si>
  <si>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</si>
  <si>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</si>
  <si>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</si>
  <si>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</si>
  <si>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</si>
  <si>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</si>
  <si>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-0.92900</t>
  </si>
  <si>
    <t>SANTO ANTÔNIO DO TAUÁ</t>
  </si>
  <si>
    <t>SÃO CAETANO DE ODIVELAS</t>
  </si>
  <si>
    <t>-0.75000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</si>
  <si>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</si>
  <si>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</si>
  <si>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</si>
  <si>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</si>
  <si>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</si>
  <si>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</si>
  <si>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-0.85000</t>
  </si>
  <si>
    <t>SÃO JOÃO DE PIRABAS</t>
  </si>
  <si>
    <t>-0.76900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</si>
  <si>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</si>
  <si>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</si>
  <si>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</si>
  <si>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</si>
  <si>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</si>
  <si>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</si>
  <si>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-0.71700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</si>
  <si>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</si>
  <si>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</si>
  <si>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</si>
  <si>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</si>
  <si>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</si>
  <si>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</si>
  <si>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</si>
  <si>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</si>
  <si>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</si>
  <si>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</si>
  <si>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</si>
  <si>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-0.85800</t>
  </si>
  <si>
    <t>VISEU</t>
  </si>
  <si>
    <t>VITÓRIA DO XINGU</t>
  </si>
  <si>
    <t>XINGUARA</t>
  </si>
  <si>
    <t>SERRA DO NAVIO</t>
  </si>
  <si>
    <t>AP</t>
  </si>
  <si>
    <t>MACAPA</t>
  </si>
  <si>
    <t>0.89600</t>
  </si>
  <si>
    <t>AMAPÁ</t>
  </si>
  <si>
    <t>AMAPA</t>
  </si>
  <si>
    <t>PEDRA BRANCA DO AMAPARI</t>
  </si>
  <si>
    <t>0.77800</t>
  </si>
  <si>
    <t>CALÇOENE</t>
  </si>
  <si>
    <t>OIAPOQUE</t>
  </si>
  <si>
    <t>CUTIAS</t>
  </si>
  <si>
    <t>0.98600</t>
  </si>
  <si>
    <t>FERREIRA GOMES</t>
  </si>
  <si>
    <t>0.85800</t>
  </si>
  <si>
    <t>ITAUBAL</t>
  </si>
  <si>
    <t>-0.59600</t>
  </si>
  <si>
    <t>LARANJAL DO JARI</t>
  </si>
  <si>
    <t>MAZAGAO</t>
  </si>
  <si>
    <t>-0.84200</t>
  </si>
  <si>
    <t>MACAPÁ</t>
  </si>
  <si>
    <t>RM MACAPÁ</t>
  </si>
  <si>
    <t>0.03900</t>
  </si>
  <si>
    <t>MAZAGÃO</t>
  </si>
  <si>
    <t>-0.11500</t>
  </si>
  <si>
    <t>PORTO GRANDE</t>
  </si>
  <si>
    <t>0.71300</t>
  </si>
  <si>
    <t>PRACUÚBA</t>
  </si>
  <si>
    <t>SANTANA</t>
  </si>
  <si>
    <t>-0.05800</t>
  </si>
  <si>
    <t>TARTARUGALZINHO</t>
  </si>
  <si>
    <t>VITÓRIA DO JARI</t>
  </si>
  <si>
    <t>-0.93800</t>
  </si>
  <si>
    <t>ABREULÂNDIA</t>
  </si>
  <si>
    <t>TO</t>
  </si>
  <si>
    <t>MIRACEMA DO TOCANTINS</t>
  </si>
  <si>
    <t>AGUIARNÓPOLIS</t>
  </si>
  <si>
    <t>BICO DO PAPAGAIO</t>
  </si>
  <si>
    <t>ALIANÇA DO TOCANTINS</t>
  </si>
  <si>
    <t>GURUPI</t>
  </si>
  <si>
    <t>ALMAS</t>
  </si>
  <si>
    <t>DIANOPOLIS</t>
  </si>
  <si>
    <t>ALVORADA</t>
  </si>
  <si>
    <t>ANANÁS</t>
  </si>
  <si>
    <t>ANGICO</t>
  </si>
  <si>
    <t>APARECIDA DO RIO NEGRO</t>
  </si>
  <si>
    <t>PORTO NACIONAL</t>
  </si>
  <si>
    <t>ARAGOMINAS</t>
  </si>
  <si>
    <t>ARAGUAINA</t>
  </si>
  <si>
    <t>ARAGUACEMA</t>
  </si>
  <si>
    <t>ARAGUAÇU</t>
  </si>
  <si>
    <t>RIO FORMOSO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</si>
  <si>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</si>
  <si>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</si>
  <si>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</si>
  <si>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</si>
  <si>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</si>
  <si>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</si>
  <si>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</si>
  <si>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</si>
  <si>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</si>
  <si>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</si>
  <si>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</si>
  <si>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JALAPAO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</si>
  <si>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</si>
  <si>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</si>
  <si>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</si>
  <si>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</si>
  <si>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</si>
  <si>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</si>
  <si>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</si>
  <si>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</si>
  <si>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</si>
  <si>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</si>
  <si>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</si>
  <si>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</si>
  <si>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</si>
  <si>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</si>
  <si>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</si>
  <si>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</si>
  <si>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</si>
  <si>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DE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</si>
  <si>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</si>
  <si>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</si>
  <si>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</si>
  <si>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</si>
  <si>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</si>
  <si>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</si>
  <si>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</si>
  <si>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</si>
  <si>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</si>
  <si>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</si>
  <si>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</si>
  <si>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</si>
  <si>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</si>
  <si>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</si>
  <si>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</si>
  <si>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</si>
  <si>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</si>
  <si>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</si>
  <si>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</si>
  <si>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</si>
  <si>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</si>
  <si>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</si>
  <si>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</si>
  <si>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</si>
  <si>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</si>
  <si>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</si>
  <si>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</si>
  <si>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</si>
  <si>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</si>
  <si>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</si>
  <si>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</si>
  <si>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</si>
  <si>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</si>
  <si>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</si>
  <si>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</si>
  <si>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</si>
  <si>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</si>
  <si>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</si>
  <si>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</si>
  <si>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</si>
  <si>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</si>
  <si>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</si>
  <si>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</si>
  <si>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</si>
  <si>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</si>
  <si>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</si>
  <si>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</si>
  <si>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</si>
  <si>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</si>
  <si>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</si>
  <si>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</si>
  <si>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</si>
  <si>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</si>
  <si>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</si>
  <si>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</si>
  <si>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</si>
  <si>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</si>
  <si>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</si>
  <si>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</si>
  <si>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</si>
  <si>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</si>
  <si>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</si>
  <si>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</si>
  <si>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</si>
  <si>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</si>
  <si>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</si>
  <si>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</si>
  <si>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</si>
  <si>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</si>
  <si>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</si>
  <si>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</si>
  <si>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</si>
  <si>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</si>
  <si>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</si>
  <si>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</si>
  <si>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</si>
  <si>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</si>
  <si>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</si>
  <si>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</si>
  <si>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</si>
  <si>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 DA NATIVIDADE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</si>
  <si>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</si>
  <si>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</si>
  <si>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</si>
  <si>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</si>
  <si>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</si>
  <si>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</si>
  <si>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</si>
  <si>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</si>
  <si>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</si>
  <si>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</si>
  <si>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</si>
  <si>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</si>
  <si>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</si>
  <si>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</si>
  <si>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</t>
  </si>
  <si>
    <t>IMPERATRIZ</t>
  </si>
  <si>
    <t>AFONSO CUNHA</t>
  </si>
  <si>
    <t>COELHO NETO</t>
  </si>
  <si>
    <t>ÁGUA DOCE DO MARANHÃO</t>
  </si>
  <si>
    <t>BAIXO PARNAIBA MARANHENSE</t>
  </si>
  <si>
    <t>ALCÂNTARA</t>
  </si>
  <si>
    <t>LITORAL OCIDENTAL MARANHENSE</t>
  </si>
  <si>
    <t>RM GRANDE SÃO LUÍS</t>
  </si>
  <si>
    <t>ALDEIAS ALTAS</t>
  </si>
  <si>
    <t>ALTAMIRA DO MARANHÃO</t>
  </si>
  <si>
    <t>PINDARE</t>
  </si>
  <si>
    <t>ALTO ALEGRE DO MARANHÃO</t>
  </si>
  <si>
    <t>CODO</t>
  </si>
  <si>
    <t>ALTO ALEGRE DO PINDARÉ</t>
  </si>
  <si>
    <t>ALTO PARNAÍBA</t>
  </si>
  <si>
    <t>GERAIS DE BALSAS</t>
  </si>
  <si>
    <t>AMAPÁ DO MARANHÃO</t>
  </si>
  <si>
    <t>AMARANTE DO MARANHÃO</t>
  </si>
  <si>
    <t>ANAJATUBA</t>
  </si>
  <si>
    <t>BAIXADA MARANHENSE</t>
  </si>
  <si>
    <t>ANAPURUS</t>
  </si>
  <si>
    <t>CHAPADINHA</t>
  </si>
  <si>
    <t>APICUM-AÇU</t>
  </si>
  <si>
    <t>ARAIOSES</t>
  </si>
  <si>
    <t>ARAME</t>
  </si>
  <si>
    <t>ALTO MEARIM E GRAJAU</t>
  </si>
  <si>
    <t>AXIXÁ</t>
  </si>
  <si>
    <t>ROSARIO</t>
  </si>
  <si>
    <t>BACABAL</t>
  </si>
  <si>
    <t>MEDIO MEARIM</t>
  </si>
  <si>
    <t>BACABEIRA</t>
  </si>
  <si>
    <t>BACURI</t>
  </si>
  <si>
    <t>BACURITUBA</t>
  </si>
  <si>
    <t>BALSAS</t>
  </si>
  <si>
    <t>BARÃO DE GRAJAÚ</t>
  </si>
  <si>
    <t>CHAPADAS DO ALTO ITAPECURU</t>
  </si>
  <si>
    <t>BARRA DO CORDA</t>
  </si>
  <si>
    <t>BARREIRINHAS</t>
  </si>
  <si>
    <t>LENÇOIS MARANHENSES</t>
  </si>
  <si>
    <t>BELÁGUA</t>
  </si>
  <si>
    <t>BELA VISTA DO MARANHÃO</t>
  </si>
  <si>
    <t>BENEDITO LEITE</t>
  </si>
  <si>
    <t>CHAPADAS DAS MANGABEIRAS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</si>
  <si>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</si>
  <si>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</si>
  <si>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</si>
  <si>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</si>
  <si>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</si>
  <si>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</si>
  <si>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</si>
  <si>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</si>
  <si>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</si>
  <si>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</si>
  <si>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CAXIAS</t>
  </si>
  <si>
    <t>BURITICUPU</t>
  </si>
  <si>
    <t>BURITIRANA</t>
  </si>
  <si>
    <t>RM SUDOESTE MARANHENSE</t>
  </si>
  <si>
    <t>CACHOEIRA GRANDE</t>
  </si>
  <si>
    <t>CAJAPIÓ</t>
  </si>
  <si>
    <t>CAJARI</t>
  </si>
  <si>
    <t>CAMPESTRE DO MARANHÃO</t>
  </si>
  <si>
    <t>PORTO FRANCO</t>
  </si>
  <si>
    <t>CÂNDIDO MENDES</t>
  </si>
  <si>
    <t>CANTANHEDE</t>
  </si>
  <si>
    <t>ITAPECURU MIRIM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</si>
  <si>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</si>
  <si>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</si>
  <si>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</si>
  <si>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</si>
  <si>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</si>
  <si>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</si>
  <si>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</si>
  <si>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</si>
  <si>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</si>
  <si>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COLINAS</t>
  </si>
  <si>
    <t>CONCEIÇÃO DO LAGO-AÇU</t>
  </si>
  <si>
    <t>COROATÁ</t>
  </si>
  <si>
    <t>CURURUPU</t>
  </si>
  <si>
    <t>DAVINÓPOLIS</t>
  </si>
  <si>
    <t>DOM PEDRO</t>
  </si>
  <si>
    <t>PRESIDENTE DUTRA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</si>
  <si>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</si>
  <si>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</si>
  <si>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</si>
  <si>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</si>
  <si>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</si>
  <si>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</si>
  <si>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</si>
  <si>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</si>
  <si>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</si>
  <si>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</si>
  <si>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</si>
  <si>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</si>
  <si>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</si>
  <si>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</si>
  <si>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</si>
  <si>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</si>
  <si>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</si>
  <si>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</si>
  <si>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</si>
  <si>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</si>
  <si>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</si>
  <si>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</si>
  <si>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</si>
  <si>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</si>
  <si>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</si>
  <si>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</si>
  <si>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</si>
  <si>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</si>
  <si>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</si>
  <si>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</si>
  <si>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</si>
  <si>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</si>
  <si>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</si>
  <si>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</si>
  <si>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</si>
  <si>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</si>
  <si>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</si>
  <si>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</si>
  <si>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</si>
  <si>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</si>
  <si>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</si>
  <si>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</si>
  <si>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</si>
  <si>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</si>
  <si>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</si>
  <si>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</si>
  <si>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</si>
  <si>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</si>
  <si>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</si>
  <si>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</si>
  <si>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</si>
  <si>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</si>
  <si>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</si>
  <si>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</si>
  <si>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</si>
  <si>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</si>
  <si>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</si>
  <si>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</si>
  <si>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</si>
  <si>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D`ÁGUA DAS CUNHÃS</t>
  </si>
  <si>
    <t>OLINDA NOVA DO MARANHÃO</t>
  </si>
  <si>
    <t>PAÇO DO LUMIAR</t>
  </si>
  <si>
    <t>AGLOMERAÇAO URBANA DE SAO LUIS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</si>
  <si>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</si>
  <si>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</si>
  <si>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</si>
  <si>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</si>
  <si>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</si>
  <si>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</si>
  <si>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</si>
  <si>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</si>
  <si>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</si>
  <si>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</si>
  <si>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</si>
  <si>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</si>
  <si>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</si>
  <si>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</si>
  <si>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</si>
  <si>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</si>
  <si>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</si>
  <si>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</si>
  <si>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</si>
  <si>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</si>
  <si>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</si>
  <si>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</si>
  <si>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</si>
  <si>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</si>
  <si>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</si>
  <si>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</si>
  <si>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</si>
  <si>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</si>
  <si>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</si>
  <si>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</si>
  <si>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</si>
  <si>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</si>
  <si>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</si>
  <si>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</si>
  <si>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</si>
  <si>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</si>
  <si>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</si>
  <si>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</si>
  <si>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</si>
  <si>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</si>
  <si>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</si>
  <si>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</si>
  <si>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</si>
  <si>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</si>
  <si>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</si>
  <si>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</si>
  <si>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</si>
  <si>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</si>
  <si>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</si>
  <si>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</si>
  <si>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</si>
  <si>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</si>
  <si>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</si>
  <si>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</si>
  <si>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</si>
  <si>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</si>
  <si>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</si>
  <si>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</si>
  <si>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</si>
  <si>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</si>
  <si>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</si>
  <si>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</si>
  <si>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</si>
  <si>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</si>
  <si>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</si>
  <si>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</si>
  <si>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</si>
  <si>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</si>
  <si>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</si>
  <si>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</si>
  <si>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</si>
  <si>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RIDE TERESINA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</si>
  <si>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</si>
  <si>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</si>
  <si>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</si>
  <si>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</si>
  <si>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</si>
  <si>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</si>
  <si>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</si>
  <si>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</si>
  <si>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</si>
  <si>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</si>
  <si>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</si>
  <si>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</si>
  <si>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</si>
  <si>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</si>
  <si>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</t>
  </si>
  <si>
    <t>ALTO MEDIO CANINDE</t>
  </si>
  <si>
    <t>AGRICOLÂNDIA</t>
  </si>
  <si>
    <t>MEDIO PARNAIBA PIAUIENSE</t>
  </si>
  <si>
    <t>ÁGUA BRANCA</t>
  </si>
  <si>
    <t>ALAGOINHA DO PIAUÍ</t>
  </si>
  <si>
    <t>PIO IX</t>
  </si>
  <si>
    <t>ALEGRETE DO PIAUÍ</t>
  </si>
  <si>
    <t>ALTO LONGÁ</t>
  </si>
  <si>
    <t>CAMPO MAIOR</t>
  </si>
  <si>
    <t>ALTOS</t>
  </si>
  <si>
    <t>TERESINA</t>
  </si>
  <si>
    <t>ALVORADA DO GURGUÉIA</t>
  </si>
  <si>
    <t>ALTO MEDIO GURGUEIA</t>
  </si>
  <si>
    <t>AMARANTE</t>
  </si>
  <si>
    <t>ANGICAL DO PIAUÍ</t>
  </si>
  <si>
    <t>ANÍSIO DE ABREU</t>
  </si>
  <si>
    <t>SAO RAIMUNDO NONATO</t>
  </si>
  <si>
    <t>ANTÔNIO ALMEIDA</t>
  </si>
  <si>
    <t>BERTOLINIA</t>
  </si>
  <si>
    <t>AROAZES</t>
  </si>
  <si>
    <t>VALENÇA DO PIAUI</t>
  </si>
  <si>
    <t>AROEIRAS DO ITAIM</t>
  </si>
  <si>
    <t>PICOS</t>
  </si>
  <si>
    <t>ARRAIAL</t>
  </si>
  <si>
    <t>ASSUNÇÃO DO PIAUÍ</t>
  </si>
  <si>
    <t>AVELINO LOPES</t>
  </si>
  <si>
    <t>CHAPADAS DO EXTREMO SUL PIAUIENSE</t>
  </si>
  <si>
    <t>BAIXA GRANDE DO RIBEIRO</t>
  </si>
  <si>
    <t>ALTO PARNAIBA PIAUIENSE</t>
  </si>
  <si>
    <t>BARRA D`ALCÂNTARA</t>
  </si>
  <si>
    <t>BARRAS</t>
  </si>
  <si>
    <t>BAIXO PARNAIBA PIAUIENSE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</si>
  <si>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</si>
  <si>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</si>
  <si>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</si>
  <si>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</si>
  <si>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</si>
  <si>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</si>
  <si>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</si>
  <si>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</si>
  <si>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</si>
  <si>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</si>
  <si>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</si>
  <si>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</si>
  <si>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LITORAL PIAUIENSE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</si>
  <si>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</si>
  <si>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</si>
  <si>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</si>
  <si>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</si>
  <si>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</si>
  <si>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</si>
  <si>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</si>
  <si>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</si>
  <si>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</si>
  <si>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</si>
  <si>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</si>
  <si>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</si>
  <si>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</si>
  <si>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</si>
  <si>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CANAVIEIRA</t>
  </si>
  <si>
    <t>FLORIANO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</si>
  <si>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</si>
  <si>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</si>
  <si>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</si>
  <si>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</si>
  <si>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</si>
  <si>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</si>
  <si>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</si>
  <si>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</si>
  <si>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</si>
  <si>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</si>
  <si>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</si>
  <si>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</si>
  <si>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</si>
  <si>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</si>
  <si>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</si>
  <si>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</si>
  <si>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</si>
  <si>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</si>
  <si>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</si>
  <si>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</si>
  <si>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</si>
  <si>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</si>
  <si>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</si>
  <si>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</si>
  <si>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</si>
  <si>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</si>
  <si>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</si>
  <si>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</si>
  <si>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</si>
  <si>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</si>
  <si>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</si>
  <si>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</si>
  <si>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</si>
  <si>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</si>
  <si>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</si>
  <si>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</si>
  <si>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</si>
  <si>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</si>
  <si>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</si>
  <si>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</si>
  <si>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</si>
  <si>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</si>
  <si>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</si>
  <si>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</si>
  <si>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</si>
  <si>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</si>
  <si>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</si>
  <si>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</si>
  <si>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</si>
  <si>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</si>
  <si>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</si>
  <si>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</si>
  <si>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</si>
  <si>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</si>
  <si>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</si>
  <si>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</si>
  <si>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</si>
  <si>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</si>
  <si>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</si>
  <si>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</si>
  <si>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</si>
  <si>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</si>
  <si>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</si>
  <si>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</si>
  <si>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</si>
  <si>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</si>
  <si>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</si>
  <si>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</si>
  <si>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</si>
  <si>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</si>
  <si>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</si>
  <si>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</si>
  <si>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</si>
  <si>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</si>
  <si>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</si>
  <si>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</si>
  <si>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</si>
  <si>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</si>
  <si>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</si>
  <si>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</si>
  <si>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</si>
  <si>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</si>
  <si>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</si>
  <si>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</si>
  <si>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</si>
  <si>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NAZARIA</t>
  </si>
  <si>
    <t>PIAUI</t>
  </si>
  <si>
    <t>NOSSA SENHORA DE NAZARÉ</t>
  </si>
  <si>
    <t>NOSSA SENHORA DOS REMÉDIOS</t>
  </si>
  <si>
    <t>NOVO ORIENTE DO PIAUÍ</t>
  </si>
  <si>
    <t>NOVO SANTO ANTÔNIO</t>
  </si>
  <si>
    <t>OEIRAS</t>
  </si>
  <si>
    <t>OLHO D`ÁGUA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</si>
  <si>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</si>
  <si>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</si>
  <si>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</si>
  <si>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</si>
  <si>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</si>
  <si>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</si>
  <si>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</si>
  <si>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</si>
  <si>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</si>
  <si>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</si>
  <si>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D`ARCO DO PIAUÍ</t>
  </si>
  <si>
    <t>PAULISTANA</t>
  </si>
  <si>
    <t>PAVUSSU</t>
  </si>
  <si>
    <t>PEDRO II</t>
  </si>
  <si>
    <t>PEDRO LAURENTINO</t>
  </si>
  <si>
    <t>NOVA SANTA RITA</t>
  </si>
  <si>
    <t>PIMENTEIRAS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</si>
  <si>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</si>
  <si>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</si>
  <si>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</si>
  <si>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</si>
  <si>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</si>
  <si>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</si>
  <si>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</si>
  <si>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</si>
  <si>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</si>
  <si>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</si>
  <si>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</si>
  <si>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</si>
  <si>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</si>
  <si>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</si>
  <si>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</si>
  <si>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</si>
  <si>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</si>
  <si>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</si>
  <si>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</si>
  <si>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</si>
  <si>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</si>
  <si>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</si>
  <si>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</si>
  <si>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</si>
  <si>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</si>
  <si>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</si>
  <si>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</si>
  <si>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</si>
  <si>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</si>
  <si>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</si>
  <si>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</si>
  <si>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</si>
  <si>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</si>
  <si>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</si>
  <si>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</si>
  <si>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</si>
  <si>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</si>
  <si>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</si>
  <si>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</si>
  <si>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</si>
  <si>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</si>
  <si>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</si>
  <si>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</si>
  <si>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</si>
  <si>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</si>
  <si>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</si>
  <si>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</si>
  <si>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</si>
  <si>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</si>
  <si>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</si>
  <si>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</si>
  <si>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</si>
  <si>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</si>
  <si>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</si>
  <si>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</si>
  <si>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</si>
  <si>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</si>
  <si>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</si>
  <si>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</si>
  <si>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</si>
  <si>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</si>
  <si>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</si>
  <si>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</t>
  </si>
  <si>
    <t>BREJO SANTO</t>
  </si>
  <si>
    <t>ACARAPE</t>
  </si>
  <si>
    <t>BATURITE</t>
  </si>
  <si>
    <t>ACARAÚ</t>
  </si>
  <si>
    <t>LITORAL DE CAMOCIM E ACARAU</t>
  </si>
  <si>
    <t>ACOPIARA</t>
  </si>
  <si>
    <t>SERTAO DE SENADOR POMPEU</t>
  </si>
  <si>
    <t>AIUABA</t>
  </si>
  <si>
    <t>SERTAO DE INHAMUNS</t>
  </si>
  <si>
    <t>ALCÂNTARAS</t>
  </si>
  <si>
    <t>MERUOCA</t>
  </si>
  <si>
    <t>ALTANEIRA</t>
  </si>
  <si>
    <t>CARIRIAÇU</t>
  </si>
  <si>
    <t>ALTO SANTO</t>
  </si>
  <si>
    <t>BAIXO JAGUARIBE</t>
  </si>
  <si>
    <t>AMONTADA</t>
  </si>
  <si>
    <t>ITAPIPOCA</t>
  </si>
  <si>
    <t>ANTONINA DO NORTE</t>
  </si>
  <si>
    <t>VARZEA ALEGRE</t>
  </si>
  <si>
    <t>APUIARÉS</t>
  </si>
  <si>
    <t>MEDIO CURU</t>
  </si>
  <si>
    <t>AQUIRAZ</t>
  </si>
  <si>
    <t>FORTALEZA</t>
  </si>
  <si>
    <t>RM FORTALEZA</t>
  </si>
  <si>
    <t>ARACATI</t>
  </si>
  <si>
    <t>LITORAL DE ARACATI</t>
  </si>
  <si>
    <t>ARACOIABA</t>
  </si>
  <si>
    <t>ARARENDÁ</t>
  </si>
  <si>
    <t>SERTAO DE CRATEUS</t>
  </si>
  <si>
    <t>ARARIPE</t>
  </si>
  <si>
    <t>CHAPADA DO ARARIPE</t>
  </si>
  <si>
    <t>ARATUBA</t>
  </si>
  <si>
    <t>ARNEIROZ</t>
  </si>
  <si>
    <t>ASSARÉ</t>
  </si>
  <si>
    <t>AURORA</t>
  </si>
  <si>
    <t>BARRO</t>
  </si>
  <si>
    <t>BAIXIO</t>
  </si>
  <si>
    <t>LAVRAS DA MANGABEIRA</t>
  </si>
  <si>
    <t>BANABUIÚ</t>
  </si>
  <si>
    <t>SERTAO DE QUIXERAMOBIM</t>
  </si>
  <si>
    <t>BARBALHA</t>
  </si>
  <si>
    <t>CARIRI</t>
  </si>
  <si>
    <t>RM CARIRI</t>
  </si>
  <si>
    <t>BARREIRA</t>
  </si>
  <si>
    <t>CHOROZINHO</t>
  </si>
  <si>
    <t>BARROQUINHA</t>
  </si>
  <si>
    <t>BATURITÉ</t>
  </si>
  <si>
    <t>BEBERIBE</t>
  </si>
  <si>
    <t>CASCAVEL</t>
  </si>
  <si>
    <t>BELA CRUZ</t>
  </si>
  <si>
    <t>BOA VIAGEM</t>
  </si>
  <si>
    <t>CAMOCIM</t>
  </si>
  <si>
    <t>CAMPOS SALES</t>
  </si>
  <si>
    <t>CANINDÉ</t>
  </si>
  <si>
    <t>CANINDE</t>
  </si>
  <si>
    <t>CAPISTRANO</t>
  </si>
  <si>
    <t>CARIDADE</t>
  </si>
  <si>
    <t>CARIRÉ</t>
  </si>
  <si>
    <t>SOBRAL</t>
  </si>
  <si>
    <t>CARIÚS</t>
  </si>
  <si>
    <t>CARNAUBAL</t>
  </si>
  <si>
    <t>IBIAPABA</t>
  </si>
  <si>
    <t>CATARINA</t>
  </si>
  <si>
    <t>CATUNDA</t>
  </si>
  <si>
    <t>SANTA QUITERIA</t>
  </si>
  <si>
    <t>CAUCAIA</t>
  </si>
  <si>
    <t>CEDRO</t>
  </si>
  <si>
    <t>IGUATU</t>
  </si>
  <si>
    <t>CHAVAL</t>
  </si>
  <si>
    <t>CHORÓ</t>
  </si>
  <si>
    <t>COREAÚ</t>
  </si>
  <si>
    <t>COREAU</t>
  </si>
  <si>
    <t>CRATEÚS</t>
  </si>
  <si>
    <t>CRATO</t>
  </si>
  <si>
    <t>CROATÁ</t>
  </si>
  <si>
    <t>CRUZ</t>
  </si>
  <si>
    <t>DEPUTADO IRAPUAN PINHEIRO</t>
  </si>
  <si>
    <t>ERERÊ</t>
  </si>
  <si>
    <t>SERRA DO PEREIRO</t>
  </si>
  <si>
    <t>EUZÉBIO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</si>
  <si>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</si>
  <si>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</si>
  <si>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</si>
  <si>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</si>
  <si>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</si>
  <si>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</si>
  <si>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</si>
  <si>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</si>
  <si>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</si>
  <si>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</si>
  <si>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</si>
  <si>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</si>
  <si>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</si>
  <si>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</si>
  <si>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PACAJUS</t>
  </si>
  <si>
    <t>IBARETAMA</t>
  </si>
  <si>
    <t>IBIAPINA</t>
  </si>
  <si>
    <t>IBICUITINGA</t>
  </si>
  <si>
    <t>ICAPUÍ</t>
  </si>
  <si>
    <t>ICÓ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</si>
  <si>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</si>
  <si>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</si>
  <si>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</si>
  <si>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</si>
  <si>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</si>
  <si>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</si>
  <si>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</si>
  <si>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</si>
  <si>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URUBURETAMA</t>
  </si>
  <si>
    <t>ITAPIÚNA</t>
  </si>
  <si>
    <t>ITAREMA</t>
  </si>
  <si>
    <t>ITATIRA</t>
  </si>
  <si>
    <t>JAGUARETAMA</t>
  </si>
  <si>
    <t>MEDIO JAGUARIBE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</si>
  <si>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</si>
  <si>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</si>
  <si>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</si>
  <si>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</si>
  <si>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</si>
  <si>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</si>
  <si>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</si>
  <si>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</si>
  <si>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</si>
  <si>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</si>
  <si>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</si>
  <si>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</si>
  <si>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</si>
  <si>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</si>
  <si>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</si>
  <si>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</si>
  <si>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</si>
  <si>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</si>
  <si>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</si>
  <si>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</si>
  <si>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</si>
  <si>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</si>
  <si>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</si>
  <si>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</si>
  <si>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</si>
  <si>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</si>
  <si>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</si>
  <si>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</si>
  <si>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</si>
  <si>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</si>
  <si>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</si>
  <si>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PACATUBA</t>
  </si>
  <si>
    <t>PACOTI</t>
  </si>
  <si>
    <t>PACUJÁ</t>
  </si>
  <si>
    <t>PALHANO</t>
  </si>
  <si>
    <t>PALMÁCIA</t>
  </si>
  <si>
    <t>PARACURU</t>
  </si>
  <si>
    <t>BAIXO 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</si>
  <si>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</si>
  <si>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</si>
  <si>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</si>
  <si>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</si>
  <si>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</si>
  <si>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</si>
  <si>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</si>
  <si>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</si>
  <si>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</si>
  <si>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</si>
  <si>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</si>
  <si>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</si>
  <si>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</si>
  <si>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</si>
  <si>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</si>
  <si>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</si>
  <si>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</si>
  <si>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</si>
  <si>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</si>
  <si>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</si>
  <si>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</si>
  <si>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</si>
  <si>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</si>
  <si>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</si>
  <si>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</si>
  <si>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</si>
  <si>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</si>
  <si>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</si>
  <si>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</si>
  <si>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</si>
  <si>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</si>
  <si>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</si>
  <si>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</si>
  <si>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</si>
  <si>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</si>
  <si>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</si>
  <si>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</si>
  <si>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</si>
  <si>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</si>
  <si>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</si>
  <si>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</si>
  <si>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</si>
  <si>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</si>
  <si>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</si>
  <si>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URUOCA</t>
  </si>
  <si>
    <t>VARJOTA</t>
  </si>
  <si>
    <t>VÁRZEA ALEGRE</t>
  </si>
  <si>
    <t>VIÇOSA DO CEARÁ</t>
  </si>
  <si>
    <t>ACARI</t>
  </si>
  <si>
    <t>RN</t>
  </si>
  <si>
    <t>SERIDO ORIENTAL</t>
  </si>
  <si>
    <t>AÇU</t>
  </si>
  <si>
    <t>VALE DO AÇU</t>
  </si>
  <si>
    <t>AFONSO BEZERRA</t>
  </si>
  <si>
    <t>ANGICOS</t>
  </si>
  <si>
    <t>ÁGUA NOVA</t>
  </si>
  <si>
    <t>SERRA DE SAO MIGUEL</t>
  </si>
  <si>
    <t>ALEXANDRIA</t>
  </si>
  <si>
    <t>PAU DOS FERROS</t>
  </si>
  <si>
    <t>ALMINO AFONSO</t>
  </si>
  <si>
    <t>UMARIZAL</t>
  </si>
  <si>
    <t>ALTO DO RODRIGUES</t>
  </si>
  <si>
    <t>ANTÔNIO MARTINS</t>
  </si>
  <si>
    <t>APODI</t>
  </si>
  <si>
    <t>CHAPADA DO APODI</t>
  </si>
  <si>
    <t>AREIA BRANCA</t>
  </si>
  <si>
    <t>MOSSORO</t>
  </si>
  <si>
    <t>ARÊS</t>
  </si>
  <si>
    <t>LITORAL SUL</t>
  </si>
  <si>
    <t>AUGUSTO SEVERO</t>
  </si>
  <si>
    <t>MEDIO OESTE</t>
  </si>
  <si>
    <t>BAÍA FORMOSA</t>
  </si>
  <si>
    <t>BARAÚNA</t>
  </si>
  <si>
    <t>BARCELONA</t>
  </si>
  <si>
    <t>BORBOREMA POTIGUAR</t>
  </si>
  <si>
    <t>BENTO FERNANDES</t>
  </si>
  <si>
    <t>BAIXA VERDE</t>
  </si>
  <si>
    <t>BODÓ</t>
  </si>
  <si>
    <t>SERRA DE SANTANA</t>
  </si>
  <si>
    <t>AGRESTE POTIGUAR</t>
  </si>
  <si>
    <t>BREJINHO</t>
  </si>
  <si>
    <t>CAIÇARA DO NORTE</t>
  </si>
  <si>
    <t>MACAU</t>
  </si>
  <si>
    <t>CAIÇARA DO RIO DO VENTO</t>
  </si>
  <si>
    <t>CAICÓ</t>
  </si>
  <si>
    <t>SERIDO OCIDENTAL</t>
  </si>
  <si>
    <t>CAMPO REDONDO</t>
  </si>
  <si>
    <t>CANGUARETAMA</t>
  </si>
  <si>
    <t>CARAÚBAS</t>
  </si>
  <si>
    <t>CARNAÚBA DOS DANTAS</t>
  </si>
  <si>
    <t>CARNAUBAIS</t>
  </si>
  <si>
    <t>CEARÁ-MIRIM</t>
  </si>
  <si>
    <t>MACAIBA</t>
  </si>
  <si>
    <t>RM NATAL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</si>
  <si>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</si>
  <si>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</si>
  <si>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</si>
  <si>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</si>
  <si>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</si>
  <si>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</si>
  <si>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</si>
  <si>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NATAL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</si>
  <si>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</si>
  <si>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</si>
  <si>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</si>
  <si>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</si>
  <si>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</si>
  <si>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</si>
  <si>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</si>
  <si>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</si>
  <si>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</si>
  <si>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</si>
  <si>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</si>
  <si>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</si>
  <si>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</si>
  <si>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</si>
  <si>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</si>
  <si>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</si>
  <si>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</si>
  <si>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</si>
  <si>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</si>
  <si>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</si>
  <si>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</si>
  <si>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</si>
  <si>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</si>
  <si>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</si>
  <si>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</si>
  <si>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</si>
  <si>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</si>
  <si>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</si>
  <si>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</si>
  <si>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</si>
  <si>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</si>
  <si>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</si>
  <si>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D`ANTA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</si>
  <si>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</si>
  <si>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</si>
  <si>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</si>
  <si>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</si>
  <si>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</si>
  <si>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</si>
  <si>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</si>
  <si>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</si>
  <si>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</si>
  <si>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MAJOR SALES</t>
  </si>
  <si>
    <t>MARCELINO VIEIRA</t>
  </si>
  <si>
    <t>MARTINS</t>
  </si>
  <si>
    <t>MAXARANGUAPE</t>
  </si>
  <si>
    <t>LITORAL NORDESTE</t>
  </si>
  <si>
    <t>MESSIAS TARGINO</t>
  </si>
  <si>
    <t>MONTANHAS</t>
  </si>
  <si>
    <t>MONTE ALEGE</t>
  </si>
  <si>
    <t>MONTE DAS GAMELEIRAS</t>
  </si>
  <si>
    <t>MOSSORÓ</t>
  </si>
  <si>
    <t>NÍZIA FLORESTA</t>
  </si>
  <si>
    <t>NOVA CRUZ</t>
  </si>
  <si>
    <t>OLHO-D`ÁGUA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</si>
  <si>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</si>
  <si>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</si>
  <si>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</si>
  <si>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</si>
  <si>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</si>
  <si>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</si>
  <si>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</si>
  <si>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</si>
  <si>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</si>
  <si>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</si>
  <si>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</si>
  <si>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</si>
  <si>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</si>
  <si>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</si>
  <si>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</si>
  <si>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</si>
  <si>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</si>
  <si>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</si>
  <si>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</si>
  <si>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</si>
  <si>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</si>
  <si>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</si>
  <si>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</si>
  <si>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</si>
  <si>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</si>
  <si>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</si>
  <si>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</si>
  <si>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</si>
  <si>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</si>
  <si>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</si>
  <si>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</si>
  <si>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</si>
  <si>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</si>
  <si>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</si>
  <si>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</si>
  <si>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</si>
  <si>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</si>
  <si>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MIBIPÚ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</si>
  <si>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</si>
  <si>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</si>
  <si>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</si>
  <si>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</si>
  <si>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</si>
  <si>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</si>
  <si>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</si>
  <si>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</si>
  <si>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</si>
  <si>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</si>
  <si>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</si>
  <si>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</si>
  <si>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</si>
  <si>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</si>
  <si>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</si>
  <si>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</si>
  <si>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</si>
  <si>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</si>
  <si>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</si>
  <si>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</si>
  <si>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</si>
  <si>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</si>
  <si>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</si>
  <si>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</si>
  <si>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</si>
  <si>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</si>
  <si>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UPANEMA</t>
  </si>
  <si>
    <t>VÁRZEA</t>
  </si>
  <si>
    <t>VENHA-VER</t>
  </si>
  <si>
    <t>VERA CRUZ</t>
  </si>
  <si>
    <t>VIÇOSA</t>
  </si>
  <si>
    <t>VILA FLOR</t>
  </si>
  <si>
    <t>PB</t>
  </si>
  <si>
    <t>SERRA DO TEIXEIRA</t>
  </si>
  <si>
    <t>AGUIAR</t>
  </si>
  <si>
    <t>PIANCO</t>
  </si>
  <si>
    <t>ALAGOA GRANDE</t>
  </si>
  <si>
    <t>BREJO PARAIBANO</t>
  </si>
  <si>
    <t>ALAGOA NOVA</t>
  </si>
  <si>
    <t>ALAGOINHA</t>
  </si>
  <si>
    <t>GUARABIRA</t>
  </si>
  <si>
    <t>ALCANTIL</t>
  </si>
  <si>
    <t>CARIRI ORIENTAL</t>
  </si>
  <si>
    <t>ALGODÃO DE JANDAÍRA</t>
  </si>
  <si>
    <t>CURIMATAU OCIDENTAL</t>
  </si>
  <si>
    <t>ALHANDRA</t>
  </si>
  <si>
    <t>SÃO JOÃO DO RIO DO PEIXE</t>
  </si>
  <si>
    <t>CAJAZEIRAS</t>
  </si>
  <si>
    <t>AMPARO</t>
  </si>
  <si>
    <t>CARIRI OCIDENTAL</t>
  </si>
  <si>
    <t>APARECIDA</t>
  </si>
  <si>
    <t>SOUSA</t>
  </si>
  <si>
    <t>ARAÇAGI</t>
  </si>
  <si>
    <t>ARARA</t>
  </si>
  <si>
    <t>ARARUNA</t>
  </si>
  <si>
    <t>CURIMATAU ORIENTAL</t>
  </si>
  <si>
    <t>AREIA</t>
  </si>
  <si>
    <t>AREIA DE BARAÚNAS</t>
  </si>
  <si>
    <t>PATOS</t>
  </si>
  <si>
    <t>AREIAL</t>
  </si>
  <si>
    <t>ESPERANÇA</t>
  </si>
  <si>
    <t>AROEIRAS</t>
  </si>
  <si>
    <t>UMBUZEIRO</t>
  </si>
  <si>
    <t>ASSUNÇÃO</t>
  </si>
  <si>
    <t>BAÍA DA TRAIÇÃO</t>
  </si>
  <si>
    <t>LITORAL NORTE</t>
  </si>
  <si>
    <t>BANANEIRAS</t>
  </si>
  <si>
    <t>SERIDO ORIENTAL PARAIBANO</t>
  </si>
  <si>
    <t>BARRA DE SANTANA</t>
  </si>
  <si>
    <t>BARRA DE SANTA ROSA</t>
  </si>
  <si>
    <t>BARRA DE SÃO MIGUEL</t>
  </si>
  <si>
    <t>BAYEUX</t>
  </si>
  <si>
    <t>JOAO PESSOA</t>
  </si>
  <si>
    <t>RM JOÃO PESSOA</t>
  </si>
  <si>
    <t>BELÉM DO BREJO DO CRUZ</t>
  </si>
  <si>
    <t>CATOLE DO ROCHA</t>
  </si>
  <si>
    <t>BERNARDINO BATISTA</t>
  </si>
  <si>
    <t>BOA VENTURA</t>
  </si>
  <si>
    <t>ITAPORANGA</t>
  </si>
  <si>
    <t>CAMPINA GRANDE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</si>
  <si>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</si>
  <si>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</si>
  <si>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</si>
  <si>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</si>
  <si>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</si>
  <si>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</si>
  <si>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</si>
  <si>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</si>
  <si>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</si>
  <si>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</si>
  <si>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</si>
  <si>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</si>
  <si>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</si>
  <si>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</si>
  <si>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</si>
  <si>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</si>
  <si>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CALDAS BRANDÃO</t>
  </si>
  <si>
    <t>ITABAIANA</t>
  </si>
  <si>
    <t>CAMALAÚ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</si>
  <si>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</si>
  <si>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</si>
  <si>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</si>
  <si>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</si>
  <si>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</si>
  <si>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</si>
  <si>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</si>
  <si>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</si>
  <si>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</si>
  <si>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</si>
  <si>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</si>
  <si>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</si>
  <si>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</si>
  <si>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SAPE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</si>
  <si>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</si>
  <si>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</si>
  <si>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</si>
  <si>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</si>
  <si>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</si>
  <si>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</si>
  <si>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</si>
  <si>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</si>
  <si>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</si>
  <si>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</si>
  <si>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</si>
  <si>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</si>
  <si>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</si>
  <si>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</si>
  <si>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</si>
  <si>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</si>
  <si>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</si>
  <si>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</si>
  <si>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</si>
  <si>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</si>
  <si>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</si>
  <si>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</si>
  <si>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</si>
  <si>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</si>
  <si>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</si>
  <si>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</si>
  <si>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</si>
  <si>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</si>
  <si>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</si>
  <si>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SERIDO OCIDENTAL PARAIBANO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</si>
  <si>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</si>
  <si>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</si>
  <si>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</si>
  <si>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</si>
  <si>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</si>
  <si>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</si>
  <si>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</si>
  <si>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</si>
  <si>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</si>
  <si>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D`ÁGUA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</si>
  <si>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</si>
  <si>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</si>
  <si>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</si>
  <si>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</si>
  <si>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</si>
  <si>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</si>
  <si>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</si>
  <si>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</si>
  <si>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</si>
  <si>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</si>
  <si>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</si>
  <si>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</si>
  <si>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</si>
  <si>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</si>
  <si>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</si>
  <si>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</si>
  <si>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</si>
  <si>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</si>
  <si>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</si>
  <si>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D`ÁGUA</t>
  </si>
  <si>
    <t>OLIVEDOS</t>
  </si>
  <si>
    <t>OURO VELHO</t>
  </si>
  <si>
    <t>PARARI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</si>
  <si>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</si>
  <si>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</si>
  <si>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</si>
  <si>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</si>
  <si>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</si>
  <si>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</si>
  <si>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</si>
  <si>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</si>
  <si>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</si>
  <si>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</si>
  <si>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</si>
  <si>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</si>
  <si>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</si>
  <si>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</si>
  <si>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</si>
  <si>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</si>
  <si>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</si>
  <si>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</si>
  <si>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</si>
  <si>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</si>
  <si>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</si>
  <si>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</si>
  <si>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</si>
  <si>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</si>
  <si>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</si>
  <si>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</si>
  <si>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</si>
  <si>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</si>
  <si>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</si>
  <si>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</si>
  <si>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SANTA TERESINHA</t>
  </si>
  <si>
    <t>SANTO ANDRÉ</t>
  </si>
  <si>
    <t>SÃO BENTINHO</t>
  </si>
  <si>
    <t>SÃO DOMINGOS DO CARIRI</t>
  </si>
  <si>
    <t>SÃO DOMINGOS DE POMBAL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</si>
  <si>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</si>
  <si>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</si>
  <si>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</si>
  <si>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</si>
  <si>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</si>
  <si>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</si>
  <si>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</si>
  <si>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</si>
  <si>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</si>
  <si>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</si>
  <si>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</si>
  <si>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</si>
  <si>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</si>
  <si>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</si>
  <si>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</si>
  <si>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</si>
  <si>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</si>
  <si>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</si>
  <si>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</si>
  <si>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</si>
  <si>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</si>
  <si>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</si>
  <si>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</si>
  <si>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</si>
  <si>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</si>
  <si>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</si>
  <si>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</si>
  <si>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</si>
  <si>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</si>
  <si>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SUMÉ</t>
  </si>
  <si>
    <t>CAMPO DE SANTANA</t>
  </si>
  <si>
    <t>TAPEROÁ</t>
  </si>
  <si>
    <t>TAVARES</t>
  </si>
  <si>
    <t>TEIXEIRA</t>
  </si>
  <si>
    <t>TENÓRIO</t>
  </si>
  <si>
    <t>TRIUNFO</t>
  </si>
  <si>
    <t>UIRAÚNA</t>
  </si>
  <si>
    <t>VIEIRÓPOLIS</t>
  </si>
  <si>
    <t>ZABELÊ</t>
  </si>
  <si>
    <t>ABREU E LIMA</t>
  </si>
  <si>
    <t>PE</t>
  </si>
  <si>
    <t>RECIFE</t>
  </si>
  <si>
    <t>RM RECIFE</t>
  </si>
  <si>
    <t>AFOGADOS DA INGAZEIRA</t>
  </si>
  <si>
    <t>PAJEU</t>
  </si>
  <si>
    <t>AFRÂNIO</t>
  </si>
  <si>
    <t>PETROLINA</t>
  </si>
  <si>
    <t>AGRESTINA</t>
  </si>
  <si>
    <t>BREJO PERNAMBUCANO</t>
  </si>
  <si>
    <t>ÁGUA PRETA</t>
  </si>
  <si>
    <t>MATA MERIDIONAL PERNAMBUCANA</t>
  </si>
  <si>
    <t>ÁGUAS BELAS</t>
  </si>
  <si>
    <t>VALE DO IPANEMA</t>
  </si>
  <si>
    <t>VALE DO IPOJUCA</t>
  </si>
  <si>
    <t>ALIANÇA</t>
  </si>
  <si>
    <t>MATA SETENTRIONAL PERNAMBUCANA</t>
  </si>
  <si>
    <t>ALTINHO</t>
  </si>
  <si>
    <t>AMARAJI</t>
  </si>
  <si>
    <t>ANGELIM</t>
  </si>
  <si>
    <t>GARANHUNS</t>
  </si>
  <si>
    <t>ARAÇOIABA</t>
  </si>
  <si>
    <t>ITAMARACA</t>
  </si>
  <si>
    <t>ARARIPINA</t>
  </si>
  <si>
    <t>ARCOVERDE</t>
  </si>
  <si>
    <t>SERTAO DO MOXOTO</t>
  </si>
  <si>
    <t>BARRA DE GUABIRABA</t>
  </si>
  <si>
    <t>BARREIROS</t>
  </si>
  <si>
    <t>BELÉM DE MARIA</t>
  </si>
  <si>
    <t>BELÉM DE SÃO FRANCISCO</t>
  </si>
  <si>
    <t>ITAPARICA</t>
  </si>
  <si>
    <t>BELO JARDIM</t>
  </si>
  <si>
    <t>BETÂNIA</t>
  </si>
  <si>
    <t>BEZERROS</t>
  </si>
  <si>
    <t>BODOCÓ</t>
  </si>
  <si>
    <t>BOM CONSELHO</t>
  </si>
  <si>
    <t>MEDIO CAPIBARIBE</t>
  </si>
  <si>
    <t>BREJÃO</t>
  </si>
  <si>
    <t>BREJO DA MADRE DE DEUS</t>
  </si>
  <si>
    <t>BUENOS AIRES</t>
  </si>
  <si>
    <t>BUÍQUE</t>
  </si>
  <si>
    <t>CABO DE SANTO AGOSTINHO</t>
  </si>
  <si>
    <t>SUAPE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</si>
  <si>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</si>
  <si>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</si>
  <si>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</si>
  <si>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</si>
  <si>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</si>
  <si>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</si>
  <si>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</si>
  <si>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</si>
  <si>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</si>
  <si>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</si>
  <si>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</si>
  <si>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</si>
  <si>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</si>
  <si>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</si>
  <si>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ALTO CAPIBARIBE</t>
  </si>
  <si>
    <t>CATENDE</t>
  </si>
  <si>
    <t>SALGUEIRO</t>
  </si>
  <si>
    <t>CHÃ DE ALEGRIA</t>
  </si>
  <si>
    <t>VITORIA DE SANTO ANTAO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</si>
  <si>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</si>
  <si>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</si>
  <si>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</si>
  <si>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</si>
  <si>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</si>
  <si>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</si>
  <si>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</si>
  <si>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</si>
  <si>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</si>
  <si>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</si>
  <si>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</si>
  <si>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</si>
  <si>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</si>
  <si>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</si>
  <si>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</si>
  <si>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</si>
  <si>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</si>
  <si>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</si>
  <si>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</si>
  <si>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</si>
  <si>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</si>
  <si>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</si>
  <si>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</si>
  <si>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</si>
  <si>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</si>
  <si>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</si>
  <si>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</si>
  <si>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</si>
  <si>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</si>
  <si>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</si>
  <si>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</si>
  <si>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</si>
  <si>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</si>
  <si>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</si>
  <si>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</si>
  <si>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</si>
  <si>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</si>
  <si>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</si>
  <si>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</si>
  <si>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</si>
  <si>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</si>
  <si>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</si>
  <si>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</si>
  <si>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</si>
  <si>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DO ITAENGA</t>
  </si>
  <si>
    <t>LAGOA DO OURO</t>
  </si>
  <si>
    <t>LAGOA DOS GATOS</t>
  </si>
  <si>
    <t>LAGOA GRANDE</t>
  </si>
  <si>
    <t>RIDE PETROLINA/JUAZEIRO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</si>
  <si>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</si>
  <si>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</si>
  <si>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</si>
  <si>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</si>
  <si>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</si>
  <si>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</si>
  <si>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</si>
  <si>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</si>
  <si>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</si>
  <si>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</si>
  <si>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</si>
  <si>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</si>
  <si>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</si>
  <si>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</si>
  <si>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</si>
  <si>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</si>
  <si>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</si>
  <si>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</si>
  <si>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</si>
  <si>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</si>
  <si>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</si>
  <si>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</si>
  <si>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</si>
  <si>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</si>
  <si>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QUIPAPÁ</t>
  </si>
  <si>
    <t>QUIXABA</t>
  </si>
  <si>
    <t>RIACHO DAS ALMAS</t>
  </si>
  <si>
    <t>RIBEIRÃO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</si>
  <si>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</si>
  <si>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</si>
  <si>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</si>
  <si>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</si>
  <si>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</si>
  <si>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</si>
  <si>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</si>
  <si>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</si>
  <si>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</si>
  <si>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</si>
  <si>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</si>
  <si>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</si>
  <si>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</si>
  <si>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</si>
  <si>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</si>
  <si>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</si>
  <si>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</si>
  <si>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</si>
  <si>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</si>
  <si>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</si>
  <si>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</si>
  <si>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</si>
  <si>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</si>
  <si>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</si>
  <si>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</si>
  <si>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</si>
  <si>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</si>
  <si>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</si>
  <si>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</si>
  <si>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</si>
  <si>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</si>
  <si>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</si>
  <si>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</si>
  <si>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</si>
  <si>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</si>
  <si>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</si>
  <si>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</si>
  <si>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</si>
  <si>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</si>
  <si>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</si>
  <si>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</si>
  <si>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</si>
  <si>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</si>
  <si>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</si>
  <si>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</si>
  <si>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SERRANA DO SERTAO ALAGOANO</t>
  </si>
  <si>
    <t>ANADIA</t>
  </si>
  <si>
    <t>SAO MIGUEL DOS CAMPOS</t>
  </si>
  <si>
    <t>ARAPIRACA</t>
  </si>
  <si>
    <t>ATALAIA</t>
  </si>
  <si>
    <t>MATA ALAGOANA</t>
  </si>
  <si>
    <t>BARRA DE SANTO ANTÔNIO</t>
  </si>
  <si>
    <t>MACEIO</t>
  </si>
  <si>
    <t>RM MACEIÓ</t>
  </si>
  <si>
    <t>PALMEIRA DOS INDIOS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</si>
  <si>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</si>
  <si>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</si>
  <si>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</si>
  <si>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</si>
  <si>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</si>
  <si>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</si>
  <si>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</si>
  <si>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</si>
  <si>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</si>
  <si>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</si>
  <si>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</si>
  <si>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SANTANA DO IPANEMA</t>
  </si>
  <si>
    <t>CHÃ PRETA</t>
  </si>
  <si>
    <t>SERRANA DOS QUILOMBOS</t>
  </si>
  <si>
    <t>COITÉ DO NÓIA</t>
  </si>
  <si>
    <t>COLÔNIA LEOPOLDINA</t>
  </si>
  <si>
    <t>COQUEIRO SÊCO</t>
  </si>
  <si>
    <t>CORURIPE</t>
  </si>
  <si>
    <t>CRAÍBAS</t>
  </si>
  <si>
    <t>DELMIRO GOUVEIA</t>
  </si>
  <si>
    <t>ALAGOANA DO SERTAO DO SAO FRANCISCO</t>
  </si>
  <si>
    <t>DOIS RIACHOS</t>
  </si>
  <si>
    <t>ESTRELA DE ALAGOAS</t>
  </si>
  <si>
    <t>FEIRA GRANDE</t>
  </si>
  <si>
    <t>FELIZ DESERTO</t>
  </si>
  <si>
    <t>PENEDO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</si>
  <si>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</si>
  <si>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</si>
  <si>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</si>
  <si>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</si>
  <si>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</si>
  <si>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</si>
  <si>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</si>
  <si>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</si>
  <si>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</si>
  <si>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LITORAL NORTE ALAGOANO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</si>
  <si>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</si>
  <si>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</si>
  <si>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</si>
  <si>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</si>
  <si>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</si>
  <si>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</si>
  <si>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</si>
  <si>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</si>
  <si>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</si>
  <si>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</si>
  <si>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</si>
  <si>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</si>
  <si>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</si>
  <si>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</si>
  <si>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</si>
  <si>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</si>
  <si>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</si>
  <si>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</si>
  <si>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</si>
  <si>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</si>
  <si>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D`ÁGUA DAS FLORES</t>
  </si>
  <si>
    <t>OLHO D`ÁGUA DO CASADO</t>
  </si>
  <si>
    <t>OLHO D`ÁGUA GRANDE</t>
  </si>
  <si>
    <t>TRAIPU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</si>
  <si>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</si>
  <si>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</si>
  <si>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</si>
  <si>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</si>
  <si>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</si>
  <si>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</si>
  <si>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</si>
  <si>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</si>
  <si>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</si>
  <si>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</si>
  <si>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</si>
  <si>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</si>
  <si>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</si>
  <si>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</si>
  <si>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</si>
  <si>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</si>
  <si>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</si>
  <si>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</si>
  <si>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</si>
  <si>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</si>
  <si>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</si>
  <si>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</si>
  <si>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</si>
  <si>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</si>
  <si>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</si>
  <si>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</si>
  <si>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</si>
  <si>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</si>
  <si>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</si>
  <si>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D`ARCA</t>
  </si>
  <si>
    <t>TAQUARANA</t>
  </si>
  <si>
    <t>TEOTÔNIO VILELA</t>
  </si>
  <si>
    <t>UNIÃO DOS PALMARES</t>
  </si>
  <si>
    <t>AMPARO DE SÃO FRANCISCO</t>
  </si>
  <si>
    <t>SE</t>
  </si>
  <si>
    <t>PROPRIA</t>
  </si>
  <si>
    <t>AQUIDABÃ</t>
  </si>
  <si>
    <t>NOSSA SENHORA DAS DORES</t>
  </si>
  <si>
    <t>ARACAJU</t>
  </si>
  <si>
    <t>RM ARACAJU</t>
  </si>
  <si>
    <t>ARAUÁ</t>
  </si>
  <si>
    <t>BOQUIM</t>
  </si>
  <si>
    <t>AGRESTE DE ITABAIANA</t>
  </si>
  <si>
    <t>BARRA DOS COQUEIROS</t>
  </si>
  <si>
    <t>BREJO GRANDE</t>
  </si>
  <si>
    <t>CAMPO DO BRITO</t>
  </si>
  <si>
    <t>CANHOBA</t>
  </si>
  <si>
    <t>CANINDÉ DE SÃO FRANCISCO</t>
  </si>
  <si>
    <t>SERGIPANA DO SERTAO DO SAO FRANCISCO</t>
  </si>
  <si>
    <t>COTINGUIBA</t>
  </si>
  <si>
    <t>CARIRA</t>
  </si>
  <si>
    <t>CARMÓPOLIS</t>
  </si>
  <si>
    <t>BAIXO COTINGUIBA</t>
  </si>
  <si>
    <t>CEDRO DE SÃO JOÃO</t>
  </si>
  <si>
    <t>CRISTINÁPOLIS</t>
  </si>
  <si>
    <t>CUMBE</t>
  </si>
  <si>
    <t>DIVINA PASTORA</t>
  </si>
  <si>
    <t>ESTÂNCIA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</si>
  <si>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</si>
  <si>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</si>
  <si>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</si>
  <si>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</si>
  <si>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</si>
  <si>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</si>
  <si>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</si>
  <si>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</si>
  <si>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</si>
  <si>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D`AJUDA</t>
  </si>
  <si>
    <t>JAPARATUBA</t>
  </si>
  <si>
    <t>JAPOATÃ</t>
  </si>
  <si>
    <t>LAGARTO</t>
  </si>
  <si>
    <t>AGRESTE DE 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</si>
  <si>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</si>
  <si>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</si>
  <si>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</si>
  <si>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</si>
  <si>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</si>
  <si>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</si>
  <si>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</si>
  <si>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</si>
  <si>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</si>
  <si>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</si>
  <si>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</si>
  <si>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</si>
  <si>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</si>
  <si>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</si>
  <si>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</si>
  <si>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</si>
  <si>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</si>
  <si>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</si>
  <si>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</si>
  <si>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TOBIAS BARRETO</t>
  </si>
  <si>
    <t>PORTO DA FOLHA</t>
  </si>
  <si>
    <t>PROPRIÁ</t>
  </si>
  <si>
    <t>RIACHÃO DO DANTAS</t>
  </si>
  <si>
    <t>RIBEIRÓPOLIS</t>
  </si>
  <si>
    <t>ROSÁRIO DO CATETE</t>
  </si>
  <si>
    <t>SANTA LUZIA DO ITANHY</t>
  </si>
  <si>
    <t>SANTANA DO SÃO FRANCISCO</t>
  </si>
  <si>
    <t>SANTA ROSA DE LIMA</t>
  </si>
  <si>
    <t>SANTO AMARO DAS BROTAS</t>
  </si>
  <si>
    <t>SÃO CRISTOVÃO</t>
  </si>
  <si>
    <t>SÃO DOMINGOS</t>
  </si>
  <si>
    <t>SÃO MIGUEL DO ALEIXO</t>
  </si>
  <si>
    <t>SIMÃO DIAS</t>
  </si>
  <si>
    <t>SIRIRI</t>
  </si>
  <si>
    <t>TELHA</t>
  </si>
  <si>
    <t>TOMAR DO GERU</t>
  </si>
  <si>
    <t>UMBAÚBA</t>
  </si>
  <si>
    <t>ABAÍRA</t>
  </si>
  <si>
    <t>BA</t>
  </si>
  <si>
    <t>SEABRA</t>
  </si>
  <si>
    <t>ABARÉ</t>
  </si>
  <si>
    <t>PAULO AFONSO</t>
  </si>
  <si>
    <t>ACAJUTIBA</t>
  </si>
  <si>
    <t>ALAGOINHAS</t>
  </si>
  <si>
    <t>ADUSTINA</t>
  </si>
  <si>
    <t>RIBEIRA DO POMBAL</t>
  </si>
  <si>
    <t>ÁGUA FRIA</t>
  </si>
  <si>
    <t>FEIRA DE SANTANA</t>
  </si>
  <si>
    <t>ÉRICO CARDOSO</t>
  </si>
  <si>
    <t>LIVRAMENTO DO BRUMADO</t>
  </si>
  <si>
    <t>AIQUARA</t>
  </si>
  <si>
    <t>JEQUIE</t>
  </si>
  <si>
    <t>ALCOBAÇA</t>
  </si>
  <si>
    <t>PORTO SEGURO</t>
  </si>
  <si>
    <t>ALMADINA</t>
  </si>
  <si>
    <t>ILHEUS-ITABUNA</t>
  </si>
  <si>
    <t>AMARGOSA</t>
  </si>
  <si>
    <t>AMÉLIA RODRIGUES</t>
  </si>
  <si>
    <t>CATU</t>
  </si>
  <si>
    <t>AMÉRICA DOURADA</t>
  </si>
  <si>
    <t>IRECE</t>
  </si>
  <si>
    <t>ANAGÉ</t>
  </si>
  <si>
    <t>VITORIA DA CONQUISTA</t>
  </si>
  <si>
    <t>ANDARAÍ</t>
  </si>
  <si>
    <t>ANDORINHA</t>
  </si>
  <si>
    <t>SENHOR DO BONFIM</t>
  </si>
  <si>
    <t>ANGICAL</t>
  </si>
  <si>
    <t>COTEGIPE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</si>
  <si>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</si>
  <si>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</si>
  <si>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</si>
  <si>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</si>
  <si>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</si>
  <si>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</si>
  <si>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</si>
  <si>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BRUMADO</t>
  </si>
  <si>
    <t>ARAÇAS</t>
  </si>
  <si>
    <t>ARACI</t>
  </si>
  <si>
    <t>ARAMARI</t>
  </si>
  <si>
    <t>ARATACA</t>
  </si>
  <si>
    <t>ARATUÍPE</t>
  </si>
  <si>
    <t>SANTO ANTONIO DE JESUS</t>
  </si>
  <si>
    <t>AURELINO LEAL</t>
  </si>
  <si>
    <t>BAIANÓPOLIS</t>
  </si>
  <si>
    <t>BARREIRAS</t>
  </si>
  <si>
    <t>BAIXA GRANDE</t>
  </si>
  <si>
    <t>ITABERABA</t>
  </si>
  <si>
    <t>BANZAÊ</t>
  </si>
  <si>
    <t>BARRA</t>
  </si>
  <si>
    <t>BARRA DA ESTIVA</t>
  </si>
  <si>
    <t>BARRA DO CHOÇA</t>
  </si>
  <si>
    <t>BARRA DO MENDES</t>
  </si>
  <si>
    <t>BARRA DO ROCHA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</si>
  <si>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</si>
  <si>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</si>
  <si>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</si>
  <si>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</si>
  <si>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</si>
  <si>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</si>
  <si>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</si>
  <si>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</si>
  <si>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</si>
  <si>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</si>
  <si>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</si>
  <si>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</si>
  <si>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</si>
  <si>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</si>
  <si>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</si>
  <si>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</si>
  <si>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</si>
  <si>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</si>
  <si>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</si>
  <si>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</si>
  <si>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CACHOEIRA</t>
  </si>
  <si>
    <t>CACULÉ</t>
  </si>
  <si>
    <t>GUANAMBI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</si>
  <si>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</si>
  <si>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</si>
  <si>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</si>
  <si>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</si>
  <si>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</si>
  <si>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</si>
  <si>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</si>
  <si>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</si>
  <si>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CAMACAN</t>
  </si>
  <si>
    <t>CAMAÇARI</t>
  </si>
  <si>
    <t>SALVADOR</t>
  </si>
  <si>
    <t>RM SALVADOR</t>
  </si>
  <si>
    <t>CAMAMU</t>
  </si>
  <si>
    <t>CAMPO ALEGRE DE LOURDES</t>
  </si>
  <si>
    <t>JUAZEIRO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</si>
  <si>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</si>
  <si>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</si>
  <si>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</si>
  <si>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</si>
  <si>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</si>
  <si>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</si>
  <si>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</si>
  <si>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</si>
  <si>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</si>
  <si>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</si>
  <si>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</si>
  <si>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</si>
  <si>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</si>
  <si>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</si>
  <si>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</si>
  <si>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</si>
  <si>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</si>
  <si>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ENTRE RIOS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</si>
  <si>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</si>
  <si>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</si>
  <si>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</si>
  <si>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</si>
  <si>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</si>
  <si>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</si>
  <si>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</si>
  <si>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</si>
  <si>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</si>
  <si>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</si>
  <si>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</si>
  <si>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</si>
  <si>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</si>
  <si>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</si>
  <si>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</si>
  <si>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</si>
  <si>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</si>
  <si>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</si>
  <si>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</si>
  <si>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</si>
  <si>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</si>
  <si>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</si>
  <si>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</si>
  <si>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CRAVOLÂNDIA</t>
  </si>
  <si>
    <t>CRISÓPOLIS</t>
  </si>
  <si>
    <t>CRISTÓPOLIS</t>
  </si>
  <si>
    <t>CRUZ DAS ALMAS</t>
  </si>
  <si>
    <t>CURAÇÁ</t>
  </si>
  <si>
    <t>DÁRIO MEIRA</t>
  </si>
  <si>
    <t>DIAS D`ÁVILA</t>
  </si>
  <si>
    <t>DOM BASÍLIO</t>
  </si>
  <si>
    <t>DOM MACEDO COSTA</t>
  </si>
  <si>
    <t>ELÍSIO MEDRADO</t>
  </si>
  <si>
    <t>ENCRUZILHADA</t>
  </si>
  <si>
    <t>ITAPETINGA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</si>
  <si>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</si>
  <si>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</si>
  <si>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</si>
  <si>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</si>
  <si>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</si>
  <si>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</si>
  <si>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</si>
  <si>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</si>
  <si>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</si>
  <si>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</si>
  <si>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</si>
  <si>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</si>
  <si>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</si>
  <si>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</si>
  <si>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</si>
  <si>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</si>
  <si>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</si>
  <si>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</si>
  <si>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</si>
  <si>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</si>
  <si>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</si>
  <si>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</si>
  <si>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</si>
  <si>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</si>
  <si>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</si>
  <si>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</si>
  <si>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</si>
  <si>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</si>
  <si>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</si>
  <si>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</si>
  <si>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</si>
  <si>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</si>
  <si>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</si>
  <si>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</si>
  <si>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</si>
  <si>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</si>
  <si>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</si>
  <si>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</si>
  <si>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</si>
  <si>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</si>
  <si>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</si>
  <si>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</si>
  <si>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</si>
  <si>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</si>
  <si>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</si>
  <si>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</si>
  <si>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</si>
  <si>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</si>
  <si>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</si>
  <si>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</si>
  <si>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</si>
  <si>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</si>
  <si>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</si>
  <si>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</si>
  <si>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</si>
  <si>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</si>
  <si>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</si>
  <si>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</si>
  <si>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ITAPÉ</t>
  </si>
  <si>
    <t>ITAPEBI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</si>
  <si>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</si>
  <si>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</si>
  <si>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</si>
  <si>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</si>
  <si>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</si>
  <si>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</si>
  <si>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</si>
  <si>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</si>
  <si>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</si>
  <si>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</si>
  <si>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</si>
  <si>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</si>
  <si>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</si>
  <si>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JAGUAQUARA</t>
  </si>
  <si>
    <t>JAGUARARI</t>
  </si>
  <si>
    <t>JAGUARIPE</t>
  </si>
  <si>
    <t>JEQUIÉ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</si>
  <si>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</si>
  <si>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</si>
  <si>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</si>
  <si>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</si>
  <si>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</si>
  <si>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</si>
  <si>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</si>
  <si>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</si>
  <si>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</si>
  <si>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</si>
  <si>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</si>
  <si>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</si>
  <si>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</si>
  <si>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</si>
  <si>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</si>
  <si>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</si>
  <si>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</si>
  <si>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</si>
  <si>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</si>
  <si>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</si>
  <si>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</si>
  <si>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</si>
  <si>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</si>
  <si>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</si>
  <si>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</si>
  <si>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</si>
  <si>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</si>
  <si>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</si>
  <si>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</si>
  <si>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</si>
  <si>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</si>
  <si>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</si>
  <si>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</si>
  <si>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</si>
  <si>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</si>
  <si>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</si>
  <si>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</si>
  <si>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</si>
  <si>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</si>
  <si>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</si>
  <si>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</si>
  <si>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</si>
  <si>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</si>
  <si>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</si>
  <si>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</si>
  <si>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</si>
  <si>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</si>
  <si>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</si>
  <si>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</si>
  <si>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</si>
  <si>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</si>
  <si>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</si>
  <si>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</si>
  <si>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</si>
  <si>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</si>
  <si>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</si>
  <si>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</si>
  <si>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</si>
  <si>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</si>
  <si>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</si>
  <si>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</si>
  <si>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</si>
  <si>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</si>
  <si>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</si>
  <si>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</si>
  <si>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</si>
  <si>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</si>
  <si>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</si>
  <si>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</si>
  <si>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</si>
  <si>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</si>
  <si>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</si>
  <si>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</si>
  <si>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</si>
  <si>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</si>
  <si>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</si>
  <si>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</si>
  <si>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</si>
  <si>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</si>
  <si>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</si>
  <si>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</si>
  <si>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</si>
  <si>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</si>
  <si>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</si>
  <si>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</si>
  <si>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</si>
  <si>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</si>
  <si>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</si>
  <si>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</si>
  <si>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</si>
  <si>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</si>
  <si>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</si>
  <si>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</si>
  <si>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</si>
  <si>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</si>
  <si>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</si>
  <si>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</si>
  <si>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</si>
  <si>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</si>
  <si>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</si>
  <si>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</si>
  <si>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</si>
  <si>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</si>
  <si>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</si>
  <si>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</si>
  <si>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</si>
  <si>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</si>
  <si>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</si>
  <si>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</si>
  <si>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</si>
  <si>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</si>
  <si>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</si>
  <si>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</si>
  <si>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</si>
  <si>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</si>
  <si>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</si>
  <si>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</si>
  <si>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</si>
  <si>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</si>
  <si>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</si>
  <si>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</si>
  <si>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</si>
  <si>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</si>
  <si>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</si>
  <si>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</si>
  <si>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</si>
  <si>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</si>
  <si>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</si>
  <si>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</si>
  <si>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</si>
  <si>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</si>
  <si>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</si>
  <si>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</si>
  <si>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</si>
  <si>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</si>
  <si>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</si>
  <si>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</si>
  <si>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</si>
  <si>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</si>
  <si>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</si>
  <si>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</si>
  <si>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</si>
  <si>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</si>
  <si>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</si>
  <si>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</si>
  <si>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</si>
  <si>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</si>
  <si>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</si>
  <si>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</si>
  <si>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</si>
  <si>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</si>
  <si>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</si>
  <si>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</si>
  <si>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</si>
  <si>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</si>
  <si>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</si>
  <si>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</si>
  <si>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</si>
  <si>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</si>
  <si>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</si>
  <si>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</si>
  <si>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</si>
  <si>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</si>
  <si>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</si>
  <si>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</si>
  <si>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</si>
  <si>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</si>
  <si>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</si>
  <si>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</si>
  <si>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</si>
  <si>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</si>
  <si>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</si>
  <si>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</si>
  <si>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</si>
  <si>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</si>
  <si>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</si>
  <si>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</si>
  <si>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</si>
  <si>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</si>
  <si>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</si>
  <si>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</si>
  <si>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MG</t>
  </si>
  <si>
    <t>PATROCINIO</t>
  </si>
  <si>
    <t>ABAETÉ</t>
  </si>
  <si>
    <t>TRES MARIAS</t>
  </si>
  <si>
    <t>ABRE CAMPO</t>
  </si>
  <si>
    <t>MANHUAÇU</t>
  </si>
  <si>
    <t>ACAIACA</t>
  </si>
  <si>
    <t>PONTE NOVA</t>
  </si>
  <si>
    <t>AÇUCENA</t>
  </si>
  <si>
    <t>IPATINGA</t>
  </si>
  <si>
    <t>RM VALE DO AÇO</t>
  </si>
  <si>
    <t>ÁGUA BOA</t>
  </si>
  <si>
    <t>PEÇANHA</t>
  </si>
  <si>
    <t>ÁGUA COMPRIDA</t>
  </si>
  <si>
    <t>UBERABA</t>
  </si>
  <si>
    <t>AGUANIL</t>
  </si>
  <si>
    <t>CAMPO BELO</t>
  </si>
  <si>
    <t>ÁGUAS FORMOSAS</t>
  </si>
  <si>
    <t>NANUQUE</t>
  </si>
  <si>
    <t>ÁGUAS VERMELHAS</t>
  </si>
  <si>
    <t>SALINAS</t>
  </si>
  <si>
    <t>AIMORÉS</t>
  </si>
  <si>
    <t>AIMORES</t>
  </si>
  <si>
    <t>AIURUOCA</t>
  </si>
  <si>
    <t>ANDRELANDIA</t>
  </si>
  <si>
    <t>ALAGOA</t>
  </si>
  <si>
    <t>SAO LOURENÇO</t>
  </si>
  <si>
    <t>ALBERTINA</t>
  </si>
  <si>
    <t>POÇOS DE CALDAS</t>
  </si>
  <si>
    <t>ALÉM PARAÍBA</t>
  </si>
  <si>
    <t>CATAGUASES</t>
  </si>
  <si>
    <t>ALFENAS</t>
  </si>
  <si>
    <t>ALFREDO VASCONCELOS</t>
  </si>
  <si>
    <t>BARBACENA</t>
  </si>
  <si>
    <t>ALMENARA</t>
  </si>
  <si>
    <t>ALPERCATA</t>
  </si>
  <si>
    <t>GOVERNADOR VALADARES</t>
  </si>
  <si>
    <t>ALPINÓPOLIS</t>
  </si>
  <si>
    <t>PASSOS</t>
  </si>
  <si>
    <t>ALTEROSA</t>
  </si>
  <si>
    <t>ALTO CAPARAÓ</t>
  </si>
  <si>
    <t>ALTO RIO DOCE</t>
  </si>
  <si>
    <t>ALVARENGA</t>
  </si>
  <si>
    <t>ALVINÓPOLIS</t>
  </si>
  <si>
    <t>ITABIRA</t>
  </si>
  <si>
    <t>ALVORADA DE MINAS</t>
  </si>
  <si>
    <t>CONCEIÇAO DO MATO DENTRO</t>
  </si>
  <si>
    <t>AMPARO DO SERRA</t>
  </si>
  <si>
    <t>ANDRADAS</t>
  </si>
  <si>
    <t>CACHOEIRA DE PAJEÚ</t>
  </si>
  <si>
    <t>PEDRA AZUL</t>
  </si>
  <si>
    <t>ANDRELÂNDIA</t>
  </si>
  <si>
    <t>ANGELÂNDIA</t>
  </si>
  <si>
    <t>CAPELINHA</t>
  </si>
  <si>
    <t>ANTÔNIO CARLOS</t>
  </si>
  <si>
    <t>ANTÔNIO DIAS</t>
  </si>
  <si>
    <t>ANTÔNIO PRADO DE MINAS</t>
  </si>
  <si>
    <t>MURIAE</t>
  </si>
  <si>
    <t>ARAÇAÍ</t>
  </si>
  <si>
    <t>SETE LAGOAS</t>
  </si>
  <si>
    <t>ARACITABA</t>
  </si>
  <si>
    <t>JUIZ DE FORA</t>
  </si>
  <si>
    <t>ARAÇUAÍ</t>
  </si>
  <si>
    <t>ARAÇUAI</t>
  </si>
  <si>
    <t>ARAGUARI</t>
  </si>
  <si>
    <t>UBERLANDIA</t>
  </si>
  <si>
    <t>ARANTINA</t>
  </si>
  <si>
    <t>ARAPONGA</t>
  </si>
  <si>
    <t>ARAPORÃ</t>
  </si>
  <si>
    <t>ARAPUÁ</t>
  </si>
  <si>
    <t>PATOS DE MINAS</t>
  </si>
  <si>
    <t>ARAÚJOS</t>
  </si>
  <si>
    <t>BOM DESPACHO</t>
  </si>
  <si>
    <t>ARAXÁ</t>
  </si>
  <si>
    <t>ARAXA</t>
  </si>
  <si>
    <t>ARCEBURGO</t>
  </si>
  <si>
    <t>SAO SEBASTIAO DO PARAISO</t>
  </si>
  <si>
    <t>ARCOS</t>
  </si>
  <si>
    <t>FORMIGA</t>
  </si>
  <si>
    <t>AREADO</t>
  </si>
  <si>
    <t>ARGIRITA</t>
  </si>
  <si>
    <t>ARICANDUVA</t>
  </si>
  <si>
    <t>ARINOS</t>
  </si>
  <si>
    <t>UNAI</t>
  </si>
  <si>
    <t>ASTOLFO DUTRA</t>
  </si>
  <si>
    <t>UBA</t>
  </si>
  <si>
    <t>ATALÉIA</t>
  </si>
  <si>
    <t>TEOFILO OTONI</t>
  </si>
  <si>
    <t>AUGUSTO DE LIMA</t>
  </si>
  <si>
    <t>CURVELO</t>
  </si>
  <si>
    <t>BAEPENDI</t>
  </si>
  <si>
    <t>BALDIM</t>
  </si>
  <si>
    <t xml:space="preserve">RM BELO HORIZONTE </t>
  </si>
  <si>
    <t>BAMBUÍ</t>
  </si>
  <si>
    <t>PIUMHI</t>
  </si>
  <si>
    <t>BANDEIRA</t>
  </si>
  <si>
    <t>BANDEIRA DO SUL</t>
  </si>
  <si>
    <t>BARÃO DE COCAIS</t>
  </si>
  <si>
    <t>BARÃO DE MONTE ALTO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</si>
  <si>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</si>
  <si>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</si>
  <si>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</si>
  <si>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</si>
  <si>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</si>
  <si>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</si>
  <si>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</si>
  <si>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ITAGUARA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</si>
  <si>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</si>
  <si>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</si>
  <si>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</si>
  <si>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</si>
  <si>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</si>
  <si>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</si>
  <si>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</si>
  <si>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</si>
  <si>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VARGINHA</t>
  </si>
  <si>
    <t>BOCAINA DE MINAS</t>
  </si>
  <si>
    <t>BOCAIÚVA</t>
  </si>
  <si>
    <t>BOCAIUVA</t>
  </si>
  <si>
    <t>BOM JARDIM DE MINAS</t>
  </si>
  <si>
    <t>BOM JESUS DA PENHA</t>
  </si>
  <si>
    <t>BOM JESUS DO AMPARO</t>
  </si>
  <si>
    <t>BOM JESUS DO GALHO</t>
  </si>
  <si>
    <t>CARATINGA</t>
  </si>
  <si>
    <t>BOM REPOUSO</t>
  </si>
  <si>
    <t>POUSO ALEGRE</t>
  </si>
  <si>
    <t>OLIVEIRA</t>
  </si>
  <si>
    <t>BONFINÓPOLIS DE MINAS</t>
  </si>
  <si>
    <t>BONITO DE MINAS</t>
  </si>
  <si>
    <t>JANUARIA</t>
  </si>
  <si>
    <t>BORDA DA MATA</t>
  </si>
  <si>
    <t>BOTELHOS</t>
  </si>
  <si>
    <t>BOTUMIRIM</t>
  </si>
  <si>
    <t>GRAO MOGOL</t>
  </si>
  <si>
    <t>BRASILÂNDIA DE MINAS</t>
  </si>
  <si>
    <t>PARACATU</t>
  </si>
  <si>
    <t>BRASÍLIA DE MINAS</t>
  </si>
  <si>
    <t>MONTES CLAROS</t>
  </si>
  <si>
    <t>BRÁS PIRES</t>
  </si>
  <si>
    <t>BRAÚNAS</t>
  </si>
  <si>
    <t>GUANHAES</t>
  </si>
  <si>
    <t>BRASÓPOLIS</t>
  </si>
  <si>
    <t>ITAJUBA</t>
  </si>
  <si>
    <t>BRUMADINHO</t>
  </si>
  <si>
    <t>BUENO BRANDÃO</t>
  </si>
  <si>
    <t>BUENÓPOLIS</t>
  </si>
  <si>
    <t>BUGRE</t>
  </si>
  <si>
    <t>RIDE - DF</t>
  </si>
  <si>
    <t>BURITIZEIRO</t>
  </si>
  <si>
    <t>PIRAPORA</t>
  </si>
  <si>
    <t>CABECEIRA GRANDE</t>
  </si>
  <si>
    <t>CABO VERDE</t>
  </si>
  <si>
    <t>CACHOEIRA DA PRATA</t>
  </si>
  <si>
    <t>CACHOEIRA DE MINAS</t>
  </si>
  <si>
    <t>SANTA RITA DO SAPUCAI</t>
  </si>
  <si>
    <t>CACHOEIRA DOURADA</t>
  </si>
  <si>
    <t>ITUIUTABA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</si>
  <si>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</si>
  <si>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</si>
  <si>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</si>
  <si>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</si>
  <si>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</si>
  <si>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</si>
  <si>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</si>
  <si>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</si>
  <si>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</si>
  <si>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</si>
  <si>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</si>
  <si>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</si>
  <si>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FRUTAL</t>
  </si>
  <si>
    <t>CAMPO AZUL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</si>
  <si>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</si>
  <si>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</si>
  <si>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</si>
  <si>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</si>
  <si>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</si>
  <si>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</si>
  <si>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</si>
  <si>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</si>
  <si>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</si>
  <si>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</si>
  <si>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</si>
  <si>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</si>
  <si>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</si>
  <si>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</si>
  <si>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</si>
  <si>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</si>
  <si>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</si>
  <si>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</si>
  <si>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</si>
  <si>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</si>
  <si>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</si>
  <si>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</si>
  <si>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</si>
  <si>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</si>
  <si>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</si>
  <si>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</si>
  <si>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</si>
  <si>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</si>
  <si>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DIVINOPOLIS</t>
  </si>
  <si>
    <t>CARMO DO PARANAÍBA</t>
  </si>
  <si>
    <t>CARMO DO RIO CLARO</t>
  </si>
  <si>
    <t>CARMÓPOLIS DE MINAS</t>
  </si>
  <si>
    <t>CARNEIRINHO</t>
  </si>
  <si>
    <t>CARRANCAS</t>
  </si>
  <si>
    <t>LAVRAS</t>
  </si>
  <si>
    <t>CARVALHÓPOLIS</t>
  </si>
  <si>
    <t>CARVALHOS</t>
  </si>
  <si>
    <t>CASA GRANDE</t>
  </si>
  <si>
    <t>CONSELHEIRO LAFAIETE</t>
  </si>
  <si>
    <t>CASCALHO RICO</t>
  </si>
  <si>
    <t>CÁSSIA</t>
  </si>
  <si>
    <t>CONCEIÇÃO DA BARRA DE MINAS</t>
  </si>
  <si>
    <t>SAO JOAO DEL REI</t>
  </si>
  <si>
    <t>CATAS ALTAS</t>
  </si>
  <si>
    <t>CATAS ALTAS DA NORUEGA</t>
  </si>
  <si>
    <t>CATUJI</t>
  </si>
  <si>
    <t>CATUTI</t>
  </si>
  <si>
    <t>JANAUBA</t>
  </si>
  <si>
    <t>CAXAMBU</t>
  </si>
  <si>
    <t>CEDRO DO ABAETÉ</t>
  </si>
  <si>
    <t>CENTRAL DE MINAS</t>
  </si>
  <si>
    <t>MANTENA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</si>
  <si>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</si>
  <si>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</si>
  <si>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</si>
  <si>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</si>
  <si>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</si>
  <si>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</si>
  <si>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</si>
  <si>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</si>
  <si>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</si>
  <si>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</si>
  <si>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</si>
  <si>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</si>
  <si>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</si>
  <si>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</si>
  <si>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</si>
  <si>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</si>
  <si>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</si>
  <si>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</si>
  <si>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</si>
  <si>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</si>
  <si>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</si>
  <si>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</si>
  <si>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</si>
  <si>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</si>
  <si>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</si>
  <si>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</si>
  <si>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</si>
  <si>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</si>
  <si>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</si>
  <si>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</si>
  <si>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</si>
  <si>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</si>
  <si>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</si>
  <si>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</si>
  <si>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</si>
  <si>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</si>
  <si>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</si>
  <si>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</si>
  <si>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</si>
  <si>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</si>
  <si>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</si>
  <si>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</si>
  <si>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</si>
  <si>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</si>
  <si>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</si>
  <si>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</si>
  <si>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</si>
  <si>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DIAMANTINA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</si>
  <si>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</si>
  <si>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</si>
  <si>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</si>
  <si>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</si>
  <si>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</si>
  <si>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</si>
  <si>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</si>
  <si>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</si>
  <si>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</si>
  <si>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</si>
  <si>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</si>
  <si>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</si>
  <si>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</si>
  <si>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</si>
  <si>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</si>
  <si>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</si>
  <si>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</si>
  <si>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</si>
  <si>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OURO PRETO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</si>
  <si>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</si>
  <si>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</si>
  <si>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</si>
  <si>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</si>
  <si>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</si>
  <si>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</si>
  <si>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</si>
  <si>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</si>
  <si>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</si>
  <si>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</si>
  <si>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</si>
  <si>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</si>
  <si>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</si>
  <si>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</si>
  <si>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</si>
  <si>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</si>
  <si>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</si>
  <si>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</si>
  <si>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</si>
  <si>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</si>
  <si>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</si>
  <si>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</si>
  <si>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</si>
  <si>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</si>
  <si>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</si>
  <si>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</si>
  <si>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</si>
  <si>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</si>
  <si>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</si>
  <si>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</si>
  <si>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</si>
  <si>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</si>
  <si>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</si>
  <si>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</si>
  <si>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</si>
  <si>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</si>
  <si>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</si>
  <si>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</si>
  <si>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</si>
  <si>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</si>
  <si>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</si>
  <si>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</si>
  <si>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</si>
  <si>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</si>
  <si>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</si>
  <si>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</si>
  <si>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</si>
  <si>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</si>
  <si>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</si>
  <si>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PARA DE MINAS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</si>
  <si>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</si>
  <si>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</si>
  <si>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</si>
  <si>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</si>
  <si>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</si>
  <si>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</si>
  <si>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</si>
  <si>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</si>
  <si>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</si>
  <si>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</si>
  <si>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</si>
  <si>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</si>
  <si>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</si>
  <si>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</si>
  <si>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</si>
  <si>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</si>
  <si>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</si>
  <si>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</si>
  <si>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</si>
  <si>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</si>
  <si>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</si>
  <si>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</si>
  <si>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</si>
  <si>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</si>
  <si>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</si>
  <si>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</si>
  <si>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</si>
  <si>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</si>
  <si>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</si>
  <si>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</si>
  <si>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</si>
  <si>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</si>
  <si>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</si>
  <si>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</si>
  <si>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</si>
  <si>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</si>
  <si>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</si>
  <si>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</si>
  <si>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</si>
  <si>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</si>
  <si>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</si>
  <si>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</si>
  <si>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</si>
  <si>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</si>
  <si>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</si>
  <si>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</si>
  <si>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</si>
  <si>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</si>
  <si>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</si>
  <si>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</si>
  <si>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</si>
  <si>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</si>
  <si>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</si>
  <si>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</si>
  <si>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</si>
  <si>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</si>
  <si>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</si>
  <si>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</si>
  <si>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</si>
  <si>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</si>
  <si>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</si>
  <si>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</si>
  <si>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</si>
  <si>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</si>
  <si>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</si>
  <si>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</si>
  <si>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</si>
  <si>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</si>
  <si>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</si>
  <si>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</si>
  <si>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</si>
  <si>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</si>
  <si>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</si>
  <si>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</si>
  <si>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</si>
  <si>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</si>
  <si>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</si>
  <si>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</si>
  <si>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</si>
  <si>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</si>
  <si>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</si>
  <si>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</si>
  <si>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</si>
  <si>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</si>
  <si>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</si>
  <si>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</si>
  <si>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</si>
  <si>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</si>
  <si>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</si>
  <si>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</si>
  <si>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</si>
  <si>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</si>
  <si>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</si>
  <si>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</si>
  <si>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</si>
  <si>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</si>
  <si>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</si>
  <si>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</si>
  <si>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</si>
  <si>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</si>
  <si>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</si>
  <si>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</si>
  <si>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</si>
  <si>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</si>
  <si>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</si>
  <si>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</si>
  <si>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</si>
  <si>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</si>
  <si>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</si>
  <si>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</si>
  <si>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</si>
  <si>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</si>
  <si>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</si>
  <si>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</si>
  <si>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</si>
  <si>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</si>
  <si>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</si>
  <si>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</si>
  <si>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</si>
  <si>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</si>
  <si>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</si>
  <si>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</si>
  <si>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</si>
  <si>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</si>
  <si>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</si>
  <si>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</si>
  <si>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</si>
  <si>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</si>
  <si>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</si>
  <si>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</si>
  <si>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</si>
  <si>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</si>
  <si>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</si>
  <si>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</si>
  <si>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</si>
  <si>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</si>
  <si>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</si>
  <si>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</si>
  <si>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</si>
  <si>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</si>
  <si>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</si>
  <si>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</si>
  <si>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</si>
  <si>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</si>
  <si>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</si>
  <si>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</si>
  <si>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</si>
  <si>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</si>
  <si>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</si>
  <si>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</si>
  <si>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</si>
  <si>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</si>
  <si>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</si>
  <si>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</si>
  <si>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</si>
  <si>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</si>
  <si>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</si>
  <si>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</si>
  <si>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</si>
  <si>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</si>
  <si>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</si>
  <si>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</si>
  <si>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</si>
  <si>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</si>
  <si>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</si>
  <si>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</si>
  <si>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</si>
  <si>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</si>
  <si>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</si>
  <si>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</si>
  <si>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</si>
  <si>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</si>
  <si>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</si>
  <si>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</si>
  <si>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</si>
  <si>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</si>
  <si>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</si>
  <si>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</si>
  <si>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</si>
  <si>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</si>
  <si>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</si>
  <si>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</si>
  <si>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</si>
  <si>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</si>
  <si>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</si>
  <si>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</si>
  <si>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</si>
  <si>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</si>
  <si>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</si>
  <si>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</si>
  <si>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</si>
  <si>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</si>
  <si>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</si>
  <si>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</si>
  <si>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</si>
  <si>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</si>
  <si>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</si>
  <si>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</si>
  <si>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</si>
  <si>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</si>
  <si>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</si>
  <si>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</si>
  <si>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</si>
  <si>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</si>
  <si>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</si>
  <si>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</si>
  <si>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</si>
  <si>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</si>
  <si>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</si>
  <si>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</si>
  <si>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</si>
  <si>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</si>
  <si>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</si>
  <si>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</si>
  <si>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</si>
  <si>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</si>
  <si>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</si>
  <si>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</si>
  <si>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</si>
  <si>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</si>
  <si>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</si>
  <si>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</si>
  <si>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</si>
  <si>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</si>
  <si>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OLHOS-D`ÁGUA</t>
  </si>
  <si>
    <t>OLÍMPIO NORONHA</t>
  </si>
  <si>
    <t>OLIVEIRA FORTES</t>
  </si>
  <si>
    <t>ONÇA DE PITANGUI</t>
  </si>
  <si>
    <t>ORATÓRIOS</t>
  </si>
  <si>
    <t>ORIZÂNIA</t>
  </si>
  <si>
    <t>OURO FINO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</si>
  <si>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</si>
  <si>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</si>
  <si>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</si>
  <si>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</si>
  <si>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</si>
  <si>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</si>
  <si>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</si>
  <si>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</si>
  <si>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</si>
  <si>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</si>
  <si>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</si>
  <si>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</si>
  <si>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</si>
  <si>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</si>
  <si>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</si>
  <si>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</si>
  <si>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</si>
  <si>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</si>
  <si>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PATIS</t>
  </si>
  <si>
    <t>PATROCÍNIO</t>
  </si>
  <si>
    <t>PATROCÍNIO DO MURIAÉ</t>
  </si>
  <si>
    <t>PAULA CÂNDIDO</t>
  </si>
  <si>
    <t>PAULISTAS</t>
  </si>
  <si>
    <t>PAVÃO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</si>
  <si>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</si>
  <si>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</si>
  <si>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</si>
  <si>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</si>
  <si>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</si>
  <si>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</si>
  <si>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</si>
  <si>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</si>
  <si>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</si>
  <si>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</si>
  <si>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</si>
  <si>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</si>
  <si>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</si>
  <si>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</si>
  <si>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</si>
  <si>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</si>
  <si>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</si>
  <si>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</si>
  <si>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</si>
  <si>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</si>
  <si>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</si>
  <si>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</si>
  <si>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D`ÁGUA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</si>
  <si>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</si>
  <si>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</si>
  <si>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</si>
  <si>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</si>
  <si>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</si>
  <si>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</si>
  <si>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</si>
  <si>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</si>
  <si>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</si>
  <si>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</si>
  <si>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</si>
  <si>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</si>
  <si>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</si>
  <si>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</si>
  <si>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</si>
  <si>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</si>
  <si>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</si>
  <si>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</si>
  <si>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</si>
  <si>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</si>
  <si>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</si>
  <si>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</si>
  <si>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</si>
  <si>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</si>
  <si>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</si>
  <si>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</si>
  <si>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</si>
  <si>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</si>
  <si>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</si>
  <si>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</si>
  <si>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</si>
  <si>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</si>
  <si>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</si>
  <si>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</si>
  <si>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</si>
  <si>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</si>
  <si>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</si>
  <si>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</si>
  <si>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</si>
  <si>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</si>
  <si>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</si>
  <si>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</si>
  <si>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</si>
  <si>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</si>
  <si>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</si>
  <si>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</si>
  <si>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</si>
  <si>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</si>
  <si>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</si>
  <si>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</si>
  <si>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</si>
  <si>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</si>
  <si>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</si>
  <si>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</si>
  <si>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</si>
  <si>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</si>
  <si>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</si>
  <si>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</si>
  <si>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</si>
  <si>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</si>
  <si>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</si>
  <si>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</si>
  <si>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</si>
  <si>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</si>
  <si>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</si>
  <si>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</si>
  <si>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</si>
  <si>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</si>
  <si>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</si>
  <si>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</si>
  <si>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</si>
  <si>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</si>
  <si>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</si>
  <si>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</si>
  <si>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</si>
  <si>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</si>
  <si>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</si>
  <si>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</si>
  <si>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</si>
  <si>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</si>
  <si>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</si>
  <si>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</si>
  <si>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</si>
  <si>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</si>
  <si>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</si>
  <si>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</si>
  <si>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</si>
  <si>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</si>
  <si>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</si>
  <si>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</si>
  <si>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</si>
  <si>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</si>
  <si>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</si>
  <si>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</si>
  <si>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</si>
  <si>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</si>
  <si>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</si>
  <si>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</si>
  <si>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</si>
  <si>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</si>
  <si>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</si>
  <si>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</si>
  <si>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</si>
  <si>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</si>
  <si>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</si>
  <si>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</si>
  <si>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</si>
  <si>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</si>
  <si>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</si>
  <si>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</si>
  <si>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</si>
  <si>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</si>
  <si>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</si>
  <si>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</si>
  <si>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</si>
  <si>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</si>
  <si>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</si>
  <si>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</si>
  <si>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</si>
  <si>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</si>
  <si>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</si>
  <si>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</si>
  <si>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</si>
  <si>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</si>
  <si>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</si>
  <si>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</si>
  <si>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</si>
  <si>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</si>
  <si>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</si>
  <si>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</si>
  <si>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</si>
  <si>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</si>
  <si>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</si>
  <si>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</si>
  <si>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</si>
  <si>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</si>
  <si>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</si>
  <si>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</si>
  <si>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</si>
  <si>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</si>
  <si>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</si>
  <si>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</si>
  <si>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</si>
  <si>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</si>
  <si>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</si>
  <si>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</si>
  <si>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</si>
  <si>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</si>
  <si>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</si>
  <si>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</si>
  <si>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</si>
  <si>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</si>
  <si>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</si>
  <si>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</si>
  <si>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</si>
  <si>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</si>
  <si>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</si>
  <si>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</si>
  <si>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</si>
  <si>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</si>
  <si>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</si>
  <si>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</si>
  <si>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</si>
  <si>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</si>
  <si>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</si>
  <si>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</si>
  <si>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</si>
  <si>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</si>
  <si>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</si>
  <si>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</si>
  <si>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</si>
  <si>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</si>
  <si>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</si>
  <si>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</si>
  <si>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</si>
  <si>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</si>
  <si>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</si>
  <si>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</si>
  <si>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</si>
  <si>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</si>
  <si>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</si>
  <si>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</si>
  <si>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</si>
  <si>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</si>
  <si>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</si>
  <si>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</si>
  <si>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</si>
  <si>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</si>
  <si>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</si>
  <si>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</si>
  <si>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</si>
  <si>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</si>
  <si>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</si>
  <si>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</si>
  <si>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</si>
  <si>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</si>
  <si>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</si>
  <si>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</si>
  <si>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</si>
  <si>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</si>
  <si>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</si>
  <si>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</si>
  <si>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</si>
  <si>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</si>
  <si>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</si>
  <si>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</si>
  <si>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</si>
  <si>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</si>
  <si>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</si>
  <si>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</si>
  <si>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</si>
  <si>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</si>
  <si>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</si>
  <si>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</si>
  <si>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</si>
  <si>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</si>
  <si>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</si>
  <si>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</si>
  <si>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</si>
  <si>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</si>
  <si>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</si>
  <si>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</si>
  <si>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</si>
  <si>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</si>
  <si>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</si>
  <si>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</si>
  <si>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</si>
  <si>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</si>
  <si>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</si>
  <si>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</si>
  <si>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</si>
  <si>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</si>
  <si>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</si>
  <si>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</si>
  <si>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</si>
  <si>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</si>
  <si>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</si>
  <si>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</si>
  <si>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</si>
  <si>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</si>
  <si>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</si>
  <si>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</si>
  <si>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</si>
  <si>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</si>
  <si>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</si>
  <si>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</si>
  <si>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AFONSO CLAUDIO</t>
  </si>
  <si>
    <t>ÁGUIA BRANCA</t>
  </si>
  <si>
    <t>NOVA VENECIA</t>
  </si>
  <si>
    <t>ÁGUA DOCE DO NORTE</t>
  </si>
  <si>
    <t>BARRA DE SAO FRANCISCO</t>
  </si>
  <si>
    <t>ALEGRE</t>
  </si>
  <si>
    <t>ALFREDO CHAVES</t>
  </si>
  <si>
    <t>GUARAPARI</t>
  </si>
  <si>
    <t>ALTO RIO NOVO</t>
  </si>
  <si>
    <t>COLATINA</t>
  </si>
  <si>
    <t>ANCHIETA</t>
  </si>
  <si>
    <t>APIACÁ</t>
  </si>
  <si>
    <t>CACHOEIRO DE ITAPEMIRIM</t>
  </si>
  <si>
    <t>ARACRUZ</t>
  </si>
  <si>
    <t>LINHARES</t>
  </si>
  <si>
    <t>ATILIO VIVACQUA</t>
  </si>
  <si>
    <t>BAIXO GUANDU</t>
  </si>
  <si>
    <t>BARRA DE SÃO FRANCISCO</t>
  </si>
  <si>
    <t>BOM JESUS DO NORTE</t>
  </si>
  <si>
    <t>BREJETUBA</t>
  </si>
  <si>
    <t>CARIACICA</t>
  </si>
  <si>
    <t>VITORIA</t>
  </si>
  <si>
    <t>RM GRANDE VITÓRIA</t>
  </si>
  <si>
    <t>CASTELO</t>
  </si>
  <si>
    <t>CONCEIÇÃO DA BARRA</t>
  </si>
  <si>
    <t>SAO MATEUS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</si>
  <si>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</si>
  <si>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</si>
  <si>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</si>
  <si>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</si>
  <si>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</si>
  <si>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</si>
  <si>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</si>
  <si>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</si>
  <si>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IBATIBA</t>
  </si>
  <si>
    <t>IBIRAÇU</t>
  </si>
  <si>
    <t>IBITIRAMA</t>
  </si>
  <si>
    <t>ICONHA</t>
  </si>
  <si>
    <t>IRUPI</t>
  </si>
  <si>
    <t>ITAGUAÇU</t>
  </si>
  <si>
    <t>SANTA TERESA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</si>
  <si>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</si>
  <si>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</si>
  <si>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</si>
  <si>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</si>
  <si>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</si>
  <si>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</si>
  <si>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</si>
  <si>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</si>
  <si>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</si>
  <si>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</si>
  <si>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</si>
  <si>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</si>
  <si>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</si>
  <si>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</si>
  <si>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</si>
  <si>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</si>
  <si>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</si>
  <si>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</si>
  <si>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</si>
  <si>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</si>
  <si>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</si>
  <si>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</si>
  <si>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</si>
  <si>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</si>
  <si>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</si>
  <si>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</si>
  <si>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</si>
  <si>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</si>
  <si>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</si>
  <si>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</si>
  <si>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</si>
  <si>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</si>
  <si>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</si>
  <si>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</si>
  <si>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</si>
  <si>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</si>
  <si>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</si>
  <si>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</si>
  <si>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</si>
  <si>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</si>
  <si>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RJ</t>
  </si>
  <si>
    <t>BAIA DA ILHA GRANDE</t>
  </si>
  <si>
    <t>APERIBÉ</t>
  </si>
  <si>
    <t>SANTO ANTONIO DE PADUA</t>
  </si>
  <si>
    <t>ARARUAMA</t>
  </si>
  <si>
    <t>LAGOS</t>
  </si>
  <si>
    <t>AREAL</t>
  </si>
  <si>
    <t>TRES RIOS</t>
  </si>
  <si>
    <t>ARMAÇÃO DOS BÚZIOS</t>
  </si>
  <si>
    <t>ARRAIAL DO CABO</t>
  </si>
  <si>
    <t>BARRA DO PIRAÍ</t>
  </si>
  <si>
    <t>BARRA DO PIRAI</t>
  </si>
  <si>
    <t>BARRA MANSA</t>
  </si>
  <si>
    <t>VALE DO PARAIBA FLUMINENSE</t>
  </si>
  <si>
    <t>BELFORD ROXO</t>
  </si>
  <si>
    <t>RIO DE JANEIRO</t>
  </si>
  <si>
    <t>RM RIO DE JANEIRO</t>
  </si>
  <si>
    <t>NOVA FRIBURGO</t>
  </si>
  <si>
    <t>BOM JESUS DO ITABAPOANA</t>
  </si>
  <si>
    <t>ITAPERUNA</t>
  </si>
  <si>
    <t>CABO FRIO</t>
  </si>
  <si>
    <t>CACHOEIRAS DE MACACU</t>
  </si>
  <si>
    <t>MACACU-CACERIBU</t>
  </si>
  <si>
    <t>CAMBUCI</t>
  </si>
  <si>
    <t>CARAPEBUS</t>
  </si>
  <si>
    <t>MACAE</t>
  </si>
  <si>
    <t>COMENDADOR LEVY GASPARIAN</t>
  </si>
  <si>
    <t>CAMPOS DOS GOYTACAZES</t>
  </si>
  <si>
    <t>CANTAGALO-CORDEIRO</t>
  </si>
  <si>
    <t>CARDOSO MOREIRA</t>
  </si>
  <si>
    <t>CARMO</t>
  </si>
  <si>
    <t>CASIMIRO DE ABREU</t>
  </si>
  <si>
    <t>BACIA DE SAO JOAO</t>
  </si>
  <si>
    <t>CONCEIÇÃO DE MACABU</t>
  </si>
  <si>
    <t>CORDEIRO</t>
  </si>
  <si>
    <t>DUAS BARRAS</t>
  </si>
  <si>
    <t>DUQUE DE CAXIAS</t>
  </si>
  <si>
    <t>ENGENHEIRO PAULO DE FRONTIN</t>
  </si>
  <si>
    <t>VASSOURAS</t>
  </si>
  <si>
    <t>GUAPIMIRIM</t>
  </si>
  <si>
    <t>IGUABA GRANDE</t>
  </si>
  <si>
    <t>ITABORAÍ</t>
  </si>
  <si>
    <t>ITAGUAÍ</t>
  </si>
  <si>
    <t>ITAGUAI</t>
  </si>
  <si>
    <t>ITALVA</t>
  </si>
  <si>
    <t>ITAOCARA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</si>
  <si>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</si>
  <si>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</si>
  <si>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</si>
  <si>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</si>
  <si>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</si>
  <si>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</si>
  <si>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</si>
  <si>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</si>
  <si>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</si>
  <si>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</si>
  <si>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</si>
  <si>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</si>
  <si>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</si>
  <si>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IGUAÇU</t>
  </si>
  <si>
    <t>PARACAMBI</t>
  </si>
  <si>
    <t>PARAÍBA DO SUL</t>
  </si>
  <si>
    <t>PARATI</t>
  </si>
  <si>
    <t>PATY DO ALFERES</t>
  </si>
  <si>
    <t>PETRÓPOLIS</t>
  </si>
  <si>
    <t>SERRANA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</si>
  <si>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</si>
  <si>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</si>
  <si>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</si>
  <si>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</si>
  <si>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</si>
  <si>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</si>
  <si>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</si>
  <si>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</si>
  <si>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</si>
  <si>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</si>
  <si>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</si>
  <si>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</si>
  <si>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</si>
  <si>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</si>
  <si>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</si>
  <si>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</si>
  <si>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</si>
  <si>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</si>
  <si>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</si>
  <si>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</si>
  <si>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</si>
  <si>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</si>
  <si>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</si>
  <si>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</si>
  <si>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</si>
  <si>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</si>
  <si>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</si>
  <si>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</si>
  <si>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</si>
  <si>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MORAIS</t>
  </si>
  <si>
    <t>TRÊS RIOS</t>
  </si>
  <si>
    <t>VARRE-SAI</t>
  </si>
  <si>
    <t>VOLTA REDONDA</t>
  </si>
  <si>
    <t>ADAMANTINA</t>
  </si>
  <si>
    <t>SP</t>
  </si>
  <si>
    <t>ADOLFO</t>
  </si>
  <si>
    <t>SAO JOSE DO RIO PRETO</t>
  </si>
  <si>
    <t>AGUAÍ</t>
  </si>
  <si>
    <t>PIRASSUNUNGA</t>
  </si>
  <si>
    <t>ÁGUAS DA PRATA</t>
  </si>
  <si>
    <t>SAO JOAO DA BOA VISTA</t>
  </si>
  <si>
    <t>ÁGUAS DE LINDÓIA</t>
  </si>
  <si>
    <t>ÁGUAS DE SANTA BÁRBARA</t>
  </si>
  <si>
    <t>AVARE</t>
  </si>
  <si>
    <t>ÁGUAS DE SÃO PEDRO</t>
  </si>
  <si>
    <t>PIRACICABA</t>
  </si>
  <si>
    <t>AGUDOS</t>
  </si>
  <si>
    <t>BAURU</t>
  </si>
  <si>
    <t>ALAMBARI</t>
  </si>
  <si>
    <t>ITAPETININGA</t>
  </si>
  <si>
    <t>ALFREDO MARCONDES</t>
  </si>
  <si>
    <t>PRESIDENTE PRUDENTE</t>
  </si>
  <si>
    <t>ALTAIR</t>
  </si>
  <si>
    <t>ALTINÓPOLIS</t>
  </si>
  <si>
    <t>BATATAIS</t>
  </si>
  <si>
    <t>BIRIGUI</t>
  </si>
  <si>
    <t>ALUMÍNIO</t>
  </si>
  <si>
    <t>SOROCABA</t>
  </si>
  <si>
    <t>ÁLVARES FLORENCE</t>
  </si>
  <si>
    <t>VOTUPORANGA</t>
  </si>
  <si>
    <t>ÁLVARES MACHADO</t>
  </si>
  <si>
    <t>ÁLVARO DE CARVALHO</t>
  </si>
  <si>
    <t>MARILIA</t>
  </si>
  <si>
    <t>ALVINLÂNDIA</t>
  </si>
  <si>
    <t>AMERICANA</t>
  </si>
  <si>
    <t>CAMPINAS</t>
  </si>
  <si>
    <t>RM CAMPINAS</t>
  </si>
  <si>
    <t>AMÉRICO BRASILIENSE</t>
  </si>
  <si>
    <t>ARARAQUARA</t>
  </si>
  <si>
    <t>AMÉRICO DE CAMPOS</t>
  </si>
  <si>
    <t>ANALÂNDIA</t>
  </si>
  <si>
    <t>SAO CARLOS</t>
  </si>
  <si>
    <t>ANDRADINA</t>
  </si>
  <si>
    <t>ANGATUBA</t>
  </si>
  <si>
    <t>ANHEMBI</t>
  </si>
  <si>
    <t>BOTUCATU</t>
  </si>
  <si>
    <t>ANHUMAS</t>
  </si>
  <si>
    <t>GUARATINGUETA</t>
  </si>
  <si>
    <t>APARECIDA D`OESTE</t>
  </si>
  <si>
    <t>JALES</t>
  </si>
  <si>
    <t>APIAÍ</t>
  </si>
  <si>
    <t>CAPAO BONITO</t>
  </si>
  <si>
    <t>ARAÇARIGUAMA</t>
  </si>
  <si>
    <t>ARAÇATUBA</t>
  </si>
  <si>
    <t>ARAÇOIABA DA SERRA</t>
  </si>
  <si>
    <t>ARAMINA</t>
  </si>
  <si>
    <t>ITUVERAVA</t>
  </si>
  <si>
    <t>ARANDU</t>
  </si>
  <si>
    <t>ARAPEÍ</t>
  </si>
  <si>
    <t>BANANAL</t>
  </si>
  <si>
    <t>ARARAS</t>
  </si>
  <si>
    <t>LIMEIRA</t>
  </si>
  <si>
    <t>ARCO-ÍRIS</t>
  </si>
  <si>
    <t>TUPA</t>
  </si>
  <si>
    <t>AREALVA</t>
  </si>
  <si>
    <t>AREIAS</t>
  </si>
  <si>
    <t>AREIÓPOLIS</t>
  </si>
  <si>
    <t>ARIRANHA</t>
  </si>
  <si>
    <t>CATANDUVA</t>
  </si>
  <si>
    <t>ARTUR NOGUEIRA</t>
  </si>
  <si>
    <t>MOJI MIRIM</t>
  </si>
  <si>
    <t>ARUJÁ</t>
  </si>
  <si>
    <t>GUARULHOS</t>
  </si>
  <si>
    <t>RM SÃO PAULO</t>
  </si>
  <si>
    <t>ASPÁSIA</t>
  </si>
  <si>
    <t>ASSIS</t>
  </si>
  <si>
    <t>ATIBAIA</t>
  </si>
  <si>
    <t>BRAGANÇA PAULISTA</t>
  </si>
  <si>
    <t>AURIFLAMA</t>
  </si>
  <si>
    <t>AVAÍ</t>
  </si>
  <si>
    <t>AVANHANDAVA</t>
  </si>
  <si>
    <t>AVARÉ</t>
  </si>
  <si>
    <t>BADY BASSITT</t>
  </si>
  <si>
    <t>BALBINOS</t>
  </si>
  <si>
    <t>BÁLSAMO</t>
  </si>
  <si>
    <t>BARÃO DE ANTONINA</t>
  </si>
  <si>
    <t>BARBOSA</t>
  </si>
  <si>
    <t>BARIRI</t>
  </si>
  <si>
    <t>JAU</t>
  </si>
  <si>
    <t>BARRA BONITA</t>
  </si>
  <si>
    <t>BARRA DO CHAPÉU</t>
  </si>
  <si>
    <t>BARRA DO TURVO</t>
  </si>
  <si>
    <t>REGISTRO</t>
  </si>
  <si>
    <t>BARRETOS</t>
  </si>
  <si>
    <t>BARRINHA</t>
  </si>
  <si>
    <t>RIBEIRAO PRETO</t>
  </si>
  <si>
    <t>BARUERI</t>
  </si>
  <si>
    <t>OSASCO</t>
  </si>
  <si>
    <t>BASTOS</t>
  </si>
  <si>
    <t>BEBEDOURO</t>
  </si>
  <si>
    <t>JABOTICABAL</t>
  </si>
  <si>
    <t>BENTO DE ABREU</t>
  </si>
  <si>
    <t>BERNARDINO DE CAMPOS</t>
  </si>
  <si>
    <t>OURINHOS</t>
  </si>
  <si>
    <t>BERTIOGA</t>
  </si>
  <si>
    <t>SANTOS</t>
  </si>
  <si>
    <t>RM BAIXADA SANTISTA</t>
  </si>
  <si>
    <t>BILAC</t>
  </si>
  <si>
    <t>BIRITIBA-MIRIM</t>
  </si>
  <si>
    <t>MOGI DAS CRUZES</t>
  </si>
  <si>
    <t>BOA ESPERANÇA DO SUL</t>
  </si>
  <si>
    <t>BOFETE</t>
  </si>
  <si>
    <t>BOITUVA</t>
  </si>
  <si>
    <t>TATUI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</si>
  <si>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</si>
  <si>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</si>
  <si>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</si>
  <si>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</si>
  <si>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</si>
  <si>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</si>
  <si>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</si>
  <si>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</si>
  <si>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</si>
  <si>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</si>
  <si>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</si>
  <si>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</si>
  <si>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</si>
  <si>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</si>
  <si>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</si>
  <si>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SAO JOSE DOS CAMPOS</t>
  </si>
  <si>
    <t>CACHOEIRA PAULISTA</t>
  </si>
  <si>
    <t>CACONDE</t>
  </si>
  <si>
    <t>CAFELÂNDIA</t>
  </si>
  <si>
    <t>LINS</t>
  </si>
  <si>
    <t>CAIABU</t>
  </si>
  <si>
    <t>CAIEIRAS</t>
  </si>
  <si>
    <t>FRANCO DA ROCHA</t>
  </si>
  <si>
    <t>CAIUÁ</t>
  </si>
  <si>
    <t>CAJAMAR</t>
  </si>
  <si>
    <t>CAJATI</t>
  </si>
  <si>
    <t>CAJOBI</t>
  </si>
  <si>
    <t>CAJURU</t>
  </si>
  <si>
    <t>CAMPINA DO MONTE ALEGRE</t>
  </si>
  <si>
    <t>CAMPO LIMPO PAULISTA</t>
  </si>
  <si>
    <t>JUNDIAI</t>
  </si>
  <si>
    <t>CAMPOS DO JORDÃO</t>
  </si>
  <si>
    <t>CAMPOS DO JORDAO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</si>
  <si>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</si>
  <si>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</si>
  <si>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</si>
  <si>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</si>
  <si>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</si>
  <si>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</si>
  <si>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</si>
  <si>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</si>
  <si>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</si>
  <si>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</si>
  <si>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</si>
  <si>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</si>
  <si>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</si>
  <si>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</si>
  <si>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</si>
  <si>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</si>
  <si>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</si>
  <si>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</si>
  <si>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</si>
  <si>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</si>
  <si>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</si>
  <si>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</si>
  <si>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</si>
  <si>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</si>
  <si>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</si>
  <si>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</si>
  <si>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</si>
  <si>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</si>
  <si>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</si>
  <si>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</si>
  <si>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</si>
  <si>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</si>
  <si>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ITAPECERICA DA SERRA</t>
  </si>
  <si>
    <t>CRAVINHOS</t>
  </si>
  <si>
    <t>CRISTAIS PAULISTA</t>
  </si>
  <si>
    <t>FRANCA</t>
  </si>
  <si>
    <t>CRUZÁLIA</t>
  </si>
  <si>
    <t>CRUZEIRO</t>
  </si>
  <si>
    <t>CUBATÃO</t>
  </si>
  <si>
    <t>CUNHA</t>
  </si>
  <si>
    <t>PARAIBUNA/PARAITINGA</t>
  </si>
  <si>
    <t>DESCALVADO</t>
  </si>
  <si>
    <t>DIADEMA</t>
  </si>
  <si>
    <t>SAO PAULO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</si>
  <si>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</si>
  <si>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</si>
  <si>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</si>
  <si>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</si>
  <si>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</si>
  <si>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</si>
  <si>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</si>
  <si>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</si>
  <si>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</si>
  <si>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</si>
  <si>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</si>
  <si>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</si>
  <si>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</si>
  <si>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</si>
  <si>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</si>
  <si>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</si>
  <si>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</si>
  <si>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</si>
  <si>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</si>
  <si>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</si>
  <si>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ESTRELA D`OESTE</t>
  </si>
  <si>
    <t>FERNANDOPOLIS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</si>
  <si>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</si>
  <si>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</si>
  <si>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</si>
  <si>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</si>
  <si>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</si>
  <si>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</si>
  <si>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</si>
  <si>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</si>
  <si>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</si>
  <si>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</si>
  <si>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</si>
  <si>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FRANCISCO MORATO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</si>
  <si>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</si>
  <si>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</si>
  <si>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</si>
  <si>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</si>
  <si>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</si>
  <si>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</si>
  <si>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</si>
  <si>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</si>
  <si>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</si>
  <si>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</si>
  <si>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</si>
  <si>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SAO JOAQUIM DA BARRA</t>
  </si>
  <si>
    <t>GUAPIAÇU</t>
  </si>
  <si>
    <t>GUAPIARA</t>
  </si>
  <si>
    <t>GUARÁ</t>
  </si>
  <si>
    <t>GUARAÇAÍ</t>
  </si>
  <si>
    <t>GUARACI</t>
  </si>
  <si>
    <t>GUARANI D`OESTE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</si>
  <si>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</si>
  <si>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</si>
  <si>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</si>
  <si>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</si>
  <si>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</si>
  <si>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</si>
  <si>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</si>
  <si>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</si>
  <si>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</si>
  <si>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</si>
  <si>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</si>
  <si>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</si>
  <si>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</si>
  <si>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</si>
  <si>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</si>
  <si>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</si>
  <si>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</si>
  <si>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</si>
  <si>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</si>
  <si>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</si>
  <si>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PIEDADE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</si>
  <si>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</si>
  <si>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</si>
  <si>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</si>
  <si>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</si>
  <si>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</si>
  <si>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</si>
  <si>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</si>
  <si>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</si>
  <si>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</si>
  <si>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</si>
  <si>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</si>
  <si>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</si>
  <si>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</si>
  <si>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</si>
  <si>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</si>
  <si>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</si>
  <si>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</si>
  <si>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</si>
  <si>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</si>
  <si>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</si>
  <si>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</si>
  <si>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</si>
  <si>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</si>
  <si>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</si>
  <si>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</si>
  <si>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</si>
  <si>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</si>
  <si>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ITANHAEM</t>
  </si>
  <si>
    <t>ITAÓCA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</si>
  <si>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</si>
  <si>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</si>
  <si>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</si>
  <si>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</si>
  <si>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</si>
  <si>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</si>
  <si>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</si>
  <si>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</si>
  <si>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</si>
  <si>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</si>
  <si>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</si>
  <si>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</si>
  <si>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</si>
  <si>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</si>
  <si>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</si>
  <si>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</si>
  <si>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</si>
  <si>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</si>
  <si>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</si>
  <si>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</si>
  <si>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</si>
  <si>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</si>
  <si>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</si>
  <si>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</si>
  <si>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</si>
  <si>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</si>
  <si>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</si>
  <si>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</si>
  <si>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</si>
  <si>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</si>
  <si>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</si>
  <si>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</si>
  <si>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</si>
  <si>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</si>
  <si>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</si>
  <si>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</si>
  <si>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</si>
  <si>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</si>
  <si>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</si>
  <si>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</si>
  <si>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</si>
  <si>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</si>
  <si>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</si>
  <si>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</si>
  <si>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</si>
  <si>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</si>
  <si>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</si>
  <si>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</si>
  <si>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</si>
  <si>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</si>
  <si>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</si>
  <si>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</si>
  <si>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</si>
  <si>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NHANDEARA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</si>
  <si>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</si>
  <si>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</si>
  <si>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</si>
  <si>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</si>
  <si>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</si>
  <si>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</si>
  <si>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</si>
  <si>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</si>
  <si>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</si>
  <si>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</si>
  <si>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</si>
  <si>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</si>
  <si>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</si>
  <si>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</si>
  <si>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</si>
  <si>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</si>
  <si>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</si>
  <si>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</si>
  <si>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</si>
  <si>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</si>
  <si>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</si>
  <si>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</si>
  <si>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</si>
  <si>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</si>
  <si>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</si>
  <si>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</si>
  <si>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</si>
  <si>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</si>
  <si>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</si>
  <si>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</si>
  <si>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</si>
  <si>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</si>
  <si>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</si>
  <si>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</si>
  <si>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</si>
  <si>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</si>
  <si>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</si>
  <si>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</si>
  <si>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</si>
  <si>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</si>
  <si>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</si>
  <si>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</si>
  <si>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</si>
  <si>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</si>
  <si>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</si>
  <si>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</si>
  <si>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</si>
  <si>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</si>
  <si>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</si>
  <si>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</si>
  <si>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</si>
  <si>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</si>
  <si>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</si>
  <si>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</si>
  <si>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</si>
  <si>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</si>
  <si>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</si>
  <si>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</si>
  <si>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</si>
  <si>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</si>
  <si>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</si>
  <si>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</si>
  <si>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</si>
  <si>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</si>
  <si>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</si>
  <si>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</si>
  <si>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OSCAR BRESSANE</t>
  </si>
  <si>
    <t>OSVALDO CRUZ</t>
  </si>
  <si>
    <t>OUROESTE</t>
  </si>
  <si>
    <t>OURO VERDE</t>
  </si>
  <si>
    <t>PACAEMBU</t>
  </si>
  <si>
    <t>PALMARES PAULISTA</t>
  </si>
  <si>
    <t>PALMEIRA D`OESTE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</si>
  <si>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</si>
  <si>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</si>
  <si>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</si>
  <si>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</si>
  <si>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</si>
  <si>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</si>
  <si>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</si>
  <si>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</si>
  <si>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</si>
  <si>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</si>
  <si>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</si>
  <si>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</si>
  <si>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</si>
  <si>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</si>
  <si>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</si>
  <si>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</si>
  <si>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</si>
  <si>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</si>
  <si>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</si>
  <si>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</si>
  <si>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</si>
  <si>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</si>
  <si>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</si>
  <si>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</si>
  <si>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</si>
  <si>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</si>
  <si>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</si>
  <si>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</si>
  <si>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</si>
  <si>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</si>
  <si>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</si>
  <si>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</si>
  <si>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</si>
  <si>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</si>
  <si>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</si>
  <si>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</t>
  </si>
  <si>
    <t>PIRAJUÍ</t>
  </si>
  <si>
    <t>PIRANGI</t>
  </si>
  <si>
    <t>PIRAPORA DO BOM JESUS</t>
  </si>
  <si>
    <t>PIRAPOZINHO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</si>
  <si>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</si>
  <si>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</si>
  <si>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</si>
  <si>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</si>
  <si>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</si>
  <si>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</si>
  <si>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</si>
  <si>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</si>
  <si>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</si>
  <si>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</si>
  <si>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</si>
  <si>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</si>
  <si>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</si>
  <si>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</si>
  <si>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</si>
  <si>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</si>
  <si>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</si>
  <si>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</si>
  <si>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</si>
  <si>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</si>
  <si>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</si>
  <si>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</si>
  <si>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</si>
  <si>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</si>
  <si>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</si>
  <si>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</si>
  <si>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</si>
  <si>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</si>
  <si>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</si>
  <si>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</si>
  <si>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</si>
  <si>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</si>
  <si>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</si>
  <si>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</si>
  <si>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</si>
  <si>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</si>
  <si>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</si>
  <si>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</si>
  <si>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</si>
  <si>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</si>
  <si>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</si>
  <si>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</si>
  <si>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</si>
  <si>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</si>
  <si>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</si>
  <si>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</si>
  <si>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</si>
  <si>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</si>
  <si>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</si>
  <si>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</si>
  <si>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</si>
  <si>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</si>
  <si>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</si>
  <si>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</si>
  <si>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</si>
  <si>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</si>
  <si>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</si>
  <si>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</si>
  <si>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</si>
  <si>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</si>
  <si>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</si>
  <si>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</si>
  <si>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</si>
  <si>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</si>
  <si>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</si>
  <si>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</si>
  <si>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</si>
  <si>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</si>
  <si>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D`OESTE</t>
  </si>
  <si>
    <t>SANTA BRANCA</t>
  </si>
  <si>
    <t>SANTA CLARA D`OESTE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</si>
  <si>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</si>
  <si>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</si>
  <si>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</si>
  <si>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</si>
  <si>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</si>
  <si>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</si>
  <si>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</si>
  <si>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</si>
  <si>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</si>
  <si>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</si>
  <si>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</si>
  <si>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</si>
  <si>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</si>
  <si>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D`OESTE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</si>
  <si>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</si>
  <si>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</si>
  <si>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</si>
  <si>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</si>
  <si>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</si>
  <si>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</si>
  <si>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</si>
  <si>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</si>
  <si>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</si>
  <si>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</si>
  <si>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</si>
  <si>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</si>
  <si>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</si>
  <si>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</si>
  <si>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</si>
  <si>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</si>
  <si>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</si>
  <si>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</si>
  <si>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D`ALHO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</si>
  <si>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</si>
  <si>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</si>
  <si>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</si>
  <si>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</si>
  <si>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</si>
  <si>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</si>
  <si>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</si>
  <si>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</si>
  <si>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</si>
  <si>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</si>
  <si>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</si>
  <si>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</si>
  <si>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</si>
  <si>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</si>
  <si>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</si>
  <si>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</si>
  <si>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</si>
  <si>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</si>
  <si>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</si>
  <si>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</si>
  <si>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</si>
  <si>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</si>
  <si>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</si>
  <si>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</si>
  <si>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</si>
  <si>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</si>
  <si>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</si>
  <si>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</si>
  <si>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</si>
  <si>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</si>
  <si>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</si>
  <si>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</si>
  <si>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</si>
  <si>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</si>
  <si>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</si>
  <si>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</si>
  <si>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</si>
  <si>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</si>
  <si>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</si>
  <si>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</si>
  <si>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</si>
  <si>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</si>
  <si>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</si>
  <si>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</si>
  <si>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</si>
  <si>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</si>
  <si>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</si>
  <si>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</si>
  <si>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</si>
  <si>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</si>
  <si>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</si>
  <si>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</si>
  <si>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</si>
  <si>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</si>
  <si>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</si>
  <si>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</si>
  <si>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</si>
  <si>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</si>
  <si>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</si>
  <si>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</si>
  <si>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</si>
  <si>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</si>
  <si>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</si>
  <si>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</si>
  <si>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</si>
  <si>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</si>
  <si>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</si>
  <si>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</si>
  <si>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</si>
  <si>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</si>
  <si>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</si>
  <si>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</si>
  <si>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</si>
  <si>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</si>
  <si>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</si>
  <si>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</si>
  <si>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</si>
  <si>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</si>
  <si>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</si>
  <si>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</si>
  <si>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</si>
  <si>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ABATIÁ</t>
  </si>
  <si>
    <t>PR</t>
  </si>
  <si>
    <t>CORNELIO PROCOPIO</t>
  </si>
  <si>
    <t>ADRIANÓPOLIS</t>
  </si>
  <si>
    <t>CERRO AZUL</t>
  </si>
  <si>
    <t>RM CURITIBA</t>
  </si>
  <si>
    <t>AGUDOS DO SUL</t>
  </si>
  <si>
    <t>ALMIRANTE TAMANDARÉ</t>
  </si>
  <si>
    <t>CURITIBA</t>
  </si>
  <si>
    <t>ALTAMIRA DO PARANÁ</t>
  </si>
  <si>
    <t>GOIOERE</t>
  </si>
  <si>
    <t>ALTÔNIA</t>
  </si>
  <si>
    <t>UMUARAMA</t>
  </si>
  <si>
    <t>ALTO PARANÁ</t>
  </si>
  <si>
    <t>PARANAVAI</t>
  </si>
  <si>
    <t>ALTO PIQUIRI</t>
  </si>
  <si>
    <t>ALVORADA DO SUL</t>
  </si>
  <si>
    <t>PORECATU</t>
  </si>
  <si>
    <t>AMAPORÃ</t>
  </si>
  <si>
    <t>AMPÉRE</t>
  </si>
  <si>
    <t>ANAHY</t>
  </si>
  <si>
    <t>ANDIRÁ</t>
  </si>
  <si>
    <t>ÂNGULO</t>
  </si>
  <si>
    <t>ASTORGA</t>
  </si>
  <si>
    <t>RM MARINGÁ</t>
  </si>
  <si>
    <t>ANTONINA</t>
  </si>
  <si>
    <t>PARANAGUA</t>
  </si>
  <si>
    <t>ANTÔNIO OLINTO</t>
  </si>
  <si>
    <t>SAO MATEUS DO SUL</t>
  </si>
  <si>
    <t>APUCARANA</t>
  </si>
  <si>
    <t>ARAPONGAS</t>
  </si>
  <si>
    <t>ARAPOTI</t>
  </si>
  <si>
    <t>JAGUARIAIVA</t>
  </si>
  <si>
    <t>ARAPUÃ</t>
  </si>
  <si>
    <t>IVAIPORA</t>
  </si>
  <si>
    <t>CAMPO MOURAO</t>
  </si>
  <si>
    <t>ARAUCÁRIA</t>
  </si>
  <si>
    <t>ARIRANHA DO IVAÍ</t>
  </si>
  <si>
    <t>ASSAÍ</t>
  </si>
  <si>
    <t>ASSAI</t>
  </si>
  <si>
    <t>ASSIS CHATEAUBRIAND</t>
  </si>
  <si>
    <t>BALSA NOVA</t>
  </si>
  <si>
    <t>BANDEIRANTES</t>
  </si>
  <si>
    <t>BARBOSA FERRAZ</t>
  </si>
  <si>
    <t>BARRACÃO</t>
  </si>
  <si>
    <t>FRANCISCO BELTRAO</t>
  </si>
  <si>
    <t>BARRA DO JACARÉ</t>
  </si>
  <si>
    <t>JACAREZINHO</t>
  </si>
  <si>
    <t>BELA VISTA DA CAROBA</t>
  </si>
  <si>
    <t>BELA VISTA DO PARAÍSO</t>
  </si>
  <si>
    <t>RM LONDRINA</t>
  </si>
  <si>
    <t>BITURUNA</t>
  </si>
  <si>
    <t>UNIAO DA VITORIA</t>
  </si>
  <si>
    <t>BOA ESPERANÇA DO IGUAÇU</t>
  </si>
  <si>
    <t>BOA VENTURA DE SÃO ROQUE</t>
  </si>
  <si>
    <t>PITANGA</t>
  </si>
  <si>
    <t>BOA VISTA DA APARECIDA</t>
  </si>
  <si>
    <t>BOCAIÚVA DO SUL</t>
  </si>
  <si>
    <t>BOM JESUS DO SUL</t>
  </si>
  <si>
    <t>FAXINAL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</si>
  <si>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</si>
  <si>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</si>
  <si>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</si>
  <si>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</si>
  <si>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</si>
  <si>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</si>
  <si>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</si>
  <si>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</si>
  <si>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</si>
  <si>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</si>
  <si>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LONDRINA</t>
  </si>
  <si>
    <t>CAMBIRA</t>
  </si>
  <si>
    <t>CAMPINA DA LAGOA</t>
  </si>
  <si>
    <t>CAMPINA DO SIMÃO</t>
  </si>
  <si>
    <t>GUARAPUAVA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</si>
  <si>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</si>
  <si>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</si>
  <si>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</si>
  <si>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</si>
  <si>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</si>
  <si>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</si>
  <si>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</si>
  <si>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</si>
  <si>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</si>
  <si>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</si>
  <si>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PONTA GROSSA</t>
  </si>
  <si>
    <t>CARLÓPOLIS</t>
  </si>
  <si>
    <t>CASTRO</t>
  </si>
  <si>
    <t>CATANDUVAS</t>
  </si>
  <si>
    <t>CENTENÁRIO DO SUL</t>
  </si>
  <si>
    <t>CÉU AZUL</t>
  </si>
  <si>
    <t>FOZ DO IGUAÇU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</si>
  <si>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</si>
  <si>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</si>
  <si>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</si>
  <si>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</si>
  <si>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</si>
  <si>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</si>
  <si>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</si>
  <si>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</si>
  <si>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IBAITI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</si>
  <si>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</si>
  <si>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</si>
  <si>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</si>
  <si>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</si>
  <si>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</si>
  <si>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</si>
  <si>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</si>
  <si>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</si>
  <si>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</si>
  <si>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</si>
  <si>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</si>
  <si>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DIAMANTE DO NORTE</t>
  </si>
  <si>
    <t>DIAMANTE DO SUL</t>
  </si>
  <si>
    <t>DIAMANTE D`OESTE</t>
  </si>
  <si>
    <t>DOIS VIZINHOS</t>
  </si>
  <si>
    <t>DOURADINA</t>
  </si>
  <si>
    <t>DOUTOR CAMARGO</t>
  </si>
  <si>
    <t>FLORAI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</si>
  <si>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</si>
  <si>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</si>
  <si>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</si>
  <si>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</si>
  <si>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</si>
  <si>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</si>
  <si>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FAZENDA RIO GRANDE</t>
  </si>
  <si>
    <t>FÊNIX</t>
  </si>
  <si>
    <t>FERNANDES PINHEIRO</t>
  </si>
  <si>
    <t>PRUDENTOPOLIS</t>
  </si>
  <si>
    <t>FIGUEIRA</t>
  </si>
  <si>
    <t>FLORAÍ</t>
  </si>
  <si>
    <t>FLOR DA SERRA DO SUL</t>
  </si>
  <si>
    <t>FLORESTÓPOLIS</t>
  </si>
  <si>
    <t>FLÓRIDA</t>
  </si>
  <si>
    <t>FORMOSA DO OESTE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</si>
  <si>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</si>
  <si>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</si>
  <si>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</si>
  <si>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</si>
  <si>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</si>
  <si>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</si>
  <si>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</si>
  <si>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</si>
  <si>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</si>
  <si>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</si>
  <si>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</si>
  <si>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</si>
  <si>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</si>
  <si>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</si>
  <si>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</si>
  <si>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</si>
  <si>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</si>
  <si>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</si>
  <si>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</si>
  <si>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</si>
  <si>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</si>
  <si>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TELEMACO BORBA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</si>
  <si>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</si>
  <si>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</si>
  <si>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</si>
  <si>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</si>
  <si>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</si>
  <si>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</si>
  <si>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</si>
  <si>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</si>
  <si>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</si>
  <si>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</si>
  <si>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D`OESTE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</si>
  <si>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</si>
  <si>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</si>
  <si>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</si>
  <si>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</si>
  <si>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</si>
  <si>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</si>
  <si>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</si>
  <si>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</si>
  <si>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</si>
  <si>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</si>
  <si>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</si>
  <si>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</si>
  <si>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</si>
  <si>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</si>
  <si>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</si>
  <si>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</si>
  <si>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</si>
  <si>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</si>
  <si>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</si>
  <si>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</si>
  <si>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</si>
  <si>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</si>
  <si>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</si>
  <si>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</si>
  <si>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</si>
  <si>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</si>
  <si>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</si>
  <si>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</si>
  <si>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</si>
  <si>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</si>
  <si>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</si>
  <si>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</si>
  <si>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</si>
  <si>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</si>
  <si>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MARINGA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</si>
  <si>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</si>
  <si>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</si>
  <si>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</si>
  <si>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</si>
  <si>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</si>
  <si>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</si>
  <si>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</si>
  <si>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</si>
  <si>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</si>
  <si>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</si>
  <si>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</si>
  <si>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</si>
  <si>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</si>
  <si>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</si>
  <si>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</si>
  <si>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</si>
  <si>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</si>
  <si>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</si>
  <si>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</si>
  <si>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</si>
  <si>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</si>
  <si>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</si>
  <si>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</si>
  <si>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</si>
  <si>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</si>
  <si>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</si>
  <si>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</si>
  <si>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</si>
  <si>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</si>
  <si>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</si>
  <si>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</si>
  <si>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</si>
  <si>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</si>
  <si>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</si>
  <si>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</si>
  <si>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</si>
  <si>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</si>
  <si>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</si>
  <si>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</si>
  <si>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</si>
  <si>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</si>
  <si>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</si>
  <si>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</si>
  <si>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</si>
  <si>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</si>
  <si>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</si>
  <si>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</si>
  <si>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</si>
  <si>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</si>
  <si>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</si>
  <si>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</si>
  <si>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</si>
  <si>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</si>
  <si>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</si>
  <si>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PAULA FREITAS</t>
  </si>
  <si>
    <t>PAULO FRONTIN</t>
  </si>
  <si>
    <t>PEABIRU</t>
  </si>
  <si>
    <t>PEROBAL</t>
  </si>
  <si>
    <t>PÉROLA</t>
  </si>
  <si>
    <t>PÉROLA D`OESTE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</si>
  <si>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</si>
  <si>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</si>
  <si>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</si>
  <si>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</si>
  <si>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</si>
  <si>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</si>
  <si>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</si>
  <si>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PONTAL DO PARANÁ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</si>
  <si>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</si>
  <si>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</si>
  <si>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</si>
  <si>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</si>
  <si>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</si>
  <si>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</si>
  <si>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</si>
  <si>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</si>
  <si>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</si>
  <si>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</si>
  <si>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</si>
  <si>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</si>
  <si>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</si>
  <si>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</si>
  <si>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</si>
  <si>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</si>
  <si>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</si>
  <si>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</si>
  <si>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</si>
  <si>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D`OESTE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</si>
  <si>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</si>
  <si>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</si>
  <si>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</si>
  <si>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</si>
  <si>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</si>
  <si>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</si>
  <si>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</si>
  <si>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</si>
  <si>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</si>
  <si>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</si>
  <si>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</si>
  <si>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</si>
  <si>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</si>
  <si>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</si>
  <si>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</si>
  <si>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</si>
  <si>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</si>
  <si>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</si>
  <si>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</si>
  <si>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</si>
  <si>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</si>
  <si>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</si>
  <si>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</si>
  <si>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</si>
  <si>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</si>
  <si>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</si>
  <si>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</si>
  <si>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</si>
  <si>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</si>
  <si>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</si>
  <si>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</si>
  <si>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</si>
  <si>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</si>
  <si>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</si>
  <si>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</si>
  <si>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</si>
  <si>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</si>
  <si>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</si>
  <si>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</si>
  <si>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</si>
  <si>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</si>
  <si>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</si>
  <si>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D`OESTE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</si>
  <si>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</si>
  <si>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</si>
  <si>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</si>
  <si>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</si>
  <si>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</si>
  <si>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</si>
  <si>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</si>
  <si>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</si>
  <si>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</si>
  <si>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</si>
  <si>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</si>
  <si>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</si>
  <si>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</si>
  <si>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</si>
  <si>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</si>
  <si>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</si>
  <si>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</si>
  <si>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</si>
  <si>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</si>
  <si>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</si>
  <si>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</si>
  <si>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</si>
  <si>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</si>
  <si>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</si>
  <si>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</si>
  <si>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</si>
  <si>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</si>
  <si>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</si>
  <si>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</si>
  <si>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</si>
  <si>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</si>
  <si>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</si>
  <si>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</si>
  <si>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</si>
  <si>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</si>
  <si>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</si>
  <si>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</si>
  <si>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</si>
  <si>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</si>
  <si>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</si>
  <si>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</si>
  <si>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</si>
  <si>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</si>
  <si>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</si>
  <si>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</si>
  <si>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</si>
  <si>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</si>
  <si>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</si>
  <si>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SC</t>
  </si>
  <si>
    <t>CURITIBANOS</t>
  </si>
  <si>
    <t>ABELARDO LUZ</t>
  </si>
  <si>
    <t>XANXERE</t>
  </si>
  <si>
    <t>AGROLÂNDIA</t>
  </si>
  <si>
    <t>ITUPORANGA</t>
  </si>
  <si>
    <t>AGRONÔMICA</t>
  </si>
  <si>
    <t>RIO DO SUL</t>
  </si>
  <si>
    <t>ÁGUA DOCE</t>
  </si>
  <si>
    <t>JOAÇABA</t>
  </si>
  <si>
    <t>ÁGUAS DE CHAPECÓ</t>
  </si>
  <si>
    <t>CHAPECO</t>
  </si>
  <si>
    <t>ÁGUAS FRIAS</t>
  </si>
  <si>
    <t>ÁGUAS MORNAS</t>
  </si>
  <si>
    <t xml:space="preserve">RM FLORIANÓPOLIS </t>
  </si>
  <si>
    <t>ALFREDO WAGNER</t>
  </si>
  <si>
    <t>ALTO BELA VISTA</t>
  </si>
  <si>
    <t>CONCORDIA</t>
  </si>
  <si>
    <t>SAO MIGUEL DO OESTE</t>
  </si>
  <si>
    <t>ANGELINA</t>
  </si>
  <si>
    <t>TIJUCAS</t>
  </si>
  <si>
    <t>ANITA GARIBALDI</t>
  </si>
  <si>
    <t>CAMPOS DE LAGES</t>
  </si>
  <si>
    <t>ANITÁPOLIS</t>
  </si>
  <si>
    <t>FLORIANOPOLIS</t>
  </si>
  <si>
    <t>APIÚNA</t>
  </si>
  <si>
    <t>BLUMENAU</t>
  </si>
  <si>
    <t xml:space="preserve">RM VALE DO ITAJAÍ </t>
  </si>
  <si>
    <t>ARABUTÃ</t>
  </si>
  <si>
    <t>ARAQUARI</t>
  </si>
  <si>
    <t>JOINVILLE</t>
  </si>
  <si>
    <t xml:space="preserve"> RM N/NE CATARINENSE </t>
  </si>
  <si>
    <t>ARARANGUÁ</t>
  </si>
  <si>
    <t>ARARANGUA</t>
  </si>
  <si>
    <t>ARMAZÉM</t>
  </si>
  <si>
    <t>TUBARAO</t>
  </si>
  <si>
    <t xml:space="preserve">RM TUBARÃO </t>
  </si>
  <si>
    <t>ARROIO TRINTA</t>
  </si>
  <si>
    <t>ARVOREDO</t>
  </si>
  <si>
    <t>ASCURRA</t>
  </si>
  <si>
    <t>ATALANTA</t>
  </si>
  <si>
    <t>BALNEÁRIO ARROIO DO SILVA</t>
  </si>
  <si>
    <t>BALNEARIO CAMBORIU</t>
  </si>
  <si>
    <t>ITAJAI</t>
  </si>
  <si>
    <t xml:space="preserve">RM FOZ DO RIO ITAJAÍ </t>
  </si>
  <si>
    <t>BALNEÁRIO DA BARRA DO SUL</t>
  </si>
  <si>
    <t>BALNEÁRIO GAIVOTA</t>
  </si>
  <si>
    <t>BANDEIRANTE</t>
  </si>
  <si>
    <t>BARRA VELHA</t>
  </si>
  <si>
    <t>BELA VISTA DO TOLDO</t>
  </si>
  <si>
    <t>CANOINHAS</t>
  </si>
  <si>
    <t>BENEDITO NOVO</t>
  </si>
  <si>
    <t>BIGUAÇU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</si>
  <si>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</si>
  <si>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</si>
  <si>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</si>
  <si>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</si>
  <si>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</si>
  <si>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</si>
  <si>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</si>
  <si>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</si>
  <si>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</si>
  <si>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</si>
  <si>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</si>
  <si>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</si>
  <si>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</si>
  <si>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CAMBORIU</t>
  </si>
  <si>
    <t>CAPÃO ALTO</t>
  </si>
  <si>
    <t>SAO BENTO DO SUL</t>
  </si>
  <si>
    <t>CAMPO BELO DO SUL</t>
  </si>
  <si>
    <t>CAMPO ERÊ</t>
  </si>
  <si>
    <t>CAMPOS NOVOS</t>
  </si>
  <si>
    <t>CANELINHA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</si>
  <si>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</si>
  <si>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</si>
  <si>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</si>
  <si>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</si>
  <si>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</si>
  <si>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</si>
  <si>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</si>
  <si>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</si>
  <si>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CRICIUMA</t>
  </si>
  <si>
    <t xml:space="preserve">RM CARBONÍFERA </t>
  </si>
  <si>
    <t>CONCÓRDIA</t>
  </si>
  <si>
    <t>CORDILHEIRA ALTA</t>
  </si>
  <si>
    <t>CORONEL FREITAS</t>
  </si>
  <si>
    <t>CORONEL MARTINS</t>
  </si>
  <si>
    <t>CORUPÁ</t>
  </si>
  <si>
    <t>CORREIA PINTO</t>
  </si>
  <si>
    <t>CUNHA PORÃ</t>
  </si>
  <si>
    <t>CUNHATAÍ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</si>
  <si>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</si>
  <si>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</si>
  <si>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</si>
  <si>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</si>
  <si>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</si>
  <si>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</si>
  <si>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</si>
  <si>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</si>
  <si>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</si>
  <si>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</si>
  <si>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</si>
  <si>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</si>
  <si>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</si>
  <si>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</si>
  <si>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</si>
  <si>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</si>
  <si>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</si>
  <si>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</si>
  <si>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</si>
  <si>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</si>
  <si>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</si>
  <si>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</si>
  <si>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</si>
  <si>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</si>
  <si>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D`OESTE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</si>
  <si>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</si>
  <si>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</si>
  <si>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</si>
  <si>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</si>
  <si>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</si>
  <si>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</si>
  <si>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</si>
  <si>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</si>
  <si>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</si>
  <si>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</si>
  <si>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</si>
  <si>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</si>
  <si>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</si>
  <si>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</si>
  <si>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</si>
  <si>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</si>
  <si>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</si>
  <si>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</si>
  <si>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</si>
  <si>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</si>
  <si>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</si>
  <si>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</si>
  <si>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JABORÁ</t>
  </si>
  <si>
    <t>JACINTO MACHADO</t>
  </si>
  <si>
    <t>JAGUARUNA</t>
  </si>
  <si>
    <t>JARAGUÁ DO SUL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</si>
  <si>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</si>
  <si>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</si>
  <si>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</si>
  <si>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</si>
  <si>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</si>
  <si>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</si>
  <si>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</si>
  <si>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</si>
  <si>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</si>
  <si>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</si>
  <si>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</si>
  <si>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</si>
  <si>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</si>
  <si>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</si>
  <si>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</si>
  <si>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</si>
  <si>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</si>
  <si>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</si>
  <si>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</si>
  <si>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</si>
  <si>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</si>
  <si>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</si>
  <si>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</si>
  <si>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</si>
  <si>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</si>
  <si>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</si>
  <si>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</si>
  <si>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</si>
  <si>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</si>
  <si>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</si>
  <si>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</si>
  <si>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</si>
  <si>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</si>
  <si>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</si>
  <si>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</si>
  <si>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</si>
  <si>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</si>
  <si>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</si>
  <si>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</si>
  <si>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</si>
  <si>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</si>
  <si>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</si>
  <si>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</si>
  <si>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</si>
  <si>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</si>
  <si>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</si>
  <si>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</si>
  <si>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</si>
  <si>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</si>
  <si>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</si>
  <si>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</si>
  <si>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</si>
  <si>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</si>
  <si>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</si>
  <si>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</si>
  <si>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</si>
  <si>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</si>
  <si>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</si>
  <si>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</si>
  <si>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</si>
  <si>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</si>
  <si>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</si>
  <si>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</si>
  <si>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</si>
  <si>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</si>
  <si>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</si>
  <si>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</si>
  <si>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</si>
  <si>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</si>
  <si>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</si>
  <si>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</si>
  <si>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</si>
  <si>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</si>
  <si>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</si>
  <si>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</si>
  <si>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</si>
  <si>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</si>
  <si>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</si>
  <si>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</si>
  <si>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</si>
  <si>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</si>
  <si>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</si>
  <si>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</si>
  <si>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</si>
  <si>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</si>
  <si>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</si>
  <si>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</si>
  <si>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</si>
  <si>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</si>
  <si>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</si>
  <si>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</si>
  <si>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</si>
  <si>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</si>
  <si>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</si>
  <si>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</si>
  <si>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</si>
  <si>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</si>
  <si>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</si>
  <si>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</si>
  <si>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</si>
  <si>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</si>
  <si>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</si>
  <si>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</si>
  <si>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</si>
  <si>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</si>
  <si>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</si>
  <si>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</si>
  <si>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</si>
  <si>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</si>
  <si>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</si>
  <si>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</si>
  <si>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</si>
  <si>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</si>
  <si>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</si>
  <si>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</si>
  <si>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</si>
  <si>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</si>
  <si>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</si>
  <si>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</si>
  <si>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</si>
  <si>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</si>
  <si>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</si>
  <si>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</si>
  <si>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</si>
  <si>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</si>
  <si>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</si>
  <si>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</si>
  <si>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</si>
  <si>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</si>
  <si>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</si>
  <si>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</si>
  <si>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</si>
  <si>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</si>
  <si>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RS</t>
  </si>
  <si>
    <t>CAMPANHA MERIDIONAL</t>
  </si>
  <si>
    <t>ÁGUA SANTA</t>
  </si>
  <si>
    <t>PASSO FUNDO</t>
  </si>
  <si>
    <t>AGUDO</t>
  </si>
  <si>
    <t>RESTINGA SECA</t>
  </si>
  <si>
    <t>AJURICABA</t>
  </si>
  <si>
    <t>IJUI</t>
  </si>
  <si>
    <t>ALECRIM</t>
  </si>
  <si>
    <t>SANTA ROSA</t>
  </si>
  <si>
    <t>ALEGRETE</t>
  </si>
  <si>
    <t>CAMPANHA OCIDENTAL</t>
  </si>
  <si>
    <t>ALEGRIA</t>
  </si>
  <si>
    <t>ALMIRANTE TAMANDARÉ DO SUL</t>
  </si>
  <si>
    <t>CARAZINHO</t>
  </si>
  <si>
    <t>ALPESTRE</t>
  </si>
  <si>
    <t>FREDERICO WESTPHALEN</t>
  </si>
  <si>
    <t>CRUZ ALTA</t>
  </si>
  <si>
    <t>ALTO FELIZ</t>
  </si>
  <si>
    <t>MONTENEGRO</t>
  </si>
  <si>
    <t>PORTO ALEGRE</t>
  </si>
  <si>
    <t>RM PORTO ALEGRE</t>
  </si>
  <si>
    <t>AMARAL FERRADOR</t>
  </si>
  <si>
    <t>SERRAS DE SUDESTE</t>
  </si>
  <si>
    <t>AMETISTA DO SUL</t>
  </si>
  <si>
    <t>ANDRÉ DA ROCHA</t>
  </si>
  <si>
    <t>GUAPORE</t>
  </si>
  <si>
    <t>ANTA GORDA</t>
  </si>
  <si>
    <t>ANTÔNIO PRADO</t>
  </si>
  <si>
    <t>CAXIAS DO SUL</t>
  </si>
  <si>
    <t>ARAMBARÉ</t>
  </si>
  <si>
    <t>CAMAQUA</t>
  </si>
  <si>
    <t>ARARICÁ</t>
  </si>
  <si>
    <t>ARATIBA</t>
  </si>
  <si>
    <t>ERECHIM</t>
  </si>
  <si>
    <t>ARROIO DO MEIO</t>
  </si>
  <si>
    <t>LAJEADO-ESTRELA</t>
  </si>
  <si>
    <t>ARROIO DO SAL</t>
  </si>
  <si>
    <t>OSORIO</t>
  </si>
  <si>
    <t>AU LITORAL NORTE RIO GRANDE DO SUL</t>
  </si>
  <si>
    <t>ARROIO DO PADRE</t>
  </si>
  <si>
    <t>PELOTAS</t>
  </si>
  <si>
    <t>AU S RIO GRANDE DO SUL</t>
  </si>
  <si>
    <t>ARROIO DOS RATOS</t>
  </si>
  <si>
    <t>SAO JERONIMO</t>
  </si>
  <si>
    <t>ARROIO DO TIGRE</t>
  </si>
  <si>
    <t>SANTA CRUZ DO SUL</t>
  </si>
  <si>
    <t>ARROIO GRANDE</t>
  </si>
  <si>
    <t>JAGUARAO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</si>
  <si>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</si>
  <si>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</si>
  <si>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</si>
  <si>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</si>
  <si>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</si>
  <si>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</si>
  <si>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</si>
  <si>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</si>
  <si>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SANANDUVA</t>
  </si>
  <si>
    <t>BARRA DO GUARITA</t>
  </si>
  <si>
    <t>TRES PASSOS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</si>
  <si>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</si>
  <si>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</si>
  <si>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</si>
  <si>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</si>
  <si>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</si>
  <si>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</si>
  <si>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</si>
  <si>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AU NE RIO GRANDE DO SUL</t>
  </si>
  <si>
    <t>BOA VISTA DAS MISSÕES</t>
  </si>
  <si>
    <t>BOA VISTA DO BURICÁ</t>
  </si>
  <si>
    <t>BOA VISTA DO CADEADO</t>
  </si>
  <si>
    <t>BOA VISTA DO INCRA</t>
  </si>
  <si>
    <t>BOA VISTA DO SUL</t>
  </si>
  <si>
    <t>VACARIA</t>
  </si>
  <si>
    <t>BOM PRINCÍPIO</t>
  </si>
  <si>
    <t>BOM PROGRESSO</t>
  </si>
  <si>
    <t>BOM RETIRO DO SUL</t>
  </si>
  <si>
    <t>BOQUEIRÃO DO LEÃO</t>
  </si>
  <si>
    <t>BOSSOROCA</t>
  </si>
  <si>
    <t>SANTO ANGELO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</si>
  <si>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</si>
  <si>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</si>
  <si>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</si>
  <si>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</si>
  <si>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</si>
  <si>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</si>
  <si>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</si>
  <si>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</si>
  <si>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</si>
  <si>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CERRO LARGO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</si>
  <si>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</si>
  <si>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</si>
  <si>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</si>
  <si>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</si>
  <si>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</si>
  <si>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</si>
  <si>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</si>
  <si>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</si>
  <si>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</si>
  <si>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</si>
  <si>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</si>
  <si>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</si>
  <si>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</si>
  <si>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GRAMADO-CANELA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</si>
  <si>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</si>
  <si>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</si>
  <si>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</si>
  <si>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</si>
  <si>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</si>
  <si>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</si>
  <si>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</si>
  <si>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</si>
  <si>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</si>
  <si>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</si>
  <si>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</si>
  <si>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</si>
  <si>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</si>
  <si>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</si>
  <si>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</si>
  <si>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</si>
  <si>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</si>
  <si>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CERRITO</t>
  </si>
  <si>
    <t>CERRO BRANCO</t>
  </si>
  <si>
    <t>CERRO GRANDE</t>
  </si>
  <si>
    <t>CERRO GRANDE DO SUL</t>
  </si>
  <si>
    <t>CHAPADA</t>
  </si>
  <si>
    <t>CHARQUEADAS</t>
  </si>
  <si>
    <t>CHARRUA</t>
  </si>
  <si>
    <t>CHIAPETTA</t>
  </si>
  <si>
    <t>CHUÍ</t>
  </si>
  <si>
    <t>LITORAL LAGUNAR</t>
  </si>
  <si>
    <t>CHUVISCA</t>
  </si>
  <si>
    <t>CIDREIRA</t>
  </si>
  <si>
    <t>CIRÍACO</t>
  </si>
  <si>
    <t>NAO-ME-TOQUE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</si>
  <si>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</si>
  <si>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</si>
  <si>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</si>
  <si>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</si>
  <si>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</si>
  <si>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</si>
  <si>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</si>
  <si>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</si>
  <si>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</si>
  <si>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</si>
  <si>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</si>
  <si>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</si>
  <si>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</si>
  <si>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</si>
  <si>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</si>
  <si>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</si>
  <si>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</si>
  <si>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</si>
  <si>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</si>
  <si>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</si>
  <si>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</si>
  <si>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</si>
  <si>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</si>
  <si>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</si>
  <si>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</si>
  <si>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</si>
  <si>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</si>
  <si>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</si>
  <si>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</si>
  <si>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</si>
  <si>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</si>
  <si>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</si>
  <si>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</si>
  <si>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</si>
  <si>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</si>
  <si>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</si>
  <si>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</si>
  <si>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</si>
  <si>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</si>
  <si>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</si>
  <si>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</si>
  <si>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</si>
  <si>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</si>
  <si>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</si>
  <si>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</si>
  <si>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</si>
  <si>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</si>
  <si>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</si>
  <si>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</si>
  <si>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</si>
  <si>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</si>
  <si>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</si>
  <si>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</si>
  <si>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</si>
  <si>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</si>
  <si>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</si>
  <si>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</si>
  <si>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</si>
  <si>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</si>
  <si>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</si>
  <si>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</si>
  <si>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</si>
  <si>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</si>
  <si>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</si>
  <si>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</si>
  <si>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</si>
  <si>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</si>
  <si>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</si>
  <si>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</si>
  <si>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</si>
  <si>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</si>
  <si>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</si>
  <si>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</si>
  <si>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</si>
  <si>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</si>
  <si>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</si>
  <si>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</si>
  <si>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</si>
  <si>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</si>
  <si>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</si>
  <si>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</si>
  <si>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</si>
  <si>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</si>
  <si>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</si>
  <si>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</si>
  <si>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</si>
  <si>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</si>
  <si>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</si>
  <si>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</si>
  <si>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</si>
  <si>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</si>
  <si>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</si>
  <si>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</si>
  <si>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</si>
  <si>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</si>
  <si>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</si>
  <si>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</si>
  <si>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</si>
  <si>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</si>
  <si>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</si>
  <si>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</si>
  <si>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</si>
  <si>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</si>
  <si>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</si>
  <si>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</si>
  <si>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</si>
  <si>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</si>
  <si>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</si>
  <si>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</si>
  <si>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</si>
  <si>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</si>
  <si>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</si>
  <si>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</si>
  <si>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</si>
  <si>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</si>
  <si>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</si>
  <si>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</si>
  <si>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</si>
  <si>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MAÇAMBARA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</si>
  <si>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</si>
  <si>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</si>
  <si>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</si>
  <si>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</si>
  <si>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</si>
  <si>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</si>
  <si>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</si>
  <si>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</si>
  <si>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</si>
  <si>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</si>
  <si>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</si>
  <si>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</si>
  <si>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</si>
  <si>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</si>
  <si>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</si>
  <si>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</si>
  <si>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</si>
  <si>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</si>
  <si>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</si>
  <si>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</si>
  <si>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</si>
  <si>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</si>
  <si>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</si>
  <si>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</si>
  <si>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</si>
  <si>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</si>
  <si>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</si>
  <si>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</si>
  <si>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</si>
  <si>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</si>
  <si>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</si>
  <si>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</si>
  <si>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</si>
  <si>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</si>
  <si>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</si>
  <si>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</si>
  <si>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</si>
  <si>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</si>
  <si>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</si>
  <si>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</si>
  <si>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</si>
  <si>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</si>
  <si>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</si>
  <si>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</si>
  <si>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</si>
  <si>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</si>
  <si>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</si>
  <si>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</si>
  <si>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</si>
  <si>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</si>
  <si>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</si>
  <si>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</si>
  <si>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</si>
  <si>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</si>
  <si>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</si>
  <si>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</si>
  <si>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</si>
  <si>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</si>
  <si>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</si>
  <si>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</si>
  <si>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</si>
  <si>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</si>
  <si>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</si>
  <si>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</si>
  <si>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</si>
  <si>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</si>
  <si>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</si>
  <si>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</si>
  <si>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</si>
  <si>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</si>
  <si>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</si>
  <si>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</si>
  <si>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</si>
  <si>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</si>
  <si>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</si>
  <si>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</si>
  <si>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</si>
  <si>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</si>
  <si>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</si>
  <si>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</si>
  <si>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</si>
  <si>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</si>
  <si>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</si>
  <si>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</si>
  <si>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</si>
  <si>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</si>
  <si>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</si>
  <si>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</si>
  <si>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</si>
  <si>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</si>
  <si>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</si>
  <si>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</si>
  <si>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</si>
  <si>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</si>
  <si>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</si>
  <si>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</si>
  <si>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</si>
  <si>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</si>
  <si>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</si>
  <si>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</si>
  <si>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</si>
  <si>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</si>
  <si>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</si>
  <si>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</si>
  <si>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</si>
  <si>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</si>
  <si>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</si>
  <si>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CAMPANHA CENTRAL</t>
  </si>
  <si>
    <t>SAGRADA FAMÍLIA</t>
  </si>
  <si>
    <t>SALDANHA MARINHO</t>
  </si>
  <si>
    <t>SALTO DO JACUÍ</t>
  </si>
  <si>
    <t>SALVADOR DAS MISSÕES</t>
  </si>
  <si>
    <t>SALVADOR DO SUL</t>
  </si>
  <si>
    <t>SANTA BÁRBARA DO SUL</t>
  </si>
  <si>
    <t>SANTA CECÍLIA DO SUL</t>
  </si>
  <si>
    <t>SANTA CLARA DO SUL</t>
  </si>
  <si>
    <t>SANTA MARIA DO HERVAL</t>
  </si>
  <si>
    <t>SANTA MARGARIDA DO SUL</t>
  </si>
  <si>
    <t>SANTANA DA BOA VISTA</t>
  </si>
  <si>
    <t>SANTANA DO LIVRAMENTO</t>
  </si>
  <si>
    <t>SANTA TEREZA</t>
  </si>
  <si>
    <t>SANTA VITÓRIA DO PALMAR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</si>
  <si>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</si>
  <si>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</si>
  <si>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</si>
  <si>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</si>
  <si>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</si>
  <si>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</si>
  <si>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</si>
  <si>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</si>
  <si>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</si>
  <si>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</si>
  <si>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</si>
  <si>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</si>
  <si>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</si>
  <si>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</si>
  <si>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</si>
  <si>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</si>
  <si>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</si>
  <si>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</si>
  <si>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</si>
  <si>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</si>
  <si>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</si>
  <si>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</si>
  <si>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</si>
  <si>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</si>
  <si>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</si>
  <si>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</si>
  <si>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</si>
  <si>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</si>
  <si>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</si>
  <si>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</si>
  <si>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</si>
  <si>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</si>
  <si>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</si>
  <si>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</si>
  <si>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</si>
  <si>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</si>
  <si>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</si>
  <si>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</si>
  <si>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</si>
  <si>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</si>
  <si>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</si>
  <si>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</si>
  <si>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</si>
  <si>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</si>
  <si>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</si>
  <si>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</si>
  <si>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</si>
  <si>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</si>
  <si>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</si>
  <si>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</si>
  <si>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</si>
  <si>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</si>
  <si>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</si>
  <si>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</si>
  <si>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</si>
  <si>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</si>
  <si>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</si>
  <si>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</si>
  <si>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</si>
  <si>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</si>
  <si>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</si>
  <si>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</si>
  <si>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</si>
  <si>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</si>
  <si>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</si>
  <si>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</si>
  <si>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</si>
  <si>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</si>
  <si>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</si>
  <si>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</si>
  <si>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</si>
  <si>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</si>
  <si>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</si>
  <si>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</si>
  <si>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</si>
  <si>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</si>
  <si>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</si>
  <si>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</si>
  <si>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</si>
  <si>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</si>
  <si>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</si>
  <si>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</si>
  <si>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</si>
  <si>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</si>
  <si>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</si>
  <si>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</si>
  <si>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</si>
  <si>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</si>
  <si>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</si>
  <si>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</si>
  <si>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</si>
  <si>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</si>
  <si>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</si>
  <si>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</si>
  <si>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</si>
  <si>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</si>
  <si>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</si>
  <si>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</si>
  <si>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</si>
  <si>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</si>
  <si>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</si>
  <si>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</si>
  <si>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</si>
  <si>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</si>
  <si>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</si>
  <si>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</si>
  <si>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</si>
  <si>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</si>
  <si>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</si>
  <si>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</si>
  <si>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</si>
  <si>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</si>
  <si>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</si>
  <si>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ÁGUA CLARA</t>
  </si>
  <si>
    <t>MS</t>
  </si>
  <si>
    <t>TRES LAGOAS</t>
  </si>
  <si>
    <t>ALCINÓPOLIS</t>
  </si>
  <si>
    <t>ALTO TAQUARI</t>
  </si>
  <si>
    <t>AMAMBAÍ</t>
  </si>
  <si>
    <t>DOURADOS</t>
  </si>
  <si>
    <t>ANASTÁCIO</t>
  </si>
  <si>
    <t>AQUIDAUANA</t>
  </si>
  <si>
    <t>ANAURILÂNDIA</t>
  </si>
  <si>
    <t>NOVA ANDRADINA</t>
  </si>
  <si>
    <t>ANGÉLICA</t>
  </si>
  <si>
    <t>IGUATEMI</t>
  </si>
  <si>
    <t>ANTÔNIO JOÃO</t>
  </si>
  <si>
    <t>APARECIDA DO TABOADO</t>
  </si>
  <si>
    <t>PARANAIBA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</si>
  <si>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</si>
  <si>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</si>
  <si>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</si>
  <si>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</si>
  <si>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</si>
  <si>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</si>
  <si>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</si>
  <si>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</si>
  <si>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</si>
  <si>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CASSILANDIA</t>
  </si>
  <si>
    <t>CHAPADÃO DO SUL</t>
  </si>
  <si>
    <t>CORGUINHO</t>
  </si>
  <si>
    <t>CORONEL SAPUCAIA</t>
  </si>
  <si>
    <t>CORUMBÁ</t>
  </si>
  <si>
    <t>BAIXO PANTANAL</t>
  </si>
  <si>
    <t>COSTA RICA</t>
  </si>
  <si>
    <t>COXIM</t>
  </si>
  <si>
    <t>DEODÁPOLIS</t>
  </si>
  <si>
    <t>DOIS IRMÃOS DO BURITI</t>
  </si>
  <si>
    <t>FÁTIMA DO SUL</t>
  </si>
  <si>
    <t>FIGUEIRÃO</t>
  </si>
  <si>
    <t>GLÓRIA DE DOURADOS</t>
  </si>
  <si>
    <t>GUIA LOPES DA LAGUNA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</si>
  <si>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</si>
  <si>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</si>
  <si>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</si>
  <si>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</si>
  <si>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</si>
  <si>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</si>
  <si>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</si>
  <si>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</si>
  <si>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</si>
  <si>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</si>
  <si>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</si>
  <si>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</si>
  <si>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</si>
  <si>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</si>
  <si>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</si>
  <si>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</si>
  <si>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</si>
  <si>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 xml:space="preserve"> </t>
  </si>
  <si>
    <t>0.00000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</si>
  <si>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</si>
  <si>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</si>
  <si>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</si>
  <si>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</si>
  <si>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</si>
  <si>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</si>
  <si>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</si>
  <si>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</si>
  <si>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</si>
  <si>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</si>
  <si>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</si>
  <si>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</si>
  <si>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</si>
  <si>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</si>
  <si>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</si>
  <si>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</si>
  <si>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</si>
  <si>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</si>
  <si>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</si>
  <si>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</si>
  <si>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</si>
  <si>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</si>
  <si>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ROSARIO OESTE</t>
  </si>
  <si>
    <t>ALTA FLORESTA</t>
  </si>
  <si>
    <t>ALTO ARAGUAIA</t>
  </si>
  <si>
    <t>ALTO BOA VISTA</t>
  </si>
  <si>
    <t>NORTE ARAGUAIA</t>
  </si>
  <si>
    <t>ALTO GARÇAS</t>
  </si>
  <si>
    <t>ALTO PARAGUAI</t>
  </si>
  <si>
    <t>APIACÁS</t>
  </si>
  <si>
    <t>ARAGUAIANA</t>
  </si>
  <si>
    <t>MEDIO ARAGUAIA</t>
  </si>
  <si>
    <t>ARAGUAINHA</t>
  </si>
  <si>
    <t>TESOURO</t>
  </si>
  <si>
    <t>ARAPUTANGA</t>
  </si>
  <si>
    <t>JAURU</t>
  </si>
  <si>
    <t>ARENÁPOLIS</t>
  </si>
  <si>
    <t>ARIPUANÃ</t>
  </si>
  <si>
    <t>ARIPUANA</t>
  </si>
  <si>
    <t>BARÃO DE MELGAÇO</t>
  </si>
  <si>
    <t>ALTO PANTANAL</t>
  </si>
  <si>
    <t>BARRA DO BUGRES</t>
  </si>
  <si>
    <t>TANGARA DA SERRA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</si>
  <si>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</si>
  <si>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</si>
  <si>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</si>
  <si>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</si>
  <si>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</si>
  <si>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</si>
  <si>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</si>
  <si>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PRIMAVERA DO LESTE</t>
  </si>
  <si>
    <t>CAMPOS DE JÚLIO</t>
  </si>
  <si>
    <t>CANABRAVA DO NORTE</t>
  </si>
  <si>
    <t>CARLINDA</t>
  </si>
  <si>
    <t>CASTANHEIRA</t>
  </si>
  <si>
    <t>CHAPADA DOS GUIMARÃES</t>
  </si>
  <si>
    <t>CUIABA</t>
  </si>
  <si>
    <t>CLÁUDIA</t>
  </si>
  <si>
    <t>SINOP</t>
  </si>
  <si>
    <t>COCALINHO</t>
  </si>
  <si>
    <t>COLÍDER</t>
  </si>
  <si>
    <t>COLIDER</t>
  </si>
  <si>
    <t>COLNIZA</t>
  </si>
  <si>
    <t>COMODORO</t>
  </si>
  <si>
    <t>CONFRESA</t>
  </si>
  <si>
    <t>CONQUISTA D`OESTE</t>
  </si>
  <si>
    <t>ALTO GUAPORE</t>
  </si>
  <si>
    <t>COTRIGUAÇU</t>
  </si>
  <si>
    <t>CUIABÁ</t>
  </si>
  <si>
    <t>RM  VALE DO RIO CUIABÁ</t>
  </si>
  <si>
    <t>CURVELÂNDIA</t>
  </si>
  <si>
    <t>DENISE</t>
  </si>
  <si>
    <t>DIAMANTINO</t>
  </si>
  <si>
    <t>DOM AQUINO</t>
  </si>
  <si>
    <t>RONDONOPOLIS</t>
  </si>
  <si>
    <t>FELIZ NATAL</t>
  </si>
  <si>
    <t>FIGUEIRÓPOLIS D`OESTE</t>
  </si>
  <si>
    <t>GAÚCHA DO NORTE</t>
  </si>
  <si>
    <t>PARANATINGA</t>
  </si>
  <si>
    <t>GLÓRIA D`OESTE</t>
  </si>
  <si>
    <t>GUARANTÃ DO NORTE</t>
  </si>
  <si>
    <t>GUIRATINGA</t>
  </si>
  <si>
    <t>INDIAVAÍ</t>
  </si>
  <si>
    <t>IPIRANGA DO NORTE</t>
  </si>
  <si>
    <t>ALTO TELES PIRES</t>
  </si>
  <si>
    <t>ITANHANGÁ</t>
  </si>
  <si>
    <t>ITAÚBA</t>
  </si>
  <si>
    <t>ITIQUIRA</t>
  </si>
  <si>
    <t>JACIARA</t>
  </si>
  <si>
    <t>JANGADA</t>
  </si>
  <si>
    <t>JUARA</t>
  </si>
  <si>
    <t>JUÍNA</t>
  </si>
  <si>
    <t>JURUENA</t>
  </si>
  <si>
    <t>JUSCIMEIRA</t>
  </si>
  <si>
    <t>LAMBARI D`OESTE</t>
  </si>
  <si>
    <t>LUCAS DO RIO VERDE</t>
  </si>
  <si>
    <t>LUCIÁRA</t>
  </si>
  <si>
    <t>VILA BELA DA SANTÍSSIMA TRINDADE</t>
  </si>
  <si>
    <t>MARCELÂNDIA</t>
  </si>
  <si>
    <t>MATUPÁ</t>
  </si>
  <si>
    <t>MIRASSOL D`OESTE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</si>
  <si>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</si>
  <si>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</si>
  <si>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</si>
  <si>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</si>
  <si>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</si>
  <si>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</si>
  <si>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</si>
  <si>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</si>
  <si>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</si>
  <si>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</si>
  <si>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</si>
  <si>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</si>
  <si>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</si>
  <si>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</si>
  <si>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</si>
  <si>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</si>
  <si>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</si>
  <si>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</si>
  <si>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</si>
  <si>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</si>
  <si>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</si>
  <si>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</si>
  <si>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</si>
  <si>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</si>
  <si>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</si>
  <si>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</si>
  <si>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</si>
  <si>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</si>
  <si>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</si>
  <si>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</si>
  <si>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</si>
  <si>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</si>
  <si>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</si>
  <si>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</si>
  <si>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</si>
  <si>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</si>
  <si>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</si>
  <si>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</si>
  <si>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</si>
  <si>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</si>
  <si>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</si>
  <si>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</si>
  <si>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</si>
  <si>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</si>
  <si>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</si>
  <si>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</si>
  <si>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</si>
  <si>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</si>
  <si>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</si>
  <si>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SORRISO</t>
  </si>
  <si>
    <t>TABAPORÃ</t>
  </si>
  <si>
    <t>TANGARÁ DA SERRA</t>
  </si>
  <si>
    <t>TAPURAH</t>
  </si>
  <si>
    <t>TERRA NOVA DO NORTE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</si>
  <si>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</si>
  <si>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</si>
  <si>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</si>
  <si>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</si>
  <si>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</si>
  <si>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</si>
  <si>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</si>
  <si>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</si>
  <si>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</si>
  <si>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</si>
  <si>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</t>
  </si>
  <si>
    <t>GOIANIA</t>
  </si>
  <si>
    <t>RM GOIÂNIA</t>
  </si>
  <si>
    <t>ABADIÂNIA</t>
  </si>
  <si>
    <t>ENTORNO DE BRASILIA</t>
  </si>
  <si>
    <t>ACREÚNA</t>
  </si>
  <si>
    <t>VALE DO RIO DOS BOIS</t>
  </si>
  <si>
    <t>ADELÂNDIA</t>
  </si>
  <si>
    <t>ANICUNS</t>
  </si>
  <si>
    <t>ÁGUA FRIA DE GOIÁS</t>
  </si>
  <si>
    <t>ÁGUA LIMPA</t>
  </si>
  <si>
    <t>MEIA PONTE</t>
  </si>
  <si>
    <t>ÁGUAS LINDAS DE GOIÁS</t>
  </si>
  <si>
    <t>ALEXÂNIA</t>
  </si>
  <si>
    <t>ALOÂNDIA</t>
  </si>
  <si>
    <t>ALTO HORIZONTE</t>
  </si>
  <si>
    <t>PORANGATU</t>
  </si>
  <si>
    <t>ALTO PARAÍSO DE GOIÁS</t>
  </si>
  <si>
    <t>CHAPADA DOS VEADEIROS</t>
  </si>
  <si>
    <t>ALVORADA DO NORTE</t>
  </si>
  <si>
    <t>VAO DO PARANA</t>
  </si>
  <si>
    <t>AMARALINA</t>
  </si>
  <si>
    <t>AMERICANO DO BRASIL</t>
  </si>
  <si>
    <t>AMORINÓPOLIS</t>
  </si>
  <si>
    <t>IPORA</t>
  </si>
  <si>
    <t>ANÁPOLIS</t>
  </si>
  <si>
    <t>ANAPOLIS</t>
  </si>
  <si>
    <t>ANHANGUERA</t>
  </si>
  <si>
    <t>CATALAO</t>
  </si>
  <si>
    <t>APARECIDA DE GOIÂNIA</t>
  </si>
  <si>
    <t>APARECIDA DO RIO DOCE</t>
  </si>
  <si>
    <t>SUDOESTE DE GOIAS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</si>
  <si>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</si>
  <si>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</si>
  <si>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</si>
  <si>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</si>
  <si>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</si>
  <si>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</si>
  <si>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</si>
  <si>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</si>
  <si>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</si>
  <si>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</si>
  <si>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CERES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</si>
  <si>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</si>
  <si>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</si>
  <si>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</si>
  <si>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</si>
  <si>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</si>
  <si>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</si>
  <si>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</si>
  <si>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</si>
  <si>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</si>
  <si>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</si>
  <si>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</si>
  <si>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</si>
  <si>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QUIRINOPOLIS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</si>
  <si>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</si>
  <si>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</si>
  <si>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</si>
  <si>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</si>
  <si>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</si>
  <si>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</si>
  <si>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</si>
  <si>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</si>
  <si>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</si>
  <si>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</si>
  <si>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</si>
  <si>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</si>
  <si>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</si>
  <si>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</si>
  <si>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</si>
  <si>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</si>
  <si>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</si>
  <si>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</si>
  <si>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</si>
  <si>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</si>
  <si>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</si>
  <si>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</si>
  <si>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</si>
  <si>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</si>
  <si>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</si>
  <si>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</si>
  <si>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</si>
  <si>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PIRES DO RIO</t>
  </si>
  <si>
    <t>CRIXÁS</t>
  </si>
  <si>
    <t>SAO MIGUEL DO ARAGUAIA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</si>
  <si>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</si>
  <si>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</si>
  <si>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</si>
  <si>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</si>
  <si>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</si>
  <si>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</si>
  <si>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</si>
  <si>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</si>
  <si>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</si>
  <si>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</si>
  <si>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</si>
  <si>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</si>
  <si>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</si>
  <si>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</si>
  <si>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</si>
  <si>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</si>
  <si>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</si>
  <si>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</si>
  <si>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</si>
  <si>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</si>
  <si>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</si>
  <si>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</si>
  <si>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</si>
  <si>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</si>
  <si>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</si>
  <si>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</si>
  <si>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</si>
  <si>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</si>
  <si>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</si>
  <si>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</si>
  <si>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</si>
  <si>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</si>
  <si>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</si>
  <si>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</si>
  <si>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</si>
  <si>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</si>
  <si>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</si>
  <si>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</si>
  <si>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</si>
  <si>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</si>
  <si>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</si>
  <si>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</si>
  <si>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</si>
  <si>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</si>
  <si>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</si>
  <si>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</si>
  <si>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</si>
  <si>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</si>
  <si>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</si>
  <si>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</si>
  <si>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</si>
  <si>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</si>
  <si>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</si>
  <si>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</si>
  <si>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</si>
  <si>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</si>
  <si>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</si>
  <si>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</si>
  <si>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</si>
  <si>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</si>
  <si>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</si>
  <si>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</si>
  <si>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</si>
  <si>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</si>
  <si>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</si>
  <si>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</si>
  <si>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</si>
  <si>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</si>
  <si>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</si>
  <si>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</si>
  <si>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</si>
  <si>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</si>
  <si>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</si>
  <si>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</si>
  <si>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</si>
  <si>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</si>
  <si>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</si>
  <si>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</si>
  <si>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</si>
  <si>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</si>
  <si>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</si>
  <si>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</si>
  <si>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</si>
  <si>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</si>
  <si>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</si>
  <si>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</si>
  <si>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</si>
  <si>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</si>
  <si>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</si>
  <si>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</si>
  <si>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</si>
  <si>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</si>
  <si>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</si>
  <si>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</si>
  <si>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</si>
  <si>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</si>
  <si>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</si>
  <si>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</si>
  <si>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</si>
  <si>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</si>
  <si>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</si>
  <si>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</si>
  <si>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</si>
  <si>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</si>
  <si>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</si>
  <si>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</si>
  <si>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</si>
  <si>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</si>
  <si>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</si>
  <si>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</si>
  <si>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</si>
  <si>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</si>
  <si>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</si>
  <si>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</si>
  <si>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</si>
  <si>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</si>
  <si>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</si>
  <si>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</si>
  <si>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</si>
  <si>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</si>
  <si>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</si>
  <si>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</si>
  <si>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</si>
  <si>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</si>
  <si>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</si>
  <si>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</si>
  <si>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D`ALIANÇA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</si>
  <si>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</si>
  <si>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</si>
  <si>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</si>
  <si>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</si>
  <si>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</si>
  <si>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</si>
  <si>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</si>
  <si>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</si>
  <si>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</si>
  <si>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</si>
  <si>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D`ABADIA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</si>
  <si>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</si>
  <si>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</si>
  <si>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</si>
  <si>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</si>
  <si>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</si>
  <si>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</si>
  <si>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</si>
  <si>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</si>
  <si>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</si>
  <si>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</si>
  <si>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</si>
  <si>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</si>
  <si>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</si>
  <si>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</si>
  <si>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</si>
  <si>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</si>
  <si>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</si>
  <si>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BRASILIA</t>
  </si>
  <si>
    <t>DF</t>
  </si>
  <si>
    <t>MUNICIPIO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</si>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</sst>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ixa-my.sharepoint.com/personal/c121733_corp_caixa_gov_br/Documents/&#193;rea%20de%20Trabalho/CURSO_CIENTISTA_DE_DADOS_ADA/PROJETO%20ADA%20-%201&#186;%20MODULO/PROJETO_GIT/IBGE_municipios_UF.xlsx" TargetMode="External"/><Relationship Id="rId1" Type="http://schemas.openxmlformats.org/officeDocument/2006/relationships/externalLinkPath" Target="IBGE_municipios_U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BGE"/>
      <sheetName val="LEIA-ME"/>
    </sheetNames>
    <sheetDataSet>
      <sheetData sheetId="0">
        <row r="2">
          <cell r="A2">
            <v>110001</v>
          </cell>
          <cell r="B2" t="str">
            <v>Alta Floresta D'Oeste</v>
          </cell>
          <cell r="C2" t="str">
            <v>RO</v>
          </cell>
        </row>
        <row r="3">
          <cell r="A3">
            <v>290000</v>
          </cell>
          <cell r="B3" t="str">
            <v>-</v>
          </cell>
          <cell r="C3" t="str">
            <v>BA</v>
          </cell>
        </row>
        <row r="4">
          <cell r="A4">
            <v>320000</v>
          </cell>
          <cell r="B4" t="str">
            <v>-</v>
          </cell>
          <cell r="C4" t="str">
            <v>ES</v>
          </cell>
        </row>
        <row r="5">
          <cell r="A5">
            <v>310000</v>
          </cell>
          <cell r="B5" t="str">
            <v>-</v>
          </cell>
          <cell r="C5" t="str">
            <v>MG</v>
          </cell>
        </row>
        <row r="6">
          <cell r="A6">
            <v>330000</v>
          </cell>
          <cell r="B6" t="str">
            <v>-</v>
          </cell>
          <cell r="C6" t="str">
            <v>RJ</v>
          </cell>
        </row>
        <row r="7">
          <cell r="A7">
            <v>350000</v>
          </cell>
          <cell r="B7" t="str">
            <v>-</v>
          </cell>
          <cell r="C7" t="str">
            <v>SP</v>
          </cell>
        </row>
        <row r="8">
          <cell r="A8">
            <v>150475</v>
          </cell>
          <cell r="B8" t="str">
            <v>Mojuí dos Campos</v>
          </cell>
          <cell r="C8" t="str">
            <v>PA</v>
          </cell>
        </row>
        <row r="9">
          <cell r="A9">
            <v>150000</v>
          </cell>
          <cell r="B9" t="str">
            <v>-</v>
          </cell>
          <cell r="C9" t="str">
            <v>PA</v>
          </cell>
        </row>
        <row r="10">
          <cell r="A10">
            <v>421265</v>
          </cell>
          <cell r="B10" t="str">
            <v>Pescaria Brava</v>
          </cell>
          <cell r="C10" t="str">
            <v>SC</v>
          </cell>
        </row>
        <row r="11">
          <cell r="A11">
            <v>510183</v>
          </cell>
          <cell r="B11" t="str">
            <v>Boa Esperança do Norte</v>
          </cell>
          <cell r="C11" t="str">
            <v>MT</v>
          </cell>
        </row>
        <row r="12">
          <cell r="A12">
            <v>210000</v>
          </cell>
          <cell r="B12" t="str">
            <v>-</v>
          </cell>
          <cell r="C12" t="str">
            <v>MA</v>
          </cell>
        </row>
        <row r="13">
          <cell r="A13">
            <v>260000</v>
          </cell>
          <cell r="B13" t="str">
            <v>-</v>
          </cell>
          <cell r="C13" t="str">
            <v>PE</v>
          </cell>
        </row>
        <row r="14">
          <cell r="A14">
            <v>422000</v>
          </cell>
          <cell r="B14" t="str">
            <v>-</v>
          </cell>
          <cell r="C14" t="str">
            <v>SC</v>
          </cell>
        </row>
        <row r="15">
          <cell r="A15">
            <v>520000</v>
          </cell>
          <cell r="B15" t="str">
            <v>-</v>
          </cell>
          <cell r="C15" t="str">
            <v>GO</v>
          </cell>
        </row>
        <row r="16">
          <cell r="A16">
            <v>410000</v>
          </cell>
          <cell r="B16" t="str">
            <v>-</v>
          </cell>
          <cell r="C16" t="str">
            <v>PR</v>
          </cell>
        </row>
        <row r="17">
          <cell r="A17">
            <v>431454</v>
          </cell>
          <cell r="B17" t="str">
            <v>Pinto Bandeira</v>
          </cell>
          <cell r="C17" t="str">
            <v>RS</v>
          </cell>
        </row>
        <row r="18">
          <cell r="A18">
            <v>220000</v>
          </cell>
          <cell r="B18" t="str">
            <v>-</v>
          </cell>
          <cell r="C18" t="str">
            <v>PI</v>
          </cell>
        </row>
        <row r="19">
          <cell r="A19">
            <v>420000</v>
          </cell>
          <cell r="B19" t="str">
            <v>-</v>
          </cell>
          <cell r="C19" t="str">
            <v>SC</v>
          </cell>
        </row>
        <row r="20">
          <cell r="A20">
            <v>130000</v>
          </cell>
          <cell r="B20" t="str">
            <v>-</v>
          </cell>
          <cell r="C20" t="str">
            <v>AM</v>
          </cell>
        </row>
        <row r="21">
          <cell r="A21">
            <v>110000</v>
          </cell>
          <cell r="B21" t="str">
            <v>-</v>
          </cell>
          <cell r="C21" t="str">
            <v>RO</v>
          </cell>
        </row>
        <row r="22">
          <cell r="A22">
            <v>250000</v>
          </cell>
          <cell r="B22" t="str">
            <v>-</v>
          </cell>
          <cell r="C22" t="str">
            <v>PB</v>
          </cell>
        </row>
        <row r="23">
          <cell r="A23">
            <v>170000</v>
          </cell>
          <cell r="B23" t="str">
            <v>-</v>
          </cell>
          <cell r="C23" t="str">
            <v>TO</v>
          </cell>
        </row>
        <row r="24">
          <cell r="A24">
            <v>510000</v>
          </cell>
          <cell r="B24" t="str">
            <v>-</v>
          </cell>
          <cell r="C24" t="str">
            <v>MT</v>
          </cell>
        </row>
        <row r="25">
          <cell r="A25">
            <v>240000</v>
          </cell>
          <cell r="B25" t="str">
            <v>-</v>
          </cell>
          <cell r="C25" t="str">
            <v>RN</v>
          </cell>
        </row>
        <row r="26">
          <cell r="A26">
            <v>230000</v>
          </cell>
          <cell r="B26" t="str">
            <v>-</v>
          </cell>
          <cell r="C26" t="str">
            <v>CE</v>
          </cell>
        </row>
        <row r="27">
          <cell r="A27">
            <v>500000</v>
          </cell>
          <cell r="B27" t="str">
            <v>-</v>
          </cell>
          <cell r="C27" t="str">
            <v>MS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F845-4278-4C9F-BB9D-5105CDDBE274}">
  <dimension ref="A1:C5581"/>
  <sheetViews>
    <sheetView tabSelected="1" workbookViewId="0"/>
  </sheetViews>
  <sheetFormatPr defaultRowHeight="14.5" x14ac:dyDescent="0.35"/>
  <cols>
    <col min="1" max="1" width="11.81640625" style="2" customWidth="1"/>
    <col min="2" max="2" width="31.453125" bestFit="1" customWidth="1"/>
    <col min="3" max="3" width="3.6328125" bestFit="1" customWidth="1"/>
  </cols>
  <sheetData>
    <row r="1" spans="1:3" x14ac:dyDescent="0.35">
      <c r="A1" s="2" t="s">
        <v>0</v>
      </c>
      <c r="B1" t="s">
        <v>5674</v>
      </c>
      <c r="C1" t="s">
        <v>5675</v>
      </c>
    </row>
    <row r="2" spans="1:3" x14ac:dyDescent="0.35">
      <c r="A2">
        <v>355030</v>
      </c>
      <c r="B2" t="str">
        <f>VLOOKUP(A2,Planilha2!$A$2:$C$5566,3,0)</f>
        <v>SÃO PAULO</v>
      </c>
      <c r="C2" t="str">
        <f>VLOOKUP(A2,Planilha2!$A$2:$D$5566,4,0)</f>
        <v>SP</v>
      </c>
    </row>
    <row r="3" spans="1:3" x14ac:dyDescent="0.35">
      <c r="A3">
        <v>120030</v>
      </c>
      <c r="B3" t="str">
        <f>VLOOKUP(A3,Planilha2!$A$2:$C$5566,3,0)</f>
        <v>FEIJÓ</v>
      </c>
      <c r="C3" t="str">
        <f>VLOOKUP(A3,Planilha2!$A$2:$D$5566,4,0)</f>
        <v>AC</v>
      </c>
    </row>
    <row r="4" spans="1:3" x14ac:dyDescent="0.35">
      <c r="A4">
        <v>251600</v>
      </c>
      <c r="B4" t="str">
        <f>VLOOKUP(A4,Planilha2!$A$2:$C$5566,3,0)</f>
        <v>SOLÂNEA</v>
      </c>
      <c r="C4" t="str">
        <f>VLOOKUP(A4,Planilha2!$A$2:$D$5566,4,0)</f>
        <v>PB</v>
      </c>
    </row>
    <row r="5" spans="1:3" x14ac:dyDescent="0.35">
      <c r="A5">
        <v>260290</v>
      </c>
      <c r="B5" t="str">
        <f>VLOOKUP(A5,Planilha2!$A$2:$C$5566,3,0)</f>
        <v>CABO DE SANTO AGOSTINHO</v>
      </c>
      <c r="C5" t="str">
        <f>VLOOKUP(A5,Planilha2!$A$2:$D$5566,4,0)</f>
        <v>PE</v>
      </c>
    </row>
    <row r="6" spans="1:3" x14ac:dyDescent="0.35">
      <c r="A6">
        <v>230210</v>
      </c>
      <c r="B6" t="str">
        <f>VLOOKUP(A6,Planilha2!$A$2:$C$5566,3,0)</f>
        <v>BATURITÉ</v>
      </c>
      <c r="C6" t="str">
        <f>VLOOKUP(A6,Planilha2!$A$2:$D$5566,4,0)</f>
        <v>CE</v>
      </c>
    </row>
    <row r="7" spans="1:3" x14ac:dyDescent="0.35">
      <c r="A7">
        <v>221100</v>
      </c>
      <c r="B7" t="str">
        <f>VLOOKUP(A7,Planilha2!$A$2:$C$5566,3,0)</f>
        <v>TERESINA</v>
      </c>
      <c r="C7" t="str">
        <f>VLOOKUP(A7,Planilha2!$A$2:$D$5566,4,0)</f>
        <v>PI</v>
      </c>
    </row>
    <row r="8" spans="1:3" x14ac:dyDescent="0.35">
      <c r="A8">
        <v>171330</v>
      </c>
      <c r="B8" t="str">
        <f>VLOOKUP(A8,Planilha2!$A$2:$C$5566,3,0)</f>
        <v>MIRANORTE</v>
      </c>
      <c r="C8" t="str">
        <f>VLOOKUP(A8,Planilha2!$A$2:$D$5566,4,0)</f>
        <v>TO</v>
      </c>
    </row>
    <row r="9" spans="1:3" x14ac:dyDescent="0.35">
      <c r="A9">
        <v>110010</v>
      </c>
      <c r="B9" t="str">
        <f>VLOOKUP(A9,Planilha2!$A$2:$C$5566,3,0)</f>
        <v>GUAJARÁ-MIRIM</v>
      </c>
      <c r="C9" t="str">
        <f>VLOOKUP(A9,Planilha2!$A$2:$D$5566,4,0)</f>
        <v>RO</v>
      </c>
    </row>
    <row r="10" spans="1:3" x14ac:dyDescent="0.35">
      <c r="A10">
        <v>140010</v>
      </c>
      <c r="B10" t="str">
        <f>VLOOKUP(A10,Planilha2!$A$2:$C$5566,3,0)</f>
        <v>BOA VISTA</v>
      </c>
      <c r="C10" t="str">
        <f>VLOOKUP(A10,Planilha2!$A$2:$D$5566,4,0)</f>
        <v>RR</v>
      </c>
    </row>
    <row r="11" spans="1:3" x14ac:dyDescent="0.35">
      <c r="A11">
        <v>320240</v>
      </c>
      <c r="B11" t="str">
        <f>VLOOKUP(A11,Planilha2!$A$2:$C$5566,3,0)</f>
        <v>GUARAPARI</v>
      </c>
      <c r="C11" t="str">
        <f>VLOOKUP(A11,Planilha2!$A$2:$D$5566,4,0)</f>
        <v>ES</v>
      </c>
    </row>
    <row r="12" spans="1:3" x14ac:dyDescent="0.35">
      <c r="A12">
        <v>320380</v>
      </c>
      <c r="B12" t="str">
        <f>VLOOKUP(A12,Planilha2!$A$2:$C$5566,3,0)</f>
        <v>MUQUI</v>
      </c>
      <c r="C12" t="str">
        <f>VLOOKUP(A12,Planilha2!$A$2:$D$5566,4,0)</f>
        <v>ES</v>
      </c>
    </row>
    <row r="13" spans="1:3" x14ac:dyDescent="0.35">
      <c r="A13">
        <v>352420</v>
      </c>
      <c r="B13" t="str">
        <f>VLOOKUP(A13,Planilha2!$A$2:$C$5566,3,0)</f>
        <v>JABORANDI</v>
      </c>
      <c r="C13" t="str">
        <f>VLOOKUP(A13,Planilha2!$A$2:$D$5566,4,0)</f>
        <v>SP</v>
      </c>
    </row>
    <row r="14" spans="1:3" x14ac:dyDescent="0.35">
      <c r="A14">
        <v>410180</v>
      </c>
      <c r="B14" t="str">
        <f>VLOOKUP(A14,Planilha2!$A$2:$C$5566,3,0)</f>
        <v>ARAUCÁRIA</v>
      </c>
      <c r="C14" t="str">
        <f>VLOOKUP(A14,Planilha2!$A$2:$D$5566,4,0)</f>
        <v>PR</v>
      </c>
    </row>
    <row r="15" spans="1:3" x14ac:dyDescent="0.35">
      <c r="A15">
        <v>420320</v>
      </c>
      <c r="B15" t="str">
        <f>VLOOKUP(A15,Planilha2!$A$2:$C$5566,3,0)</f>
        <v>CAMBORIU</v>
      </c>
      <c r="C15" t="str">
        <f>VLOOKUP(A15,Planilha2!$A$2:$D$5566,4,0)</f>
        <v>SC</v>
      </c>
    </row>
    <row r="16" spans="1:3" x14ac:dyDescent="0.35">
      <c r="A16">
        <v>420600</v>
      </c>
      <c r="B16" t="str">
        <f>VLOOKUP(A16,Planilha2!$A$2:$C$5566,3,0)</f>
        <v>GOVERNADOR CELSO RAMOS</v>
      </c>
      <c r="C16" t="str">
        <f>VLOOKUP(A16,Planilha2!$A$2:$D$5566,4,0)</f>
        <v>SC</v>
      </c>
    </row>
    <row r="17" spans="1:3" x14ac:dyDescent="0.35">
      <c r="A17">
        <v>430700</v>
      </c>
      <c r="B17" t="str">
        <f>VLOOKUP(A17,Planilha2!$A$2:$C$5566,3,0)</f>
        <v>ERECHIM</v>
      </c>
      <c r="C17" t="str">
        <f>VLOOKUP(A17,Planilha2!$A$2:$D$5566,4,0)</f>
        <v>RS</v>
      </c>
    </row>
    <row r="18" spans="1:3" x14ac:dyDescent="0.35">
      <c r="A18">
        <v>431050</v>
      </c>
      <c r="B18" t="str">
        <f>VLOOKUP(A18,Planilha2!$A$2:$C$5566,3,0)</f>
        <v>IRAÍ</v>
      </c>
      <c r="C18" t="str">
        <f>VLOOKUP(A18,Planilha2!$A$2:$D$5566,4,0)</f>
        <v>RS</v>
      </c>
    </row>
    <row r="19" spans="1:3" x14ac:dyDescent="0.35">
      <c r="A19">
        <v>431140</v>
      </c>
      <c r="B19" t="str">
        <f>VLOOKUP(A19,Planilha2!$A$2:$C$5566,3,0)</f>
        <v>LAJEADO</v>
      </c>
      <c r="C19" t="str">
        <f>VLOOKUP(A19,Planilha2!$A$2:$D$5566,4,0)</f>
        <v>RS</v>
      </c>
    </row>
    <row r="20" spans="1:3" x14ac:dyDescent="0.35">
      <c r="A20">
        <v>431000</v>
      </c>
      <c r="B20" t="str">
        <f>VLOOKUP(A20,Planilha2!$A$2:$C$5566,3,0)</f>
        <v>IBIRUBÁ</v>
      </c>
      <c r="C20" t="str">
        <f>VLOOKUP(A20,Planilha2!$A$2:$D$5566,4,0)</f>
        <v>RS</v>
      </c>
    </row>
    <row r="21" spans="1:3" x14ac:dyDescent="0.35">
      <c r="A21">
        <v>432030</v>
      </c>
      <c r="B21" t="str">
        <f>VLOOKUP(A21,Planilha2!$A$2:$C$5566,3,0)</f>
        <v>SELBACH</v>
      </c>
      <c r="C21" t="str">
        <f>VLOOKUP(A21,Planilha2!$A$2:$D$5566,4,0)</f>
        <v>RS</v>
      </c>
    </row>
    <row r="22" spans="1:3" x14ac:dyDescent="0.35">
      <c r="A22">
        <v>431555</v>
      </c>
      <c r="B22" t="str">
        <f>VLOOKUP(A22,Planilha2!$A$2:$C$5566,3,0)</f>
        <v>RIO DOS ÍNDIOS</v>
      </c>
      <c r="C22" t="str">
        <f>VLOOKUP(A22,Planilha2!$A$2:$D$5566,4,0)</f>
        <v>RS</v>
      </c>
    </row>
    <row r="23" spans="1:3" x14ac:dyDescent="0.35">
      <c r="A23">
        <v>521710</v>
      </c>
      <c r="B23" t="str">
        <f>VLOOKUP(A23,Planilha2!$A$2:$C$5566,3,0)</f>
        <v>PIRACANJUBA</v>
      </c>
      <c r="C23" t="str">
        <f>VLOOKUP(A23,Planilha2!$A$2:$D$5566,4,0)</f>
        <v>GO</v>
      </c>
    </row>
    <row r="24" spans="1:3" x14ac:dyDescent="0.35">
      <c r="A24">
        <v>150013</v>
      </c>
      <c r="B24" t="str">
        <f>VLOOKUP(A24,Planilha2!$A$2:$C$5566,3,0)</f>
        <v>ABEL FIGUEIREDO</v>
      </c>
      <c r="C24" t="str">
        <f>VLOOKUP(A24,Planilha2!$A$2:$D$5566,4,0)</f>
        <v>PA</v>
      </c>
    </row>
    <row r="25" spans="1:3" x14ac:dyDescent="0.35">
      <c r="A25">
        <v>150506</v>
      </c>
      <c r="B25" t="str">
        <f>VLOOKUP(A25,Planilha2!$A$2:$C$5566,3,0)</f>
        <v>NOVO REPARTIMENTO</v>
      </c>
      <c r="C25" t="str">
        <f>VLOOKUP(A25,Planilha2!$A$2:$D$5566,4,0)</f>
        <v>PA</v>
      </c>
    </row>
    <row r="26" spans="1:3" x14ac:dyDescent="0.35">
      <c r="A26">
        <v>150553</v>
      </c>
      <c r="B26" t="str">
        <f>VLOOKUP(A26,Planilha2!$A$2:$C$5566,3,0)</f>
        <v>PARAUAPEBAS</v>
      </c>
      <c r="C26" t="str">
        <f>VLOOKUP(A26,Planilha2!$A$2:$D$5566,4,0)</f>
        <v>PA</v>
      </c>
    </row>
    <row r="27" spans="1:3" x14ac:dyDescent="0.35">
      <c r="A27">
        <v>210230</v>
      </c>
      <c r="B27" t="str">
        <f>VLOOKUP(A27,Planilha2!$A$2:$C$5566,3,0)</f>
        <v>BURITI BRAVO</v>
      </c>
      <c r="C27" t="str">
        <f>VLOOKUP(A27,Planilha2!$A$2:$D$5566,4,0)</f>
        <v>MA</v>
      </c>
    </row>
    <row r="28" spans="1:3" x14ac:dyDescent="0.35">
      <c r="A28">
        <v>150215</v>
      </c>
      <c r="B28" t="str">
        <f>VLOOKUP(A28,Planilha2!$A$2:$C$5566,3,0)</f>
        <v>CANAÃ DOS CARAJÁS</v>
      </c>
      <c r="C28" t="str">
        <f>VLOOKUP(A28,Planilha2!$A$2:$D$5566,4,0)</f>
        <v>PA</v>
      </c>
    </row>
    <row r="29" spans="1:3" x14ac:dyDescent="0.35">
      <c r="A29">
        <v>150380</v>
      </c>
      <c r="B29" t="str">
        <f>VLOOKUP(A29,Planilha2!$A$2:$C$5566,3,0)</f>
        <v>JACUNDÁ</v>
      </c>
      <c r="C29" t="str">
        <f>VLOOKUP(A29,Planilha2!$A$2:$D$5566,4,0)</f>
        <v>PA</v>
      </c>
    </row>
    <row r="30" spans="1:3" x14ac:dyDescent="0.35">
      <c r="A30">
        <v>150618</v>
      </c>
      <c r="B30" t="str">
        <f>VLOOKUP(A30,Planilha2!$A$2:$C$5566,3,0)</f>
        <v>RONDON DO PARÁ</v>
      </c>
      <c r="C30" t="str">
        <f>VLOOKUP(A30,Planilha2!$A$2:$D$5566,4,0)</f>
        <v>PA</v>
      </c>
    </row>
    <row r="31" spans="1:3" x14ac:dyDescent="0.35">
      <c r="A31">
        <v>150715</v>
      </c>
      <c r="B31" t="str">
        <f>VLOOKUP(A31,Planilha2!$A$2:$C$5566,3,0)</f>
        <v>SÃO DOMINGOS DO ARAGUAIA</v>
      </c>
      <c r="C31" t="str">
        <f>VLOOKUP(A31,Planilha2!$A$2:$D$5566,4,0)</f>
        <v>PA</v>
      </c>
    </row>
    <row r="32" spans="1:3" x14ac:dyDescent="0.35">
      <c r="A32">
        <v>150295</v>
      </c>
      <c r="B32" t="str">
        <f>VLOOKUP(A32,Planilha2!$A$2:$C$5566,3,0)</f>
        <v>ELDORADO DOS CARAJÁS</v>
      </c>
      <c r="C32" t="str">
        <f>VLOOKUP(A32,Planilha2!$A$2:$D$5566,4,0)</f>
        <v>PA</v>
      </c>
    </row>
    <row r="33" spans="1:3" x14ac:dyDescent="0.35">
      <c r="A33">
        <v>150175</v>
      </c>
      <c r="B33" t="str">
        <f>VLOOKUP(A33,Planilha2!$A$2:$C$5566,3,0)</f>
        <v>BREJO GRANDE DO ARAGUAIA</v>
      </c>
      <c r="C33" t="str">
        <f>VLOOKUP(A33,Planilha2!$A$2:$D$5566,4,0)</f>
        <v>PA</v>
      </c>
    </row>
    <row r="34" spans="1:3" x14ac:dyDescent="0.35">
      <c r="A34">
        <v>150420</v>
      </c>
      <c r="B34" t="str">
        <f>VLOOKUP(A34,Planilha2!$A$2:$C$5566,3,0)</f>
        <v>MARABÁ</v>
      </c>
      <c r="C34" t="str">
        <f>VLOOKUP(A34,Planilha2!$A$2:$D$5566,4,0)</f>
        <v>PA</v>
      </c>
    </row>
    <row r="35" spans="1:3" x14ac:dyDescent="0.35">
      <c r="A35">
        <v>150370</v>
      </c>
      <c r="B35" t="str">
        <f>VLOOKUP(A35,Planilha2!$A$2:$C$5566,3,0)</f>
        <v>ITUPIRANGA</v>
      </c>
      <c r="C35" t="str">
        <f>VLOOKUP(A35,Planilha2!$A$2:$D$5566,4,0)</f>
        <v>PA</v>
      </c>
    </row>
    <row r="36" spans="1:3" x14ac:dyDescent="0.35">
      <c r="A36">
        <v>150745</v>
      </c>
      <c r="B36" t="str">
        <f>VLOOKUP(A36,Planilha2!$A$2:$C$5566,3,0)</f>
        <v>SÃO GERALDO DO ARAGUAIA</v>
      </c>
      <c r="C36" t="str">
        <f>VLOOKUP(A36,Planilha2!$A$2:$D$5566,4,0)</f>
        <v>PA</v>
      </c>
    </row>
    <row r="37" spans="1:3" x14ac:dyDescent="0.35">
      <c r="A37">
        <v>150178</v>
      </c>
      <c r="B37" t="str">
        <f>VLOOKUP(A37,Planilha2!$A$2:$C$5566,3,0)</f>
        <v>BREU BRANCO</v>
      </c>
      <c r="C37" t="str">
        <f>VLOOKUP(A37,Planilha2!$A$2:$D$5566,4,0)</f>
        <v>PA</v>
      </c>
    </row>
    <row r="38" spans="1:3" x14ac:dyDescent="0.35">
      <c r="A38">
        <v>150810</v>
      </c>
      <c r="B38" t="str">
        <f>VLOOKUP(A38,Planilha2!$A$2:$C$5566,3,0)</f>
        <v>TUCURUÍ</v>
      </c>
      <c r="C38" t="str">
        <f>VLOOKUP(A38,Planilha2!$A$2:$D$5566,4,0)</f>
        <v>PA</v>
      </c>
    </row>
    <row r="39" spans="1:3" x14ac:dyDescent="0.35">
      <c r="A39">
        <v>150590</v>
      </c>
      <c r="B39" t="str">
        <f>VLOOKUP(A39,Planilha2!$A$2:$C$5566,3,0)</f>
        <v>PORTO DE MOZ</v>
      </c>
      <c r="C39" t="str">
        <f>VLOOKUP(A39,Planilha2!$A$2:$D$5566,4,0)</f>
        <v>PA</v>
      </c>
    </row>
    <row r="40" spans="1:3" x14ac:dyDescent="0.35">
      <c r="A40">
        <v>150600</v>
      </c>
      <c r="B40" t="str">
        <f>VLOOKUP(A40,Planilha2!$A$2:$C$5566,3,0)</f>
        <v>PRAINHA</v>
      </c>
      <c r="C40" t="str">
        <f>VLOOKUP(A40,Planilha2!$A$2:$D$5566,4,0)</f>
        <v>PA</v>
      </c>
    </row>
    <row r="41" spans="1:3" x14ac:dyDescent="0.35">
      <c r="A41">
        <v>150530</v>
      </c>
      <c r="B41" t="str">
        <f>VLOOKUP(A41,Planilha2!$A$2:$C$5566,3,0)</f>
        <v>ORIXIMINÁ</v>
      </c>
      <c r="C41" t="str">
        <f>VLOOKUP(A41,Planilha2!$A$2:$D$5566,4,0)</f>
        <v>PA</v>
      </c>
    </row>
    <row r="42" spans="1:3" x14ac:dyDescent="0.35">
      <c r="A42">
        <v>150503</v>
      </c>
      <c r="B42" t="str">
        <f>VLOOKUP(A42,Planilha2!$A$2:$C$5566,3,0)</f>
        <v>NOVO PROGRESSO</v>
      </c>
      <c r="C42" t="str">
        <f>VLOOKUP(A42,Planilha2!$A$2:$D$5566,4,0)</f>
        <v>PA</v>
      </c>
    </row>
    <row r="43" spans="1:3" x14ac:dyDescent="0.35">
      <c r="A43">
        <v>150360</v>
      </c>
      <c r="B43" t="str">
        <f>VLOOKUP(A43,Planilha2!$A$2:$C$5566,3,0)</f>
        <v>ITAITUBA</v>
      </c>
      <c r="C43" t="str">
        <f>VLOOKUP(A43,Planilha2!$A$2:$D$5566,4,0)</f>
        <v>PA</v>
      </c>
    </row>
    <row r="44" spans="1:3" x14ac:dyDescent="0.35">
      <c r="A44">
        <v>150375</v>
      </c>
      <c r="B44" t="str">
        <f>VLOOKUP(A44,Planilha2!$A$2:$C$5566,3,0)</f>
        <v>JACAREACANGA</v>
      </c>
      <c r="C44" t="str">
        <f>VLOOKUP(A44,Planilha2!$A$2:$D$5566,4,0)</f>
        <v>PA</v>
      </c>
    </row>
    <row r="45" spans="1:3" x14ac:dyDescent="0.35">
      <c r="A45">
        <v>150480</v>
      </c>
      <c r="B45" t="str">
        <f>VLOOKUP(A45,Planilha2!$A$2:$C$5566,3,0)</f>
        <v>MONTE ALEGRE</v>
      </c>
      <c r="C45" t="str">
        <f>VLOOKUP(A45,Planilha2!$A$2:$D$5566,4,0)</f>
        <v>PA</v>
      </c>
    </row>
    <row r="46" spans="1:3" x14ac:dyDescent="0.35">
      <c r="A46">
        <v>150510</v>
      </c>
      <c r="B46" t="str">
        <f>VLOOKUP(A46,Planilha2!$A$2:$C$5566,3,0)</f>
        <v>ÓBIDOS</v>
      </c>
      <c r="C46" t="str">
        <f>VLOOKUP(A46,Planilha2!$A$2:$D$5566,4,0)</f>
        <v>PA</v>
      </c>
    </row>
    <row r="47" spans="1:3" x14ac:dyDescent="0.35">
      <c r="A47">
        <v>150680</v>
      </c>
      <c r="B47" t="str">
        <f>VLOOKUP(A47,Planilha2!$A$2:$C$5566,3,0)</f>
        <v>SANTARÉM</v>
      </c>
      <c r="C47" t="str">
        <f>VLOOKUP(A47,Planilha2!$A$2:$D$5566,4,0)</f>
        <v>PA</v>
      </c>
    </row>
    <row r="48" spans="1:3" x14ac:dyDescent="0.35">
      <c r="A48">
        <v>150630</v>
      </c>
      <c r="B48" t="str">
        <f>VLOOKUP(A48,Planilha2!$A$2:$C$5566,3,0)</f>
        <v>SALVATERRA</v>
      </c>
      <c r="C48" t="str">
        <f>VLOOKUP(A48,Planilha2!$A$2:$D$5566,4,0)</f>
        <v>PA</v>
      </c>
    </row>
    <row r="49" spans="1:3" x14ac:dyDescent="0.35">
      <c r="A49">
        <v>150470</v>
      </c>
      <c r="B49" t="str">
        <f>VLOOKUP(A49,Planilha2!$A$2:$C$5566,3,0)</f>
        <v>MOJU</v>
      </c>
      <c r="C49" t="str">
        <f>VLOOKUP(A49,Planilha2!$A$2:$D$5566,4,0)</f>
        <v>PA</v>
      </c>
    </row>
    <row r="50" spans="1:3" x14ac:dyDescent="0.35">
      <c r="A50">
        <v>150330</v>
      </c>
      <c r="B50" t="str">
        <f>VLOOKUP(A50,Planilha2!$A$2:$C$5566,3,0)</f>
        <v>IGARAPÉ-MIRI</v>
      </c>
      <c r="C50" t="str">
        <f>VLOOKUP(A50,Planilha2!$A$2:$D$5566,4,0)</f>
        <v>PA</v>
      </c>
    </row>
    <row r="51" spans="1:3" x14ac:dyDescent="0.35">
      <c r="A51">
        <v>150130</v>
      </c>
      <c r="B51" t="str">
        <f>VLOOKUP(A51,Planilha2!$A$2:$C$5566,3,0)</f>
        <v>BARCARENA</v>
      </c>
      <c r="C51" t="str">
        <f>VLOOKUP(A51,Planilha2!$A$2:$D$5566,4,0)</f>
        <v>PA</v>
      </c>
    </row>
    <row r="52" spans="1:3" x14ac:dyDescent="0.35">
      <c r="A52">
        <v>150200</v>
      </c>
      <c r="B52" t="str">
        <f>VLOOKUP(A52,Planilha2!$A$2:$C$5566,3,0)</f>
        <v>CACHOEIRA DO ARARI</v>
      </c>
      <c r="C52" t="str">
        <f>VLOOKUP(A52,Planilha2!$A$2:$D$5566,4,0)</f>
        <v>PA</v>
      </c>
    </row>
    <row r="53" spans="1:3" x14ac:dyDescent="0.35">
      <c r="A53">
        <v>150010</v>
      </c>
      <c r="B53" t="str">
        <f>VLOOKUP(A53,Planilha2!$A$2:$C$5566,3,0)</f>
        <v>ABAETETUBA</v>
      </c>
      <c r="C53" t="str">
        <f>VLOOKUP(A53,Planilha2!$A$2:$D$5566,4,0)</f>
        <v>PA</v>
      </c>
    </row>
    <row r="54" spans="1:3" x14ac:dyDescent="0.35">
      <c r="A54">
        <v>150812</v>
      </c>
      <c r="B54" t="str">
        <f>VLOOKUP(A54,Planilha2!$A$2:$C$5566,3,0)</f>
        <v>ULIANÓPOLIS</v>
      </c>
      <c r="C54" t="str">
        <f>VLOOKUP(A54,Planilha2!$A$2:$D$5566,4,0)</f>
        <v>PA</v>
      </c>
    </row>
    <row r="55" spans="1:3" x14ac:dyDescent="0.35">
      <c r="A55">
        <v>150550</v>
      </c>
      <c r="B55" t="str">
        <f>VLOOKUP(A55,Planilha2!$A$2:$C$5566,3,0)</f>
        <v>PARAGOMINAS</v>
      </c>
      <c r="C55" t="str">
        <f>VLOOKUP(A55,Planilha2!$A$2:$D$5566,4,0)</f>
        <v>PA</v>
      </c>
    </row>
    <row r="56" spans="1:3" x14ac:dyDescent="0.35">
      <c r="A56">
        <v>150345</v>
      </c>
      <c r="B56" t="str">
        <f>VLOOKUP(A56,Planilha2!$A$2:$C$5566,3,0)</f>
        <v>IPIXUNA DO PARÁ</v>
      </c>
      <c r="C56" t="str">
        <f>VLOOKUP(A56,Planilha2!$A$2:$D$5566,4,0)</f>
        <v>PA</v>
      </c>
    </row>
    <row r="57" spans="1:3" x14ac:dyDescent="0.35">
      <c r="A57">
        <v>150405</v>
      </c>
      <c r="B57" t="str">
        <f>VLOOKUP(A57,Planilha2!$A$2:$C$5566,3,0)</f>
        <v>MÃE DO RIO</v>
      </c>
      <c r="C57" t="str">
        <f>VLOOKUP(A57,Planilha2!$A$2:$D$5566,4,0)</f>
        <v>PA</v>
      </c>
    </row>
    <row r="58" spans="1:3" x14ac:dyDescent="0.35">
      <c r="A58">
        <v>150140</v>
      </c>
      <c r="B58" t="str">
        <f>VLOOKUP(A58,Planilha2!$A$2:$C$5566,3,0)</f>
        <v>BELÉM</v>
      </c>
      <c r="C58" t="str">
        <f>VLOOKUP(A58,Planilha2!$A$2:$D$5566,4,0)</f>
        <v>PA</v>
      </c>
    </row>
    <row r="59" spans="1:3" x14ac:dyDescent="0.35">
      <c r="A59">
        <v>150260</v>
      </c>
      <c r="B59" t="str">
        <f>VLOOKUP(A59,Planilha2!$A$2:$C$5566,3,0)</f>
        <v>COLARES</v>
      </c>
      <c r="C59" t="str">
        <f>VLOOKUP(A59,Planilha2!$A$2:$D$5566,4,0)</f>
        <v>PA</v>
      </c>
    </row>
    <row r="60" spans="1:3" x14ac:dyDescent="0.35">
      <c r="A60">
        <v>150080</v>
      </c>
      <c r="B60" t="str">
        <f>VLOOKUP(A60,Planilha2!$A$2:$C$5566,3,0)</f>
        <v>ANANINDEUA</v>
      </c>
      <c r="C60" t="str">
        <f>VLOOKUP(A60,Planilha2!$A$2:$D$5566,4,0)</f>
        <v>PA</v>
      </c>
    </row>
    <row r="61" spans="1:3" x14ac:dyDescent="0.35">
      <c r="A61">
        <v>150150</v>
      </c>
      <c r="B61" t="str">
        <f>VLOOKUP(A61,Planilha2!$A$2:$C$5566,3,0)</f>
        <v>BENEVIDES</v>
      </c>
      <c r="C61" t="str">
        <f>VLOOKUP(A61,Planilha2!$A$2:$D$5566,4,0)</f>
        <v>PA</v>
      </c>
    </row>
    <row r="62" spans="1:3" x14ac:dyDescent="0.35">
      <c r="A62">
        <v>150190</v>
      </c>
      <c r="B62" t="str">
        <f>VLOOKUP(A62,Planilha2!$A$2:$C$5566,3,0)</f>
        <v>BUJARU</v>
      </c>
      <c r="C62" t="str">
        <f>VLOOKUP(A62,Planilha2!$A$2:$D$5566,4,0)</f>
        <v>PA</v>
      </c>
    </row>
    <row r="63" spans="1:3" x14ac:dyDescent="0.35">
      <c r="A63">
        <v>150700</v>
      </c>
      <c r="B63" t="str">
        <f>VLOOKUP(A63,Planilha2!$A$2:$C$5566,3,0)</f>
        <v>SANTO ANTÔNIO DO TAUÁ</v>
      </c>
      <c r="C63" t="str">
        <f>VLOOKUP(A63,Planilha2!$A$2:$D$5566,4,0)</f>
        <v>PA</v>
      </c>
    </row>
    <row r="64" spans="1:3" x14ac:dyDescent="0.35">
      <c r="A64">
        <v>150495</v>
      </c>
      <c r="B64" t="str">
        <f>VLOOKUP(A64,Planilha2!$A$2:$C$5566,3,0)</f>
        <v>NOVA ESPERANÇA DO PIRIÁ</v>
      </c>
      <c r="C64" t="str">
        <f>VLOOKUP(A64,Planilha2!$A$2:$D$5566,4,0)</f>
        <v>PA</v>
      </c>
    </row>
    <row r="65" spans="1:3" x14ac:dyDescent="0.35">
      <c r="A65">
        <v>150090</v>
      </c>
      <c r="B65" t="str">
        <f>VLOOKUP(A65,Planilha2!$A$2:$C$5566,3,0)</f>
        <v>AUGUSTO CORRÊA</v>
      </c>
      <c r="C65" t="str">
        <f>VLOOKUP(A65,Planilha2!$A$2:$D$5566,4,0)</f>
        <v>PA</v>
      </c>
    </row>
    <row r="66" spans="1:3" x14ac:dyDescent="0.35">
      <c r="A66">
        <v>150060</v>
      </c>
      <c r="B66" t="str">
        <f>VLOOKUP(A66,Planilha2!$A$2:$C$5566,3,0)</f>
        <v>ALTAMIRA</v>
      </c>
      <c r="C66" t="str">
        <f>VLOOKUP(A66,Planilha2!$A$2:$D$5566,4,0)</f>
        <v>PA</v>
      </c>
    </row>
    <row r="67" spans="1:3" x14ac:dyDescent="0.35">
      <c r="A67">
        <v>150442</v>
      </c>
      <c r="B67" t="str">
        <f>VLOOKUP(A67,Planilha2!$A$2:$C$5566,3,0)</f>
        <v>MARITUBA</v>
      </c>
      <c r="C67" t="str">
        <f>VLOOKUP(A67,Planilha2!$A$2:$D$5566,4,0)</f>
        <v>PA</v>
      </c>
    </row>
    <row r="68" spans="1:3" x14ac:dyDescent="0.35">
      <c r="A68">
        <v>150210</v>
      </c>
      <c r="B68" t="str">
        <f>VLOOKUP(A68,Planilha2!$A$2:$C$5566,3,0)</f>
        <v>CAMETÁ</v>
      </c>
      <c r="C68" t="str">
        <f>VLOOKUP(A68,Planilha2!$A$2:$D$5566,4,0)</f>
        <v>PA</v>
      </c>
    </row>
    <row r="69" spans="1:3" x14ac:dyDescent="0.35">
      <c r="A69">
        <v>150620</v>
      </c>
      <c r="B69" t="str">
        <f>VLOOKUP(A69,Planilha2!$A$2:$C$5566,3,0)</f>
        <v>SALINÓPOLIS</v>
      </c>
      <c r="C69" t="str">
        <f>VLOOKUP(A69,Planilha2!$A$2:$D$5566,4,0)</f>
        <v>PA</v>
      </c>
    </row>
    <row r="70" spans="1:3" x14ac:dyDescent="0.35">
      <c r="A70">
        <v>210312</v>
      </c>
      <c r="B70" t="str">
        <f>VLOOKUP(A70,Planilha2!$A$2:$C$5566,3,0)</f>
        <v>CENTRAL DO MARANHÃO</v>
      </c>
      <c r="C70" t="str">
        <f>VLOOKUP(A70,Planilha2!$A$2:$D$5566,4,0)</f>
        <v>MA</v>
      </c>
    </row>
    <row r="71" spans="1:3" x14ac:dyDescent="0.35">
      <c r="A71">
        <v>150220</v>
      </c>
      <c r="B71" t="str">
        <f>VLOOKUP(A71,Planilha2!$A$2:$C$5566,3,0)</f>
        <v>CAPANEMA</v>
      </c>
      <c r="C71" t="str">
        <f>VLOOKUP(A71,Planilha2!$A$2:$D$5566,4,0)</f>
        <v>PA</v>
      </c>
    </row>
    <row r="72" spans="1:3" x14ac:dyDescent="0.35">
      <c r="A72">
        <v>150830</v>
      </c>
      <c r="B72" t="str">
        <f>VLOOKUP(A72,Planilha2!$A$2:$C$5566,3,0)</f>
        <v>VISEU</v>
      </c>
      <c r="C72" t="str">
        <f>VLOOKUP(A72,Planilha2!$A$2:$D$5566,4,0)</f>
        <v>PA</v>
      </c>
    </row>
    <row r="73" spans="1:3" x14ac:dyDescent="0.35">
      <c r="A73">
        <v>150170</v>
      </c>
      <c r="B73" t="str">
        <f>VLOOKUP(A73,Planilha2!$A$2:$C$5566,3,0)</f>
        <v>BRAGANÇA</v>
      </c>
      <c r="C73" t="str">
        <f>VLOOKUP(A73,Planilha2!$A$2:$D$5566,4,0)</f>
        <v>PA</v>
      </c>
    </row>
    <row r="74" spans="1:3" x14ac:dyDescent="0.35">
      <c r="A74">
        <v>150747</v>
      </c>
      <c r="B74" t="str">
        <f>VLOOKUP(A74,Planilha2!$A$2:$C$5566,3,0)</f>
        <v>SÃO JOÃO DE PIRABAS</v>
      </c>
      <c r="C74" t="str">
        <f>VLOOKUP(A74,Planilha2!$A$2:$D$5566,4,0)</f>
        <v>PA</v>
      </c>
    </row>
    <row r="75" spans="1:3" x14ac:dyDescent="0.35">
      <c r="A75">
        <v>150180</v>
      </c>
      <c r="B75" t="str">
        <f>VLOOKUP(A75,Planilha2!$A$2:$C$5566,3,0)</f>
        <v>BREVES</v>
      </c>
      <c r="C75" t="str">
        <f>VLOOKUP(A75,Planilha2!$A$2:$D$5566,4,0)</f>
        <v>PA</v>
      </c>
    </row>
    <row r="76" spans="1:3" x14ac:dyDescent="0.35">
      <c r="A76">
        <v>150230</v>
      </c>
      <c r="B76" t="str">
        <f>VLOOKUP(A76,Planilha2!$A$2:$C$5566,3,0)</f>
        <v>CAPITÃO POÇO</v>
      </c>
      <c r="C76" t="str">
        <f>VLOOKUP(A76,Planilha2!$A$2:$D$5566,4,0)</f>
        <v>PA</v>
      </c>
    </row>
    <row r="77" spans="1:3" x14ac:dyDescent="0.35">
      <c r="A77">
        <v>150120</v>
      </c>
      <c r="B77" t="str">
        <f>VLOOKUP(A77,Planilha2!$A$2:$C$5566,3,0)</f>
        <v>BAIÃO</v>
      </c>
      <c r="C77" t="str">
        <f>VLOOKUP(A77,Planilha2!$A$2:$D$5566,4,0)</f>
        <v>PA</v>
      </c>
    </row>
    <row r="78" spans="1:3" x14ac:dyDescent="0.35">
      <c r="A78">
        <v>150320</v>
      </c>
      <c r="B78" t="str">
        <f>VLOOKUP(A78,Planilha2!$A$2:$C$5566,3,0)</f>
        <v>IGARAPÉ-AÇU</v>
      </c>
      <c r="C78" t="str">
        <f>VLOOKUP(A78,Planilha2!$A$2:$D$5566,4,0)</f>
        <v>PA</v>
      </c>
    </row>
    <row r="79" spans="1:3" x14ac:dyDescent="0.35">
      <c r="A79">
        <v>150746</v>
      </c>
      <c r="B79" t="str">
        <f>VLOOKUP(A79,Planilha2!$A$2:$C$5566,3,0)</f>
        <v>SÃO JOÃO DA PONTA</v>
      </c>
      <c r="C79" t="str">
        <f>VLOOKUP(A79,Planilha2!$A$2:$D$5566,4,0)</f>
        <v>PA</v>
      </c>
    </row>
    <row r="80" spans="1:3" x14ac:dyDescent="0.35">
      <c r="A80">
        <v>150290</v>
      </c>
      <c r="B80" t="str">
        <f>VLOOKUP(A80,Planilha2!$A$2:$C$5566,3,0)</f>
        <v>CURUÇÁ</v>
      </c>
      <c r="C80" t="str">
        <f>VLOOKUP(A80,Planilha2!$A$2:$D$5566,4,0)</f>
        <v>PA</v>
      </c>
    </row>
    <row r="81" spans="1:3" x14ac:dyDescent="0.35">
      <c r="A81">
        <v>160080</v>
      </c>
      <c r="B81" t="str">
        <f>VLOOKUP(A81,Planilha2!$A$2:$C$5566,3,0)</f>
        <v>VITÓRIA DO JARI</v>
      </c>
      <c r="C81" t="str">
        <f>VLOOKUP(A81,Planilha2!$A$2:$D$5566,4,0)</f>
        <v>AP</v>
      </c>
    </row>
    <row r="82" spans="1:3" x14ac:dyDescent="0.35">
      <c r="A82">
        <v>330180</v>
      </c>
      <c r="B82" t="str">
        <f>VLOOKUP(A82,Planilha2!$A$2:$C$5566,3,0)</f>
        <v>ENGENHEIRO PAULO DE FRONTIN</v>
      </c>
      <c r="C82" t="str">
        <f>VLOOKUP(A82,Planilha2!$A$2:$D$5566,4,0)</f>
        <v>RJ</v>
      </c>
    </row>
    <row r="83" spans="1:3" x14ac:dyDescent="0.35">
      <c r="A83">
        <v>330340</v>
      </c>
      <c r="B83" t="str">
        <f>VLOOKUP(A83,Planilha2!$A$2:$C$5566,3,0)</f>
        <v>NOVA FRIBURGO</v>
      </c>
      <c r="C83" t="str">
        <f>VLOOKUP(A83,Planilha2!$A$2:$D$5566,4,0)</f>
        <v>RJ</v>
      </c>
    </row>
    <row r="84" spans="1:3" x14ac:dyDescent="0.35">
      <c r="A84">
        <v>420090</v>
      </c>
      <c r="B84" t="str">
        <f>VLOOKUP(A84,Planilha2!$A$2:$C$5566,3,0)</f>
        <v>ANGELINA</v>
      </c>
      <c r="C84" t="str">
        <f>VLOOKUP(A84,Planilha2!$A$2:$D$5566,4,0)</f>
        <v>SC</v>
      </c>
    </row>
    <row r="85" spans="1:3" x14ac:dyDescent="0.35">
      <c r="A85">
        <v>432132</v>
      </c>
      <c r="B85" t="str">
        <f>VLOOKUP(A85,Planilha2!$A$2:$C$5566,3,0)</f>
        <v>TAQUARUÇU DO SUL</v>
      </c>
      <c r="C85" t="str">
        <f>VLOOKUP(A85,Planilha2!$A$2:$D$5566,4,0)</f>
        <v>RS</v>
      </c>
    </row>
    <row r="86" spans="1:3" x14ac:dyDescent="0.35">
      <c r="A86">
        <v>500348</v>
      </c>
      <c r="B86" t="str">
        <f>VLOOKUP(A86,Planilha2!$A$2:$C$5566,3,0)</f>
        <v>DOIS IRMÃOS DO BURITI</v>
      </c>
      <c r="C86" t="str">
        <f>VLOOKUP(A86,Planilha2!$A$2:$D$5566,4,0)</f>
        <v>MS</v>
      </c>
    </row>
    <row r="87" spans="1:3" x14ac:dyDescent="0.35">
      <c r="A87">
        <v>110020</v>
      </c>
      <c r="B87" t="str">
        <f>VLOOKUP(A87,Planilha2!$A$2:$C$5566,3,0)</f>
        <v>PORTO VELHO</v>
      </c>
      <c r="C87" t="str">
        <f>VLOOKUP(A87,Planilha2!$A$2:$D$5566,4,0)</f>
        <v>RO</v>
      </c>
    </row>
    <row r="88" spans="1:3" x14ac:dyDescent="0.35">
      <c r="A88">
        <v>110004</v>
      </c>
      <c r="B88" t="str">
        <f>VLOOKUP(A88,Planilha2!$A$2:$C$5566,3,0)</f>
        <v>CACOAL</v>
      </c>
      <c r="C88" t="str">
        <f>VLOOKUP(A88,Planilha2!$A$2:$D$5566,4,0)</f>
        <v>RO</v>
      </c>
    </row>
    <row r="89" spans="1:3" x14ac:dyDescent="0.35">
      <c r="A89">
        <v>110012</v>
      </c>
      <c r="B89" t="str">
        <f>VLOOKUP(A89,Planilha2!$A$2:$C$5566,3,0)</f>
        <v>JI-PARANÁ</v>
      </c>
      <c r="C89" t="str">
        <f>VLOOKUP(A89,Planilha2!$A$2:$D$5566,4,0)</f>
        <v>RO</v>
      </c>
    </row>
    <row r="90" spans="1:3" x14ac:dyDescent="0.35">
      <c r="A90">
        <v>110034</v>
      </c>
      <c r="B90" t="str">
        <f>VLOOKUP(A90,Planilha2!$A$2:$C$5566,3,0)</f>
        <v>ALVORADA D`OESTE</v>
      </c>
      <c r="C90" t="str">
        <f>VLOOKUP(A90,Planilha2!$A$2:$D$5566,4,0)</f>
        <v>RO</v>
      </c>
    </row>
    <row r="91" spans="1:3" x14ac:dyDescent="0.35">
      <c r="A91">
        <v>110009</v>
      </c>
      <c r="B91" t="str">
        <f>VLOOKUP(A91,Planilha2!$A$2:$C$5566,3,0)</f>
        <v>ESPIGÃO D`OESTE</v>
      </c>
      <c r="C91" t="str">
        <f>VLOOKUP(A91,Planilha2!$A$2:$D$5566,4,0)</f>
        <v>RO</v>
      </c>
    </row>
    <row r="92" spans="1:3" x14ac:dyDescent="0.35">
      <c r="A92">
        <v>110028</v>
      </c>
      <c r="B92" t="str">
        <f>VLOOKUP(A92,Planilha2!$A$2:$C$5566,3,0)</f>
        <v>ROLIM DE MOURA</v>
      </c>
      <c r="C92" t="str">
        <f>VLOOKUP(A92,Planilha2!$A$2:$D$5566,4,0)</f>
        <v>RO</v>
      </c>
    </row>
    <row r="93" spans="1:3" x14ac:dyDescent="0.35">
      <c r="A93" s="2">
        <v>110001</v>
      </c>
      <c r="B93" t="str">
        <f>VLOOKUP(A93,[1]IBGE!A$2:B$27,2,0)</f>
        <v>Alta Floresta D'Oeste</v>
      </c>
      <c r="C93" t="str">
        <f>VLOOKUP(A93,[1]IBGE!A$2:C$27,3,0)</f>
        <v>RO</v>
      </c>
    </row>
    <row r="94" spans="1:3" x14ac:dyDescent="0.35">
      <c r="A94">
        <v>110008</v>
      </c>
      <c r="B94" t="str">
        <f>VLOOKUP(A94,Planilha2!$A$2:$C$5566,3,0)</f>
        <v>COSTA MARQUES</v>
      </c>
      <c r="C94" t="str">
        <f>VLOOKUP(A94,Planilha2!$A$2:$D$5566,4,0)</f>
        <v>RO</v>
      </c>
    </row>
    <row r="95" spans="1:3" x14ac:dyDescent="0.35">
      <c r="A95">
        <v>130260</v>
      </c>
      <c r="B95" t="str">
        <f>VLOOKUP(A95,Planilha2!$A$2:$C$5566,3,0)</f>
        <v>MANAUS</v>
      </c>
      <c r="C95" t="str">
        <f>VLOOKUP(A95,Planilha2!$A$2:$D$5566,4,0)</f>
        <v>AM</v>
      </c>
    </row>
    <row r="96" spans="1:3" x14ac:dyDescent="0.35">
      <c r="A96">
        <v>130010</v>
      </c>
      <c r="B96" t="str">
        <f>VLOOKUP(A96,Planilha2!$A$2:$C$5566,3,0)</f>
        <v>ANORI</v>
      </c>
      <c r="C96" t="str">
        <f>VLOOKUP(A96,Planilha2!$A$2:$D$5566,4,0)</f>
        <v>AM</v>
      </c>
    </row>
    <row r="97" spans="1:3" x14ac:dyDescent="0.35">
      <c r="A97">
        <v>130360</v>
      </c>
      <c r="B97" t="str">
        <f>VLOOKUP(A97,Planilha2!$A$2:$C$5566,3,0)</f>
        <v>SANTA ISABEL DO RIO NEGRO</v>
      </c>
      <c r="C97" t="str">
        <f>VLOOKUP(A97,Planilha2!$A$2:$D$5566,4,0)</f>
        <v>AM</v>
      </c>
    </row>
    <row r="98" spans="1:3" x14ac:dyDescent="0.35">
      <c r="A98">
        <v>130120</v>
      </c>
      <c r="B98" t="str">
        <f>VLOOKUP(A98,Planilha2!$A$2:$C$5566,3,0)</f>
        <v>COARI</v>
      </c>
      <c r="C98" t="str">
        <f>VLOOKUP(A98,Planilha2!$A$2:$D$5566,4,0)</f>
        <v>AM</v>
      </c>
    </row>
    <row r="99" spans="1:3" x14ac:dyDescent="0.35">
      <c r="A99">
        <v>130180</v>
      </c>
      <c r="B99" t="str">
        <f>VLOOKUP(A99,Planilha2!$A$2:$C$5566,3,0)</f>
        <v>IPIXUNA</v>
      </c>
      <c r="C99" t="str">
        <f>VLOOKUP(A99,Planilha2!$A$2:$D$5566,4,0)</f>
        <v>AM</v>
      </c>
    </row>
    <row r="100" spans="1:3" x14ac:dyDescent="0.35">
      <c r="A100">
        <v>130390</v>
      </c>
      <c r="B100" t="str">
        <f>VLOOKUP(A100,Planilha2!$A$2:$C$5566,3,0)</f>
        <v>SÃO PAULO DE OLIVENÇA</v>
      </c>
      <c r="C100" t="str">
        <f>VLOOKUP(A100,Planilha2!$A$2:$D$5566,4,0)</f>
        <v>AM</v>
      </c>
    </row>
    <row r="101" spans="1:3" x14ac:dyDescent="0.35">
      <c r="A101">
        <v>130014</v>
      </c>
      <c r="B101" t="str">
        <f>VLOOKUP(A101,Planilha2!$A$2:$C$5566,3,0)</f>
        <v>APUÍ</v>
      </c>
      <c r="C101" t="str">
        <f>VLOOKUP(A101,Planilha2!$A$2:$D$5566,4,0)</f>
        <v>AM</v>
      </c>
    </row>
    <row r="102" spans="1:3" x14ac:dyDescent="0.35">
      <c r="A102">
        <v>130420</v>
      </c>
      <c r="B102" t="str">
        <f>VLOOKUP(A102,Planilha2!$A$2:$C$5566,3,0)</f>
        <v>TEFÉ</v>
      </c>
      <c r="C102" t="str">
        <f>VLOOKUP(A102,Planilha2!$A$2:$D$5566,4,0)</f>
        <v>AM</v>
      </c>
    </row>
    <row r="103" spans="1:3" x14ac:dyDescent="0.35">
      <c r="A103">
        <v>130320</v>
      </c>
      <c r="B103" t="str">
        <f>VLOOKUP(A103,Planilha2!$A$2:$C$5566,3,0)</f>
        <v>NOVO AIRÃO</v>
      </c>
      <c r="C103" t="str">
        <f>VLOOKUP(A103,Planilha2!$A$2:$D$5566,4,0)</f>
        <v>AM</v>
      </c>
    </row>
    <row r="104" spans="1:3" x14ac:dyDescent="0.35">
      <c r="A104">
        <v>130190</v>
      </c>
      <c r="B104" t="str">
        <f>VLOOKUP(A104,Planilha2!$A$2:$C$5566,3,0)</f>
        <v>ITACOATIARA</v>
      </c>
      <c r="C104" t="str">
        <f>VLOOKUP(A104,Planilha2!$A$2:$D$5566,4,0)</f>
        <v>AM</v>
      </c>
    </row>
    <row r="105" spans="1:3" x14ac:dyDescent="0.35">
      <c r="A105">
        <v>130250</v>
      </c>
      <c r="B105" t="str">
        <f>VLOOKUP(A105,Planilha2!$A$2:$C$5566,3,0)</f>
        <v>MANACAPURU</v>
      </c>
      <c r="C105" t="str">
        <f>VLOOKUP(A105,Planilha2!$A$2:$D$5566,4,0)</f>
        <v>AM</v>
      </c>
    </row>
    <row r="106" spans="1:3" x14ac:dyDescent="0.35">
      <c r="A106">
        <v>130030</v>
      </c>
      <c r="B106" t="str">
        <f>VLOOKUP(A106,Planilha2!$A$2:$C$5566,3,0)</f>
        <v>AUTAZES</v>
      </c>
      <c r="C106" t="str">
        <f>VLOOKUP(A106,Planilha2!$A$2:$D$5566,4,0)</f>
        <v>AM</v>
      </c>
    </row>
    <row r="107" spans="1:3" x14ac:dyDescent="0.35">
      <c r="A107">
        <v>130130</v>
      </c>
      <c r="B107" t="str">
        <f>VLOOKUP(A107,Planilha2!$A$2:$C$5566,3,0)</f>
        <v>CODAJÁS</v>
      </c>
      <c r="C107" t="str">
        <f>VLOOKUP(A107,Planilha2!$A$2:$D$5566,4,0)</f>
        <v>AM</v>
      </c>
    </row>
    <row r="108" spans="1:3" x14ac:dyDescent="0.35">
      <c r="A108">
        <v>130353</v>
      </c>
      <c r="B108" t="str">
        <f>VLOOKUP(A108,Planilha2!$A$2:$C$5566,3,0)</f>
        <v>PRESIDENTE FIGUEIREDO</v>
      </c>
      <c r="C108" t="str">
        <f>VLOOKUP(A108,Planilha2!$A$2:$D$5566,4,0)</f>
        <v>AM</v>
      </c>
    </row>
    <row r="109" spans="1:3" x14ac:dyDescent="0.35">
      <c r="A109">
        <v>130255</v>
      </c>
      <c r="B109" t="str">
        <f>VLOOKUP(A109,Planilha2!$A$2:$C$5566,3,0)</f>
        <v>MANAQUIRI</v>
      </c>
      <c r="C109" t="str">
        <f>VLOOKUP(A109,Planilha2!$A$2:$D$5566,4,0)</f>
        <v>AM</v>
      </c>
    </row>
    <row r="110" spans="1:3" x14ac:dyDescent="0.35">
      <c r="A110">
        <v>130100</v>
      </c>
      <c r="B110" t="str">
        <f>VLOOKUP(A110,Planilha2!$A$2:$C$5566,3,0)</f>
        <v>CARAUARI</v>
      </c>
      <c r="C110" t="str">
        <f>VLOOKUP(A110,Planilha2!$A$2:$D$5566,4,0)</f>
        <v>AM</v>
      </c>
    </row>
    <row r="111" spans="1:3" x14ac:dyDescent="0.35">
      <c r="A111">
        <v>130406</v>
      </c>
      <c r="B111" t="str">
        <f>VLOOKUP(A111,Planilha2!$A$2:$C$5566,3,0)</f>
        <v>TABATINGA</v>
      </c>
      <c r="C111" t="str">
        <f>VLOOKUP(A111,Planilha2!$A$2:$D$5566,4,0)</f>
        <v>AM</v>
      </c>
    </row>
    <row r="112" spans="1:3" x14ac:dyDescent="0.35">
      <c r="A112">
        <v>130270</v>
      </c>
      <c r="B112" t="str">
        <f>VLOOKUP(A112,Planilha2!$A$2:$C$5566,3,0)</f>
        <v>MANICORÉ</v>
      </c>
      <c r="C112" t="str">
        <f>VLOOKUP(A112,Planilha2!$A$2:$D$5566,4,0)</f>
        <v>AM</v>
      </c>
    </row>
    <row r="113" spans="1:3" x14ac:dyDescent="0.35">
      <c r="A113">
        <v>130240</v>
      </c>
      <c r="B113" t="str">
        <f>VLOOKUP(A113,Planilha2!$A$2:$C$5566,3,0)</f>
        <v>LÁBREA</v>
      </c>
      <c r="C113" t="str">
        <f>VLOOKUP(A113,Planilha2!$A$2:$D$5566,4,0)</f>
        <v>AM</v>
      </c>
    </row>
    <row r="114" spans="1:3" x14ac:dyDescent="0.35">
      <c r="A114">
        <v>140005</v>
      </c>
      <c r="B114" t="str">
        <f>VLOOKUP(A114,Planilha2!$A$2:$C$5566,3,0)</f>
        <v>ALTO ALEGRE</v>
      </c>
      <c r="C114" t="str">
        <f>VLOOKUP(A114,Planilha2!$A$2:$D$5566,4,0)</f>
        <v>RR</v>
      </c>
    </row>
    <row r="115" spans="1:3" x14ac:dyDescent="0.35">
      <c r="A115">
        <v>140070</v>
      </c>
      <c r="B115" t="str">
        <f>VLOOKUP(A115,Planilha2!$A$2:$C$5566,3,0)</f>
        <v>UIRAMUTÃ</v>
      </c>
      <c r="C115" t="str">
        <f>VLOOKUP(A115,Planilha2!$A$2:$D$5566,4,0)</f>
        <v>RR</v>
      </c>
    </row>
    <row r="116" spans="1:3" x14ac:dyDescent="0.35">
      <c r="A116">
        <v>150085</v>
      </c>
      <c r="B116" t="str">
        <f>VLOOKUP(A116,Planilha2!$A$2:$C$5566,3,0)</f>
        <v>ANAPU</v>
      </c>
      <c r="C116" t="str">
        <f>VLOOKUP(A116,Planilha2!$A$2:$D$5566,4,0)</f>
        <v>PA</v>
      </c>
    </row>
    <row r="117" spans="1:3" x14ac:dyDescent="0.35">
      <c r="A117">
        <v>150835</v>
      </c>
      <c r="B117" t="str">
        <f>VLOOKUP(A117,Planilha2!$A$2:$C$5566,3,0)</f>
        <v>VITÓRIA DO XINGU</v>
      </c>
      <c r="C117" t="str">
        <f>VLOOKUP(A117,Planilha2!$A$2:$D$5566,4,0)</f>
        <v>PA</v>
      </c>
    </row>
    <row r="118" spans="1:3" x14ac:dyDescent="0.35">
      <c r="A118">
        <v>150815</v>
      </c>
      <c r="B118" t="str">
        <f>VLOOKUP(A118,Planilha2!$A$2:$C$5566,3,0)</f>
        <v>URUARÁ</v>
      </c>
      <c r="C118" t="str">
        <f>VLOOKUP(A118,Planilha2!$A$2:$D$5566,4,0)</f>
        <v>PA</v>
      </c>
    </row>
    <row r="119" spans="1:3" x14ac:dyDescent="0.35">
      <c r="A119">
        <v>150730</v>
      </c>
      <c r="B119" t="str">
        <f>VLOOKUP(A119,Planilha2!$A$2:$C$5566,3,0)</f>
        <v>SÃO FÉLIX DO XINGU</v>
      </c>
      <c r="C119" t="str">
        <f>VLOOKUP(A119,Planilha2!$A$2:$D$5566,4,0)</f>
        <v>PA</v>
      </c>
    </row>
    <row r="120" spans="1:3" x14ac:dyDescent="0.35">
      <c r="A120">
        <v>150658</v>
      </c>
      <c r="B120" t="str">
        <f>VLOOKUP(A120,Planilha2!$A$2:$C$5566,3,0)</f>
        <v>SANTA MARIA DAS BARREIRAS</v>
      </c>
      <c r="C120" t="str">
        <f>VLOOKUP(A120,Planilha2!$A$2:$D$5566,4,0)</f>
        <v>PA</v>
      </c>
    </row>
    <row r="121" spans="1:3" x14ac:dyDescent="0.35">
      <c r="A121">
        <v>150276</v>
      </c>
      <c r="B121" t="str">
        <f>VLOOKUP(A121,Planilha2!$A$2:$C$5566,3,0)</f>
        <v>CUMARU DO NORTE</v>
      </c>
      <c r="C121" t="str">
        <f>VLOOKUP(A121,Planilha2!$A$2:$D$5566,4,0)</f>
        <v>PA</v>
      </c>
    </row>
    <row r="122" spans="1:3" x14ac:dyDescent="0.35">
      <c r="A122">
        <v>150613</v>
      </c>
      <c r="B122" t="str">
        <f>VLOOKUP(A122,Planilha2!$A$2:$C$5566,3,0)</f>
        <v>REDENÇÃO</v>
      </c>
      <c r="C122" t="str">
        <f>VLOOKUP(A122,Planilha2!$A$2:$D$5566,4,0)</f>
        <v>PA</v>
      </c>
    </row>
    <row r="123" spans="1:3" x14ac:dyDescent="0.35">
      <c r="A123">
        <v>150840</v>
      </c>
      <c r="B123" t="str">
        <f>VLOOKUP(A123,Planilha2!$A$2:$C$5566,3,0)</f>
        <v>XINGUARA</v>
      </c>
      <c r="C123" t="str">
        <f>VLOOKUP(A123,Planilha2!$A$2:$D$5566,4,0)</f>
        <v>PA</v>
      </c>
    </row>
    <row r="124" spans="1:3" x14ac:dyDescent="0.35">
      <c r="A124">
        <v>150543</v>
      </c>
      <c r="B124" t="str">
        <f>VLOOKUP(A124,Planilha2!$A$2:$C$5566,3,0)</f>
        <v>OURILÂNDIA DO NORTE</v>
      </c>
      <c r="C124" t="str">
        <f>VLOOKUP(A124,Planilha2!$A$2:$D$5566,4,0)</f>
        <v>PA</v>
      </c>
    </row>
    <row r="125" spans="1:3" x14ac:dyDescent="0.35">
      <c r="A125">
        <v>150808</v>
      </c>
      <c r="B125" t="str">
        <f>VLOOKUP(A125,Planilha2!$A$2:$C$5566,3,0)</f>
        <v>TUCUMÃ</v>
      </c>
      <c r="C125" t="str">
        <f>VLOOKUP(A125,Planilha2!$A$2:$D$5566,4,0)</f>
        <v>PA</v>
      </c>
    </row>
    <row r="126" spans="1:3" x14ac:dyDescent="0.35">
      <c r="A126">
        <v>150270</v>
      </c>
      <c r="B126" t="str">
        <f>VLOOKUP(A126,Planilha2!$A$2:$C$5566,3,0)</f>
        <v>CONCEIÇÃO DO ARAGUAIA</v>
      </c>
      <c r="C126" t="str">
        <f>VLOOKUP(A126,Planilha2!$A$2:$D$5566,4,0)</f>
        <v>PA</v>
      </c>
    </row>
    <row r="127" spans="1:3" x14ac:dyDescent="0.35">
      <c r="A127">
        <v>150616</v>
      </c>
      <c r="B127" t="str">
        <f>VLOOKUP(A127,Planilha2!$A$2:$C$5566,3,0)</f>
        <v>RIO MARIA</v>
      </c>
      <c r="C127" t="str">
        <f>VLOOKUP(A127,Planilha2!$A$2:$D$5566,4,0)</f>
        <v>PA</v>
      </c>
    </row>
    <row r="128" spans="1:3" x14ac:dyDescent="0.35">
      <c r="A128">
        <v>160060</v>
      </c>
      <c r="B128" t="str">
        <f>VLOOKUP(A128,Planilha2!$A$2:$C$5566,3,0)</f>
        <v>SANTANA</v>
      </c>
      <c r="C128" t="str">
        <f>VLOOKUP(A128,Planilha2!$A$2:$D$5566,4,0)</f>
        <v>AP</v>
      </c>
    </row>
    <row r="129" spans="1:3" x14ac:dyDescent="0.35">
      <c r="A129">
        <v>160027</v>
      </c>
      <c r="B129" t="str">
        <f>VLOOKUP(A129,Planilha2!$A$2:$C$5566,3,0)</f>
        <v>LARANJAL DO JARI</v>
      </c>
      <c r="C129" t="str">
        <f>VLOOKUP(A129,Planilha2!$A$2:$D$5566,4,0)</f>
        <v>AP</v>
      </c>
    </row>
    <row r="130" spans="1:3" x14ac:dyDescent="0.35">
      <c r="A130">
        <v>160030</v>
      </c>
      <c r="B130" t="str">
        <f>VLOOKUP(A130,Planilha2!$A$2:$C$5566,3,0)</f>
        <v>MACAPÁ</v>
      </c>
      <c r="C130" t="str">
        <f>VLOOKUP(A130,Planilha2!$A$2:$D$5566,4,0)</f>
        <v>AP</v>
      </c>
    </row>
    <row r="131" spans="1:3" x14ac:dyDescent="0.35">
      <c r="A131">
        <v>171900</v>
      </c>
      <c r="B131" t="str">
        <f>VLOOKUP(A131,Planilha2!$A$2:$C$5566,3,0)</f>
        <v>SANTA TEREZA DO TOCANTINS</v>
      </c>
      <c r="C131" t="str">
        <f>VLOOKUP(A131,Planilha2!$A$2:$D$5566,4,0)</f>
        <v>TO</v>
      </c>
    </row>
    <row r="132" spans="1:3" x14ac:dyDescent="0.35">
      <c r="A132">
        <v>172120</v>
      </c>
      <c r="B132" t="str">
        <f>VLOOKUP(A132,Planilha2!$A$2:$C$5566,3,0)</f>
        <v>TOCANTINÓPOLIS</v>
      </c>
      <c r="C132" t="str">
        <f>VLOOKUP(A132,Planilha2!$A$2:$D$5566,4,0)</f>
        <v>TO</v>
      </c>
    </row>
    <row r="133" spans="1:3" x14ac:dyDescent="0.35">
      <c r="A133">
        <v>170240</v>
      </c>
      <c r="B133" t="str">
        <f>VLOOKUP(A133,Planilha2!$A$2:$C$5566,3,0)</f>
        <v>ARRAIAS</v>
      </c>
      <c r="C133" t="str">
        <f>VLOOKUP(A133,Planilha2!$A$2:$D$5566,4,0)</f>
        <v>TO</v>
      </c>
    </row>
    <row r="134" spans="1:3" x14ac:dyDescent="0.35">
      <c r="A134">
        <v>171575</v>
      </c>
      <c r="B134" t="str">
        <f>VLOOKUP(A134,Planilha2!$A$2:$C$5566,3,0)</f>
        <v>PALMEIRÓPOLIS</v>
      </c>
      <c r="C134" t="str">
        <f>VLOOKUP(A134,Planilha2!$A$2:$D$5566,4,0)</f>
        <v>TO</v>
      </c>
    </row>
    <row r="135" spans="1:3" x14ac:dyDescent="0.35">
      <c r="A135">
        <v>211107</v>
      </c>
      <c r="B135" t="str">
        <f>VLOOKUP(A135,Planilha2!$A$2:$C$5566,3,0)</f>
        <v>SÃO JOÃO DO SOTER</v>
      </c>
      <c r="C135" t="str">
        <f>VLOOKUP(A135,Planilha2!$A$2:$D$5566,4,0)</f>
        <v>MA</v>
      </c>
    </row>
    <row r="136" spans="1:3" x14ac:dyDescent="0.35">
      <c r="A136">
        <v>210170</v>
      </c>
      <c r="B136" t="str">
        <f>VLOOKUP(A136,Planilha2!$A$2:$C$5566,3,0)</f>
        <v>BARREIRINHAS</v>
      </c>
      <c r="C136" t="str">
        <f>VLOOKUP(A136,Planilha2!$A$2:$D$5566,4,0)</f>
        <v>MA</v>
      </c>
    </row>
    <row r="137" spans="1:3" x14ac:dyDescent="0.35">
      <c r="A137">
        <v>210380</v>
      </c>
      <c r="B137" t="str">
        <f>VLOOKUP(A137,Planilha2!$A$2:$C$5566,3,0)</f>
        <v>DOM PEDRO</v>
      </c>
      <c r="C137" t="str">
        <f>VLOOKUP(A137,Planilha2!$A$2:$D$5566,4,0)</f>
        <v>MA</v>
      </c>
    </row>
    <row r="138" spans="1:3" x14ac:dyDescent="0.35">
      <c r="A138">
        <v>220200</v>
      </c>
      <c r="B138" t="str">
        <f>VLOOKUP(A138,Planilha2!$A$2:$C$5566,3,0)</f>
        <v>BURITI DOS LOPES</v>
      </c>
      <c r="C138" t="str">
        <f>VLOOKUP(A138,Planilha2!$A$2:$D$5566,4,0)</f>
        <v>PI</v>
      </c>
    </row>
    <row r="139" spans="1:3" x14ac:dyDescent="0.35">
      <c r="A139">
        <v>220255</v>
      </c>
      <c r="B139" t="str">
        <f>VLOOKUP(A139,Planilha2!$A$2:$C$5566,3,0)</f>
        <v>CARIDADE DO PIAUÍ</v>
      </c>
      <c r="C139" t="str">
        <f>VLOOKUP(A139,Planilha2!$A$2:$D$5566,4,0)</f>
        <v>PI</v>
      </c>
    </row>
    <row r="140" spans="1:3" x14ac:dyDescent="0.35">
      <c r="A140">
        <v>221060</v>
      </c>
      <c r="B140" t="str">
        <f>VLOOKUP(A140,Planilha2!$A$2:$C$5566,3,0)</f>
        <v>SÃO RAIMUNDO NONATO</v>
      </c>
      <c r="C140" t="str">
        <f>VLOOKUP(A140,Planilha2!$A$2:$D$5566,4,0)</f>
        <v>PI</v>
      </c>
    </row>
    <row r="141" spans="1:3" x14ac:dyDescent="0.35">
      <c r="A141">
        <v>220040</v>
      </c>
      <c r="B141" t="str">
        <f>VLOOKUP(A141,Planilha2!$A$2:$C$5566,3,0)</f>
        <v>ALTOS</v>
      </c>
      <c r="C141" t="str">
        <f>VLOOKUP(A141,Planilha2!$A$2:$D$5566,4,0)</f>
        <v>PI</v>
      </c>
    </row>
    <row r="142" spans="1:3" x14ac:dyDescent="0.35">
      <c r="A142">
        <v>220840</v>
      </c>
      <c r="B142" t="str">
        <f>VLOOKUP(A142,Planilha2!$A$2:$C$5566,3,0)</f>
        <v>PIRIPIRI</v>
      </c>
      <c r="C142" t="str">
        <f>VLOOKUP(A142,Planilha2!$A$2:$D$5566,4,0)</f>
        <v>PI</v>
      </c>
    </row>
    <row r="143" spans="1:3" x14ac:dyDescent="0.35">
      <c r="A143">
        <v>220540</v>
      </c>
      <c r="B143" t="str">
        <f>VLOOKUP(A143,Planilha2!$A$2:$C$5566,3,0)</f>
        <v>JOAQUIM PIRES</v>
      </c>
      <c r="C143" t="str">
        <f>VLOOKUP(A143,Planilha2!$A$2:$D$5566,4,0)</f>
        <v>PI</v>
      </c>
    </row>
    <row r="144" spans="1:3" x14ac:dyDescent="0.35">
      <c r="A144">
        <v>220265</v>
      </c>
      <c r="B144" t="str">
        <f>VLOOKUP(A144,Planilha2!$A$2:$C$5566,3,0)</f>
        <v>CAXINGÓ</v>
      </c>
      <c r="C144" t="str">
        <f>VLOOKUP(A144,Planilha2!$A$2:$D$5566,4,0)</f>
        <v>PI</v>
      </c>
    </row>
    <row r="145" spans="1:3" x14ac:dyDescent="0.35">
      <c r="A145">
        <v>220177</v>
      </c>
      <c r="B145" t="str">
        <f>VLOOKUP(A145,Planilha2!$A$2:$C$5566,3,0)</f>
        <v>BOA HORA</v>
      </c>
      <c r="C145" t="str">
        <f>VLOOKUP(A145,Planilha2!$A$2:$D$5566,4,0)</f>
        <v>PI</v>
      </c>
    </row>
    <row r="146" spans="1:3" x14ac:dyDescent="0.35">
      <c r="A146">
        <v>220770</v>
      </c>
      <c r="B146" t="str">
        <f>VLOOKUP(A146,Planilha2!$A$2:$C$5566,3,0)</f>
        <v>PARNAÍBA</v>
      </c>
      <c r="C146" t="str">
        <f>VLOOKUP(A146,Planilha2!$A$2:$D$5566,4,0)</f>
        <v>PI</v>
      </c>
    </row>
    <row r="147" spans="1:3" x14ac:dyDescent="0.35">
      <c r="A147">
        <v>211060</v>
      </c>
      <c r="B147" t="str">
        <f>VLOOKUP(A147,Planilha2!$A$2:$C$5566,3,0)</f>
        <v>SÃO BERNARDO</v>
      </c>
      <c r="C147" t="str">
        <f>VLOOKUP(A147,Planilha2!$A$2:$D$5566,4,0)</f>
        <v>MA</v>
      </c>
    </row>
    <row r="148" spans="1:3" x14ac:dyDescent="0.35">
      <c r="A148">
        <v>211023</v>
      </c>
      <c r="B148" t="str">
        <f>VLOOKUP(A148,Planilha2!$A$2:$C$5566,3,0)</f>
        <v>SANTANA DO MARANHÃO</v>
      </c>
      <c r="C148" t="str">
        <f>VLOOKUP(A148,Planilha2!$A$2:$D$5566,4,0)</f>
        <v>MA</v>
      </c>
    </row>
    <row r="149" spans="1:3" x14ac:dyDescent="0.35">
      <c r="A149">
        <v>220780</v>
      </c>
      <c r="B149" t="str">
        <f>VLOOKUP(A149,Planilha2!$A$2:$C$5566,3,0)</f>
        <v>PAULISTANA</v>
      </c>
      <c r="C149" t="str">
        <f>VLOOKUP(A149,Planilha2!$A$2:$D$5566,4,0)</f>
        <v>PI</v>
      </c>
    </row>
    <row r="150" spans="1:3" x14ac:dyDescent="0.35">
      <c r="A150">
        <v>221120</v>
      </c>
      <c r="B150" t="str">
        <f>VLOOKUP(A150,Planilha2!$A$2:$C$5566,3,0)</f>
        <v>URUÇUÍ</v>
      </c>
      <c r="C150" t="str">
        <f>VLOOKUP(A150,Planilha2!$A$2:$D$5566,4,0)</f>
        <v>PI</v>
      </c>
    </row>
    <row r="151" spans="1:3" x14ac:dyDescent="0.35">
      <c r="A151">
        <v>221130</v>
      </c>
      <c r="B151" t="str">
        <f>VLOOKUP(A151,Planilha2!$A$2:$C$5566,3,0)</f>
        <v>VALENÇA DO PIAUÍ</v>
      </c>
      <c r="C151" t="str">
        <f>VLOOKUP(A151,Planilha2!$A$2:$D$5566,4,0)</f>
        <v>PI</v>
      </c>
    </row>
    <row r="152" spans="1:3" x14ac:dyDescent="0.35">
      <c r="A152">
        <v>221110</v>
      </c>
      <c r="B152" t="str">
        <f>VLOOKUP(A152,Planilha2!$A$2:$C$5566,3,0)</f>
        <v>UNIÃO</v>
      </c>
      <c r="C152" t="str">
        <f>VLOOKUP(A152,Planilha2!$A$2:$D$5566,4,0)</f>
        <v>PI</v>
      </c>
    </row>
    <row r="153" spans="1:3" x14ac:dyDescent="0.35">
      <c r="A153">
        <v>220192</v>
      </c>
      <c r="B153" t="str">
        <f>VLOOKUP(A153,Planilha2!$A$2:$C$5566,3,0)</f>
        <v>BONFIM DO PIAUÍ</v>
      </c>
      <c r="C153" t="str">
        <f>VLOOKUP(A153,Planilha2!$A$2:$D$5566,4,0)</f>
        <v>PI</v>
      </c>
    </row>
    <row r="154" spans="1:3" x14ac:dyDescent="0.35">
      <c r="A154">
        <v>220217</v>
      </c>
      <c r="B154" t="str">
        <f>VLOOKUP(A154,Planilha2!$A$2:$C$5566,3,0)</f>
        <v>CAMPO LARGO DO PIAUÍ</v>
      </c>
      <c r="C154" t="str">
        <f>VLOOKUP(A154,Planilha2!$A$2:$D$5566,4,0)</f>
        <v>PI</v>
      </c>
    </row>
    <row r="155" spans="1:3" x14ac:dyDescent="0.35">
      <c r="A155">
        <v>220937</v>
      </c>
      <c r="B155" t="str">
        <f>VLOOKUP(A155,Planilha2!$A$2:$C$5566,3,0)</f>
        <v>SANTA ROSA DO PIAUÍ</v>
      </c>
      <c r="C155" t="str">
        <f>VLOOKUP(A155,Planilha2!$A$2:$D$5566,4,0)</f>
        <v>PI</v>
      </c>
    </row>
    <row r="156" spans="1:3" x14ac:dyDescent="0.35">
      <c r="A156">
        <v>220230</v>
      </c>
      <c r="B156" t="str">
        <f>VLOOKUP(A156,Planilha2!$A$2:$C$5566,3,0)</f>
        <v>CANTO DO BURITI</v>
      </c>
      <c r="C156" t="str">
        <f>VLOOKUP(A156,Planilha2!$A$2:$D$5566,4,0)</f>
        <v>PI</v>
      </c>
    </row>
    <row r="157" spans="1:3" x14ac:dyDescent="0.35">
      <c r="A157">
        <v>220740</v>
      </c>
      <c r="B157" t="str">
        <f>VLOOKUP(A157,Planilha2!$A$2:$C$5566,3,0)</f>
        <v>PALMEIRA DO PIAUÍ</v>
      </c>
      <c r="C157" t="str">
        <f>VLOOKUP(A157,Planilha2!$A$2:$D$5566,4,0)</f>
        <v>PI</v>
      </c>
    </row>
    <row r="158" spans="1:3" x14ac:dyDescent="0.35">
      <c r="A158">
        <v>220213</v>
      </c>
      <c r="B158" t="str">
        <f>VLOOKUP(A158,Planilha2!$A$2:$C$5566,3,0)</f>
        <v>CAMPO GRANDE DO PIAUÍ</v>
      </c>
      <c r="C158" t="str">
        <f>VLOOKUP(A158,Planilha2!$A$2:$D$5566,4,0)</f>
        <v>PI</v>
      </c>
    </row>
    <row r="159" spans="1:3" x14ac:dyDescent="0.35">
      <c r="A159">
        <v>220520</v>
      </c>
      <c r="B159" t="str">
        <f>VLOOKUP(A159,Planilha2!$A$2:$C$5566,3,0)</f>
        <v>JAICÓS</v>
      </c>
      <c r="C159" t="str">
        <f>VLOOKUP(A159,Planilha2!$A$2:$D$5566,4,0)</f>
        <v>PI</v>
      </c>
    </row>
    <row r="160" spans="1:3" x14ac:dyDescent="0.35">
      <c r="A160">
        <v>220345</v>
      </c>
      <c r="B160" t="str">
        <f>VLOOKUP(A160,Planilha2!$A$2:$C$5566,3,0)</f>
        <v>DOM INOCÊNCIO</v>
      </c>
      <c r="C160" t="str">
        <f>VLOOKUP(A160,Planilha2!$A$2:$D$5566,4,0)</f>
        <v>PI</v>
      </c>
    </row>
    <row r="161" spans="1:3" x14ac:dyDescent="0.35">
      <c r="A161">
        <v>230765</v>
      </c>
      <c r="B161" t="str">
        <f>VLOOKUP(A161,Planilha2!$A$2:$C$5566,3,0)</f>
        <v>MARACANAÚ</v>
      </c>
      <c r="C161" t="str">
        <f>VLOOKUP(A161,Planilha2!$A$2:$D$5566,4,0)</f>
        <v>CE</v>
      </c>
    </row>
    <row r="162" spans="1:3" x14ac:dyDescent="0.35">
      <c r="A162">
        <v>230020</v>
      </c>
      <c r="B162" t="str">
        <f>VLOOKUP(A162,Planilha2!$A$2:$C$5566,3,0)</f>
        <v>ACARAÚ</v>
      </c>
      <c r="C162" t="str">
        <f>VLOOKUP(A162,Planilha2!$A$2:$D$5566,4,0)</f>
        <v>CE</v>
      </c>
    </row>
    <row r="163" spans="1:3" x14ac:dyDescent="0.35">
      <c r="A163">
        <v>230640</v>
      </c>
      <c r="B163" t="str">
        <f>VLOOKUP(A163,Planilha2!$A$2:$C$5566,3,0)</f>
        <v>ITAPIPOCA</v>
      </c>
      <c r="C163" t="str">
        <f>VLOOKUP(A163,Planilha2!$A$2:$D$5566,4,0)</f>
        <v>CE</v>
      </c>
    </row>
    <row r="164" spans="1:3" x14ac:dyDescent="0.35">
      <c r="A164">
        <v>230250</v>
      </c>
      <c r="B164" t="str">
        <f>VLOOKUP(A164,Planilha2!$A$2:$C$5566,3,0)</f>
        <v>BREJO SANTO</v>
      </c>
      <c r="C164" t="str">
        <f>VLOOKUP(A164,Planilha2!$A$2:$D$5566,4,0)</f>
        <v>CE</v>
      </c>
    </row>
    <row r="165" spans="1:3" x14ac:dyDescent="0.35">
      <c r="A165">
        <v>231350</v>
      </c>
      <c r="B165" t="str">
        <f>VLOOKUP(A165,Planilha2!$A$2:$C$5566,3,0)</f>
        <v>TRAIRI</v>
      </c>
      <c r="C165" t="str">
        <f>VLOOKUP(A165,Planilha2!$A$2:$D$5566,4,0)</f>
        <v>CE</v>
      </c>
    </row>
    <row r="166" spans="1:3" x14ac:dyDescent="0.35">
      <c r="A166">
        <v>231375</v>
      </c>
      <c r="B166" t="str">
        <f>VLOOKUP(A166,Planilha2!$A$2:$C$5566,3,0)</f>
        <v>UMIRIM</v>
      </c>
      <c r="C166" t="str">
        <f>VLOOKUP(A166,Planilha2!$A$2:$D$5566,4,0)</f>
        <v>CE</v>
      </c>
    </row>
    <row r="167" spans="1:3" x14ac:dyDescent="0.35">
      <c r="A167">
        <v>230780</v>
      </c>
      <c r="B167" t="str">
        <f>VLOOKUP(A167,Planilha2!$A$2:$C$5566,3,0)</f>
        <v>MARCO</v>
      </c>
      <c r="C167" t="str">
        <f>VLOOKUP(A167,Planilha2!$A$2:$D$5566,4,0)</f>
        <v>CE</v>
      </c>
    </row>
    <row r="168" spans="1:3" x14ac:dyDescent="0.35">
      <c r="A168">
        <v>230230</v>
      </c>
      <c r="B168" t="str">
        <f>VLOOKUP(A168,Planilha2!$A$2:$C$5566,3,0)</f>
        <v>BELA CRUZ</v>
      </c>
      <c r="C168" t="str">
        <f>VLOOKUP(A168,Planilha2!$A$2:$D$5566,4,0)</f>
        <v>CE</v>
      </c>
    </row>
    <row r="169" spans="1:3" x14ac:dyDescent="0.35">
      <c r="A169">
        <v>230420</v>
      </c>
      <c r="B169" t="str">
        <f>VLOOKUP(A169,Planilha2!$A$2:$C$5566,3,0)</f>
        <v>CRATO</v>
      </c>
      <c r="C169" t="str">
        <f>VLOOKUP(A169,Planilha2!$A$2:$D$5566,4,0)</f>
        <v>CE</v>
      </c>
    </row>
    <row r="170" spans="1:3" x14ac:dyDescent="0.35">
      <c r="A170">
        <v>230350</v>
      </c>
      <c r="B170" t="str">
        <f>VLOOKUP(A170,Planilha2!$A$2:$C$5566,3,0)</f>
        <v>CASCAVEL</v>
      </c>
      <c r="C170" t="str">
        <f>VLOOKUP(A170,Planilha2!$A$2:$D$5566,4,0)</f>
        <v>CE</v>
      </c>
    </row>
    <row r="171" spans="1:3" x14ac:dyDescent="0.35">
      <c r="A171">
        <v>230040</v>
      </c>
      <c r="B171" t="str">
        <f>VLOOKUP(A171,Planilha2!$A$2:$C$5566,3,0)</f>
        <v>AIUABA</v>
      </c>
      <c r="C171" t="str">
        <f>VLOOKUP(A171,Planilha2!$A$2:$D$5566,4,0)</f>
        <v>CE</v>
      </c>
    </row>
    <row r="172" spans="1:3" x14ac:dyDescent="0.35">
      <c r="A172">
        <v>231330</v>
      </c>
      <c r="B172" t="str">
        <f>VLOOKUP(A172,Planilha2!$A$2:$C$5566,3,0)</f>
        <v>TAUÁ</v>
      </c>
      <c r="C172" t="str">
        <f>VLOOKUP(A172,Planilha2!$A$2:$D$5566,4,0)</f>
        <v>CE</v>
      </c>
    </row>
    <row r="173" spans="1:3" x14ac:dyDescent="0.35">
      <c r="A173">
        <v>231050</v>
      </c>
      <c r="B173" t="str">
        <f>VLOOKUP(A173,Planilha2!$A$2:$C$5566,3,0)</f>
        <v>PEDRA BRANCA</v>
      </c>
      <c r="C173" t="str">
        <f>VLOOKUP(A173,Planilha2!$A$2:$D$5566,4,0)</f>
        <v>CE</v>
      </c>
    </row>
    <row r="174" spans="1:3" x14ac:dyDescent="0.35">
      <c r="A174">
        <v>230660</v>
      </c>
      <c r="B174" t="str">
        <f>VLOOKUP(A174,Planilha2!$A$2:$C$5566,3,0)</f>
        <v>ITATIRA</v>
      </c>
      <c r="C174" t="str">
        <f>VLOOKUP(A174,Planilha2!$A$2:$D$5566,4,0)</f>
        <v>CE</v>
      </c>
    </row>
    <row r="175" spans="1:3" x14ac:dyDescent="0.35">
      <c r="A175">
        <v>230340</v>
      </c>
      <c r="B175" t="str">
        <f>VLOOKUP(A175,Planilha2!$A$2:$C$5566,3,0)</f>
        <v>CARNAUBAL</v>
      </c>
      <c r="C175" t="str">
        <f>VLOOKUP(A175,Planilha2!$A$2:$D$5566,4,0)</f>
        <v>CE</v>
      </c>
    </row>
    <row r="176" spans="1:3" x14ac:dyDescent="0.35">
      <c r="A176">
        <v>240360</v>
      </c>
      <c r="B176" t="str">
        <f>VLOOKUP(A176,Planilha2!$A$2:$C$5566,3,0)</f>
        <v>EXTREMOZ</v>
      </c>
      <c r="C176" t="str">
        <f>VLOOKUP(A176,Planilha2!$A$2:$D$5566,4,0)</f>
        <v>RN</v>
      </c>
    </row>
    <row r="177" spans="1:3" x14ac:dyDescent="0.35">
      <c r="A177">
        <v>240660</v>
      </c>
      <c r="B177" t="str">
        <f>VLOOKUP(A177,Planilha2!$A$2:$C$5566,3,0)</f>
        <v>LAGOA SALGADA</v>
      </c>
      <c r="C177" t="str">
        <f>VLOOKUP(A177,Planilha2!$A$2:$D$5566,4,0)</f>
        <v>RN</v>
      </c>
    </row>
    <row r="178" spans="1:3" x14ac:dyDescent="0.35">
      <c r="A178">
        <v>240260</v>
      </c>
      <c r="B178" t="str">
        <f>VLOOKUP(A178,Planilha2!$A$2:$C$5566,3,0)</f>
        <v>CEARÁ-MIRIM</v>
      </c>
      <c r="C178" t="str">
        <f>VLOOKUP(A178,Planilha2!$A$2:$D$5566,4,0)</f>
        <v>RN</v>
      </c>
    </row>
    <row r="179" spans="1:3" x14ac:dyDescent="0.35">
      <c r="A179">
        <v>241150</v>
      </c>
      <c r="B179" t="str">
        <f>VLOOKUP(A179,Planilha2!$A$2:$C$5566,3,0)</f>
        <v>SANTO ANTÔNIO</v>
      </c>
      <c r="C179" t="str">
        <f>VLOOKUP(A179,Planilha2!$A$2:$D$5566,4,0)</f>
        <v>RN</v>
      </c>
    </row>
    <row r="180" spans="1:3" x14ac:dyDescent="0.35">
      <c r="A180">
        <v>240310</v>
      </c>
      <c r="B180" t="str">
        <f>VLOOKUP(A180,Planilha2!$A$2:$C$5566,3,0)</f>
        <v>CURRAIS NOVOS</v>
      </c>
      <c r="C180" t="str">
        <f>VLOOKUP(A180,Planilha2!$A$2:$D$5566,4,0)</f>
        <v>RN</v>
      </c>
    </row>
    <row r="181" spans="1:3" x14ac:dyDescent="0.35">
      <c r="A181">
        <v>241390</v>
      </c>
      <c r="B181" t="str">
        <f>VLOOKUP(A181,Planilha2!$A$2:$C$5566,3,0)</f>
        <v>TAIPU</v>
      </c>
      <c r="C181" t="str">
        <f>VLOOKUP(A181,Planilha2!$A$2:$D$5566,4,0)</f>
        <v>RN</v>
      </c>
    </row>
    <row r="182" spans="1:3" x14ac:dyDescent="0.35">
      <c r="A182">
        <v>251690</v>
      </c>
      <c r="B182" t="str">
        <f>VLOOKUP(A182,Planilha2!$A$2:$C$5566,3,0)</f>
        <v>UIRAÚNA</v>
      </c>
      <c r="C182" t="str">
        <f>VLOOKUP(A182,Planilha2!$A$2:$D$5566,4,0)</f>
        <v>PB</v>
      </c>
    </row>
    <row r="183" spans="1:3" x14ac:dyDescent="0.35">
      <c r="A183">
        <v>251090</v>
      </c>
      <c r="B183" t="str">
        <f>VLOOKUP(A183,Planilha2!$A$2:$C$5566,3,0)</f>
        <v>PAULISTA</v>
      </c>
      <c r="C183" t="str">
        <f>VLOOKUP(A183,Planilha2!$A$2:$D$5566,4,0)</f>
        <v>PB</v>
      </c>
    </row>
    <row r="184" spans="1:3" x14ac:dyDescent="0.35">
      <c r="A184">
        <v>250210</v>
      </c>
      <c r="B184" t="str">
        <f>VLOOKUP(A184,Planilha2!$A$2:$C$5566,3,0)</f>
        <v>BOA VENTURA</v>
      </c>
      <c r="C184" t="str">
        <f>VLOOKUP(A184,Planilha2!$A$2:$D$5566,4,0)</f>
        <v>PB</v>
      </c>
    </row>
    <row r="185" spans="1:3" x14ac:dyDescent="0.35">
      <c r="A185">
        <v>250800</v>
      </c>
      <c r="B185" t="str">
        <f>VLOOKUP(A185,Planilha2!$A$2:$C$5566,3,0)</f>
        <v>JURU</v>
      </c>
      <c r="C185" t="str">
        <f>VLOOKUP(A185,Planilha2!$A$2:$D$5566,4,0)</f>
        <v>PB</v>
      </c>
    </row>
    <row r="186" spans="1:3" x14ac:dyDescent="0.35">
      <c r="A186">
        <v>251630</v>
      </c>
      <c r="B186" t="str">
        <f>VLOOKUP(A186,Planilha2!$A$2:$C$5566,3,0)</f>
        <v>SUMÉ</v>
      </c>
      <c r="C186" t="str">
        <f>VLOOKUP(A186,Planilha2!$A$2:$D$5566,4,0)</f>
        <v>PB</v>
      </c>
    </row>
    <row r="187" spans="1:3" x14ac:dyDescent="0.35">
      <c r="A187">
        <v>251200</v>
      </c>
      <c r="B187" t="str">
        <f>VLOOKUP(A187,Planilha2!$A$2:$C$5566,3,0)</f>
        <v>POCINHOS</v>
      </c>
      <c r="C187" t="str">
        <f>VLOOKUP(A187,Planilha2!$A$2:$D$5566,4,0)</f>
        <v>PB</v>
      </c>
    </row>
    <row r="188" spans="1:3" x14ac:dyDescent="0.35">
      <c r="A188">
        <v>250910</v>
      </c>
      <c r="B188" t="str">
        <f>VLOOKUP(A188,Planilha2!$A$2:$C$5566,3,0)</f>
        <v>MARI</v>
      </c>
      <c r="C188" t="str">
        <f>VLOOKUP(A188,Planilha2!$A$2:$D$5566,4,0)</f>
        <v>PB</v>
      </c>
    </row>
    <row r="189" spans="1:3" x14ac:dyDescent="0.35">
      <c r="A189">
        <v>250400</v>
      </c>
      <c r="B189" t="str">
        <f>VLOOKUP(A189,Planilha2!$A$2:$C$5566,3,0)</f>
        <v>CAMPINA GRANDE</v>
      </c>
      <c r="C189" t="str">
        <f>VLOOKUP(A189,Planilha2!$A$2:$D$5566,4,0)</f>
        <v>PB</v>
      </c>
    </row>
    <row r="190" spans="1:3" x14ac:dyDescent="0.35">
      <c r="A190">
        <v>251010</v>
      </c>
      <c r="B190" t="str">
        <f>VLOOKUP(A190,Planilha2!$A$2:$C$5566,3,0)</f>
        <v>NOVA FLORESTA</v>
      </c>
      <c r="C190" t="str">
        <f>VLOOKUP(A190,Planilha2!$A$2:$D$5566,4,0)</f>
        <v>PB</v>
      </c>
    </row>
    <row r="191" spans="1:3" x14ac:dyDescent="0.35">
      <c r="A191">
        <v>250370</v>
      </c>
      <c r="B191" t="str">
        <f>VLOOKUP(A191,Planilha2!$A$2:$C$5566,3,0)</f>
        <v>CAJAZEIRAS</v>
      </c>
      <c r="C191" t="str">
        <f>VLOOKUP(A191,Planilha2!$A$2:$D$5566,4,0)</f>
        <v>PB</v>
      </c>
    </row>
    <row r="192" spans="1:3" x14ac:dyDescent="0.35">
      <c r="A192">
        <v>250720</v>
      </c>
      <c r="B192" t="str">
        <f>VLOOKUP(A192,Planilha2!$A$2:$C$5566,3,0)</f>
        <v>ITATUBA</v>
      </c>
      <c r="C192" t="str">
        <f>VLOOKUP(A192,Planilha2!$A$2:$D$5566,4,0)</f>
        <v>PB</v>
      </c>
    </row>
    <row r="193" spans="1:3" x14ac:dyDescent="0.35">
      <c r="A193">
        <v>251620</v>
      </c>
      <c r="B193" t="str">
        <f>VLOOKUP(A193,Planilha2!$A$2:$C$5566,3,0)</f>
        <v>SOUSA</v>
      </c>
      <c r="C193" t="str">
        <f>VLOOKUP(A193,Planilha2!$A$2:$D$5566,4,0)</f>
        <v>PB</v>
      </c>
    </row>
    <row r="194" spans="1:3" x14ac:dyDescent="0.35">
      <c r="A194">
        <v>250550</v>
      </c>
      <c r="B194" t="str">
        <f>VLOOKUP(A194,Planilha2!$A$2:$C$5566,3,0)</f>
        <v>VISTA SERRANA</v>
      </c>
      <c r="C194" t="str">
        <f>VLOOKUP(A194,Planilha2!$A$2:$D$5566,4,0)</f>
        <v>PB</v>
      </c>
    </row>
    <row r="195" spans="1:3" x14ac:dyDescent="0.35">
      <c r="A195">
        <v>250290</v>
      </c>
      <c r="B195" t="str">
        <f>VLOOKUP(A195,Planilha2!$A$2:$C$5566,3,0)</f>
        <v>BREJO DOS SANTOS</v>
      </c>
      <c r="C195" t="str">
        <f>VLOOKUP(A195,Planilha2!$A$2:$D$5566,4,0)</f>
        <v>PB</v>
      </c>
    </row>
    <row r="196" spans="1:3" x14ac:dyDescent="0.35">
      <c r="A196">
        <v>250110</v>
      </c>
      <c r="B196" t="str">
        <f>VLOOKUP(A196,Planilha2!$A$2:$C$5566,3,0)</f>
        <v>AREIA</v>
      </c>
      <c r="C196" t="str">
        <f>VLOOKUP(A196,Planilha2!$A$2:$D$5566,4,0)</f>
        <v>PB</v>
      </c>
    </row>
    <row r="197" spans="1:3" x14ac:dyDescent="0.35">
      <c r="A197">
        <v>250070</v>
      </c>
      <c r="B197" t="str">
        <f>VLOOKUP(A197,Planilha2!$A$2:$C$5566,3,0)</f>
        <v>SÃO JOÃO DO RIO DO PEIXE</v>
      </c>
      <c r="C197" t="str">
        <f>VLOOKUP(A197,Planilha2!$A$2:$D$5566,4,0)</f>
        <v>PB</v>
      </c>
    </row>
    <row r="198" spans="1:3" x14ac:dyDescent="0.35">
      <c r="A198">
        <v>251370</v>
      </c>
      <c r="B198" t="str">
        <f>VLOOKUP(A198,Planilha2!$A$2:$C$5566,3,0)</f>
        <v>SANTA RITA</v>
      </c>
      <c r="C198" t="str">
        <f>VLOOKUP(A198,Planilha2!$A$2:$D$5566,4,0)</f>
        <v>PB</v>
      </c>
    </row>
    <row r="199" spans="1:3" x14ac:dyDescent="0.35">
      <c r="A199">
        <v>250750</v>
      </c>
      <c r="B199" t="str">
        <f>VLOOKUP(A199,Planilha2!$A$2:$C$5566,3,0)</f>
        <v>JOÃO PESSOA</v>
      </c>
      <c r="C199" t="str">
        <f>VLOOKUP(A199,Planilha2!$A$2:$D$5566,4,0)</f>
        <v>PB</v>
      </c>
    </row>
    <row r="200" spans="1:3" x14ac:dyDescent="0.35">
      <c r="A200">
        <v>251540</v>
      </c>
      <c r="B200" t="str">
        <f>VLOOKUP(A200,Planilha2!$A$2:$C$5566,3,0)</f>
        <v>SERIDÓ</v>
      </c>
      <c r="C200" t="str">
        <f>VLOOKUP(A200,Planilha2!$A$2:$D$5566,4,0)</f>
        <v>PB</v>
      </c>
    </row>
    <row r="201" spans="1:3" x14ac:dyDescent="0.35">
      <c r="A201">
        <v>251110</v>
      </c>
      <c r="B201" t="str">
        <f>VLOOKUP(A201,Planilha2!$A$2:$C$5566,3,0)</f>
        <v>PEDRA LAVRADA</v>
      </c>
      <c r="C201" t="str">
        <f>VLOOKUP(A201,Planilha2!$A$2:$D$5566,4,0)</f>
        <v>PB</v>
      </c>
    </row>
    <row r="202" spans="1:3" x14ac:dyDescent="0.35">
      <c r="A202">
        <v>251140</v>
      </c>
      <c r="B202" t="str">
        <f>VLOOKUP(A202,Planilha2!$A$2:$C$5566,3,0)</f>
        <v>PICUÍ</v>
      </c>
      <c r="C202" t="str">
        <f>VLOOKUP(A202,Planilha2!$A$2:$D$5566,4,0)</f>
        <v>PB</v>
      </c>
    </row>
    <row r="203" spans="1:3" x14ac:dyDescent="0.35">
      <c r="A203">
        <v>260440</v>
      </c>
      <c r="B203" t="str">
        <f>VLOOKUP(A203,Planilha2!$A$2:$C$5566,3,0)</f>
        <v>CHÃ DE ALEGRIA</v>
      </c>
      <c r="C203" t="str">
        <f>VLOOKUP(A203,Planilha2!$A$2:$D$5566,4,0)</f>
        <v>PE</v>
      </c>
    </row>
    <row r="204" spans="1:3" x14ac:dyDescent="0.35">
      <c r="A204">
        <v>260980</v>
      </c>
      <c r="B204" t="str">
        <f>VLOOKUP(A204,Planilha2!$A$2:$C$5566,3,0)</f>
        <v>OROCÓ</v>
      </c>
      <c r="C204" t="str">
        <f>VLOOKUP(A204,Planilha2!$A$2:$D$5566,4,0)</f>
        <v>PE</v>
      </c>
    </row>
    <row r="205" spans="1:3" x14ac:dyDescent="0.35">
      <c r="A205">
        <v>261600</v>
      </c>
      <c r="B205" t="str">
        <f>VLOOKUP(A205,Planilha2!$A$2:$C$5566,3,0)</f>
        <v>VENTUROSA</v>
      </c>
      <c r="C205" t="str">
        <f>VLOOKUP(A205,Planilha2!$A$2:$D$5566,4,0)</f>
        <v>PE</v>
      </c>
    </row>
    <row r="206" spans="1:3" x14ac:dyDescent="0.35">
      <c r="A206">
        <v>260780</v>
      </c>
      <c r="B206" t="str">
        <f>VLOOKUP(A206,Planilha2!$A$2:$C$5566,3,0)</f>
        <v>ITAQUITINGA</v>
      </c>
      <c r="C206" t="str">
        <f>VLOOKUP(A206,Planilha2!$A$2:$D$5566,4,0)</f>
        <v>PE</v>
      </c>
    </row>
    <row r="207" spans="1:3" x14ac:dyDescent="0.35">
      <c r="A207">
        <v>260220</v>
      </c>
      <c r="B207" t="str">
        <f>VLOOKUP(A207,Planilha2!$A$2:$C$5566,3,0)</f>
        <v>BOM JARDIM</v>
      </c>
      <c r="C207" t="str">
        <f>VLOOKUP(A207,Planilha2!$A$2:$D$5566,4,0)</f>
        <v>PE</v>
      </c>
    </row>
    <row r="208" spans="1:3" x14ac:dyDescent="0.35">
      <c r="A208">
        <v>260840</v>
      </c>
      <c r="B208" t="str">
        <f>VLOOKUP(A208,Planilha2!$A$2:$C$5566,3,0)</f>
        <v>JUREMA</v>
      </c>
      <c r="C208" t="str">
        <f>VLOOKUP(A208,Planilha2!$A$2:$D$5566,4,0)</f>
        <v>PE</v>
      </c>
    </row>
    <row r="209" spans="1:3" x14ac:dyDescent="0.35">
      <c r="A209">
        <v>260410</v>
      </c>
      <c r="B209" t="str">
        <f>VLOOKUP(A209,Planilha2!$A$2:$C$5566,3,0)</f>
        <v>CARUARU</v>
      </c>
      <c r="C209" t="str">
        <f>VLOOKUP(A209,Planilha2!$A$2:$D$5566,4,0)</f>
        <v>PE</v>
      </c>
    </row>
    <row r="210" spans="1:3" x14ac:dyDescent="0.35">
      <c r="A210">
        <v>261020</v>
      </c>
      <c r="B210" t="str">
        <f>VLOOKUP(A210,Planilha2!$A$2:$C$5566,3,0)</f>
        <v>PANELAS</v>
      </c>
      <c r="C210" t="str">
        <f>VLOOKUP(A210,Planilha2!$A$2:$D$5566,4,0)</f>
        <v>PE</v>
      </c>
    </row>
    <row r="211" spans="1:3" x14ac:dyDescent="0.35">
      <c r="A211">
        <v>260990</v>
      </c>
      <c r="B211" t="str">
        <f>VLOOKUP(A211,Planilha2!$A$2:$C$5566,3,0)</f>
        <v>OURICURI</v>
      </c>
      <c r="C211" t="str">
        <f>VLOOKUP(A211,Planilha2!$A$2:$D$5566,4,0)</f>
        <v>PE</v>
      </c>
    </row>
    <row r="212" spans="1:3" x14ac:dyDescent="0.35">
      <c r="A212">
        <v>261570</v>
      </c>
      <c r="B212" t="str">
        <f>VLOOKUP(A212,Planilha2!$A$2:$C$5566,3,0)</f>
        <v>TRIUNFO</v>
      </c>
      <c r="C212" t="str">
        <f>VLOOKUP(A212,Planilha2!$A$2:$D$5566,4,0)</f>
        <v>PE</v>
      </c>
    </row>
    <row r="213" spans="1:3" x14ac:dyDescent="0.35">
      <c r="A213">
        <v>261460</v>
      </c>
      <c r="B213" t="str">
        <f>VLOOKUP(A213,Planilha2!$A$2:$C$5566,3,0)</f>
        <v>TABIRA</v>
      </c>
      <c r="C213" t="str">
        <f>VLOOKUP(A213,Planilha2!$A$2:$D$5566,4,0)</f>
        <v>PE</v>
      </c>
    </row>
    <row r="214" spans="1:3" x14ac:dyDescent="0.35">
      <c r="A214">
        <v>261100</v>
      </c>
      <c r="B214" t="str">
        <f>VLOOKUP(A214,Planilha2!$A$2:$C$5566,3,0)</f>
        <v>PETROLÂNDIA</v>
      </c>
      <c r="C214" t="str">
        <f>VLOOKUP(A214,Planilha2!$A$2:$D$5566,4,0)</f>
        <v>PE</v>
      </c>
    </row>
    <row r="215" spans="1:3" x14ac:dyDescent="0.35">
      <c r="A215">
        <v>261160</v>
      </c>
      <c r="B215" t="str">
        <f>VLOOKUP(A215,Planilha2!$A$2:$C$5566,3,0)</f>
        <v>RECIFE</v>
      </c>
      <c r="C215" t="str">
        <f>VLOOKUP(A215,Planilha2!$A$2:$D$5566,4,0)</f>
        <v>PE</v>
      </c>
    </row>
    <row r="216" spans="1:3" x14ac:dyDescent="0.35">
      <c r="A216">
        <v>261370</v>
      </c>
      <c r="B216" t="str">
        <f>VLOOKUP(A216,Planilha2!$A$2:$C$5566,3,0)</f>
        <v>SÃO LOURENÇO DA MATA</v>
      </c>
      <c r="C216" t="str">
        <f>VLOOKUP(A216,Planilha2!$A$2:$D$5566,4,0)</f>
        <v>PE</v>
      </c>
    </row>
    <row r="217" spans="1:3" x14ac:dyDescent="0.35">
      <c r="A217">
        <v>260790</v>
      </c>
      <c r="B217" t="str">
        <f>VLOOKUP(A217,Planilha2!$A$2:$C$5566,3,0)</f>
        <v>JABOATÃO DOS GUARARAPES</v>
      </c>
      <c r="C217" t="str">
        <f>VLOOKUP(A217,Planilha2!$A$2:$D$5566,4,0)</f>
        <v>PE</v>
      </c>
    </row>
    <row r="218" spans="1:3" x14ac:dyDescent="0.35">
      <c r="A218">
        <v>270910</v>
      </c>
      <c r="B218" t="str">
        <f>VLOOKUP(A218,Planilha2!$A$2:$C$5566,3,0)</f>
        <v>TAQUARANA</v>
      </c>
      <c r="C218" t="str">
        <f>VLOOKUP(A218,Planilha2!$A$2:$D$5566,4,0)</f>
        <v>AL</v>
      </c>
    </row>
    <row r="219" spans="1:3" x14ac:dyDescent="0.35">
      <c r="A219">
        <v>270660</v>
      </c>
      <c r="B219" t="str">
        <f>VLOOKUP(A219,Planilha2!$A$2:$C$5566,3,0)</f>
        <v>PAULO JACINTO</v>
      </c>
      <c r="C219" t="str">
        <f>VLOOKUP(A219,Planilha2!$A$2:$D$5566,4,0)</f>
        <v>AL</v>
      </c>
    </row>
    <row r="220" spans="1:3" x14ac:dyDescent="0.35">
      <c r="A220">
        <v>270630</v>
      </c>
      <c r="B220" t="str">
        <f>VLOOKUP(A220,Planilha2!$A$2:$C$5566,3,0)</f>
        <v>PALMEIRA DOS ÍNDIOS</v>
      </c>
      <c r="C220" t="str">
        <f>VLOOKUP(A220,Planilha2!$A$2:$D$5566,4,0)</f>
        <v>AL</v>
      </c>
    </row>
    <row r="221" spans="1:3" x14ac:dyDescent="0.35">
      <c r="A221">
        <v>270840</v>
      </c>
      <c r="B221" t="str">
        <f>VLOOKUP(A221,Planilha2!$A$2:$C$5566,3,0)</f>
        <v>SÃO JOSÉ DA TAPERA</v>
      </c>
      <c r="C221" t="str">
        <f>VLOOKUP(A221,Planilha2!$A$2:$D$5566,4,0)</f>
        <v>AL</v>
      </c>
    </row>
    <row r="222" spans="1:3" x14ac:dyDescent="0.35">
      <c r="A222">
        <v>270870</v>
      </c>
      <c r="B222" t="str">
        <f>VLOOKUP(A222,Planilha2!$A$2:$C$5566,3,0)</f>
        <v>SÃO MIGUEL DOS MILAGRES</v>
      </c>
      <c r="C222" t="str">
        <f>VLOOKUP(A222,Planilha2!$A$2:$D$5566,4,0)</f>
        <v>AL</v>
      </c>
    </row>
    <row r="223" spans="1:3" x14ac:dyDescent="0.35">
      <c r="A223">
        <v>270230</v>
      </c>
      <c r="B223" t="str">
        <f>VLOOKUP(A223,Planilha2!$A$2:$C$5566,3,0)</f>
        <v>CORURIPE</v>
      </c>
      <c r="C223" t="str">
        <f>VLOOKUP(A223,Planilha2!$A$2:$D$5566,4,0)</f>
        <v>AL</v>
      </c>
    </row>
    <row r="224" spans="1:3" x14ac:dyDescent="0.35">
      <c r="A224">
        <v>270120</v>
      </c>
      <c r="B224" t="str">
        <f>VLOOKUP(A224,Planilha2!$A$2:$C$5566,3,0)</f>
        <v>CACIMBINHAS</v>
      </c>
      <c r="C224" t="str">
        <f>VLOOKUP(A224,Planilha2!$A$2:$D$5566,4,0)</f>
        <v>AL</v>
      </c>
    </row>
    <row r="225" spans="1:3" x14ac:dyDescent="0.35">
      <c r="A225">
        <v>270520</v>
      </c>
      <c r="B225" t="str">
        <f>VLOOKUP(A225,Planilha2!$A$2:$C$5566,3,0)</f>
        <v>MESSIAS</v>
      </c>
      <c r="C225" t="str">
        <f>VLOOKUP(A225,Planilha2!$A$2:$D$5566,4,0)</f>
        <v>AL</v>
      </c>
    </row>
    <row r="226" spans="1:3" x14ac:dyDescent="0.35">
      <c r="A226">
        <v>270430</v>
      </c>
      <c r="B226" t="str">
        <f>VLOOKUP(A226,Planilha2!$A$2:$C$5566,3,0)</f>
        <v>MACEIÓ</v>
      </c>
      <c r="C226" t="str">
        <f>VLOOKUP(A226,Planilha2!$A$2:$D$5566,4,0)</f>
        <v>AL</v>
      </c>
    </row>
    <row r="227" spans="1:3" x14ac:dyDescent="0.35">
      <c r="A227">
        <v>270030</v>
      </c>
      <c r="B227" t="str">
        <f>VLOOKUP(A227,Planilha2!$A$2:$C$5566,3,0)</f>
        <v>ARAPIRACA</v>
      </c>
      <c r="C227" t="str">
        <f>VLOOKUP(A227,Planilha2!$A$2:$D$5566,4,0)</f>
        <v>AL</v>
      </c>
    </row>
    <row r="228" spans="1:3" x14ac:dyDescent="0.35">
      <c r="A228">
        <v>270850</v>
      </c>
      <c r="B228" t="str">
        <f>VLOOKUP(A228,Planilha2!$A$2:$C$5566,3,0)</f>
        <v>SÃO LUÍS DO QUITUNDE</v>
      </c>
      <c r="C228" t="str">
        <f>VLOOKUP(A228,Planilha2!$A$2:$D$5566,4,0)</f>
        <v>AL</v>
      </c>
    </row>
    <row r="229" spans="1:3" x14ac:dyDescent="0.35">
      <c r="A229">
        <v>270830</v>
      </c>
      <c r="B229" t="str">
        <f>VLOOKUP(A229,Planilha2!$A$2:$C$5566,3,0)</f>
        <v>SÃO JOSÉ DA LAJE</v>
      </c>
      <c r="C229" t="str">
        <f>VLOOKUP(A229,Planilha2!$A$2:$D$5566,4,0)</f>
        <v>AL</v>
      </c>
    </row>
    <row r="230" spans="1:3" x14ac:dyDescent="0.35">
      <c r="A230">
        <v>270550</v>
      </c>
      <c r="B230" t="str">
        <f>VLOOKUP(A230,Planilha2!$A$2:$C$5566,3,0)</f>
        <v>MURICI</v>
      </c>
      <c r="C230" t="str">
        <f>VLOOKUP(A230,Planilha2!$A$2:$D$5566,4,0)</f>
        <v>AL</v>
      </c>
    </row>
    <row r="231" spans="1:3" x14ac:dyDescent="0.35">
      <c r="A231">
        <v>270750</v>
      </c>
      <c r="B231" t="str">
        <f>VLOOKUP(A231,Planilha2!$A$2:$C$5566,3,0)</f>
        <v>PORTO REAL DO COLÉGIO</v>
      </c>
      <c r="C231" t="str">
        <f>VLOOKUP(A231,Planilha2!$A$2:$D$5566,4,0)</f>
        <v>AL</v>
      </c>
    </row>
    <row r="232" spans="1:3" x14ac:dyDescent="0.35">
      <c r="A232">
        <v>270400</v>
      </c>
      <c r="B232" t="str">
        <f>VLOOKUP(A232,Planilha2!$A$2:$C$5566,3,0)</f>
        <v>JUNQUEIRO</v>
      </c>
      <c r="C232" t="str">
        <f>VLOOKUP(A232,Planilha2!$A$2:$D$5566,4,0)</f>
        <v>AL</v>
      </c>
    </row>
    <row r="233" spans="1:3" x14ac:dyDescent="0.35">
      <c r="A233">
        <v>270670</v>
      </c>
      <c r="B233" t="str">
        <f>VLOOKUP(A233,Planilha2!$A$2:$C$5566,3,0)</f>
        <v>PENEDO</v>
      </c>
      <c r="C233" t="str">
        <f>VLOOKUP(A233,Planilha2!$A$2:$D$5566,4,0)</f>
        <v>AL</v>
      </c>
    </row>
    <row r="234" spans="1:3" x14ac:dyDescent="0.35">
      <c r="A234">
        <v>270620</v>
      </c>
      <c r="B234" t="str">
        <f>VLOOKUP(A234,Planilha2!$A$2:$C$5566,3,0)</f>
        <v>PALESTINA</v>
      </c>
      <c r="C234" t="str">
        <f>VLOOKUP(A234,Planilha2!$A$2:$D$5566,4,0)</f>
        <v>AL</v>
      </c>
    </row>
    <row r="235" spans="1:3" x14ac:dyDescent="0.35">
      <c r="A235">
        <v>270160</v>
      </c>
      <c r="B235" t="str">
        <f>VLOOKUP(A235,Planilha2!$A$2:$C$5566,3,0)</f>
        <v>CANAPI</v>
      </c>
      <c r="C235" t="str">
        <f>VLOOKUP(A235,Planilha2!$A$2:$D$5566,4,0)</f>
        <v>AL</v>
      </c>
    </row>
    <row r="236" spans="1:3" x14ac:dyDescent="0.35">
      <c r="A236">
        <v>270880</v>
      </c>
      <c r="B236" t="str">
        <f>VLOOKUP(A236,Planilha2!$A$2:$C$5566,3,0)</f>
        <v>SÃO SEBASTIÃO</v>
      </c>
      <c r="C236" t="str">
        <f>VLOOKUP(A236,Planilha2!$A$2:$D$5566,4,0)</f>
        <v>AL</v>
      </c>
    </row>
    <row r="237" spans="1:3" x14ac:dyDescent="0.35">
      <c r="A237">
        <v>270915</v>
      </c>
      <c r="B237" t="str">
        <f>VLOOKUP(A237,Planilha2!$A$2:$C$5566,3,0)</f>
        <v>TEOTÔNIO VILELA</v>
      </c>
      <c r="C237" t="str">
        <f>VLOOKUP(A237,Planilha2!$A$2:$D$5566,4,0)</f>
        <v>AL</v>
      </c>
    </row>
    <row r="238" spans="1:3" x14ac:dyDescent="0.35">
      <c r="A238">
        <v>270860</v>
      </c>
      <c r="B238" t="str">
        <f>VLOOKUP(A238,Planilha2!$A$2:$C$5566,3,0)</f>
        <v>SÃO MIGUEL DOS CAMPOS</v>
      </c>
      <c r="C238" t="str">
        <f>VLOOKUP(A238,Planilha2!$A$2:$D$5566,4,0)</f>
        <v>AL</v>
      </c>
    </row>
    <row r="239" spans="1:3" x14ac:dyDescent="0.35">
      <c r="A239">
        <v>270450</v>
      </c>
      <c r="B239" t="str">
        <f>VLOOKUP(A239,Planilha2!$A$2:$C$5566,3,0)</f>
        <v>MARAGOGI</v>
      </c>
      <c r="C239" t="str">
        <f>VLOOKUP(A239,Planilha2!$A$2:$D$5566,4,0)</f>
        <v>AL</v>
      </c>
    </row>
    <row r="240" spans="1:3" x14ac:dyDescent="0.35">
      <c r="A240">
        <v>270375</v>
      </c>
      <c r="B240" t="str">
        <f>VLOOKUP(A240,Planilha2!$A$2:$C$5566,3,0)</f>
        <v>JEQUIÁ DA PRAIA</v>
      </c>
      <c r="C240" t="str">
        <f>VLOOKUP(A240,Planilha2!$A$2:$D$5566,4,0)</f>
        <v>AL</v>
      </c>
    </row>
    <row r="241" spans="1:3" x14ac:dyDescent="0.35">
      <c r="A241">
        <v>270940</v>
      </c>
      <c r="B241" t="str">
        <f>VLOOKUP(A241,Planilha2!$A$2:$C$5566,3,0)</f>
        <v>VIÇOSA</v>
      </c>
      <c r="C241" t="str">
        <f>VLOOKUP(A241,Planilha2!$A$2:$D$5566,4,0)</f>
        <v>AL</v>
      </c>
    </row>
    <row r="242" spans="1:3" x14ac:dyDescent="0.35">
      <c r="A242">
        <v>270140</v>
      </c>
      <c r="B242" t="str">
        <f>VLOOKUP(A242,Planilha2!$A$2:$C$5566,3,0)</f>
        <v>CAMPO ALEGRE</v>
      </c>
      <c r="C242" t="str">
        <f>VLOOKUP(A242,Planilha2!$A$2:$D$5566,4,0)</f>
        <v>AL</v>
      </c>
    </row>
    <row r="243" spans="1:3" x14ac:dyDescent="0.35">
      <c r="A243">
        <v>270500</v>
      </c>
      <c r="B243" t="str">
        <f>VLOOKUP(A243,Planilha2!$A$2:$C$5566,3,0)</f>
        <v>MATA GRANDE</v>
      </c>
      <c r="C243" t="str">
        <f>VLOOKUP(A243,Planilha2!$A$2:$D$5566,4,0)</f>
        <v>AL</v>
      </c>
    </row>
    <row r="244" spans="1:3" x14ac:dyDescent="0.35">
      <c r="A244">
        <v>270070</v>
      </c>
      <c r="B244" t="str">
        <f>VLOOKUP(A244,Planilha2!$A$2:$C$5566,3,0)</f>
        <v>BATALHA</v>
      </c>
      <c r="C244" t="str">
        <f>VLOOKUP(A244,Planilha2!$A$2:$D$5566,4,0)</f>
        <v>AL</v>
      </c>
    </row>
    <row r="245" spans="1:3" x14ac:dyDescent="0.35">
      <c r="A245">
        <v>270290</v>
      </c>
      <c r="B245" t="str">
        <f>VLOOKUP(A245,Planilha2!$A$2:$C$5566,3,0)</f>
        <v>GIRAU DO PONCIANO</v>
      </c>
      <c r="C245" t="str">
        <f>VLOOKUP(A245,Planilha2!$A$2:$D$5566,4,0)</f>
        <v>AL</v>
      </c>
    </row>
    <row r="246" spans="1:3" x14ac:dyDescent="0.35">
      <c r="A246">
        <v>270770</v>
      </c>
      <c r="B246" t="str">
        <f>VLOOKUP(A246,Planilha2!$A$2:$C$5566,3,0)</f>
        <v>RIO LARGO</v>
      </c>
      <c r="C246" t="str">
        <f>VLOOKUP(A246,Planilha2!$A$2:$D$5566,4,0)</f>
        <v>AL</v>
      </c>
    </row>
    <row r="247" spans="1:3" x14ac:dyDescent="0.35">
      <c r="A247">
        <v>270470</v>
      </c>
      <c r="B247" t="str">
        <f>VLOOKUP(A247,Planilha2!$A$2:$C$5566,3,0)</f>
        <v>MARECHAL DEODORO</v>
      </c>
      <c r="C247" t="str">
        <f>VLOOKUP(A247,Planilha2!$A$2:$D$5566,4,0)</f>
        <v>AL</v>
      </c>
    </row>
    <row r="248" spans="1:3" x14ac:dyDescent="0.35">
      <c r="A248">
        <v>270690</v>
      </c>
      <c r="B248" t="str">
        <f>VLOOKUP(A248,Planilha2!$A$2:$C$5566,3,0)</f>
        <v>PILAR</v>
      </c>
      <c r="C248" t="str">
        <f>VLOOKUP(A248,Planilha2!$A$2:$D$5566,4,0)</f>
        <v>AL</v>
      </c>
    </row>
    <row r="249" spans="1:3" x14ac:dyDescent="0.35">
      <c r="A249">
        <v>270040</v>
      </c>
      <c r="B249" t="str">
        <f>VLOOKUP(A249,Planilha2!$A$2:$C$5566,3,0)</f>
        <v>ATALAIA</v>
      </c>
      <c r="C249" t="str">
        <f>VLOOKUP(A249,Planilha2!$A$2:$D$5566,4,0)</f>
        <v>AL</v>
      </c>
    </row>
    <row r="250" spans="1:3" x14ac:dyDescent="0.35">
      <c r="A250">
        <v>280740</v>
      </c>
      <c r="B250" t="str">
        <f>VLOOKUP(A250,Planilha2!$A$2:$C$5566,3,0)</f>
        <v>TOBIAS BARRETO</v>
      </c>
      <c r="C250" t="str">
        <f>VLOOKUP(A250,Planilha2!$A$2:$D$5566,4,0)</f>
        <v>SE</v>
      </c>
    </row>
    <row r="251" spans="1:3" x14ac:dyDescent="0.35">
      <c r="A251">
        <v>280350</v>
      </c>
      <c r="B251" t="str">
        <f>VLOOKUP(A251,Planilha2!$A$2:$C$5566,3,0)</f>
        <v>LAGARTO</v>
      </c>
      <c r="C251" t="str">
        <f>VLOOKUP(A251,Planilha2!$A$2:$D$5566,4,0)</f>
        <v>SE</v>
      </c>
    </row>
    <row r="252" spans="1:3" x14ac:dyDescent="0.35">
      <c r="A252">
        <v>293030</v>
      </c>
      <c r="B252" t="str">
        <f>VLOOKUP(A252,Planilha2!$A$2:$C$5566,3,0)</f>
        <v>SERRA DOURADA</v>
      </c>
      <c r="C252" t="str">
        <f>VLOOKUP(A252,Planilha2!$A$2:$D$5566,4,0)</f>
        <v>BA</v>
      </c>
    </row>
    <row r="253" spans="1:3" x14ac:dyDescent="0.35">
      <c r="A253">
        <v>290420</v>
      </c>
      <c r="B253" t="str">
        <f>VLOOKUP(A253,Planilha2!$A$2:$C$5566,3,0)</f>
        <v>BOTUPORÃ</v>
      </c>
      <c r="C253" t="str">
        <f>VLOOKUP(A253,Planilha2!$A$2:$D$5566,4,0)</f>
        <v>BA</v>
      </c>
    </row>
    <row r="254" spans="1:3" x14ac:dyDescent="0.35">
      <c r="A254">
        <v>292880</v>
      </c>
      <c r="B254" t="str">
        <f>VLOOKUP(A254,Planilha2!$A$2:$C$5566,3,0)</f>
        <v>SANTO ESTÊVÃO</v>
      </c>
      <c r="C254" t="str">
        <f>VLOOKUP(A254,Planilha2!$A$2:$D$5566,4,0)</f>
        <v>BA</v>
      </c>
    </row>
    <row r="255" spans="1:3" x14ac:dyDescent="0.35">
      <c r="A255">
        <v>291080</v>
      </c>
      <c r="B255" t="str">
        <f>VLOOKUP(A255,Planilha2!$A$2:$C$5566,3,0)</f>
        <v>FEIRA DE SANTANA</v>
      </c>
      <c r="C255" t="str">
        <f>VLOOKUP(A255,Planilha2!$A$2:$D$5566,4,0)</f>
        <v>BA</v>
      </c>
    </row>
    <row r="256" spans="1:3" x14ac:dyDescent="0.35">
      <c r="A256">
        <v>292750</v>
      </c>
      <c r="B256" t="str">
        <f>VLOOKUP(A256,Planilha2!$A$2:$C$5566,3,0)</f>
        <v>SANTA BÁRBARA</v>
      </c>
      <c r="C256" t="str">
        <f>VLOOKUP(A256,Planilha2!$A$2:$D$5566,4,0)</f>
        <v>BA</v>
      </c>
    </row>
    <row r="257" spans="1:3" x14ac:dyDescent="0.35">
      <c r="A257">
        <v>291400</v>
      </c>
      <c r="B257" t="str">
        <f>VLOOKUP(A257,Planilha2!$A$2:$C$5566,3,0)</f>
        <v>IPIRÁ</v>
      </c>
      <c r="C257" t="str">
        <f>VLOOKUP(A257,Planilha2!$A$2:$D$5566,4,0)</f>
        <v>BA</v>
      </c>
    </row>
    <row r="258" spans="1:3" x14ac:dyDescent="0.35">
      <c r="A258">
        <v>292800</v>
      </c>
      <c r="B258" t="str">
        <f>VLOOKUP(A258,Planilha2!$A$2:$C$5566,3,0)</f>
        <v>SANTALUZ</v>
      </c>
      <c r="C258" t="str">
        <f>VLOOKUP(A258,Planilha2!$A$2:$D$5566,4,0)</f>
        <v>BA</v>
      </c>
    </row>
    <row r="259" spans="1:3" x14ac:dyDescent="0.35">
      <c r="A259">
        <v>290323</v>
      </c>
      <c r="B259" t="str">
        <f>VLOOKUP(A259,Planilha2!$A$2:$C$5566,3,0)</f>
        <v>BARRO ALTO</v>
      </c>
      <c r="C259" t="str">
        <f>VLOOKUP(A259,Planilha2!$A$2:$D$5566,4,0)</f>
        <v>BA</v>
      </c>
    </row>
    <row r="260" spans="1:3" x14ac:dyDescent="0.35">
      <c r="A260">
        <v>290115</v>
      </c>
      <c r="B260" t="str">
        <f>VLOOKUP(A260,Planilha2!$A$2:$C$5566,3,0)</f>
        <v>AMÉRICA DOURADA</v>
      </c>
      <c r="C260" t="str">
        <f>VLOOKUP(A260,Planilha2!$A$2:$D$5566,4,0)</f>
        <v>BA</v>
      </c>
    </row>
    <row r="261" spans="1:3" x14ac:dyDescent="0.35">
      <c r="A261">
        <v>292770</v>
      </c>
      <c r="B261" t="str">
        <f>VLOOKUP(A261,Planilha2!$A$2:$C$5566,3,0)</f>
        <v>SANTA CRUZ CABRÁLIA</v>
      </c>
      <c r="C261" t="str">
        <f>VLOOKUP(A261,Planilha2!$A$2:$D$5566,4,0)</f>
        <v>BA</v>
      </c>
    </row>
    <row r="262" spans="1:3" x14ac:dyDescent="0.35">
      <c r="A262">
        <v>290340</v>
      </c>
      <c r="B262" t="str">
        <f>VLOOKUP(A262,Planilha2!$A$2:$C$5566,3,0)</f>
        <v>BELMONTE</v>
      </c>
      <c r="C262" t="str">
        <f>VLOOKUP(A262,Planilha2!$A$2:$D$5566,4,0)</f>
        <v>BA</v>
      </c>
    </row>
    <row r="263" spans="1:3" x14ac:dyDescent="0.35">
      <c r="A263">
        <v>292300</v>
      </c>
      <c r="B263" t="str">
        <f>VLOOKUP(A263,Planilha2!$A$2:$C$5566,3,0)</f>
        <v>NOVA VIÇOSA</v>
      </c>
      <c r="C263" t="str">
        <f>VLOOKUP(A263,Planilha2!$A$2:$D$5566,4,0)</f>
        <v>BA</v>
      </c>
    </row>
    <row r="264" spans="1:3" x14ac:dyDescent="0.35">
      <c r="A264">
        <v>293020</v>
      </c>
      <c r="B264" t="str">
        <f>VLOOKUP(A264,Planilha2!$A$2:$C$5566,3,0)</f>
        <v>SENTO SÉ</v>
      </c>
      <c r="C264" t="str">
        <f>VLOOKUP(A264,Planilha2!$A$2:$D$5566,4,0)</f>
        <v>BA</v>
      </c>
    </row>
    <row r="265" spans="1:3" x14ac:dyDescent="0.35">
      <c r="A265">
        <v>290180</v>
      </c>
      <c r="B265" t="str">
        <f>VLOOKUP(A265,Planilha2!$A$2:$C$5566,3,0)</f>
        <v>ANTÔNIO GONÇALVES</v>
      </c>
      <c r="C265" t="str">
        <f>VLOOKUP(A265,Planilha2!$A$2:$D$5566,4,0)</f>
        <v>BA</v>
      </c>
    </row>
    <row r="266" spans="1:3" x14ac:dyDescent="0.35">
      <c r="A266">
        <v>290810</v>
      </c>
      <c r="B266" t="str">
        <f>VLOOKUP(A266,Planilha2!$A$2:$C$5566,3,0)</f>
        <v>COCOS</v>
      </c>
      <c r="C266" t="str">
        <f>VLOOKUP(A266,Planilha2!$A$2:$D$5566,4,0)</f>
        <v>BA</v>
      </c>
    </row>
    <row r="267" spans="1:3" x14ac:dyDescent="0.35">
      <c r="A267">
        <v>292820</v>
      </c>
      <c r="B267" t="str">
        <f>VLOOKUP(A267,Planilha2!$A$2:$C$5566,3,0)</f>
        <v>SANTANA</v>
      </c>
      <c r="C267" t="str">
        <f>VLOOKUP(A267,Planilha2!$A$2:$D$5566,4,0)</f>
        <v>BA</v>
      </c>
    </row>
    <row r="268" spans="1:3" x14ac:dyDescent="0.35">
      <c r="A268">
        <v>292810</v>
      </c>
      <c r="B268" t="str">
        <f>VLOOKUP(A268,Planilha2!$A$2:$C$5566,3,0)</f>
        <v>SANTA MARIA DA VITÓRIA</v>
      </c>
      <c r="C268" t="str">
        <f>VLOOKUP(A268,Planilha2!$A$2:$D$5566,4,0)</f>
        <v>BA</v>
      </c>
    </row>
    <row r="269" spans="1:3" x14ac:dyDescent="0.35">
      <c r="A269">
        <v>291970</v>
      </c>
      <c r="B269" t="str">
        <f>VLOOKUP(A269,Planilha2!$A$2:$C$5566,3,0)</f>
        <v>MACARANI</v>
      </c>
      <c r="C269" t="str">
        <f>VLOOKUP(A269,Planilha2!$A$2:$D$5566,4,0)</f>
        <v>BA</v>
      </c>
    </row>
    <row r="270" spans="1:3" x14ac:dyDescent="0.35">
      <c r="A270">
        <v>291950</v>
      </c>
      <c r="B270" t="str">
        <f>VLOOKUP(A270,Planilha2!$A$2:$C$5566,3,0)</f>
        <v>LIVRAMENTO DE NOSSA SENHORA</v>
      </c>
      <c r="C270" t="str">
        <f>VLOOKUP(A270,Planilha2!$A$2:$D$5566,4,0)</f>
        <v>BA</v>
      </c>
    </row>
    <row r="271" spans="1:3" x14ac:dyDescent="0.35">
      <c r="A271">
        <v>291940</v>
      </c>
      <c r="B271" t="str">
        <f>VLOOKUP(A271,Planilha2!$A$2:$C$5566,3,0)</f>
        <v>LICÍNIO DE ALMEIDA</v>
      </c>
      <c r="C271" t="str">
        <f>VLOOKUP(A271,Planilha2!$A$2:$D$5566,4,0)</f>
        <v>BA</v>
      </c>
    </row>
    <row r="272" spans="1:3" x14ac:dyDescent="0.35">
      <c r="A272">
        <v>293260</v>
      </c>
      <c r="B272" t="str">
        <f>VLOOKUP(A272,Planilha2!$A$2:$C$5566,3,0)</f>
        <v>URANDI</v>
      </c>
      <c r="C272" t="str">
        <f>VLOOKUP(A272,Planilha2!$A$2:$D$5566,4,0)</f>
        <v>BA</v>
      </c>
    </row>
    <row r="273" spans="1:3" x14ac:dyDescent="0.35">
      <c r="A273">
        <v>293000</v>
      </c>
      <c r="B273" t="str">
        <f>VLOOKUP(A273,Planilha2!$A$2:$C$5566,3,0)</f>
        <v>SEBASTIÃO LARANJEIRAS</v>
      </c>
      <c r="C273" t="str">
        <f>VLOOKUP(A273,Planilha2!$A$2:$D$5566,4,0)</f>
        <v>BA</v>
      </c>
    </row>
    <row r="274" spans="1:3" x14ac:dyDescent="0.35">
      <c r="A274">
        <v>292450</v>
      </c>
      <c r="B274" t="str">
        <f>VLOOKUP(A274,Planilha2!$A$2:$C$5566,3,0)</f>
        <v>PINDAÍ</v>
      </c>
      <c r="C274" t="str">
        <f>VLOOKUP(A274,Planilha2!$A$2:$D$5566,4,0)</f>
        <v>BA</v>
      </c>
    </row>
    <row r="275" spans="1:3" x14ac:dyDescent="0.35">
      <c r="A275">
        <v>313340</v>
      </c>
      <c r="B275" t="str">
        <f>VLOOKUP(A275,Planilha2!$A$2:$C$5566,3,0)</f>
        <v>ITAPAGIPE</v>
      </c>
      <c r="C275" t="str">
        <f>VLOOKUP(A275,Planilha2!$A$2:$D$5566,4,0)</f>
        <v>MG</v>
      </c>
    </row>
    <row r="276" spans="1:3" x14ac:dyDescent="0.35">
      <c r="A276">
        <v>313760</v>
      </c>
      <c r="B276" t="str">
        <f>VLOOKUP(A276,Planilha2!$A$2:$C$5566,3,0)</f>
        <v>LAGOA SANTA</v>
      </c>
      <c r="C276" t="str">
        <f>VLOOKUP(A276,Planilha2!$A$2:$D$5566,4,0)</f>
        <v>MG</v>
      </c>
    </row>
    <row r="277" spans="1:3" x14ac:dyDescent="0.35">
      <c r="A277">
        <v>310375</v>
      </c>
      <c r="B277" t="str">
        <f>VLOOKUP(A277,Planilha2!$A$2:$C$5566,3,0)</f>
        <v>ARAPORÃ</v>
      </c>
      <c r="C277" t="str">
        <f>VLOOKUP(A277,Planilha2!$A$2:$D$5566,4,0)</f>
        <v>MG</v>
      </c>
    </row>
    <row r="278" spans="1:3" x14ac:dyDescent="0.35">
      <c r="A278">
        <v>314795</v>
      </c>
      <c r="B278" t="str">
        <f>VLOOKUP(A278,Planilha2!$A$2:$C$5566,3,0)</f>
        <v>PATIS</v>
      </c>
      <c r="C278" t="str">
        <f>VLOOKUP(A278,Planilha2!$A$2:$D$5566,4,0)</f>
        <v>MG</v>
      </c>
    </row>
    <row r="279" spans="1:3" x14ac:dyDescent="0.35">
      <c r="A279">
        <v>314345</v>
      </c>
      <c r="B279" t="str">
        <f>VLOOKUP(A279,Planilha2!$A$2:$C$5566,3,0)</f>
        <v>MONTEZUMA</v>
      </c>
      <c r="C279" t="str">
        <f>VLOOKUP(A279,Planilha2!$A$2:$D$5566,4,0)</f>
        <v>MG</v>
      </c>
    </row>
    <row r="280" spans="1:3" x14ac:dyDescent="0.35">
      <c r="A280">
        <v>315790</v>
      </c>
      <c r="B280" t="str">
        <f>VLOOKUP(A280,Planilha2!$A$2:$C$5566,3,0)</f>
        <v>SANTA MARGARIDA</v>
      </c>
      <c r="C280" t="str">
        <f>VLOOKUP(A280,Planilha2!$A$2:$D$5566,4,0)</f>
        <v>MG</v>
      </c>
    </row>
    <row r="281" spans="1:3" x14ac:dyDescent="0.35">
      <c r="A281">
        <v>313420</v>
      </c>
      <c r="B281" t="str">
        <f>VLOOKUP(A281,Planilha2!$A$2:$C$5566,3,0)</f>
        <v>ITUIUTABA</v>
      </c>
      <c r="C281" t="str">
        <f>VLOOKUP(A281,Planilha2!$A$2:$D$5566,4,0)</f>
        <v>MG</v>
      </c>
    </row>
    <row r="282" spans="1:3" x14ac:dyDescent="0.35">
      <c r="A282">
        <v>310940</v>
      </c>
      <c r="B282" t="str">
        <f>VLOOKUP(A282,Planilha2!$A$2:$C$5566,3,0)</f>
        <v>BURITIZEIRO</v>
      </c>
      <c r="C282" t="str">
        <f>VLOOKUP(A282,Planilha2!$A$2:$D$5566,4,0)</f>
        <v>MG</v>
      </c>
    </row>
    <row r="283" spans="1:3" x14ac:dyDescent="0.35">
      <c r="A283">
        <v>310450</v>
      </c>
      <c r="B283" t="str">
        <f>VLOOKUP(A283,Planilha2!$A$2:$C$5566,3,0)</f>
        <v>ARINOS</v>
      </c>
      <c r="C283" t="str">
        <f>VLOOKUP(A283,Planilha2!$A$2:$D$5566,4,0)</f>
        <v>MG</v>
      </c>
    </row>
    <row r="284" spans="1:3" x14ac:dyDescent="0.35">
      <c r="A284">
        <v>310720</v>
      </c>
      <c r="B284" t="str">
        <f>VLOOKUP(A284,Planilha2!$A$2:$C$5566,3,0)</f>
        <v>BOCAINA DE MINAS</v>
      </c>
      <c r="C284" t="str">
        <f>VLOOKUP(A284,Planilha2!$A$2:$D$5566,4,0)</f>
        <v>MG</v>
      </c>
    </row>
    <row r="285" spans="1:3" x14ac:dyDescent="0.35">
      <c r="A285">
        <v>316130</v>
      </c>
      <c r="B285" t="str">
        <f>VLOOKUP(A285,Planilha2!$A$2:$C$5566,3,0)</f>
        <v>SÃO FRANCISCO DE SALES</v>
      </c>
      <c r="C285" t="str">
        <f>VLOOKUP(A285,Planilha2!$A$2:$D$5566,4,0)</f>
        <v>MG</v>
      </c>
    </row>
    <row r="286" spans="1:3" x14ac:dyDescent="0.35">
      <c r="A286">
        <v>316257</v>
      </c>
      <c r="B286" t="str">
        <f>VLOOKUP(A286,Planilha2!$A$2:$C$5566,3,0)</f>
        <v>SÃO JOÃO DO MANTENINHA</v>
      </c>
      <c r="C286" t="str">
        <f>VLOOKUP(A286,Planilha2!$A$2:$D$5566,4,0)</f>
        <v>MG</v>
      </c>
    </row>
    <row r="287" spans="1:3" x14ac:dyDescent="0.35">
      <c r="A287">
        <v>310220</v>
      </c>
      <c r="B287" t="str">
        <f>VLOOKUP(A287,Planilha2!$A$2:$C$5566,3,0)</f>
        <v>ALVARENGA</v>
      </c>
      <c r="C287" t="str">
        <f>VLOOKUP(A287,Planilha2!$A$2:$D$5566,4,0)</f>
        <v>MG</v>
      </c>
    </row>
    <row r="288" spans="1:3" x14ac:dyDescent="0.35">
      <c r="A288">
        <v>315430</v>
      </c>
      <c r="B288" t="str">
        <f>VLOOKUP(A288,Planilha2!$A$2:$C$5566,3,0)</f>
        <v>RESPLENDOR</v>
      </c>
      <c r="C288" t="str">
        <f>VLOOKUP(A288,Planilha2!$A$2:$D$5566,4,0)</f>
        <v>MG</v>
      </c>
    </row>
    <row r="289" spans="1:3" x14ac:dyDescent="0.35">
      <c r="A289">
        <v>316280</v>
      </c>
      <c r="B289" t="str">
        <f>VLOOKUP(A289,Planilha2!$A$2:$C$5566,3,0)</f>
        <v>SÃO JOÃO EVANGELISTA</v>
      </c>
      <c r="C289" t="str">
        <f>VLOOKUP(A289,Planilha2!$A$2:$D$5566,4,0)</f>
        <v>MG</v>
      </c>
    </row>
    <row r="290" spans="1:3" x14ac:dyDescent="0.35">
      <c r="A290">
        <v>312770</v>
      </c>
      <c r="B290" t="str">
        <f>VLOOKUP(A290,Planilha2!$A$2:$C$5566,3,0)</f>
        <v>GOVERNADOR VALADARES</v>
      </c>
      <c r="C290" t="str">
        <f>VLOOKUP(A290,Planilha2!$A$2:$D$5566,4,0)</f>
        <v>MG</v>
      </c>
    </row>
    <row r="291" spans="1:3" x14ac:dyDescent="0.35">
      <c r="A291">
        <v>310110</v>
      </c>
      <c r="B291" t="str">
        <f>VLOOKUP(A291,Planilha2!$A$2:$C$5566,3,0)</f>
        <v>AIMORÉS</v>
      </c>
      <c r="C291" t="str">
        <f>VLOOKUP(A291,Planilha2!$A$2:$D$5566,4,0)</f>
        <v>MG</v>
      </c>
    </row>
    <row r="292" spans="1:3" x14ac:dyDescent="0.35">
      <c r="A292">
        <v>311265</v>
      </c>
      <c r="B292" t="str">
        <f>VLOOKUP(A292,Planilha2!$A$2:$C$5566,3,0)</f>
        <v>CAPITÃO ANDRADE</v>
      </c>
      <c r="C292" t="str">
        <f>VLOOKUP(A292,Planilha2!$A$2:$D$5566,4,0)</f>
        <v>MG</v>
      </c>
    </row>
    <row r="293" spans="1:3" x14ac:dyDescent="0.35">
      <c r="A293">
        <v>314330</v>
      </c>
      <c r="B293" t="str">
        <f>VLOOKUP(A293,Planilha2!$A$2:$C$5566,3,0)</f>
        <v>MONTES CLAROS</v>
      </c>
      <c r="C293" t="str">
        <f>VLOOKUP(A293,Planilha2!$A$2:$D$5566,4,0)</f>
        <v>MG</v>
      </c>
    </row>
    <row r="294" spans="1:3" x14ac:dyDescent="0.35">
      <c r="A294">
        <v>310730</v>
      </c>
      <c r="B294" t="str">
        <f>VLOOKUP(A294,Planilha2!$A$2:$C$5566,3,0)</f>
        <v>BOCAIÚVA</v>
      </c>
      <c r="C294" t="str">
        <f>VLOOKUP(A294,Planilha2!$A$2:$D$5566,4,0)</f>
        <v>MG</v>
      </c>
    </row>
    <row r="295" spans="1:3" x14ac:dyDescent="0.35">
      <c r="A295">
        <v>312825</v>
      </c>
      <c r="B295" t="str">
        <f>VLOOKUP(A295,Planilha2!$A$2:$C$5566,3,0)</f>
        <v>GUARACIAMA</v>
      </c>
      <c r="C295" t="str">
        <f>VLOOKUP(A295,Planilha2!$A$2:$D$5566,4,0)</f>
        <v>MG</v>
      </c>
    </row>
    <row r="296" spans="1:3" x14ac:dyDescent="0.35">
      <c r="A296">
        <v>310630</v>
      </c>
      <c r="B296" t="str">
        <f>VLOOKUP(A296,Planilha2!$A$2:$C$5566,3,0)</f>
        <v>BELO ORIENTE</v>
      </c>
      <c r="C296" t="str">
        <f>VLOOKUP(A296,Planilha2!$A$2:$D$5566,4,0)</f>
        <v>MG</v>
      </c>
    </row>
    <row r="297" spans="1:3" x14ac:dyDescent="0.35">
      <c r="A297">
        <v>310780</v>
      </c>
      <c r="B297" t="str">
        <f>VLOOKUP(A297,Planilha2!$A$2:$C$5566,3,0)</f>
        <v>BOM JESUS DO GALHO</v>
      </c>
      <c r="C297" t="str">
        <f>VLOOKUP(A297,Planilha2!$A$2:$D$5566,4,0)</f>
        <v>MG</v>
      </c>
    </row>
    <row r="298" spans="1:3" x14ac:dyDescent="0.35">
      <c r="A298">
        <v>312160</v>
      </c>
      <c r="B298" t="str">
        <f>VLOOKUP(A298,Planilha2!$A$2:$C$5566,3,0)</f>
        <v>DIAMANTINA</v>
      </c>
      <c r="C298" t="str">
        <f>VLOOKUP(A298,Planilha2!$A$2:$D$5566,4,0)</f>
        <v>MG</v>
      </c>
    </row>
    <row r="299" spans="1:3" x14ac:dyDescent="0.35">
      <c r="A299">
        <v>315680</v>
      </c>
      <c r="B299" t="str">
        <f>VLOOKUP(A299,Planilha2!$A$2:$C$5566,3,0)</f>
        <v>SABINÓPOLIS</v>
      </c>
      <c r="C299" t="str">
        <f>VLOOKUP(A299,Planilha2!$A$2:$D$5566,4,0)</f>
        <v>MG</v>
      </c>
    </row>
    <row r="300" spans="1:3" x14ac:dyDescent="0.35">
      <c r="A300">
        <v>311750</v>
      </c>
      <c r="B300" t="str">
        <f>VLOOKUP(A300,Planilha2!$A$2:$C$5566,3,0)</f>
        <v>CONCEIÇÃO DO MATO DENTRO</v>
      </c>
      <c r="C300" t="str">
        <f>VLOOKUP(A300,Planilha2!$A$2:$D$5566,4,0)</f>
        <v>MG</v>
      </c>
    </row>
    <row r="301" spans="1:3" x14ac:dyDescent="0.35">
      <c r="A301">
        <v>312760</v>
      </c>
      <c r="B301" t="str">
        <f>VLOOKUP(A301,Planilha2!$A$2:$C$5566,3,0)</f>
        <v>GOUVEIA</v>
      </c>
      <c r="C301" t="str">
        <f>VLOOKUP(A301,Planilha2!$A$2:$D$5566,4,0)</f>
        <v>MG</v>
      </c>
    </row>
    <row r="302" spans="1:3" x14ac:dyDescent="0.35">
      <c r="A302">
        <v>314180</v>
      </c>
      <c r="B302" t="str">
        <f>VLOOKUP(A302,Planilha2!$A$2:$C$5566,3,0)</f>
        <v>MINAS NOVAS</v>
      </c>
      <c r="C302" t="str">
        <f>VLOOKUP(A302,Planilha2!$A$2:$D$5566,4,0)</f>
        <v>MG</v>
      </c>
    </row>
    <row r="303" spans="1:3" x14ac:dyDescent="0.35">
      <c r="A303">
        <v>313630</v>
      </c>
      <c r="B303" t="str">
        <f>VLOOKUP(A303,Planilha2!$A$2:$C$5566,3,0)</f>
        <v>JOÃO PINHEIRO</v>
      </c>
      <c r="C303" t="str">
        <f>VLOOKUP(A303,Planilha2!$A$2:$D$5566,4,0)</f>
        <v>MG</v>
      </c>
    </row>
    <row r="304" spans="1:3" x14ac:dyDescent="0.35">
      <c r="A304">
        <v>313375</v>
      </c>
      <c r="B304" t="str">
        <f>VLOOKUP(A304,Planilha2!$A$2:$C$5566,3,0)</f>
        <v>ITAÚ DE MINAS</v>
      </c>
      <c r="C304" t="str">
        <f>VLOOKUP(A304,Planilha2!$A$2:$D$5566,4,0)</f>
        <v>MG</v>
      </c>
    </row>
    <row r="305" spans="1:3" x14ac:dyDescent="0.35">
      <c r="A305">
        <v>314700</v>
      </c>
      <c r="B305" t="str">
        <f>VLOOKUP(A305,Planilha2!$A$2:$C$5566,3,0)</f>
        <v>PARACATU</v>
      </c>
      <c r="C305" t="str">
        <f>VLOOKUP(A305,Planilha2!$A$2:$D$5566,4,0)</f>
        <v>MG</v>
      </c>
    </row>
    <row r="306" spans="1:3" x14ac:dyDescent="0.35">
      <c r="A306">
        <v>313210</v>
      </c>
      <c r="B306" t="str">
        <f>VLOOKUP(A306,Planilha2!$A$2:$C$5566,3,0)</f>
        <v>ITACARAMBI</v>
      </c>
      <c r="C306" t="str">
        <f>VLOOKUP(A306,Planilha2!$A$2:$D$5566,4,0)</f>
        <v>MG</v>
      </c>
    </row>
    <row r="307" spans="1:3" x14ac:dyDescent="0.35">
      <c r="A307">
        <v>316245</v>
      </c>
      <c r="B307" t="str">
        <f>VLOOKUP(A307,Planilha2!$A$2:$C$5566,3,0)</f>
        <v>SÃO JOÃO DAS MISSÕES</v>
      </c>
      <c r="C307" t="str">
        <f>VLOOKUP(A307,Planilha2!$A$2:$D$5566,4,0)</f>
        <v>MG</v>
      </c>
    </row>
    <row r="308" spans="1:3" x14ac:dyDescent="0.35">
      <c r="A308">
        <v>315645</v>
      </c>
      <c r="B308" t="str">
        <f>VLOOKUP(A308,Planilha2!$A$2:$C$5566,3,0)</f>
        <v>ROSÁRIO DA LIMEIRA</v>
      </c>
      <c r="C308" t="str">
        <f>VLOOKUP(A308,Planilha2!$A$2:$D$5566,4,0)</f>
        <v>MG</v>
      </c>
    </row>
    <row r="309" spans="1:3" x14ac:dyDescent="0.35">
      <c r="A309">
        <v>316990</v>
      </c>
      <c r="B309" t="str">
        <f>VLOOKUP(A309,Planilha2!$A$2:$C$5566,3,0)</f>
        <v>UBÁ</v>
      </c>
      <c r="C309" t="str">
        <f>VLOOKUP(A309,Planilha2!$A$2:$D$5566,4,0)</f>
        <v>MG</v>
      </c>
    </row>
    <row r="310" spans="1:3" x14ac:dyDescent="0.35">
      <c r="A310">
        <v>320440</v>
      </c>
      <c r="B310" t="str">
        <f>VLOOKUP(A310,Planilha2!$A$2:$C$5566,3,0)</f>
        <v>RIO NOVO DO SUL</v>
      </c>
      <c r="C310" t="str">
        <f>VLOOKUP(A310,Planilha2!$A$2:$D$5566,4,0)</f>
        <v>ES</v>
      </c>
    </row>
    <row r="311" spans="1:3" x14ac:dyDescent="0.35">
      <c r="A311">
        <v>320120</v>
      </c>
      <c r="B311" t="str">
        <f>VLOOKUP(A311,Planilha2!$A$2:$C$5566,3,0)</f>
        <v>CACHOEIRO DE ITAPEMIRIM</v>
      </c>
      <c r="C311" t="str">
        <f>VLOOKUP(A311,Planilha2!$A$2:$D$5566,4,0)</f>
        <v>ES</v>
      </c>
    </row>
    <row r="312" spans="1:3" x14ac:dyDescent="0.35">
      <c r="A312">
        <v>320130</v>
      </c>
      <c r="B312" t="str">
        <f>VLOOKUP(A312,Planilha2!$A$2:$C$5566,3,0)</f>
        <v>CARIACICA</v>
      </c>
      <c r="C312" t="str">
        <f>VLOOKUP(A312,Planilha2!$A$2:$D$5566,4,0)</f>
        <v>ES</v>
      </c>
    </row>
    <row r="313" spans="1:3" x14ac:dyDescent="0.35">
      <c r="A313">
        <v>320220</v>
      </c>
      <c r="B313" t="str">
        <f>VLOOKUP(A313,Planilha2!$A$2:$C$5566,3,0)</f>
        <v>FUNDÃO</v>
      </c>
      <c r="C313" t="str">
        <f>VLOOKUP(A313,Planilha2!$A$2:$D$5566,4,0)</f>
        <v>ES</v>
      </c>
    </row>
    <row r="314" spans="1:3" x14ac:dyDescent="0.35">
      <c r="A314">
        <v>320500</v>
      </c>
      <c r="B314" t="str">
        <f>VLOOKUP(A314,Planilha2!$A$2:$C$5566,3,0)</f>
        <v>SERRA</v>
      </c>
      <c r="C314" t="str">
        <f>VLOOKUP(A314,Planilha2!$A$2:$D$5566,4,0)</f>
        <v>ES</v>
      </c>
    </row>
    <row r="315" spans="1:3" x14ac:dyDescent="0.35">
      <c r="A315">
        <v>320470</v>
      </c>
      <c r="B315" t="str">
        <f>VLOOKUP(A315,Planilha2!$A$2:$C$5566,3,0)</f>
        <v>SÃO GABRIEL DA PALHA</v>
      </c>
      <c r="C315" t="str">
        <f>VLOOKUP(A315,Planilha2!$A$2:$D$5566,4,0)</f>
        <v>ES</v>
      </c>
    </row>
    <row r="316" spans="1:3" x14ac:dyDescent="0.35">
      <c r="A316">
        <v>320190</v>
      </c>
      <c r="B316" t="str">
        <f>VLOOKUP(A316,Planilha2!$A$2:$C$5566,3,0)</f>
        <v>DOMINGOS MARTINS</v>
      </c>
      <c r="C316" t="str">
        <f>VLOOKUP(A316,Planilha2!$A$2:$D$5566,4,0)</f>
        <v>ES</v>
      </c>
    </row>
    <row r="317" spans="1:3" x14ac:dyDescent="0.35">
      <c r="A317">
        <v>320170</v>
      </c>
      <c r="B317" t="str">
        <f>VLOOKUP(A317,Planilha2!$A$2:$C$5566,3,0)</f>
        <v>CONCEIÇÃO DO CASTELO</v>
      </c>
      <c r="C317" t="str">
        <f>VLOOKUP(A317,Planilha2!$A$2:$D$5566,4,0)</f>
        <v>ES</v>
      </c>
    </row>
    <row r="318" spans="1:3" x14ac:dyDescent="0.35">
      <c r="A318">
        <v>320040</v>
      </c>
      <c r="B318" t="str">
        <f>VLOOKUP(A318,Planilha2!$A$2:$C$5566,3,0)</f>
        <v>ANCHIETA</v>
      </c>
      <c r="C318" t="str">
        <f>VLOOKUP(A318,Planilha2!$A$2:$D$5566,4,0)</f>
        <v>ES</v>
      </c>
    </row>
    <row r="319" spans="1:3" x14ac:dyDescent="0.35">
      <c r="A319">
        <v>320334</v>
      </c>
      <c r="B319" t="str">
        <f>VLOOKUP(A319,Planilha2!$A$2:$C$5566,3,0)</f>
        <v>MARECHAL FLORIANO</v>
      </c>
      <c r="C319" t="str">
        <f>VLOOKUP(A319,Planilha2!$A$2:$D$5566,4,0)</f>
        <v>ES</v>
      </c>
    </row>
    <row r="320" spans="1:3" x14ac:dyDescent="0.35">
      <c r="A320">
        <v>320520</v>
      </c>
      <c r="B320" t="str">
        <f>VLOOKUP(A320,Planilha2!$A$2:$C$5566,3,0)</f>
        <v>VILA VELHA</v>
      </c>
      <c r="C320" t="str">
        <f>VLOOKUP(A320,Planilha2!$A$2:$D$5566,4,0)</f>
        <v>ES</v>
      </c>
    </row>
    <row r="321" spans="1:3" x14ac:dyDescent="0.35">
      <c r="A321">
        <v>320530</v>
      </c>
      <c r="B321" t="str">
        <f>VLOOKUP(A321,Planilha2!$A$2:$C$5566,3,0)</f>
        <v>VITÓRIA</v>
      </c>
      <c r="C321" t="str">
        <f>VLOOKUP(A321,Planilha2!$A$2:$D$5566,4,0)</f>
        <v>ES</v>
      </c>
    </row>
    <row r="322" spans="1:3" x14ac:dyDescent="0.35">
      <c r="A322">
        <v>320410</v>
      </c>
      <c r="B322" t="str">
        <f>VLOOKUP(A322,Planilha2!$A$2:$C$5566,3,0)</f>
        <v>PINHEIROS</v>
      </c>
      <c r="C322" t="str">
        <f>VLOOKUP(A322,Planilha2!$A$2:$D$5566,4,0)</f>
        <v>ES</v>
      </c>
    </row>
    <row r="323" spans="1:3" x14ac:dyDescent="0.35">
      <c r="A323">
        <v>320070</v>
      </c>
      <c r="B323" t="str">
        <f>VLOOKUP(A323,Planilha2!$A$2:$C$5566,3,0)</f>
        <v>ATILIO VIVACQUA</v>
      </c>
      <c r="C323" t="str">
        <f>VLOOKUP(A323,Planilha2!$A$2:$D$5566,4,0)</f>
        <v>ES</v>
      </c>
    </row>
    <row r="324" spans="1:3" x14ac:dyDescent="0.35">
      <c r="A324">
        <v>320370</v>
      </c>
      <c r="B324" t="str">
        <f>VLOOKUP(A324,Planilha2!$A$2:$C$5566,3,0)</f>
        <v>MUNIZ FREIRE</v>
      </c>
      <c r="C324" t="str">
        <f>VLOOKUP(A324,Planilha2!$A$2:$D$5566,4,0)</f>
        <v>ES</v>
      </c>
    </row>
    <row r="325" spans="1:3" x14ac:dyDescent="0.35">
      <c r="A325">
        <v>320060</v>
      </c>
      <c r="B325" t="str">
        <f>VLOOKUP(A325,Planilha2!$A$2:$C$5566,3,0)</f>
        <v>ARACRUZ</v>
      </c>
      <c r="C325" t="str">
        <f>VLOOKUP(A325,Planilha2!$A$2:$D$5566,4,0)</f>
        <v>ES</v>
      </c>
    </row>
    <row r="326" spans="1:3" x14ac:dyDescent="0.35">
      <c r="A326">
        <v>320300</v>
      </c>
      <c r="B326" t="str">
        <f>VLOOKUP(A326,Planilha2!$A$2:$C$5566,3,0)</f>
        <v>IÚNA</v>
      </c>
      <c r="C326" t="str">
        <f>VLOOKUP(A326,Planilha2!$A$2:$D$5566,4,0)</f>
        <v>ES</v>
      </c>
    </row>
    <row r="327" spans="1:3" x14ac:dyDescent="0.35">
      <c r="A327">
        <v>330455</v>
      </c>
      <c r="B327" t="str">
        <f>VLOOKUP(A327,Planilha2!$A$2:$C$5566,3,0)</f>
        <v>RIO DE JANEIRO</v>
      </c>
      <c r="C327" t="str">
        <f>VLOOKUP(A327,Planilha2!$A$2:$D$5566,4,0)</f>
        <v>RJ</v>
      </c>
    </row>
    <row r="328" spans="1:3" x14ac:dyDescent="0.35">
      <c r="A328">
        <v>330414</v>
      </c>
      <c r="B328" t="str">
        <f>VLOOKUP(A328,Planilha2!$A$2:$C$5566,3,0)</f>
        <v>QUEIMADOS</v>
      </c>
      <c r="C328" t="str">
        <f>VLOOKUP(A328,Planilha2!$A$2:$D$5566,4,0)</f>
        <v>RJ</v>
      </c>
    </row>
    <row r="329" spans="1:3" x14ac:dyDescent="0.35">
      <c r="A329">
        <v>330350</v>
      </c>
      <c r="B329" t="str">
        <f>VLOOKUP(A329,Planilha2!$A$2:$C$5566,3,0)</f>
        <v>NOVA IGUAÇU</v>
      </c>
      <c r="C329" t="str">
        <f>VLOOKUP(A329,Planilha2!$A$2:$D$5566,4,0)</f>
        <v>RJ</v>
      </c>
    </row>
    <row r="330" spans="1:3" x14ac:dyDescent="0.35">
      <c r="A330">
        <v>330280</v>
      </c>
      <c r="B330" t="str">
        <f>VLOOKUP(A330,Planilha2!$A$2:$C$5566,3,0)</f>
        <v>MENDES</v>
      </c>
      <c r="C330" t="str">
        <f>VLOOKUP(A330,Planilha2!$A$2:$D$5566,4,0)</f>
        <v>RJ</v>
      </c>
    </row>
    <row r="331" spans="1:3" x14ac:dyDescent="0.35">
      <c r="A331">
        <v>330040</v>
      </c>
      <c r="B331" t="str">
        <f>VLOOKUP(A331,Planilha2!$A$2:$C$5566,3,0)</f>
        <v>BARRA MANSA</v>
      </c>
      <c r="C331" t="str">
        <f>VLOOKUP(A331,Planilha2!$A$2:$D$5566,4,0)</f>
        <v>RJ</v>
      </c>
    </row>
    <row r="332" spans="1:3" x14ac:dyDescent="0.35">
      <c r="A332">
        <v>330490</v>
      </c>
      <c r="B332" t="str">
        <f>VLOOKUP(A332,Planilha2!$A$2:$C$5566,3,0)</f>
        <v>SÃO GONÇALO</v>
      </c>
      <c r="C332" t="str">
        <f>VLOOKUP(A332,Planilha2!$A$2:$D$5566,4,0)</f>
        <v>RJ</v>
      </c>
    </row>
    <row r="333" spans="1:3" x14ac:dyDescent="0.35">
      <c r="A333">
        <v>330190</v>
      </c>
      <c r="B333" t="str">
        <f>VLOOKUP(A333,Planilha2!$A$2:$C$5566,3,0)</f>
        <v>ITABORAÍ</v>
      </c>
      <c r="C333" t="str">
        <f>VLOOKUP(A333,Planilha2!$A$2:$D$5566,4,0)</f>
        <v>RJ</v>
      </c>
    </row>
    <row r="334" spans="1:3" x14ac:dyDescent="0.35">
      <c r="A334">
        <v>330430</v>
      </c>
      <c r="B334" t="str">
        <f>VLOOKUP(A334,Planilha2!$A$2:$C$5566,3,0)</f>
        <v>RIO BONITO</v>
      </c>
      <c r="C334" t="str">
        <f>VLOOKUP(A334,Planilha2!$A$2:$D$5566,4,0)</f>
        <v>RJ</v>
      </c>
    </row>
    <row r="335" spans="1:3" x14ac:dyDescent="0.35">
      <c r="A335">
        <v>330590</v>
      </c>
      <c r="B335" t="str">
        <f>VLOOKUP(A335,Planilha2!$A$2:$C$5566,3,0)</f>
        <v>TRAJANO DE MORAIS</v>
      </c>
      <c r="C335" t="str">
        <f>VLOOKUP(A335,Planilha2!$A$2:$D$5566,4,0)</f>
        <v>RJ</v>
      </c>
    </row>
    <row r="336" spans="1:3" x14ac:dyDescent="0.35">
      <c r="A336">
        <v>330185</v>
      </c>
      <c r="B336" t="str">
        <f>VLOOKUP(A336,Planilha2!$A$2:$C$5566,3,0)</f>
        <v>GUAPIMIRIM</v>
      </c>
      <c r="C336" t="str">
        <f>VLOOKUP(A336,Planilha2!$A$2:$D$5566,4,0)</f>
        <v>RJ</v>
      </c>
    </row>
    <row r="337" spans="1:3" x14ac:dyDescent="0.35">
      <c r="A337">
        <v>330250</v>
      </c>
      <c r="B337" t="str">
        <f>VLOOKUP(A337,Planilha2!$A$2:$C$5566,3,0)</f>
        <v>MAGÉ</v>
      </c>
      <c r="C337" t="str">
        <f>VLOOKUP(A337,Planilha2!$A$2:$D$5566,4,0)</f>
        <v>RJ</v>
      </c>
    </row>
    <row r="338" spans="1:3" x14ac:dyDescent="0.35">
      <c r="A338">
        <v>330045</v>
      </c>
      <c r="B338" t="str">
        <f>VLOOKUP(A338,Planilha2!$A$2:$C$5566,3,0)</f>
        <v>BELFORD ROXO</v>
      </c>
      <c r="C338" t="str">
        <f>VLOOKUP(A338,Planilha2!$A$2:$D$5566,4,0)</f>
        <v>RJ</v>
      </c>
    </row>
    <row r="339" spans="1:3" x14ac:dyDescent="0.35">
      <c r="A339">
        <v>330170</v>
      </c>
      <c r="B339" t="str">
        <f>VLOOKUP(A339,Planilha2!$A$2:$C$5566,3,0)</f>
        <v>DUQUE DE CAXIAS</v>
      </c>
      <c r="C339" t="str">
        <f>VLOOKUP(A339,Planilha2!$A$2:$D$5566,4,0)</f>
        <v>RJ</v>
      </c>
    </row>
    <row r="340" spans="1:3" x14ac:dyDescent="0.35">
      <c r="A340">
        <v>330380</v>
      </c>
      <c r="B340" t="str">
        <f>VLOOKUP(A340,Planilha2!$A$2:$C$5566,3,0)</f>
        <v>PARATI</v>
      </c>
      <c r="C340" t="str">
        <f>VLOOKUP(A340,Planilha2!$A$2:$D$5566,4,0)</f>
        <v>RJ</v>
      </c>
    </row>
    <row r="341" spans="1:3" x14ac:dyDescent="0.35">
      <c r="A341">
        <v>330411</v>
      </c>
      <c r="B341" t="str">
        <f>VLOOKUP(A341,Planilha2!$A$2:$C$5566,3,0)</f>
        <v>PORTO REAL</v>
      </c>
      <c r="C341" t="str">
        <f>VLOOKUP(A341,Planilha2!$A$2:$D$5566,4,0)</f>
        <v>RJ</v>
      </c>
    </row>
    <row r="342" spans="1:3" x14ac:dyDescent="0.35">
      <c r="A342">
        <v>330390</v>
      </c>
      <c r="B342" t="str">
        <f>VLOOKUP(A342,Planilha2!$A$2:$C$5566,3,0)</f>
        <v>PETRÓPOLIS</v>
      </c>
      <c r="C342" t="str">
        <f>VLOOKUP(A342,Planilha2!$A$2:$D$5566,4,0)</f>
        <v>RJ</v>
      </c>
    </row>
    <row r="343" spans="1:3" x14ac:dyDescent="0.35">
      <c r="A343">
        <v>330110</v>
      </c>
      <c r="B343" t="str">
        <f>VLOOKUP(A343,Planilha2!$A$2:$C$5566,3,0)</f>
        <v>CANTAGALO</v>
      </c>
      <c r="C343" t="str">
        <f>VLOOKUP(A343,Planilha2!$A$2:$D$5566,4,0)</f>
        <v>RJ</v>
      </c>
    </row>
    <row r="344" spans="1:3" x14ac:dyDescent="0.35">
      <c r="A344">
        <v>330510</v>
      </c>
      <c r="B344" t="str">
        <f>VLOOKUP(A344,Planilha2!$A$2:$C$5566,3,0)</f>
        <v>SÃO JOÃO DE MERITI</v>
      </c>
      <c r="C344" t="str">
        <f>VLOOKUP(A344,Planilha2!$A$2:$D$5566,4,0)</f>
        <v>RJ</v>
      </c>
    </row>
    <row r="345" spans="1:3" x14ac:dyDescent="0.35">
      <c r="A345">
        <v>330600</v>
      </c>
      <c r="B345" t="str">
        <f>VLOOKUP(A345,Planilha2!$A$2:$C$5566,3,0)</f>
        <v>TRÊS RIOS</v>
      </c>
      <c r="C345" t="str">
        <f>VLOOKUP(A345,Planilha2!$A$2:$D$5566,4,0)</f>
        <v>RJ</v>
      </c>
    </row>
    <row r="346" spans="1:3" x14ac:dyDescent="0.35">
      <c r="A346">
        <v>330095</v>
      </c>
      <c r="B346" t="str">
        <f>VLOOKUP(A346,Planilha2!$A$2:$C$5566,3,0)</f>
        <v>COMENDADOR LEVY GASPARIAN</v>
      </c>
      <c r="C346" t="str">
        <f>VLOOKUP(A346,Planilha2!$A$2:$D$5566,4,0)</f>
        <v>RJ</v>
      </c>
    </row>
    <row r="347" spans="1:3" x14ac:dyDescent="0.35">
      <c r="A347">
        <v>330370</v>
      </c>
      <c r="B347" t="str">
        <f>VLOOKUP(A347,Planilha2!$A$2:$C$5566,3,0)</f>
        <v>PARAÍBA DO SUL</v>
      </c>
      <c r="C347" t="str">
        <f>VLOOKUP(A347,Planilha2!$A$2:$D$5566,4,0)</f>
        <v>RJ</v>
      </c>
    </row>
    <row r="348" spans="1:3" x14ac:dyDescent="0.35">
      <c r="A348">
        <v>330630</v>
      </c>
      <c r="B348" t="str">
        <f>VLOOKUP(A348,Planilha2!$A$2:$C$5566,3,0)</f>
        <v>VOLTA REDONDA</v>
      </c>
      <c r="C348" t="str">
        <f>VLOOKUP(A348,Planilha2!$A$2:$D$5566,4,0)</f>
        <v>RJ</v>
      </c>
    </row>
    <row r="349" spans="1:3" x14ac:dyDescent="0.35">
      <c r="A349">
        <v>330395</v>
      </c>
      <c r="B349" t="str">
        <f>VLOOKUP(A349,Planilha2!$A$2:$C$5566,3,0)</f>
        <v>PINHEIRAL</v>
      </c>
      <c r="C349" t="str">
        <f>VLOOKUP(A349,Planilha2!$A$2:$D$5566,4,0)</f>
        <v>RJ</v>
      </c>
    </row>
    <row r="350" spans="1:3" x14ac:dyDescent="0.35">
      <c r="A350">
        <v>351990</v>
      </c>
      <c r="B350" t="str">
        <f>VLOOKUP(A350,Planilha2!$A$2:$C$5566,3,0)</f>
        <v>IEPÊ</v>
      </c>
      <c r="C350" t="str">
        <f>VLOOKUP(A350,Planilha2!$A$2:$D$5566,4,0)</f>
        <v>SP</v>
      </c>
    </row>
    <row r="351" spans="1:3" x14ac:dyDescent="0.35">
      <c r="A351">
        <v>354300</v>
      </c>
      <c r="B351" t="str">
        <f>VLOOKUP(A351,Planilha2!$A$2:$C$5566,3,0)</f>
        <v>RIBEIRÃO BRANCO</v>
      </c>
      <c r="C351" t="str">
        <f>VLOOKUP(A351,Planilha2!$A$2:$D$5566,4,0)</f>
        <v>SP</v>
      </c>
    </row>
    <row r="352" spans="1:3" x14ac:dyDescent="0.35">
      <c r="A352">
        <v>352240</v>
      </c>
      <c r="B352" t="str">
        <f>VLOOKUP(A352,Planilha2!$A$2:$C$5566,3,0)</f>
        <v>ITAPEVA</v>
      </c>
      <c r="C352" t="str">
        <f>VLOOKUP(A352,Planilha2!$A$2:$D$5566,4,0)</f>
        <v>SP</v>
      </c>
    </row>
    <row r="353" spans="1:3" x14ac:dyDescent="0.35">
      <c r="A353">
        <v>355250</v>
      </c>
      <c r="B353" t="str">
        <f>VLOOKUP(A353,Planilha2!$A$2:$C$5566,3,0)</f>
        <v>SUZANO</v>
      </c>
      <c r="C353" t="str">
        <f>VLOOKUP(A353,Planilha2!$A$2:$D$5566,4,0)</f>
        <v>SP</v>
      </c>
    </row>
    <row r="354" spans="1:3" x14ac:dyDescent="0.35">
      <c r="A354">
        <v>350270</v>
      </c>
      <c r="B354" t="str">
        <f>VLOOKUP(A354,Planilha2!$A$2:$C$5566,3,0)</f>
        <v>APIAÍ</v>
      </c>
      <c r="C354" t="str">
        <f>VLOOKUP(A354,Planilha2!$A$2:$D$5566,4,0)</f>
        <v>SP</v>
      </c>
    </row>
    <row r="355" spans="1:3" x14ac:dyDescent="0.35">
      <c r="A355">
        <v>351880</v>
      </c>
      <c r="B355" t="str">
        <f>VLOOKUP(A355,Planilha2!$A$2:$C$5566,3,0)</f>
        <v>GUARULHOS</v>
      </c>
      <c r="C355" t="str">
        <f>VLOOKUP(A355,Planilha2!$A$2:$D$5566,4,0)</f>
        <v>SP</v>
      </c>
    </row>
    <row r="356" spans="1:3" x14ac:dyDescent="0.35">
      <c r="A356">
        <v>352040</v>
      </c>
      <c r="B356" t="str">
        <f>VLOOKUP(A356,Planilha2!$A$2:$C$5566,3,0)</f>
        <v>ILHABELA</v>
      </c>
      <c r="C356" t="str">
        <f>VLOOKUP(A356,Planilha2!$A$2:$D$5566,4,0)</f>
        <v>SP</v>
      </c>
    </row>
    <row r="357" spans="1:3" x14ac:dyDescent="0.35">
      <c r="A357">
        <v>353920</v>
      </c>
      <c r="B357" t="str">
        <f>VLOOKUP(A357,Planilha2!$A$2:$C$5566,3,0)</f>
        <v>PIRAPOZINHO</v>
      </c>
      <c r="C357" t="str">
        <f>VLOOKUP(A357,Planilha2!$A$2:$D$5566,4,0)</f>
        <v>SP</v>
      </c>
    </row>
    <row r="358" spans="1:3" x14ac:dyDescent="0.35">
      <c r="A358">
        <v>350330</v>
      </c>
      <c r="B358" t="str">
        <f>VLOOKUP(A358,Planilha2!$A$2:$C$5566,3,0)</f>
        <v>ARARAS</v>
      </c>
      <c r="C358" t="str">
        <f>VLOOKUP(A358,Planilha2!$A$2:$D$5566,4,0)</f>
        <v>SP</v>
      </c>
    </row>
    <row r="359" spans="1:3" x14ac:dyDescent="0.35">
      <c r="A359">
        <v>355720</v>
      </c>
      <c r="B359" t="str">
        <f>VLOOKUP(A359,Planilha2!$A$2:$C$5566,3,0)</f>
        <v>CHAVANTES</v>
      </c>
      <c r="C359" t="str">
        <f>VLOOKUP(A359,Planilha2!$A$2:$D$5566,4,0)</f>
        <v>SP</v>
      </c>
    </row>
    <row r="360" spans="1:3" x14ac:dyDescent="0.35">
      <c r="A360">
        <v>350400</v>
      </c>
      <c r="B360" t="str">
        <f>VLOOKUP(A360,Planilha2!$A$2:$C$5566,3,0)</f>
        <v>ASSIS</v>
      </c>
      <c r="C360" t="str">
        <f>VLOOKUP(A360,Planilha2!$A$2:$D$5566,4,0)</f>
        <v>SP</v>
      </c>
    </row>
    <row r="361" spans="1:3" x14ac:dyDescent="0.35">
      <c r="A361">
        <v>353390</v>
      </c>
      <c r="B361" t="str">
        <f>VLOOKUP(A361,Planilha2!$A$2:$C$5566,3,0)</f>
        <v>OLÍMPIA</v>
      </c>
      <c r="C361" t="str">
        <f>VLOOKUP(A361,Planilha2!$A$2:$D$5566,4,0)</f>
        <v>SP</v>
      </c>
    </row>
    <row r="362" spans="1:3" x14ac:dyDescent="0.35">
      <c r="A362">
        <v>354730</v>
      </c>
      <c r="B362" t="str">
        <f>VLOOKUP(A362,Planilha2!$A$2:$C$5566,3,0)</f>
        <v>SANTANA DE PARNAÍBA</v>
      </c>
      <c r="C362" t="str">
        <f>VLOOKUP(A362,Planilha2!$A$2:$D$5566,4,0)</f>
        <v>SP</v>
      </c>
    </row>
    <row r="363" spans="1:3" x14ac:dyDescent="0.35">
      <c r="A363">
        <v>355510</v>
      </c>
      <c r="B363" t="str">
        <f>VLOOKUP(A363,Planilha2!$A$2:$C$5566,3,0)</f>
        <v>TUPI PAULISTA</v>
      </c>
      <c r="C363" t="str">
        <f>VLOOKUP(A363,Planilha2!$A$2:$D$5566,4,0)</f>
        <v>SP</v>
      </c>
    </row>
    <row r="364" spans="1:3" x14ac:dyDescent="0.35">
      <c r="A364">
        <v>354770</v>
      </c>
      <c r="B364" t="str">
        <f>VLOOKUP(A364,Planilha2!$A$2:$C$5566,3,0)</f>
        <v>SANTO ANASTÁCIO</v>
      </c>
      <c r="C364" t="str">
        <f>VLOOKUP(A364,Planilha2!$A$2:$D$5566,4,0)</f>
        <v>SP</v>
      </c>
    </row>
    <row r="365" spans="1:3" x14ac:dyDescent="0.35">
      <c r="A365">
        <v>353020</v>
      </c>
      <c r="B365" t="str">
        <f>VLOOKUP(A365,Planilha2!$A$2:$C$5566,3,0)</f>
        <v>MIRANTE DO PARANAPANEMA</v>
      </c>
      <c r="C365" t="str">
        <f>VLOOKUP(A365,Planilha2!$A$2:$D$5566,4,0)</f>
        <v>SP</v>
      </c>
    </row>
    <row r="366" spans="1:3" x14ac:dyDescent="0.35">
      <c r="A366">
        <v>354130</v>
      </c>
      <c r="B366" t="str">
        <f>VLOOKUP(A366,Planilha2!$A$2:$C$5566,3,0)</f>
        <v>PRESIDENTE EPITÁCIO</v>
      </c>
      <c r="C366" t="str">
        <f>VLOOKUP(A366,Planilha2!$A$2:$D$5566,4,0)</f>
        <v>SP</v>
      </c>
    </row>
    <row r="367" spans="1:3" x14ac:dyDescent="0.35">
      <c r="A367">
        <v>350640</v>
      </c>
      <c r="B367" t="str">
        <f>VLOOKUP(A367,Planilha2!$A$2:$C$5566,3,0)</f>
        <v>BILAC</v>
      </c>
      <c r="C367" t="str">
        <f>VLOOKUP(A367,Planilha2!$A$2:$D$5566,4,0)</f>
        <v>SP</v>
      </c>
    </row>
    <row r="368" spans="1:3" x14ac:dyDescent="0.35">
      <c r="A368">
        <v>355180</v>
      </c>
      <c r="B368" t="str">
        <f>VLOOKUP(A368,Planilha2!$A$2:$C$5566,3,0)</f>
        <v>SETE BARRAS</v>
      </c>
      <c r="C368" t="str">
        <f>VLOOKUP(A368,Planilha2!$A$2:$D$5566,4,0)</f>
        <v>SP</v>
      </c>
    </row>
    <row r="369" spans="1:3" x14ac:dyDescent="0.35">
      <c r="A369">
        <v>350925</v>
      </c>
      <c r="B369" t="str">
        <f>VLOOKUP(A369,Planilha2!$A$2:$C$5566,3,0)</f>
        <v>CAJATI</v>
      </c>
      <c r="C369" t="str">
        <f>VLOOKUP(A369,Planilha2!$A$2:$D$5566,4,0)</f>
        <v>SP</v>
      </c>
    </row>
    <row r="370" spans="1:3" x14ac:dyDescent="0.35">
      <c r="A370">
        <v>353720</v>
      </c>
      <c r="B370" t="str">
        <f>VLOOKUP(A370,Planilha2!$A$2:$C$5566,3,0)</f>
        <v>PEDRO DE TOLEDO</v>
      </c>
      <c r="C370" t="str">
        <f>VLOOKUP(A370,Planilha2!$A$2:$D$5566,4,0)</f>
        <v>SP</v>
      </c>
    </row>
    <row r="371" spans="1:3" x14ac:dyDescent="0.35">
      <c r="A371">
        <v>352030</v>
      </c>
      <c r="B371" t="str">
        <f>VLOOKUP(A371,Planilha2!$A$2:$C$5566,3,0)</f>
        <v>IGUAPE</v>
      </c>
      <c r="C371" t="str">
        <f>VLOOKUP(A371,Planilha2!$A$2:$D$5566,4,0)</f>
        <v>SP</v>
      </c>
    </row>
    <row r="372" spans="1:3" x14ac:dyDescent="0.35">
      <c r="A372">
        <v>353284</v>
      </c>
      <c r="B372" t="str">
        <f>VLOOKUP(A372,Planilha2!$A$2:$C$5566,3,0)</f>
        <v>NOVA CANAÃ PAULISTA</v>
      </c>
      <c r="C372" t="str">
        <f>VLOOKUP(A372,Planilha2!$A$2:$D$5566,4,0)</f>
        <v>SP</v>
      </c>
    </row>
    <row r="373" spans="1:3" x14ac:dyDescent="0.35">
      <c r="A373">
        <v>354660</v>
      </c>
      <c r="B373" t="str">
        <f>VLOOKUP(A373,Planilha2!$A$2:$C$5566,3,0)</f>
        <v>SANTA FÉ DO SUL</v>
      </c>
      <c r="C373" t="str">
        <f>VLOOKUP(A373,Planilha2!$A$2:$D$5566,4,0)</f>
        <v>SP</v>
      </c>
    </row>
    <row r="374" spans="1:3" x14ac:dyDescent="0.35">
      <c r="A374">
        <v>412560</v>
      </c>
      <c r="B374" t="str">
        <f>VLOOKUP(A374,Planilha2!$A$2:$C$5566,3,0)</f>
        <v>SÃO MATEUS DO SUL</v>
      </c>
      <c r="C374" t="str">
        <f>VLOOKUP(A374,Planilha2!$A$2:$D$5566,4,0)</f>
        <v>PR</v>
      </c>
    </row>
    <row r="375" spans="1:3" x14ac:dyDescent="0.35">
      <c r="A375">
        <v>410830</v>
      </c>
      <c r="B375" t="str">
        <f>VLOOKUP(A375,Planilha2!$A$2:$C$5566,3,0)</f>
        <v>FOZ DO IGUAÇU</v>
      </c>
      <c r="C375" t="str">
        <f>VLOOKUP(A375,Planilha2!$A$2:$D$5566,4,0)</f>
        <v>PR</v>
      </c>
    </row>
    <row r="376" spans="1:3" x14ac:dyDescent="0.35">
      <c r="A376">
        <v>410530</v>
      </c>
      <c r="B376" t="str">
        <f>VLOOKUP(A376,Planilha2!$A$2:$C$5566,3,0)</f>
        <v>CÉU AZUL</v>
      </c>
      <c r="C376" t="str">
        <f>VLOOKUP(A376,Planilha2!$A$2:$D$5566,4,0)</f>
        <v>PR</v>
      </c>
    </row>
    <row r="377" spans="1:3" x14ac:dyDescent="0.35">
      <c r="A377">
        <v>412260</v>
      </c>
      <c r="B377" t="str">
        <f>VLOOKUP(A377,Planilha2!$A$2:$C$5566,3,0)</f>
        <v>RONDON</v>
      </c>
      <c r="C377" t="str">
        <f>VLOOKUP(A377,Planilha2!$A$2:$D$5566,4,0)</f>
        <v>PR</v>
      </c>
    </row>
    <row r="378" spans="1:3" x14ac:dyDescent="0.35">
      <c r="A378">
        <v>411420</v>
      </c>
      <c r="B378" t="str">
        <f>VLOOKUP(A378,Planilha2!$A$2:$C$5566,3,0)</f>
        <v>MANDAGUARI</v>
      </c>
      <c r="C378" t="str">
        <f>VLOOKUP(A378,Planilha2!$A$2:$D$5566,4,0)</f>
        <v>PR</v>
      </c>
    </row>
    <row r="379" spans="1:3" x14ac:dyDescent="0.35">
      <c r="A379">
        <v>412790</v>
      </c>
      <c r="B379" t="str">
        <f>VLOOKUP(A379,Planilha2!$A$2:$C$5566,3,0)</f>
        <v>TUNEIRAS DO OESTE</v>
      </c>
      <c r="C379" t="str">
        <f>VLOOKUP(A379,Planilha2!$A$2:$D$5566,4,0)</f>
        <v>PR</v>
      </c>
    </row>
    <row r="380" spans="1:3" x14ac:dyDescent="0.35">
      <c r="A380">
        <v>410560</v>
      </c>
      <c r="B380" t="str">
        <f>VLOOKUP(A380,Planilha2!$A$2:$C$5566,3,0)</f>
        <v>CIDADE GAÚCHA</v>
      </c>
      <c r="C380" t="str">
        <f>VLOOKUP(A380,Planilha2!$A$2:$D$5566,4,0)</f>
        <v>PR</v>
      </c>
    </row>
    <row r="381" spans="1:3" x14ac:dyDescent="0.35">
      <c r="A381">
        <v>410550</v>
      </c>
      <c r="B381" t="str">
        <f>VLOOKUP(A381,Planilha2!$A$2:$C$5566,3,0)</f>
        <v>CIANORTE</v>
      </c>
      <c r="C381" t="str">
        <f>VLOOKUP(A381,Planilha2!$A$2:$D$5566,4,0)</f>
        <v>PR</v>
      </c>
    </row>
    <row r="382" spans="1:3" x14ac:dyDescent="0.35">
      <c r="A382">
        <v>412840</v>
      </c>
      <c r="B382" t="str">
        <f>VLOOKUP(A382,Planilha2!$A$2:$C$5566,3,0)</f>
        <v>URAÍ</v>
      </c>
      <c r="C382" t="str">
        <f>VLOOKUP(A382,Planilha2!$A$2:$D$5566,4,0)</f>
        <v>PR</v>
      </c>
    </row>
    <row r="383" spans="1:3" x14ac:dyDescent="0.35">
      <c r="A383">
        <v>412350</v>
      </c>
      <c r="B383" t="str">
        <f>VLOOKUP(A383,Planilha2!$A$2:$C$5566,3,0)</f>
        <v>SANTA HELENA</v>
      </c>
      <c r="C383" t="str">
        <f>VLOOKUP(A383,Planilha2!$A$2:$D$5566,4,0)</f>
        <v>PR</v>
      </c>
    </row>
    <row r="384" spans="1:3" x14ac:dyDescent="0.35">
      <c r="A384">
        <v>412650</v>
      </c>
      <c r="B384" t="str">
        <f>VLOOKUP(A384,Planilha2!$A$2:$C$5566,3,0)</f>
        <v>SERTANÓPOLIS</v>
      </c>
      <c r="C384" t="str">
        <f>VLOOKUP(A384,Planilha2!$A$2:$D$5566,4,0)</f>
        <v>PR</v>
      </c>
    </row>
    <row r="385" spans="1:3" x14ac:dyDescent="0.35">
      <c r="A385">
        <v>410760</v>
      </c>
      <c r="B385" t="str">
        <f>VLOOKUP(A385,Planilha2!$A$2:$C$5566,3,0)</f>
        <v>FAXINAL</v>
      </c>
      <c r="C385" t="str">
        <f>VLOOKUP(A385,Planilha2!$A$2:$D$5566,4,0)</f>
        <v>PR</v>
      </c>
    </row>
    <row r="386" spans="1:3" x14ac:dyDescent="0.35">
      <c r="A386">
        <v>411915</v>
      </c>
      <c r="B386" t="str">
        <f>VLOOKUP(A386,Planilha2!$A$2:$C$5566,3,0)</f>
        <v>PINHAIS</v>
      </c>
      <c r="C386" t="str">
        <f>VLOOKUP(A386,Planilha2!$A$2:$D$5566,4,0)</f>
        <v>PR</v>
      </c>
    </row>
    <row r="387" spans="1:3" x14ac:dyDescent="0.35">
      <c r="A387">
        <v>410690</v>
      </c>
      <c r="B387" t="str">
        <f>VLOOKUP(A387,Planilha2!$A$2:$C$5566,3,0)</f>
        <v>CURITIBA</v>
      </c>
      <c r="C387" t="str">
        <f>VLOOKUP(A387,Planilha2!$A$2:$D$5566,4,0)</f>
        <v>PR</v>
      </c>
    </row>
    <row r="388" spans="1:3" x14ac:dyDescent="0.35">
      <c r="A388">
        <v>410580</v>
      </c>
      <c r="B388" t="str">
        <f>VLOOKUP(A388,Planilha2!$A$2:$C$5566,3,0)</f>
        <v>COLOMBO</v>
      </c>
      <c r="C388" t="str">
        <f>VLOOKUP(A388,Planilha2!$A$2:$D$5566,4,0)</f>
        <v>PR</v>
      </c>
    </row>
    <row r="389" spans="1:3" x14ac:dyDescent="0.35">
      <c r="A389">
        <v>410040</v>
      </c>
      <c r="B389" t="str">
        <f>VLOOKUP(A389,Planilha2!$A$2:$C$5566,3,0)</f>
        <v>ALMIRANTE TAMANDARÉ</v>
      </c>
      <c r="C389" t="str">
        <f>VLOOKUP(A389,Planilha2!$A$2:$D$5566,4,0)</f>
        <v>PR</v>
      </c>
    </row>
    <row r="390" spans="1:3" x14ac:dyDescent="0.35">
      <c r="A390">
        <v>410740</v>
      </c>
      <c r="B390" t="str">
        <f>VLOOKUP(A390,Planilha2!$A$2:$C$5566,3,0)</f>
        <v>ENÉAS MARQUES</v>
      </c>
      <c r="C390" t="str">
        <f>VLOOKUP(A390,Planilha2!$A$2:$D$5566,4,0)</f>
        <v>PR</v>
      </c>
    </row>
    <row r="391" spans="1:3" x14ac:dyDescent="0.35">
      <c r="A391">
        <v>410100</v>
      </c>
      <c r="B391" t="str">
        <f>VLOOKUP(A391,Planilha2!$A$2:$C$5566,3,0)</f>
        <v>AMPÉRE</v>
      </c>
      <c r="C391" t="str">
        <f>VLOOKUP(A391,Planilha2!$A$2:$D$5566,4,0)</f>
        <v>PR</v>
      </c>
    </row>
    <row r="392" spans="1:3" x14ac:dyDescent="0.35">
      <c r="A392">
        <v>412070</v>
      </c>
      <c r="B392" t="str">
        <f>VLOOKUP(A392,Planilha2!$A$2:$C$5566,3,0)</f>
        <v>QUATIGUÁ</v>
      </c>
      <c r="C392" t="str">
        <f>VLOOKUP(A392,Planilha2!$A$2:$D$5566,4,0)</f>
        <v>PR</v>
      </c>
    </row>
    <row r="393" spans="1:3" x14ac:dyDescent="0.35">
      <c r="A393">
        <v>412450</v>
      </c>
      <c r="B393" t="str">
        <f>VLOOKUP(A393,Planilha2!$A$2:$C$5566,3,0)</f>
        <v>SANTO INÁCIO</v>
      </c>
      <c r="C393" t="str">
        <f>VLOOKUP(A393,Planilha2!$A$2:$D$5566,4,0)</f>
        <v>PR</v>
      </c>
    </row>
    <row r="394" spans="1:3" x14ac:dyDescent="0.35">
      <c r="A394">
        <v>411690</v>
      </c>
      <c r="B394" t="str">
        <f>VLOOKUP(A394,Planilha2!$A$2:$C$5566,3,0)</f>
        <v>NOVA ESPERANÇA</v>
      </c>
      <c r="C394" t="str">
        <f>VLOOKUP(A394,Planilha2!$A$2:$D$5566,4,0)</f>
        <v>PR</v>
      </c>
    </row>
    <row r="395" spans="1:3" x14ac:dyDescent="0.35">
      <c r="A395">
        <v>411640</v>
      </c>
      <c r="B395" t="str">
        <f>VLOOKUP(A395,Planilha2!$A$2:$C$5566,3,0)</f>
        <v>NOSSA SENHORA DAS GRAÇAS</v>
      </c>
      <c r="C395" t="str">
        <f>VLOOKUP(A395,Planilha2!$A$2:$D$5566,4,0)</f>
        <v>PR</v>
      </c>
    </row>
    <row r="396" spans="1:3" x14ac:dyDescent="0.35">
      <c r="A396">
        <v>410110</v>
      </c>
      <c r="B396" t="str">
        <f>VLOOKUP(A396,Planilha2!$A$2:$C$5566,3,0)</f>
        <v>ANDIRÁ</v>
      </c>
      <c r="C396" t="str">
        <f>VLOOKUP(A396,Planilha2!$A$2:$D$5566,4,0)</f>
        <v>PR</v>
      </c>
    </row>
    <row r="397" spans="1:3" x14ac:dyDescent="0.35">
      <c r="A397">
        <v>412170</v>
      </c>
      <c r="B397" t="str">
        <f>VLOOKUP(A397,Planilha2!$A$2:$C$5566,3,0)</f>
        <v>RESERVA</v>
      </c>
      <c r="C397" t="str">
        <f>VLOOKUP(A397,Planilha2!$A$2:$D$5566,4,0)</f>
        <v>PR</v>
      </c>
    </row>
    <row r="398" spans="1:3" x14ac:dyDescent="0.35">
      <c r="A398">
        <v>412710</v>
      </c>
      <c r="B398" t="str">
        <f>VLOOKUP(A398,Planilha2!$A$2:$C$5566,3,0)</f>
        <v>TELÊMACO BORBA</v>
      </c>
      <c r="C398" t="str">
        <f>VLOOKUP(A398,Planilha2!$A$2:$D$5566,4,0)</f>
        <v>PR</v>
      </c>
    </row>
    <row r="399" spans="1:3" x14ac:dyDescent="0.35">
      <c r="A399">
        <v>410440</v>
      </c>
      <c r="B399" t="str">
        <f>VLOOKUP(A399,Planilha2!$A$2:$C$5566,3,0)</f>
        <v>CÂNDIDO DE ABREU</v>
      </c>
      <c r="C399" t="str">
        <f>VLOOKUP(A399,Planilha2!$A$2:$D$5566,4,0)</f>
        <v>PR</v>
      </c>
    </row>
    <row r="400" spans="1:3" x14ac:dyDescent="0.35">
      <c r="A400">
        <v>411100</v>
      </c>
      <c r="B400" t="str">
        <f>VLOOKUP(A400,Planilha2!$A$2:$C$5566,3,0)</f>
        <v>ITAMBARACÁ</v>
      </c>
      <c r="C400" t="str">
        <f>VLOOKUP(A400,Planilha2!$A$2:$D$5566,4,0)</f>
        <v>PR</v>
      </c>
    </row>
    <row r="401" spans="1:3" x14ac:dyDescent="0.35">
      <c r="A401">
        <v>410010</v>
      </c>
      <c r="B401" t="str">
        <f>VLOOKUP(A401,Planilha2!$A$2:$C$5566,3,0)</f>
        <v>ABATIÁ</v>
      </c>
      <c r="C401" t="str">
        <f>VLOOKUP(A401,Planilha2!$A$2:$D$5566,4,0)</f>
        <v>PR</v>
      </c>
    </row>
    <row r="402" spans="1:3" x14ac:dyDescent="0.35">
      <c r="A402">
        <v>412750</v>
      </c>
      <c r="B402" t="str">
        <f>VLOOKUP(A402,Planilha2!$A$2:$C$5566,3,0)</f>
        <v>TIBAGI</v>
      </c>
      <c r="C402" t="str">
        <f>VLOOKUP(A402,Planilha2!$A$2:$D$5566,4,0)</f>
        <v>PR</v>
      </c>
    </row>
    <row r="403" spans="1:3" x14ac:dyDescent="0.35">
      <c r="A403">
        <v>411450</v>
      </c>
      <c r="B403" t="str">
        <f>VLOOKUP(A403,Planilha2!$A$2:$C$5566,3,0)</f>
        <v>MANOEL RIBAS</v>
      </c>
      <c r="C403" t="str">
        <f>VLOOKUP(A403,Planilha2!$A$2:$D$5566,4,0)</f>
        <v>PR</v>
      </c>
    </row>
    <row r="404" spans="1:3" x14ac:dyDescent="0.35">
      <c r="A404">
        <v>410855</v>
      </c>
      <c r="B404" t="str">
        <f>VLOOKUP(A404,Planilha2!$A$2:$C$5566,3,0)</f>
        <v>GODOY MOREIRA</v>
      </c>
      <c r="C404" t="str">
        <f>VLOOKUP(A404,Planilha2!$A$2:$D$5566,4,0)</f>
        <v>PR</v>
      </c>
    </row>
    <row r="405" spans="1:3" x14ac:dyDescent="0.35">
      <c r="A405">
        <v>412180</v>
      </c>
      <c r="B405" t="str">
        <f>VLOOKUP(A405,Planilha2!$A$2:$C$5566,3,0)</f>
        <v>RIBEIRÃO CLARO</v>
      </c>
      <c r="C405" t="str">
        <f>VLOOKUP(A405,Planilha2!$A$2:$D$5566,4,0)</f>
        <v>PR</v>
      </c>
    </row>
    <row r="406" spans="1:3" x14ac:dyDescent="0.35">
      <c r="A406">
        <v>412550</v>
      </c>
      <c r="B406" t="str">
        <f>VLOOKUP(A406,Planilha2!$A$2:$C$5566,3,0)</f>
        <v>SÃO JOSÉ DOS PINHAIS</v>
      </c>
      <c r="C406" t="str">
        <f>VLOOKUP(A406,Planilha2!$A$2:$D$5566,4,0)</f>
        <v>PR</v>
      </c>
    </row>
    <row r="407" spans="1:3" x14ac:dyDescent="0.35">
      <c r="A407">
        <v>411995</v>
      </c>
      <c r="B407" t="str">
        <f>VLOOKUP(A407,Planilha2!$A$2:$C$5566,3,0)</f>
        <v>PONTAL DO PARANÁ</v>
      </c>
      <c r="C407" t="str">
        <f>VLOOKUP(A407,Planilha2!$A$2:$D$5566,4,0)</f>
        <v>PR</v>
      </c>
    </row>
    <row r="408" spans="1:3" x14ac:dyDescent="0.35">
      <c r="A408">
        <v>421660</v>
      </c>
      <c r="B408" t="str">
        <f>VLOOKUP(A408,Planilha2!$A$2:$C$5566,3,0)</f>
        <v>SÃO JOSÉ</v>
      </c>
      <c r="C408" t="str">
        <f>VLOOKUP(A408,Planilha2!$A$2:$D$5566,4,0)</f>
        <v>SC</v>
      </c>
    </row>
    <row r="409" spans="1:3" x14ac:dyDescent="0.35">
      <c r="A409">
        <v>420910</v>
      </c>
      <c r="B409" t="str">
        <f>VLOOKUP(A409,Planilha2!$A$2:$C$5566,3,0)</f>
        <v>JOINVILLE</v>
      </c>
      <c r="C409" t="str">
        <f>VLOOKUP(A409,Planilha2!$A$2:$D$5566,4,0)</f>
        <v>SC</v>
      </c>
    </row>
    <row r="410" spans="1:3" x14ac:dyDescent="0.35">
      <c r="A410">
        <v>421170</v>
      </c>
      <c r="B410" t="str">
        <f>VLOOKUP(A410,Planilha2!$A$2:$C$5566,3,0)</f>
        <v>ORLEANS</v>
      </c>
      <c r="C410" t="str">
        <f>VLOOKUP(A410,Planilha2!$A$2:$D$5566,4,0)</f>
        <v>SC</v>
      </c>
    </row>
    <row r="411" spans="1:3" x14ac:dyDescent="0.35">
      <c r="A411">
        <v>420310</v>
      </c>
      <c r="B411" t="str">
        <f>VLOOKUP(A411,Planilha2!$A$2:$C$5566,3,0)</f>
        <v>CAIBI</v>
      </c>
      <c r="C411" t="str">
        <f>VLOOKUP(A411,Planilha2!$A$2:$D$5566,4,0)</f>
        <v>SC</v>
      </c>
    </row>
    <row r="412" spans="1:3" x14ac:dyDescent="0.35">
      <c r="A412">
        <v>420350</v>
      </c>
      <c r="B412" t="str">
        <f>VLOOKUP(A412,Planilha2!$A$2:$C$5566,3,0)</f>
        <v>CAMPO ERÊ</v>
      </c>
      <c r="C412" t="str">
        <f>VLOOKUP(A412,Planilha2!$A$2:$D$5566,4,0)</f>
        <v>SC</v>
      </c>
    </row>
    <row r="413" spans="1:3" x14ac:dyDescent="0.35">
      <c r="A413">
        <v>421940</v>
      </c>
      <c r="B413" t="str">
        <f>VLOOKUP(A413,Planilha2!$A$2:$C$5566,3,0)</f>
        <v>WITMARSUM</v>
      </c>
      <c r="C413" t="str">
        <f>VLOOKUP(A413,Planilha2!$A$2:$D$5566,4,0)</f>
        <v>SC</v>
      </c>
    </row>
    <row r="414" spans="1:3" x14ac:dyDescent="0.35">
      <c r="A414">
        <v>421270</v>
      </c>
      <c r="B414" t="str">
        <f>VLOOKUP(A414,Planilha2!$A$2:$C$5566,3,0)</f>
        <v>PETROLÂNDIA</v>
      </c>
      <c r="C414" t="str">
        <f>VLOOKUP(A414,Planilha2!$A$2:$D$5566,4,0)</f>
        <v>SC</v>
      </c>
    </row>
    <row r="415" spans="1:3" x14ac:dyDescent="0.35">
      <c r="A415">
        <v>421620</v>
      </c>
      <c r="B415" t="str">
        <f>VLOOKUP(A415,Planilha2!$A$2:$C$5566,3,0)</f>
        <v>SÃO FRANCISCO DO SUL</v>
      </c>
      <c r="C415" t="str">
        <f>VLOOKUP(A415,Planilha2!$A$2:$D$5566,4,0)</f>
        <v>SC</v>
      </c>
    </row>
    <row r="416" spans="1:3" x14ac:dyDescent="0.35">
      <c r="A416">
        <v>420390</v>
      </c>
      <c r="B416" t="str">
        <f>VLOOKUP(A416,Planilha2!$A$2:$C$5566,3,0)</f>
        <v>CAPINZAL</v>
      </c>
      <c r="C416" t="str">
        <f>VLOOKUP(A416,Planilha2!$A$2:$D$5566,4,0)</f>
        <v>SC</v>
      </c>
    </row>
    <row r="417" spans="1:3" x14ac:dyDescent="0.35">
      <c r="A417">
        <v>421800</v>
      </c>
      <c r="B417" t="str">
        <f>VLOOKUP(A417,Planilha2!$A$2:$C$5566,3,0)</f>
        <v>TIJUCAS</v>
      </c>
      <c r="C417" t="str">
        <f>VLOOKUP(A417,Planilha2!$A$2:$D$5566,4,0)</f>
        <v>SC</v>
      </c>
    </row>
    <row r="418" spans="1:3" x14ac:dyDescent="0.35">
      <c r="A418">
        <v>420540</v>
      </c>
      <c r="B418" t="str">
        <f>VLOOKUP(A418,Planilha2!$A$2:$C$5566,3,0)</f>
        <v>FLORIANÓPOLIS</v>
      </c>
      <c r="C418" t="str">
        <f>VLOOKUP(A418,Planilha2!$A$2:$D$5566,4,0)</f>
        <v>SC</v>
      </c>
    </row>
    <row r="419" spans="1:3" x14ac:dyDescent="0.35">
      <c r="A419">
        <v>421440</v>
      </c>
      <c r="B419" t="str">
        <f>VLOOKUP(A419,Planilha2!$A$2:$C$5566,3,0)</f>
        <v>RIO DAS ANTAS</v>
      </c>
      <c r="C419" t="str">
        <f>VLOOKUP(A419,Planilha2!$A$2:$D$5566,4,0)</f>
        <v>SC</v>
      </c>
    </row>
    <row r="420" spans="1:3" x14ac:dyDescent="0.35">
      <c r="A420">
        <v>420930</v>
      </c>
      <c r="B420" t="str">
        <f>VLOOKUP(A420,Planilha2!$A$2:$C$5566,3,0)</f>
        <v>LAGES</v>
      </c>
      <c r="C420" t="str">
        <f>VLOOKUP(A420,Planilha2!$A$2:$D$5566,4,0)</f>
        <v>SC</v>
      </c>
    </row>
    <row r="421" spans="1:3" x14ac:dyDescent="0.35">
      <c r="A421">
        <v>431040</v>
      </c>
      <c r="B421" t="str">
        <f>VLOOKUP(A421,Planilha2!$A$2:$C$5566,3,0)</f>
        <v>INDEPENDÊNCIA</v>
      </c>
      <c r="C421" t="str">
        <f>VLOOKUP(A421,Planilha2!$A$2:$D$5566,4,0)</f>
        <v>RS</v>
      </c>
    </row>
    <row r="422" spans="1:3" x14ac:dyDescent="0.35">
      <c r="A422">
        <v>430463</v>
      </c>
      <c r="B422" t="str">
        <f>VLOOKUP(A422,Planilha2!$A$2:$C$5566,3,0)</f>
        <v>CAPÃO DA CANOA</v>
      </c>
      <c r="C422" t="str">
        <f>VLOOKUP(A422,Planilha2!$A$2:$D$5566,4,0)</f>
        <v>RS</v>
      </c>
    </row>
    <row r="423" spans="1:3" x14ac:dyDescent="0.35">
      <c r="A423">
        <v>430120</v>
      </c>
      <c r="B423" t="str">
        <f>VLOOKUP(A423,Planilha2!$A$2:$C$5566,3,0)</f>
        <v>ARROIO DO TIGRE</v>
      </c>
      <c r="C423" t="str">
        <f>VLOOKUP(A423,Planilha2!$A$2:$D$5566,4,0)</f>
        <v>RS</v>
      </c>
    </row>
    <row r="424" spans="1:3" x14ac:dyDescent="0.35">
      <c r="A424">
        <v>430690</v>
      </c>
      <c r="B424" t="str">
        <f>VLOOKUP(A424,Planilha2!$A$2:$C$5566,3,0)</f>
        <v>ENCRUZILHADA DO SUL</v>
      </c>
      <c r="C424" t="str">
        <f>VLOOKUP(A424,Planilha2!$A$2:$D$5566,4,0)</f>
        <v>RS</v>
      </c>
    </row>
    <row r="425" spans="1:3" x14ac:dyDescent="0.35">
      <c r="A425">
        <v>430280</v>
      </c>
      <c r="B425" t="str">
        <f>VLOOKUP(A425,Planilha2!$A$2:$C$5566,3,0)</f>
        <v>CAÇAPAVA DO SUL</v>
      </c>
      <c r="C425" t="str">
        <f>VLOOKUP(A425,Planilha2!$A$2:$D$5566,4,0)</f>
        <v>RS</v>
      </c>
    </row>
    <row r="426" spans="1:3" x14ac:dyDescent="0.35">
      <c r="A426">
        <v>432070</v>
      </c>
      <c r="B426" t="str">
        <f>VLOOKUP(A426,Planilha2!$A$2:$C$5566,3,0)</f>
        <v>SOBRADINHO</v>
      </c>
      <c r="C426" t="str">
        <f>VLOOKUP(A426,Planilha2!$A$2:$D$5566,4,0)</f>
        <v>RS</v>
      </c>
    </row>
    <row r="427" spans="1:3" x14ac:dyDescent="0.35">
      <c r="A427">
        <v>430300</v>
      </c>
      <c r="B427" t="str">
        <f>VLOOKUP(A427,Planilha2!$A$2:$C$5566,3,0)</f>
        <v>CACHOEIRA DO SUL</v>
      </c>
      <c r="C427" t="str">
        <f>VLOOKUP(A427,Planilha2!$A$2:$D$5566,4,0)</f>
        <v>RS</v>
      </c>
    </row>
    <row r="428" spans="1:3" x14ac:dyDescent="0.35">
      <c r="A428">
        <v>430070</v>
      </c>
      <c r="B428" t="str">
        <f>VLOOKUP(A428,Planilha2!$A$2:$C$5566,3,0)</f>
        <v>ANTA GORDA</v>
      </c>
      <c r="C428" t="str">
        <f>VLOOKUP(A428,Planilha2!$A$2:$D$5566,4,0)</f>
        <v>RS</v>
      </c>
    </row>
    <row r="429" spans="1:3" x14ac:dyDescent="0.35">
      <c r="A429">
        <v>430610</v>
      </c>
      <c r="B429" t="str">
        <f>VLOOKUP(A429,Planilha2!$A$2:$C$5566,3,0)</f>
        <v>CRUZ ALTA</v>
      </c>
      <c r="C429" t="str">
        <f>VLOOKUP(A429,Planilha2!$A$2:$D$5566,4,0)</f>
        <v>RS</v>
      </c>
    </row>
    <row r="430" spans="1:3" x14ac:dyDescent="0.35">
      <c r="A430">
        <v>431370</v>
      </c>
      <c r="B430" t="str">
        <f>VLOOKUP(A430,Planilha2!$A$2:$C$5566,3,0)</f>
        <v>PALMEIRA DAS MISSÕES</v>
      </c>
      <c r="C430" t="str">
        <f>VLOOKUP(A430,Planilha2!$A$2:$D$5566,4,0)</f>
        <v>RS</v>
      </c>
    </row>
    <row r="431" spans="1:3" x14ac:dyDescent="0.35">
      <c r="A431">
        <v>430100</v>
      </c>
      <c r="B431" t="str">
        <f>VLOOKUP(A431,Planilha2!$A$2:$C$5566,3,0)</f>
        <v>ARROIO DO MEIO</v>
      </c>
      <c r="C431" t="str">
        <f>VLOOKUP(A431,Planilha2!$A$2:$D$5566,4,0)</f>
        <v>RS</v>
      </c>
    </row>
    <row r="432" spans="1:3" x14ac:dyDescent="0.35">
      <c r="A432">
        <v>430400</v>
      </c>
      <c r="B432" t="str">
        <f>VLOOKUP(A432,Planilha2!$A$2:$C$5566,3,0)</f>
        <v>CAMPO NOVO</v>
      </c>
      <c r="C432" t="str">
        <f>VLOOKUP(A432,Planilha2!$A$2:$D$5566,4,0)</f>
        <v>RS</v>
      </c>
    </row>
    <row r="433" spans="1:3" x14ac:dyDescent="0.35">
      <c r="A433">
        <v>432380</v>
      </c>
      <c r="B433" t="str">
        <f>VLOOKUP(A433,Planilha2!$A$2:$C$5566,3,0)</f>
        <v>XANGRI-LÁ</v>
      </c>
      <c r="C433" t="str">
        <f>VLOOKUP(A433,Planilha2!$A$2:$D$5566,4,0)</f>
        <v>RS</v>
      </c>
    </row>
    <row r="434" spans="1:3" x14ac:dyDescent="0.35">
      <c r="A434">
        <v>431365</v>
      </c>
      <c r="B434" t="str">
        <f>VLOOKUP(A434,Planilha2!$A$2:$C$5566,3,0)</f>
        <v>PALMARES DO SUL</v>
      </c>
      <c r="C434" t="str">
        <f>VLOOKUP(A434,Planilha2!$A$2:$D$5566,4,0)</f>
        <v>RS</v>
      </c>
    </row>
    <row r="435" spans="1:3" x14ac:dyDescent="0.35">
      <c r="A435">
        <v>432150</v>
      </c>
      <c r="B435" t="str">
        <f>VLOOKUP(A435,Planilha2!$A$2:$C$5566,3,0)</f>
        <v>TORRES</v>
      </c>
      <c r="C435" t="str">
        <f>VLOOKUP(A435,Planilha2!$A$2:$D$5566,4,0)</f>
        <v>RS</v>
      </c>
    </row>
    <row r="436" spans="1:3" x14ac:dyDescent="0.35">
      <c r="A436">
        <v>431440</v>
      </c>
      <c r="B436" t="str">
        <f>VLOOKUP(A436,Planilha2!$A$2:$C$5566,3,0)</f>
        <v>PELOTAS</v>
      </c>
      <c r="C436" t="str">
        <f>VLOOKUP(A436,Planilha2!$A$2:$D$5566,4,0)</f>
        <v>RS</v>
      </c>
    </row>
    <row r="437" spans="1:3" x14ac:dyDescent="0.35">
      <c r="A437">
        <v>431250</v>
      </c>
      <c r="B437" t="str">
        <f>VLOOKUP(A437,Planilha2!$A$2:$C$5566,3,0)</f>
        <v>MOSTARDAS</v>
      </c>
      <c r="C437" t="str">
        <f>VLOOKUP(A437,Planilha2!$A$2:$D$5566,4,0)</f>
        <v>RS</v>
      </c>
    </row>
    <row r="438" spans="1:3" x14ac:dyDescent="0.35">
      <c r="A438">
        <v>432143</v>
      </c>
      <c r="B438" t="str">
        <f>VLOOKUP(A438,Planilha2!$A$2:$C$5566,3,0)</f>
        <v>TERRA DE AREIA</v>
      </c>
      <c r="C438" t="str">
        <f>VLOOKUP(A438,Planilha2!$A$2:$D$5566,4,0)</f>
        <v>RS</v>
      </c>
    </row>
    <row r="439" spans="1:3" x14ac:dyDescent="0.35">
      <c r="A439">
        <v>430210</v>
      </c>
      <c r="B439" t="str">
        <f>VLOOKUP(A439,Planilha2!$A$2:$C$5566,3,0)</f>
        <v>BENTO GONÇALVES</v>
      </c>
      <c r="C439" t="str">
        <f>VLOOKUP(A439,Planilha2!$A$2:$D$5566,4,0)</f>
        <v>RS</v>
      </c>
    </row>
    <row r="440" spans="1:3" x14ac:dyDescent="0.35">
      <c r="A440">
        <v>430440</v>
      </c>
      <c r="B440" t="str">
        <f>VLOOKUP(A440,Planilha2!$A$2:$C$5566,3,0)</f>
        <v>CANELA</v>
      </c>
      <c r="C440" t="str">
        <f>VLOOKUP(A440,Planilha2!$A$2:$D$5566,4,0)</f>
        <v>RS</v>
      </c>
    </row>
    <row r="441" spans="1:3" x14ac:dyDescent="0.35">
      <c r="A441">
        <v>431150</v>
      </c>
      <c r="B441" t="str">
        <f>VLOOKUP(A441,Planilha2!$A$2:$C$5566,3,0)</f>
        <v>LAVRAS DO SUL</v>
      </c>
      <c r="C441" t="str">
        <f>VLOOKUP(A441,Planilha2!$A$2:$D$5566,4,0)</f>
        <v>RS</v>
      </c>
    </row>
    <row r="442" spans="1:3" x14ac:dyDescent="0.35">
      <c r="A442">
        <v>432225</v>
      </c>
      <c r="B442" t="str">
        <f>VLOOKUP(A442,Planilha2!$A$2:$C$5566,3,0)</f>
        <v>TUPANDI</v>
      </c>
      <c r="C442" t="str">
        <f>VLOOKUP(A442,Planilha2!$A$2:$D$5566,4,0)</f>
        <v>RS</v>
      </c>
    </row>
    <row r="443" spans="1:3" x14ac:dyDescent="0.35">
      <c r="A443">
        <v>432190</v>
      </c>
      <c r="B443" t="str">
        <f>VLOOKUP(A443,Planilha2!$A$2:$C$5566,3,0)</f>
        <v>TRÊS PASSOS</v>
      </c>
      <c r="C443" t="str">
        <f>VLOOKUP(A443,Planilha2!$A$2:$D$5566,4,0)</f>
        <v>RS</v>
      </c>
    </row>
    <row r="444" spans="1:3" x14ac:dyDescent="0.35">
      <c r="A444">
        <v>430237</v>
      </c>
      <c r="B444" t="str">
        <f>VLOOKUP(A444,Planilha2!$A$2:$C$5566,3,0)</f>
        <v>BOM PROGRESSO</v>
      </c>
      <c r="C444" t="str">
        <f>VLOOKUP(A444,Planilha2!$A$2:$D$5566,4,0)</f>
        <v>RS</v>
      </c>
    </row>
    <row r="445" spans="1:3" x14ac:dyDescent="0.35">
      <c r="A445">
        <v>431740</v>
      </c>
      <c r="B445" t="str">
        <f>VLOOKUP(A445,Planilha2!$A$2:$C$5566,3,0)</f>
        <v>SANTIAGO</v>
      </c>
      <c r="C445" t="str">
        <f>VLOOKUP(A445,Planilha2!$A$2:$D$5566,4,0)</f>
        <v>RS</v>
      </c>
    </row>
    <row r="446" spans="1:3" x14ac:dyDescent="0.35">
      <c r="A446">
        <v>431690</v>
      </c>
      <c r="B446" t="str">
        <f>VLOOKUP(A446,Planilha2!$A$2:$C$5566,3,0)</f>
        <v>SANTA MARIA</v>
      </c>
      <c r="C446" t="str">
        <f>VLOOKUP(A446,Planilha2!$A$2:$D$5566,4,0)</f>
        <v>RS</v>
      </c>
    </row>
    <row r="447" spans="1:3" x14ac:dyDescent="0.35">
      <c r="A447">
        <v>432200</v>
      </c>
      <c r="B447" t="str">
        <f>VLOOKUP(A447,Planilha2!$A$2:$C$5566,3,0)</f>
        <v>TRIUNFO</v>
      </c>
      <c r="C447" t="str">
        <f>VLOOKUP(A447,Planilha2!$A$2:$D$5566,4,0)</f>
        <v>RS</v>
      </c>
    </row>
    <row r="448" spans="1:3" x14ac:dyDescent="0.35">
      <c r="A448">
        <v>432300</v>
      </c>
      <c r="B448" t="str">
        <f>VLOOKUP(A448,Planilha2!$A$2:$C$5566,3,0)</f>
        <v>VIAMÃO</v>
      </c>
      <c r="C448" t="str">
        <f>VLOOKUP(A448,Planilha2!$A$2:$D$5566,4,0)</f>
        <v>RS</v>
      </c>
    </row>
    <row r="449" spans="1:3" x14ac:dyDescent="0.35">
      <c r="A449">
        <v>431270</v>
      </c>
      <c r="B449" t="str">
        <f>VLOOKUP(A449,Planilha2!$A$2:$C$5566,3,0)</f>
        <v>NONOAI</v>
      </c>
      <c r="C449" t="str">
        <f>VLOOKUP(A449,Planilha2!$A$2:$D$5566,4,0)</f>
        <v>RS</v>
      </c>
    </row>
    <row r="450" spans="1:3" x14ac:dyDescent="0.35">
      <c r="A450">
        <v>431890</v>
      </c>
      <c r="B450" t="str">
        <f>VLOOKUP(A450,Planilha2!$A$2:$C$5566,3,0)</f>
        <v>SÃO LUIZ GONZAGA</v>
      </c>
      <c r="C450" t="str">
        <f>VLOOKUP(A450,Planilha2!$A$2:$D$5566,4,0)</f>
        <v>RS</v>
      </c>
    </row>
    <row r="451" spans="1:3" x14ac:dyDescent="0.35">
      <c r="A451">
        <v>431800</v>
      </c>
      <c r="B451" t="str">
        <f>VLOOKUP(A451,Planilha2!$A$2:$C$5566,3,0)</f>
        <v>SÃO BORJA</v>
      </c>
      <c r="C451" t="str">
        <f>VLOOKUP(A451,Planilha2!$A$2:$D$5566,4,0)</f>
        <v>RS</v>
      </c>
    </row>
    <row r="452" spans="1:3" x14ac:dyDescent="0.35">
      <c r="A452">
        <v>430420</v>
      </c>
      <c r="B452" t="str">
        <f>VLOOKUP(A452,Planilha2!$A$2:$C$5566,3,0)</f>
        <v>CANDELÁRIA</v>
      </c>
      <c r="C452" t="str">
        <f>VLOOKUP(A452,Planilha2!$A$2:$D$5566,4,0)</f>
        <v>RS</v>
      </c>
    </row>
    <row r="453" spans="1:3" x14ac:dyDescent="0.35">
      <c r="A453">
        <v>432260</v>
      </c>
      <c r="B453" t="str">
        <f>VLOOKUP(A453,Planilha2!$A$2:$C$5566,3,0)</f>
        <v>VENÂNCIO AIRES</v>
      </c>
      <c r="C453" t="str">
        <f>VLOOKUP(A453,Planilha2!$A$2:$D$5566,4,0)</f>
        <v>RS</v>
      </c>
    </row>
    <row r="454" spans="1:3" x14ac:dyDescent="0.35">
      <c r="A454">
        <v>430220</v>
      </c>
      <c r="B454" t="str">
        <f>VLOOKUP(A454,Planilha2!$A$2:$C$5566,3,0)</f>
        <v>BOA VISTA DO BURICÁ</v>
      </c>
      <c r="C454" t="str">
        <f>VLOOKUP(A454,Planilha2!$A$2:$D$5566,4,0)</f>
        <v>RS</v>
      </c>
    </row>
    <row r="455" spans="1:3" x14ac:dyDescent="0.35">
      <c r="A455">
        <v>430780</v>
      </c>
      <c r="B455" t="str">
        <f>VLOOKUP(A455,Planilha2!$A$2:$C$5566,3,0)</f>
        <v>ESTRELA</v>
      </c>
      <c r="C455" t="str">
        <f>VLOOKUP(A455,Planilha2!$A$2:$D$5566,4,0)</f>
        <v>RS</v>
      </c>
    </row>
    <row r="456" spans="1:3" x14ac:dyDescent="0.35">
      <c r="A456">
        <v>430843</v>
      </c>
      <c r="B456" t="str">
        <f>VLOOKUP(A456,Planilha2!$A$2:$C$5566,3,0)</f>
        <v>FORQUETINHA</v>
      </c>
      <c r="C456" t="str">
        <f>VLOOKUP(A456,Planilha2!$A$2:$D$5566,4,0)</f>
        <v>RS</v>
      </c>
    </row>
    <row r="457" spans="1:3" x14ac:dyDescent="0.35">
      <c r="A457">
        <v>431260</v>
      </c>
      <c r="B457" t="str">
        <f>VLOOKUP(A457,Planilha2!$A$2:$C$5566,3,0)</f>
        <v>MUÇUM</v>
      </c>
      <c r="C457" t="str">
        <f>VLOOKUP(A457,Planilha2!$A$2:$D$5566,4,0)</f>
        <v>RS</v>
      </c>
    </row>
    <row r="458" spans="1:3" x14ac:dyDescent="0.35">
      <c r="A458">
        <v>432130</v>
      </c>
      <c r="B458" t="str">
        <f>VLOOKUP(A458,Planilha2!$A$2:$C$5566,3,0)</f>
        <v>TAQUARI</v>
      </c>
      <c r="C458" t="str">
        <f>VLOOKUP(A458,Planilha2!$A$2:$D$5566,4,0)</f>
        <v>RS</v>
      </c>
    </row>
    <row r="459" spans="1:3" x14ac:dyDescent="0.35">
      <c r="A459">
        <v>430570</v>
      </c>
      <c r="B459" t="str">
        <f>VLOOKUP(A459,Planilha2!$A$2:$C$5566,3,0)</f>
        <v>CONDOR</v>
      </c>
      <c r="C459" t="str">
        <f>VLOOKUP(A459,Planilha2!$A$2:$D$5566,4,0)</f>
        <v>RS</v>
      </c>
    </row>
    <row r="460" spans="1:3" x14ac:dyDescent="0.35">
      <c r="A460">
        <v>431390</v>
      </c>
      <c r="B460" t="str">
        <f>VLOOKUP(A460,Planilha2!$A$2:$C$5566,3,0)</f>
        <v>PANAMBI</v>
      </c>
      <c r="C460" t="str">
        <f>VLOOKUP(A460,Planilha2!$A$2:$D$5566,4,0)</f>
        <v>RS</v>
      </c>
    </row>
    <row r="461" spans="1:3" x14ac:dyDescent="0.35">
      <c r="A461">
        <v>431020</v>
      </c>
      <c r="B461" t="str">
        <f>VLOOKUP(A461,Planilha2!$A$2:$C$5566,3,0)</f>
        <v>IJUÍ</v>
      </c>
      <c r="C461" t="str">
        <f>VLOOKUP(A461,Planilha2!$A$2:$D$5566,4,0)</f>
        <v>RS</v>
      </c>
    </row>
    <row r="462" spans="1:3" x14ac:dyDescent="0.35">
      <c r="A462">
        <v>430390</v>
      </c>
      <c r="B462" t="str">
        <f>VLOOKUP(A462,Planilha2!$A$2:$C$5566,3,0)</f>
        <v>CAMPO BOM</v>
      </c>
      <c r="C462" t="str">
        <f>VLOOKUP(A462,Planilha2!$A$2:$D$5566,4,0)</f>
        <v>RS</v>
      </c>
    </row>
    <row r="463" spans="1:3" x14ac:dyDescent="0.35">
      <c r="A463">
        <v>430060</v>
      </c>
      <c r="B463" t="str">
        <f>VLOOKUP(A463,Planilha2!$A$2:$C$5566,3,0)</f>
        <v>ALVORADA</v>
      </c>
      <c r="C463" t="str">
        <f>VLOOKUP(A463,Planilha2!$A$2:$D$5566,4,0)</f>
        <v>RS</v>
      </c>
    </row>
    <row r="464" spans="1:3" x14ac:dyDescent="0.35">
      <c r="A464">
        <v>430468</v>
      </c>
      <c r="B464" t="str">
        <f>VLOOKUP(A464,Planilha2!$A$2:$C$5566,3,0)</f>
        <v>CAPELA DE SANTANA</v>
      </c>
      <c r="C464" t="str">
        <f>VLOOKUP(A464,Planilha2!$A$2:$D$5566,4,0)</f>
        <v>RS</v>
      </c>
    </row>
    <row r="465" spans="1:3" x14ac:dyDescent="0.35">
      <c r="A465">
        <v>430110</v>
      </c>
      <c r="B465" t="str">
        <f>VLOOKUP(A465,Planilha2!$A$2:$C$5566,3,0)</f>
        <v>ARROIO DOS RATOS</v>
      </c>
      <c r="C465" t="str">
        <f>VLOOKUP(A465,Planilha2!$A$2:$D$5566,4,0)</f>
        <v>RS</v>
      </c>
    </row>
    <row r="466" spans="1:3" x14ac:dyDescent="0.35">
      <c r="A466">
        <v>430930</v>
      </c>
      <c r="B466" t="str">
        <f>VLOOKUP(A466,Planilha2!$A$2:$C$5566,3,0)</f>
        <v>GUAÍBA</v>
      </c>
      <c r="C466" t="str">
        <f>VLOOKUP(A466,Planilha2!$A$2:$D$5566,4,0)</f>
        <v>RS</v>
      </c>
    </row>
    <row r="467" spans="1:3" x14ac:dyDescent="0.35">
      <c r="A467">
        <v>431840</v>
      </c>
      <c r="B467" t="str">
        <f>VLOOKUP(A467,Planilha2!$A$2:$C$5566,3,0)</f>
        <v>SÃO JERÔNIMO</v>
      </c>
      <c r="C467" t="str">
        <f>VLOOKUP(A467,Planilha2!$A$2:$D$5566,4,0)</f>
        <v>RS</v>
      </c>
    </row>
    <row r="468" spans="1:3" x14ac:dyDescent="0.35">
      <c r="A468">
        <v>432000</v>
      </c>
      <c r="B468" t="str">
        <f>VLOOKUP(A468,Planilha2!$A$2:$C$5566,3,0)</f>
        <v>SAPUCAIA DO SUL</v>
      </c>
      <c r="C468" t="str">
        <f>VLOOKUP(A468,Planilha2!$A$2:$D$5566,4,0)</f>
        <v>RS</v>
      </c>
    </row>
    <row r="469" spans="1:3" x14ac:dyDescent="0.35">
      <c r="A469">
        <v>431405</v>
      </c>
      <c r="B469" t="str">
        <f>VLOOKUP(A469,Planilha2!$A$2:$C$5566,3,0)</f>
        <v>PAROBÉ</v>
      </c>
      <c r="C469" t="str">
        <f>VLOOKUP(A469,Planilha2!$A$2:$D$5566,4,0)</f>
        <v>RS</v>
      </c>
    </row>
    <row r="470" spans="1:3" x14ac:dyDescent="0.35">
      <c r="A470">
        <v>431340</v>
      </c>
      <c r="B470" t="str">
        <f>VLOOKUP(A470,Planilha2!$A$2:$C$5566,3,0)</f>
        <v>NOVO HAMBURGO</v>
      </c>
      <c r="C470" t="str">
        <f>VLOOKUP(A470,Planilha2!$A$2:$D$5566,4,0)</f>
        <v>RS</v>
      </c>
    </row>
    <row r="471" spans="1:3" x14ac:dyDescent="0.35">
      <c r="A471">
        <v>430770</v>
      </c>
      <c r="B471" t="str">
        <f>VLOOKUP(A471,Planilha2!$A$2:$C$5566,3,0)</f>
        <v>ESTEIO</v>
      </c>
      <c r="C471" t="str">
        <f>VLOOKUP(A471,Planilha2!$A$2:$D$5566,4,0)</f>
        <v>RS</v>
      </c>
    </row>
    <row r="472" spans="1:3" x14ac:dyDescent="0.35">
      <c r="A472">
        <v>431337</v>
      </c>
      <c r="B472" t="str">
        <f>VLOOKUP(A472,Planilha2!$A$2:$C$5566,3,0)</f>
        <v>NOVA SANTA RITA</v>
      </c>
      <c r="C472" t="str">
        <f>VLOOKUP(A472,Planilha2!$A$2:$D$5566,4,0)</f>
        <v>RS</v>
      </c>
    </row>
    <row r="473" spans="1:3" x14ac:dyDescent="0.35">
      <c r="A473">
        <v>430760</v>
      </c>
      <c r="B473" t="str">
        <f>VLOOKUP(A473,Planilha2!$A$2:$C$5566,3,0)</f>
        <v>ESTÂNCIA VELHA</v>
      </c>
      <c r="C473" t="str">
        <f>VLOOKUP(A473,Planilha2!$A$2:$D$5566,4,0)</f>
        <v>RS</v>
      </c>
    </row>
    <row r="474" spans="1:3" x14ac:dyDescent="0.35">
      <c r="A474">
        <v>430640</v>
      </c>
      <c r="B474" t="str">
        <f>VLOOKUP(A474,Planilha2!$A$2:$C$5566,3,0)</f>
        <v>DOIS IRMÃOS</v>
      </c>
      <c r="C474" t="str">
        <f>VLOOKUP(A474,Planilha2!$A$2:$D$5566,4,0)</f>
        <v>RS</v>
      </c>
    </row>
    <row r="475" spans="1:3" x14ac:dyDescent="0.35">
      <c r="A475">
        <v>431870</v>
      </c>
      <c r="B475" t="str">
        <f>VLOOKUP(A475,Planilha2!$A$2:$C$5566,3,0)</f>
        <v>SÃO LEOPOLDO</v>
      </c>
      <c r="C475" t="str">
        <f>VLOOKUP(A475,Planilha2!$A$2:$D$5566,4,0)</f>
        <v>RS</v>
      </c>
    </row>
    <row r="476" spans="1:3" x14ac:dyDescent="0.35">
      <c r="A476">
        <v>431990</v>
      </c>
      <c r="B476" t="str">
        <f>VLOOKUP(A476,Planilha2!$A$2:$C$5566,3,0)</f>
        <v>SAPIRANGA</v>
      </c>
      <c r="C476" t="str">
        <f>VLOOKUP(A476,Planilha2!$A$2:$D$5566,4,0)</f>
        <v>RS</v>
      </c>
    </row>
    <row r="477" spans="1:3" x14ac:dyDescent="0.35">
      <c r="A477">
        <v>432120</v>
      </c>
      <c r="B477" t="str">
        <f>VLOOKUP(A477,Planilha2!$A$2:$C$5566,3,0)</f>
        <v>TAQUARA</v>
      </c>
      <c r="C477" t="str">
        <f>VLOOKUP(A477,Planilha2!$A$2:$D$5566,4,0)</f>
        <v>RS</v>
      </c>
    </row>
    <row r="478" spans="1:3" x14ac:dyDescent="0.35">
      <c r="A478">
        <v>430460</v>
      </c>
      <c r="B478" t="str">
        <f>VLOOKUP(A478,Planilha2!$A$2:$C$5566,3,0)</f>
        <v>CANOAS</v>
      </c>
      <c r="C478" t="str">
        <f>VLOOKUP(A478,Planilha2!$A$2:$D$5566,4,0)</f>
        <v>RS</v>
      </c>
    </row>
    <row r="479" spans="1:3" x14ac:dyDescent="0.35">
      <c r="A479">
        <v>430920</v>
      </c>
      <c r="B479" t="str">
        <f>VLOOKUP(A479,Planilha2!$A$2:$C$5566,3,0)</f>
        <v>GRAVATAÍ</v>
      </c>
      <c r="C479" t="str">
        <f>VLOOKUP(A479,Planilha2!$A$2:$D$5566,4,0)</f>
        <v>RS</v>
      </c>
    </row>
    <row r="480" spans="1:3" x14ac:dyDescent="0.35">
      <c r="A480">
        <v>430676</v>
      </c>
      <c r="B480" t="str">
        <f>VLOOKUP(A480,Planilha2!$A$2:$C$5566,3,0)</f>
        <v>ELDORADO DO SUL</v>
      </c>
      <c r="C480" t="str">
        <f>VLOOKUP(A480,Planilha2!$A$2:$D$5566,4,0)</f>
        <v>RS</v>
      </c>
    </row>
    <row r="481" spans="1:3" x14ac:dyDescent="0.35">
      <c r="A481">
        <v>431490</v>
      </c>
      <c r="B481" t="str">
        <f>VLOOKUP(A481,Planilha2!$A$2:$C$5566,3,0)</f>
        <v>PORTO ALEGRE</v>
      </c>
      <c r="C481" t="str">
        <f>VLOOKUP(A481,Planilha2!$A$2:$D$5566,4,0)</f>
        <v>RS</v>
      </c>
    </row>
    <row r="482" spans="1:3" x14ac:dyDescent="0.35">
      <c r="A482">
        <v>431950</v>
      </c>
      <c r="B482" t="str">
        <f>VLOOKUP(A482,Planilha2!$A$2:$C$5566,3,0)</f>
        <v>SÃO SEBASTIÃO DO CAÍ</v>
      </c>
      <c r="C482" t="str">
        <f>VLOOKUP(A482,Planilha2!$A$2:$D$5566,4,0)</f>
        <v>RS</v>
      </c>
    </row>
    <row r="483" spans="1:3" x14ac:dyDescent="0.35">
      <c r="A483">
        <v>431403</v>
      </c>
      <c r="B483" t="str">
        <f>VLOOKUP(A483,Planilha2!$A$2:$C$5566,3,0)</f>
        <v>PARECI NOVO</v>
      </c>
      <c r="C483" t="str">
        <f>VLOOKUP(A483,Planilha2!$A$2:$D$5566,4,0)</f>
        <v>RS</v>
      </c>
    </row>
    <row r="484" spans="1:3" x14ac:dyDescent="0.35">
      <c r="A484">
        <v>430270</v>
      </c>
      <c r="B484" t="str">
        <f>VLOOKUP(A484,Planilha2!$A$2:$C$5566,3,0)</f>
        <v>BUTIÁ</v>
      </c>
      <c r="C484" t="str">
        <f>VLOOKUP(A484,Planilha2!$A$2:$D$5566,4,0)</f>
        <v>RS</v>
      </c>
    </row>
    <row r="485" spans="1:3" x14ac:dyDescent="0.35">
      <c r="A485">
        <v>432250</v>
      </c>
      <c r="B485" t="str">
        <f>VLOOKUP(A485,Planilha2!$A$2:$C$5566,3,0)</f>
        <v>VACARIA</v>
      </c>
      <c r="C485" t="str">
        <f>VLOOKUP(A485,Planilha2!$A$2:$D$5566,4,0)</f>
        <v>RS</v>
      </c>
    </row>
    <row r="486" spans="1:3" x14ac:dyDescent="0.35">
      <c r="A486">
        <v>430820</v>
      </c>
      <c r="B486" t="str">
        <f>VLOOKUP(A486,Planilha2!$A$2:$C$5566,3,0)</f>
        <v>FLORES DA CUNHA</v>
      </c>
      <c r="C486" t="str">
        <f>VLOOKUP(A486,Planilha2!$A$2:$D$5566,4,0)</f>
        <v>RS</v>
      </c>
    </row>
    <row r="487" spans="1:3" x14ac:dyDescent="0.35">
      <c r="A487">
        <v>430750</v>
      </c>
      <c r="B487" t="str">
        <f>VLOOKUP(A487,Planilha2!$A$2:$C$5566,3,0)</f>
        <v>ESPUMOSO</v>
      </c>
      <c r="C487" t="str">
        <f>VLOOKUP(A487,Planilha2!$A$2:$D$5566,4,0)</f>
        <v>RS</v>
      </c>
    </row>
    <row r="488" spans="1:3" x14ac:dyDescent="0.35">
      <c r="A488">
        <v>431410</v>
      </c>
      <c r="B488" t="str">
        <f>VLOOKUP(A488,Planilha2!$A$2:$C$5566,3,0)</f>
        <v>PASSO FUNDO</v>
      </c>
      <c r="C488" t="str">
        <f>VLOOKUP(A488,Planilha2!$A$2:$D$5566,4,0)</f>
        <v>RS</v>
      </c>
    </row>
    <row r="489" spans="1:3" x14ac:dyDescent="0.35">
      <c r="A489">
        <v>432050</v>
      </c>
      <c r="B489" t="str">
        <f>VLOOKUP(A489,Planilha2!$A$2:$C$5566,3,0)</f>
        <v>SERTÃO</v>
      </c>
      <c r="C489" t="str">
        <f>VLOOKUP(A489,Planilha2!$A$2:$D$5566,4,0)</f>
        <v>RS</v>
      </c>
    </row>
    <row r="490" spans="1:3" x14ac:dyDescent="0.35">
      <c r="A490">
        <v>430090</v>
      </c>
      <c r="B490" t="str">
        <f>VLOOKUP(A490,Planilha2!$A$2:$C$5566,3,0)</f>
        <v>ARATIBA</v>
      </c>
      <c r="C490" t="str">
        <f>VLOOKUP(A490,Planilha2!$A$2:$D$5566,4,0)</f>
        <v>RS</v>
      </c>
    </row>
    <row r="491" spans="1:3" x14ac:dyDescent="0.35">
      <c r="A491">
        <v>430320</v>
      </c>
      <c r="B491" t="str">
        <f>VLOOKUP(A491,Planilha2!$A$2:$C$5566,3,0)</f>
        <v>CACIQUE DOBLE</v>
      </c>
      <c r="C491" t="str">
        <f>VLOOKUP(A491,Planilha2!$A$2:$D$5566,4,0)</f>
        <v>RS</v>
      </c>
    </row>
    <row r="492" spans="1:3" x14ac:dyDescent="0.35">
      <c r="A492">
        <v>430980</v>
      </c>
      <c r="B492" t="str">
        <f>VLOOKUP(A492,Planilha2!$A$2:$C$5566,3,0)</f>
        <v>IBIAÇÁ</v>
      </c>
      <c r="C492" t="str">
        <f>VLOOKUP(A492,Planilha2!$A$2:$D$5566,4,0)</f>
        <v>RS</v>
      </c>
    </row>
    <row r="493" spans="1:3" x14ac:dyDescent="0.35">
      <c r="A493">
        <v>431171</v>
      </c>
      <c r="B493" t="str">
        <f>VLOOKUP(A493,Planilha2!$A$2:$C$5566,3,0)</f>
        <v>MAÇAMBARA</v>
      </c>
      <c r="C493" t="str">
        <f>VLOOKUP(A493,Planilha2!$A$2:$D$5566,4,0)</f>
        <v>RS</v>
      </c>
    </row>
    <row r="494" spans="1:3" x14ac:dyDescent="0.35">
      <c r="A494">
        <v>431640</v>
      </c>
      <c r="B494" t="str">
        <f>VLOOKUP(A494,Planilha2!$A$2:$C$5566,3,0)</f>
        <v>ROSÁRIO DO SUL</v>
      </c>
      <c r="C494" t="str">
        <f>VLOOKUP(A494,Planilha2!$A$2:$D$5566,4,0)</f>
        <v>RS</v>
      </c>
    </row>
    <row r="495" spans="1:3" x14ac:dyDescent="0.35">
      <c r="A495">
        <v>430040</v>
      </c>
      <c r="B495" t="str">
        <f>VLOOKUP(A495,Planilha2!$A$2:$C$5566,3,0)</f>
        <v>ALEGRETE</v>
      </c>
      <c r="C495" t="str">
        <f>VLOOKUP(A495,Planilha2!$A$2:$D$5566,4,0)</f>
        <v>RS</v>
      </c>
    </row>
    <row r="496" spans="1:3" x14ac:dyDescent="0.35">
      <c r="A496">
        <v>431710</v>
      </c>
      <c r="B496" t="str">
        <f>VLOOKUP(A496,Planilha2!$A$2:$C$5566,3,0)</f>
        <v>SANTANA DO LIVRAMENTO</v>
      </c>
      <c r="C496" t="str">
        <f>VLOOKUP(A496,Planilha2!$A$2:$D$5566,4,0)</f>
        <v>RS</v>
      </c>
    </row>
    <row r="497" spans="1:3" x14ac:dyDescent="0.35">
      <c r="A497">
        <v>431830</v>
      </c>
      <c r="B497" t="str">
        <f>VLOOKUP(A497,Planilha2!$A$2:$C$5566,3,0)</f>
        <v>SÃO GABRIEL</v>
      </c>
      <c r="C497" t="str">
        <f>VLOOKUP(A497,Planilha2!$A$2:$D$5566,4,0)</f>
        <v>RS</v>
      </c>
    </row>
    <row r="498" spans="1:3" x14ac:dyDescent="0.35">
      <c r="A498">
        <v>430680</v>
      </c>
      <c r="B498" t="str">
        <f>VLOOKUP(A498,Planilha2!$A$2:$C$5566,3,0)</f>
        <v>ENCANTADO</v>
      </c>
      <c r="C498" t="str">
        <f>VLOOKUP(A498,Planilha2!$A$2:$D$5566,4,0)</f>
        <v>RS</v>
      </c>
    </row>
    <row r="499" spans="1:3" x14ac:dyDescent="0.35">
      <c r="A499">
        <v>432145</v>
      </c>
      <c r="B499" t="str">
        <f>VLOOKUP(A499,Planilha2!$A$2:$C$5566,3,0)</f>
        <v>TEUTÔNIA</v>
      </c>
      <c r="C499" t="str">
        <f>VLOOKUP(A499,Planilha2!$A$2:$D$5566,4,0)</f>
        <v>RS</v>
      </c>
    </row>
    <row r="500" spans="1:3" x14ac:dyDescent="0.35">
      <c r="A500">
        <v>431010</v>
      </c>
      <c r="B500" t="str">
        <f>VLOOKUP(A500,Planilha2!$A$2:$C$5566,3,0)</f>
        <v>IGREJINHA</v>
      </c>
      <c r="C500" t="str">
        <f>VLOOKUP(A500,Planilha2!$A$2:$D$5566,4,0)</f>
        <v>RS</v>
      </c>
    </row>
    <row r="501" spans="1:3" x14ac:dyDescent="0.35">
      <c r="A501">
        <v>430310</v>
      </c>
      <c r="B501" t="str">
        <f>VLOOKUP(A501,Planilha2!$A$2:$C$5566,3,0)</f>
        <v>CACHOEIRINHA</v>
      </c>
      <c r="C501" t="str">
        <f>VLOOKUP(A501,Planilha2!$A$2:$D$5566,4,0)</f>
        <v>RS</v>
      </c>
    </row>
    <row r="502" spans="1:3" x14ac:dyDescent="0.35">
      <c r="A502">
        <v>432170</v>
      </c>
      <c r="B502" t="str">
        <f>VLOOKUP(A502,Planilha2!$A$2:$C$5566,3,0)</f>
        <v>TRÊS COROAS</v>
      </c>
      <c r="C502" t="str">
        <f>VLOOKUP(A502,Planilha2!$A$2:$D$5566,4,0)</f>
        <v>RS</v>
      </c>
    </row>
    <row r="503" spans="1:3" x14ac:dyDescent="0.35">
      <c r="A503">
        <v>410200</v>
      </c>
      <c r="B503" t="str">
        <f>VLOOKUP(A503,Planilha2!$A$2:$C$5566,3,0)</f>
        <v>ASSIS CHATEAUBRIAND</v>
      </c>
      <c r="C503" t="str">
        <f>VLOOKUP(A503,Planilha2!$A$2:$D$5566,4,0)</f>
        <v>PR</v>
      </c>
    </row>
    <row r="504" spans="1:3" x14ac:dyDescent="0.35">
      <c r="A504">
        <v>500270</v>
      </c>
      <c r="B504" t="str">
        <f>VLOOKUP(A504,Planilha2!$A$2:$C$5566,3,0)</f>
        <v>CAMPO GRANDE</v>
      </c>
      <c r="C504" t="str">
        <f>VLOOKUP(A504,Planilha2!$A$2:$D$5566,4,0)</f>
        <v>MS</v>
      </c>
    </row>
    <row r="505" spans="1:3" x14ac:dyDescent="0.35">
      <c r="A505">
        <v>500110</v>
      </c>
      <c r="B505" t="str">
        <f>VLOOKUP(A505,Planilha2!$A$2:$C$5566,3,0)</f>
        <v>AQUIDAUANA</v>
      </c>
      <c r="C505" t="str">
        <f>VLOOKUP(A505,Planilha2!$A$2:$D$5566,4,0)</f>
        <v>MS</v>
      </c>
    </row>
    <row r="506" spans="1:3" x14ac:dyDescent="0.35">
      <c r="A506">
        <v>510675</v>
      </c>
      <c r="B506" t="str">
        <f>VLOOKUP(A506,Planilha2!$A$2:$C$5566,3,0)</f>
        <v>PONTES E LACERDA</v>
      </c>
      <c r="C506" t="str">
        <f>VLOOKUP(A506,Planilha2!$A$2:$D$5566,4,0)</f>
        <v>MT</v>
      </c>
    </row>
    <row r="507" spans="1:3" x14ac:dyDescent="0.35">
      <c r="A507">
        <v>510735</v>
      </c>
      <c r="B507" t="str">
        <f>VLOOKUP(A507,Planilha2!$A$2:$C$5566,3,0)</f>
        <v>SÃO JOSÉ DO XINGU</v>
      </c>
      <c r="C507" t="str">
        <f>VLOOKUP(A507,Planilha2!$A$2:$D$5566,4,0)</f>
        <v>MT</v>
      </c>
    </row>
    <row r="508" spans="1:3" x14ac:dyDescent="0.35">
      <c r="A508">
        <v>510730</v>
      </c>
      <c r="B508" t="str">
        <f>VLOOKUP(A508,Planilha2!$A$2:$C$5566,3,0)</f>
        <v>SÃO JOSÉ DO RIO CLARO</v>
      </c>
      <c r="C508" t="str">
        <f>VLOOKUP(A508,Planilha2!$A$2:$D$5566,4,0)</f>
        <v>MT</v>
      </c>
    </row>
    <row r="509" spans="1:3" x14ac:dyDescent="0.35">
      <c r="A509">
        <v>510305</v>
      </c>
      <c r="B509" t="str">
        <f>VLOOKUP(A509,Planilha2!$A$2:$C$5566,3,0)</f>
        <v>CLÁUDIA</v>
      </c>
      <c r="C509" t="str">
        <f>VLOOKUP(A509,Planilha2!$A$2:$D$5566,4,0)</f>
        <v>MT</v>
      </c>
    </row>
    <row r="510" spans="1:3" x14ac:dyDescent="0.35">
      <c r="A510">
        <v>510325</v>
      </c>
      <c r="B510" t="str">
        <f>VLOOKUP(A510,Planilha2!$A$2:$C$5566,3,0)</f>
        <v>COLNIZA</v>
      </c>
      <c r="C510" t="str">
        <f>VLOOKUP(A510,Planilha2!$A$2:$D$5566,4,0)</f>
        <v>MT</v>
      </c>
    </row>
    <row r="511" spans="1:3" x14ac:dyDescent="0.35">
      <c r="A511">
        <v>510190</v>
      </c>
      <c r="B511" t="str">
        <f>VLOOKUP(A511,Planilha2!$A$2:$C$5566,3,0)</f>
        <v>BRASNORTE</v>
      </c>
      <c r="C511" t="str">
        <f>VLOOKUP(A511,Planilha2!$A$2:$D$5566,4,0)</f>
        <v>MT</v>
      </c>
    </row>
    <row r="512" spans="1:3" x14ac:dyDescent="0.35">
      <c r="A512">
        <v>510340</v>
      </c>
      <c r="B512" t="str">
        <f>VLOOKUP(A512,Planilha2!$A$2:$C$5566,3,0)</f>
        <v>CUIABÁ</v>
      </c>
      <c r="C512" t="str">
        <f>VLOOKUP(A512,Planilha2!$A$2:$D$5566,4,0)</f>
        <v>MT</v>
      </c>
    </row>
    <row r="513" spans="1:3" x14ac:dyDescent="0.35">
      <c r="A513">
        <v>510335</v>
      </c>
      <c r="B513" t="str">
        <f>VLOOKUP(A513,Planilha2!$A$2:$C$5566,3,0)</f>
        <v>CONFRESA</v>
      </c>
      <c r="C513" t="str">
        <f>VLOOKUP(A513,Planilha2!$A$2:$D$5566,4,0)</f>
        <v>MT</v>
      </c>
    </row>
    <row r="514" spans="1:3" x14ac:dyDescent="0.35">
      <c r="A514">
        <v>521405</v>
      </c>
      <c r="B514" t="str">
        <f>VLOOKUP(A514,Planilha2!$A$2:$C$5566,3,0)</f>
        <v>MUNDO NOVO</v>
      </c>
      <c r="C514" t="str">
        <f>VLOOKUP(A514,Planilha2!$A$2:$D$5566,4,0)</f>
        <v>GO</v>
      </c>
    </row>
    <row r="515" spans="1:3" x14ac:dyDescent="0.35">
      <c r="A515">
        <v>522020</v>
      </c>
      <c r="B515" t="str">
        <f>VLOOKUP(A515,Planilha2!$A$2:$C$5566,3,0)</f>
        <v>SÃO MIGUEL DO ARAGUAIA</v>
      </c>
      <c r="C515" t="str">
        <f>VLOOKUP(A515,Planilha2!$A$2:$D$5566,4,0)</f>
        <v>GO</v>
      </c>
    </row>
    <row r="516" spans="1:3" x14ac:dyDescent="0.35">
      <c r="A516">
        <v>521385</v>
      </c>
      <c r="B516" t="str">
        <f>VLOOKUP(A516,Planilha2!$A$2:$C$5566,3,0)</f>
        <v>MORRO AGUDO DE GOIÁS</v>
      </c>
      <c r="C516" t="str">
        <f>VLOOKUP(A516,Planilha2!$A$2:$D$5566,4,0)</f>
        <v>GO</v>
      </c>
    </row>
    <row r="517" spans="1:3" x14ac:dyDescent="0.35">
      <c r="A517">
        <v>521056</v>
      </c>
      <c r="B517" t="str">
        <f>VLOOKUP(A517,Planilha2!$A$2:$C$5566,3,0)</f>
        <v>ITAGUARI</v>
      </c>
      <c r="C517" t="str">
        <f>VLOOKUP(A517,Planilha2!$A$2:$D$5566,4,0)</f>
        <v>GO</v>
      </c>
    </row>
    <row r="518" spans="1:3" x14ac:dyDescent="0.35">
      <c r="A518">
        <v>520870</v>
      </c>
      <c r="B518" t="str">
        <f>VLOOKUP(A518,Planilha2!$A$2:$C$5566,3,0)</f>
        <v>GOIÂNIA</v>
      </c>
      <c r="C518" t="str">
        <f>VLOOKUP(A518,Planilha2!$A$2:$D$5566,4,0)</f>
        <v>GO</v>
      </c>
    </row>
    <row r="519" spans="1:3" x14ac:dyDescent="0.35">
      <c r="A519">
        <v>521880</v>
      </c>
      <c r="B519" t="str">
        <f>VLOOKUP(A519,Planilha2!$A$2:$C$5566,3,0)</f>
        <v>RIO VERDE</v>
      </c>
      <c r="C519" t="str">
        <f>VLOOKUP(A519,Planilha2!$A$2:$D$5566,4,0)</f>
        <v>GO</v>
      </c>
    </row>
    <row r="520" spans="1:3" x14ac:dyDescent="0.35">
      <c r="A520">
        <v>522040</v>
      </c>
      <c r="B520" t="str">
        <f>VLOOKUP(A520,Planilha2!$A$2:$C$5566,3,0)</f>
        <v>SÃO SIMÃO</v>
      </c>
      <c r="C520" t="str">
        <f>VLOOKUP(A520,Planilha2!$A$2:$D$5566,4,0)</f>
        <v>GO</v>
      </c>
    </row>
    <row r="521" spans="1:3" x14ac:dyDescent="0.35">
      <c r="A521">
        <v>521930</v>
      </c>
      <c r="B521" t="str">
        <f>VLOOKUP(A521,Planilha2!$A$2:$C$5566,3,0)</f>
        <v>SANTA HELENA DE GOIÁS</v>
      </c>
      <c r="C521" t="str">
        <f>VLOOKUP(A521,Planilha2!$A$2:$D$5566,4,0)</f>
        <v>GO</v>
      </c>
    </row>
    <row r="522" spans="1:3" x14ac:dyDescent="0.35">
      <c r="A522">
        <v>522045</v>
      </c>
      <c r="B522" t="str">
        <f>VLOOKUP(A522,Planilha2!$A$2:$C$5566,3,0)</f>
        <v>SENADOR CANEDO</v>
      </c>
      <c r="C522" t="str">
        <f>VLOOKUP(A522,Planilha2!$A$2:$D$5566,4,0)</f>
        <v>GO</v>
      </c>
    </row>
    <row r="523" spans="1:3" x14ac:dyDescent="0.35">
      <c r="A523">
        <v>520140</v>
      </c>
      <c r="B523" t="str">
        <f>VLOOKUP(A523,Planilha2!$A$2:$C$5566,3,0)</f>
        <v>APARECIDA DE GOIÂNIA</v>
      </c>
      <c r="C523" t="str">
        <f>VLOOKUP(A523,Planilha2!$A$2:$D$5566,4,0)</f>
        <v>GO</v>
      </c>
    </row>
    <row r="524" spans="1:3" x14ac:dyDescent="0.35">
      <c r="A524">
        <v>520360</v>
      </c>
      <c r="B524" t="str">
        <f>VLOOKUP(A524,Planilha2!$A$2:$C$5566,3,0)</f>
        <v>BRAZABRANTES</v>
      </c>
      <c r="C524" t="str">
        <f>VLOOKUP(A524,Planilha2!$A$2:$D$5566,4,0)</f>
        <v>GO</v>
      </c>
    </row>
    <row r="525" spans="1:3" x14ac:dyDescent="0.35">
      <c r="A525">
        <v>521740</v>
      </c>
      <c r="B525" t="str">
        <f>VLOOKUP(A525,Planilha2!$A$2:$C$5566,3,0)</f>
        <v>PIRES DO RIO</v>
      </c>
      <c r="C525" t="str">
        <f>VLOOKUP(A525,Planilha2!$A$2:$D$5566,4,0)</f>
        <v>GO</v>
      </c>
    </row>
    <row r="526" spans="1:3" x14ac:dyDescent="0.35">
      <c r="A526">
        <v>520450</v>
      </c>
      <c r="B526" t="str">
        <f>VLOOKUP(A526,Planilha2!$A$2:$C$5566,3,0)</f>
        <v>CALDAS NOVAS</v>
      </c>
      <c r="C526" t="str">
        <f>VLOOKUP(A526,Planilha2!$A$2:$D$5566,4,0)</f>
        <v>GO</v>
      </c>
    </row>
    <row r="527" spans="1:3" x14ac:dyDescent="0.35">
      <c r="A527">
        <v>521380</v>
      </c>
      <c r="B527" t="str">
        <f>VLOOKUP(A527,Planilha2!$A$2:$C$5566,3,0)</f>
        <v>MORRINHOS</v>
      </c>
      <c r="C527" t="str">
        <f>VLOOKUP(A527,Planilha2!$A$2:$D$5566,4,0)</f>
        <v>GO</v>
      </c>
    </row>
    <row r="528" spans="1:3" x14ac:dyDescent="0.35">
      <c r="A528">
        <v>520510</v>
      </c>
      <c r="B528" t="str">
        <f>VLOOKUP(A528,Planilha2!$A$2:$C$5566,3,0)</f>
        <v>CATALÃO</v>
      </c>
      <c r="C528" t="str">
        <f>VLOOKUP(A528,Planilha2!$A$2:$D$5566,4,0)</f>
        <v>GO</v>
      </c>
    </row>
    <row r="529" spans="1:3" x14ac:dyDescent="0.35">
      <c r="A529">
        <v>520850</v>
      </c>
      <c r="B529" t="str">
        <f>VLOOKUP(A529,Planilha2!$A$2:$C$5566,3,0)</f>
        <v>GOIANDIRA</v>
      </c>
      <c r="C529" t="str">
        <f>VLOOKUP(A529,Planilha2!$A$2:$D$5566,4,0)</f>
        <v>GO</v>
      </c>
    </row>
    <row r="530" spans="1:3" x14ac:dyDescent="0.35">
      <c r="A530">
        <v>520390</v>
      </c>
      <c r="B530" t="str">
        <f>VLOOKUP(A530,Planilha2!$A$2:$C$5566,3,0)</f>
        <v>BURITI ALEGRE</v>
      </c>
      <c r="C530" t="str">
        <f>VLOOKUP(A530,Planilha2!$A$2:$D$5566,4,0)</f>
        <v>GO</v>
      </c>
    </row>
    <row r="531" spans="1:3" x14ac:dyDescent="0.35">
      <c r="A531">
        <v>521150</v>
      </c>
      <c r="B531" t="str">
        <f>VLOOKUP(A531,Planilha2!$A$2:$C$5566,3,0)</f>
        <v>ITUMBIARA</v>
      </c>
      <c r="C531" t="str">
        <f>VLOOKUP(A531,Planilha2!$A$2:$D$5566,4,0)</f>
        <v>GO</v>
      </c>
    </row>
    <row r="532" spans="1:3" x14ac:dyDescent="0.35">
      <c r="A532">
        <v>530010</v>
      </c>
      <c r="B532" t="str">
        <f>VLOOKUP(A532,Planilha2!$A$2:$C$5566,3,0)</f>
        <v>BRASILIA</v>
      </c>
      <c r="C532" t="str">
        <f>VLOOKUP(A532,Planilha2!$A$2:$D$5566,4,0)</f>
        <v>DF</v>
      </c>
    </row>
    <row r="533" spans="1:3" x14ac:dyDescent="0.35">
      <c r="A533">
        <v>520547</v>
      </c>
      <c r="B533" t="str">
        <f>VLOOKUP(A533,Planilha2!$A$2:$C$5566,3,0)</f>
        <v>CHAPADÃO DO CÉU</v>
      </c>
      <c r="C533" t="str">
        <f>VLOOKUP(A533,Planilha2!$A$2:$D$5566,4,0)</f>
        <v>GO</v>
      </c>
    </row>
    <row r="534" spans="1:3" x14ac:dyDescent="0.35">
      <c r="A534">
        <v>521190</v>
      </c>
      <c r="B534" t="str">
        <f>VLOOKUP(A534,Planilha2!$A$2:$C$5566,3,0)</f>
        <v>JATAÍ</v>
      </c>
      <c r="C534" t="str">
        <f>VLOOKUP(A534,Planilha2!$A$2:$D$5566,4,0)</f>
        <v>GO</v>
      </c>
    </row>
    <row r="535" spans="1:3" x14ac:dyDescent="0.35">
      <c r="A535">
        <v>354020</v>
      </c>
      <c r="B535" t="str">
        <f>VLOOKUP(A535,Planilha2!$A$2:$C$5566,3,0)</f>
        <v>PONTAL</v>
      </c>
      <c r="C535" t="str">
        <f>VLOOKUP(A535,Planilha2!$A$2:$D$5566,4,0)</f>
        <v>SP</v>
      </c>
    </row>
    <row r="536" spans="1:3" x14ac:dyDescent="0.35">
      <c r="A536">
        <v>520030</v>
      </c>
      <c r="B536" t="str">
        <f>VLOOKUP(A536,Planilha2!$A$2:$C$5566,3,0)</f>
        <v>ALEXÂNIA</v>
      </c>
      <c r="C536" t="str">
        <f>VLOOKUP(A536,Planilha2!$A$2:$D$5566,4,0)</f>
        <v>GO</v>
      </c>
    </row>
    <row r="537" spans="1:3" x14ac:dyDescent="0.35">
      <c r="A537">
        <v>520025</v>
      </c>
      <c r="B537" t="str">
        <f>VLOOKUP(A537,Planilha2!$A$2:$C$5566,3,0)</f>
        <v>ÁGUAS LINDAS DE GOIÁS</v>
      </c>
      <c r="C537" t="str">
        <f>VLOOKUP(A537,Planilha2!$A$2:$D$5566,4,0)</f>
        <v>GO</v>
      </c>
    </row>
    <row r="538" spans="1:3" x14ac:dyDescent="0.35">
      <c r="A538">
        <v>521560</v>
      </c>
      <c r="B538" t="str">
        <f>VLOOKUP(A538,Planilha2!$A$2:$C$5566,3,0)</f>
        <v>PADRE BERNARDO</v>
      </c>
      <c r="C538" t="str">
        <f>VLOOKUP(A538,Planilha2!$A$2:$D$5566,4,0)</f>
        <v>GO</v>
      </c>
    </row>
    <row r="539" spans="1:3" x14ac:dyDescent="0.35">
      <c r="A539">
        <v>521975</v>
      </c>
      <c r="B539" t="str">
        <f>VLOOKUP(A539,Planilha2!$A$2:$C$5566,3,0)</f>
        <v>SANTO ANTÔNIO DO DESCOBERTO</v>
      </c>
      <c r="C539" t="str">
        <f>VLOOKUP(A539,Planilha2!$A$2:$D$5566,4,0)</f>
        <v>GO</v>
      </c>
    </row>
    <row r="540" spans="1:3" x14ac:dyDescent="0.35">
      <c r="A540">
        <v>520800</v>
      </c>
      <c r="B540" t="str">
        <f>VLOOKUP(A540,Planilha2!$A$2:$C$5566,3,0)</f>
        <v>FORMOSA</v>
      </c>
      <c r="C540" t="str">
        <f>VLOOKUP(A540,Planilha2!$A$2:$D$5566,4,0)</f>
        <v>GO</v>
      </c>
    </row>
    <row r="541" spans="1:3" x14ac:dyDescent="0.35">
      <c r="A541">
        <v>354990</v>
      </c>
      <c r="B541" t="str">
        <f>VLOOKUP(A541,Planilha2!$A$2:$C$5566,3,0)</f>
        <v>SÃO JOSÉ DOS CAMPOS</v>
      </c>
      <c r="C541" t="str">
        <f>VLOOKUP(A541,Planilha2!$A$2:$D$5566,4,0)</f>
        <v>SP</v>
      </c>
    </row>
    <row r="542" spans="1:3" x14ac:dyDescent="0.35">
      <c r="A542">
        <v>521760</v>
      </c>
      <c r="B542" t="str">
        <f>VLOOKUP(A542,Planilha2!$A$2:$C$5566,3,0)</f>
        <v>PLANALTINA</v>
      </c>
      <c r="C542" t="str">
        <f>VLOOKUP(A542,Planilha2!$A$2:$D$5566,4,0)</f>
        <v>GO</v>
      </c>
    </row>
    <row r="543" spans="1:3" x14ac:dyDescent="0.35">
      <c r="A543">
        <v>522185</v>
      </c>
      <c r="B543" t="str">
        <f>VLOOKUP(A543,Planilha2!$A$2:$C$5566,3,0)</f>
        <v>VALPARAÍSO DE GOIÁS</v>
      </c>
      <c r="C543" t="str">
        <f>VLOOKUP(A543,Planilha2!$A$2:$D$5566,4,0)</f>
        <v>GO</v>
      </c>
    </row>
    <row r="544" spans="1:3" x14ac:dyDescent="0.35">
      <c r="A544">
        <v>110040</v>
      </c>
      <c r="B544" t="str">
        <f>VLOOKUP(A544,Planilha2!$A$2:$C$5566,3,0)</f>
        <v>ALTO PARAÍSO</v>
      </c>
      <c r="C544" t="str">
        <f>VLOOKUP(A544,Planilha2!$A$2:$D$5566,4,0)</f>
        <v>RO</v>
      </c>
    </row>
    <row r="545" spans="1:3" x14ac:dyDescent="0.35">
      <c r="A545">
        <v>110030</v>
      </c>
      <c r="B545" t="str">
        <f>VLOOKUP(A545,Planilha2!$A$2:$C$5566,3,0)</f>
        <v>VILHENA</v>
      </c>
      <c r="C545" t="str">
        <f>VLOOKUP(A545,Planilha2!$A$2:$D$5566,4,0)</f>
        <v>RO</v>
      </c>
    </row>
    <row r="546" spans="1:3" x14ac:dyDescent="0.35">
      <c r="A546">
        <v>110013</v>
      </c>
      <c r="B546" t="str">
        <f>VLOOKUP(A546,Planilha2!$A$2:$C$5566,3,0)</f>
        <v>MACHADINHO D`OESTE</v>
      </c>
      <c r="C546" t="str">
        <f>VLOOKUP(A546,Planilha2!$A$2:$D$5566,4,0)</f>
        <v>RO</v>
      </c>
    </row>
    <row r="547" spans="1:3" x14ac:dyDescent="0.35">
      <c r="A547">
        <v>110150</v>
      </c>
      <c r="B547" t="str">
        <f>VLOOKUP(A547,Planilha2!$A$2:$C$5566,3,0)</f>
        <v>SERINGUEIRAS</v>
      </c>
      <c r="C547" t="str">
        <f>VLOOKUP(A547,Planilha2!$A$2:$D$5566,4,0)</f>
        <v>RO</v>
      </c>
    </row>
    <row r="548" spans="1:3" x14ac:dyDescent="0.35">
      <c r="A548">
        <v>110032</v>
      </c>
      <c r="B548" t="str">
        <f>VLOOKUP(A548,Planilha2!$A$2:$C$5566,3,0)</f>
        <v>SÃO MIGUEL DO GUAPORÉ</v>
      </c>
      <c r="C548" t="str">
        <f>VLOOKUP(A548,Planilha2!$A$2:$D$5566,4,0)</f>
        <v>RO</v>
      </c>
    </row>
    <row r="549" spans="1:3" x14ac:dyDescent="0.35">
      <c r="A549">
        <v>110130</v>
      </c>
      <c r="B549" t="str">
        <f>VLOOKUP(A549,Planilha2!$A$2:$C$5566,3,0)</f>
        <v>MIRANTE DA SERRA</v>
      </c>
      <c r="C549" t="str">
        <f>VLOOKUP(A549,Planilha2!$A$2:$D$5566,4,0)</f>
        <v>RO</v>
      </c>
    </row>
    <row r="550" spans="1:3" x14ac:dyDescent="0.35">
      <c r="A550">
        <v>120050</v>
      </c>
      <c r="B550" t="str">
        <f>VLOOKUP(A550,Planilha2!$A$2:$C$5566,3,0)</f>
        <v>SENA MADUREIRA</v>
      </c>
      <c r="C550" t="str">
        <f>VLOOKUP(A550,Planilha2!$A$2:$D$5566,4,0)</f>
        <v>AC</v>
      </c>
    </row>
    <row r="551" spans="1:3" x14ac:dyDescent="0.35">
      <c r="A551">
        <v>120040</v>
      </c>
      <c r="B551" t="str">
        <f>VLOOKUP(A551,Planilha2!$A$2:$C$5566,3,0)</f>
        <v>RIO BRANCO</v>
      </c>
      <c r="C551" t="str">
        <f>VLOOKUP(A551,Planilha2!$A$2:$D$5566,4,0)</f>
        <v>AC</v>
      </c>
    </row>
    <row r="552" spans="1:3" x14ac:dyDescent="0.35">
      <c r="A552">
        <v>120043</v>
      </c>
      <c r="B552" t="str">
        <f>VLOOKUP(A552,Planilha2!$A$2:$C$5566,3,0)</f>
        <v>SANTA ROSA DO PURUS</v>
      </c>
      <c r="C552" t="str">
        <f>VLOOKUP(A552,Planilha2!$A$2:$D$5566,4,0)</f>
        <v>AC</v>
      </c>
    </row>
    <row r="553" spans="1:3" x14ac:dyDescent="0.35">
      <c r="A553">
        <v>120010</v>
      </c>
      <c r="B553" t="str">
        <f>VLOOKUP(A553,Planilha2!$A$2:$C$5566,3,0)</f>
        <v>BRASILÉIA</v>
      </c>
      <c r="C553" t="str">
        <f>VLOOKUP(A553,Planilha2!$A$2:$D$5566,4,0)</f>
        <v>AC</v>
      </c>
    </row>
    <row r="554" spans="1:3" x14ac:dyDescent="0.35">
      <c r="A554">
        <v>120020</v>
      </c>
      <c r="B554" t="str">
        <f>VLOOKUP(A554,Planilha2!$A$2:$C$5566,3,0)</f>
        <v>CRUZEIRO DO SUL</v>
      </c>
      <c r="C554" t="str">
        <f>VLOOKUP(A554,Planilha2!$A$2:$D$5566,4,0)</f>
        <v>AC</v>
      </c>
    </row>
    <row r="555" spans="1:3" x14ac:dyDescent="0.35">
      <c r="A555">
        <v>130340</v>
      </c>
      <c r="B555" t="str">
        <f>VLOOKUP(A555,Planilha2!$A$2:$C$5566,3,0)</f>
        <v>PARINTINS</v>
      </c>
      <c r="C555" t="str">
        <f>VLOOKUP(A555,Planilha2!$A$2:$D$5566,4,0)</f>
        <v>AM</v>
      </c>
    </row>
    <row r="556" spans="1:3" x14ac:dyDescent="0.35">
      <c r="A556">
        <v>150240</v>
      </c>
      <c r="B556" t="str">
        <f>VLOOKUP(A556,Planilha2!$A$2:$C$5566,3,0)</f>
        <v>CASTANHAL</v>
      </c>
      <c r="C556" t="str">
        <f>VLOOKUP(A556,Planilha2!$A$2:$D$5566,4,0)</f>
        <v>PA</v>
      </c>
    </row>
    <row r="557" spans="1:3" x14ac:dyDescent="0.35">
      <c r="A557">
        <v>150350</v>
      </c>
      <c r="B557" t="str">
        <f>VLOOKUP(A557,Planilha2!$A$2:$C$5566,3,0)</f>
        <v>IRITUIA</v>
      </c>
      <c r="C557" t="str">
        <f>VLOOKUP(A557,Planilha2!$A$2:$D$5566,4,0)</f>
        <v>PA</v>
      </c>
    </row>
    <row r="558" spans="1:3" x14ac:dyDescent="0.35">
      <c r="A558">
        <v>150720</v>
      </c>
      <c r="B558" t="str">
        <f>VLOOKUP(A558,Planilha2!$A$2:$C$5566,3,0)</f>
        <v>SÃO DOMINGOS DO CAPIM</v>
      </c>
      <c r="C558" t="str">
        <f>VLOOKUP(A558,Planilha2!$A$2:$D$5566,4,0)</f>
        <v>PA</v>
      </c>
    </row>
    <row r="559" spans="1:3" x14ac:dyDescent="0.35">
      <c r="A559">
        <v>150650</v>
      </c>
      <c r="B559" t="str">
        <f>VLOOKUP(A559,Planilha2!$A$2:$C$5566,3,0)</f>
        <v>SANTA ISABEL DO PARÁ</v>
      </c>
      <c r="C559" t="str">
        <f>VLOOKUP(A559,Planilha2!$A$2:$D$5566,4,0)</f>
        <v>PA</v>
      </c>
    </row>
    <row r="560" spans="1:3" x14ac:dyDescent="0.35">
      <c r="A560">
        <v>150307</v>
      </c>
      <c r="B560" t="str">
        <f>VLOOKUP(A560,Planilha2!$A$2:$C$5566,3,0)</f>
        <v>GARRAFÃO DO NORTE</v>
      </c>
      <c r="C560" t="str">
        <f>VLOOKUP(A560,Planilha2!$A$2:$D$5566,4,0)</f>
        <v>PA</v>
      </c>
    </row>
    <row r="561" spans="1:3" x14ac:dyDescent="0.35">
      <c r="A561">
        <v>150760</v>
      </c>
      <c r="B561" t="str">
        <f>VLOOKUP(A561,Planilha2!$A$2:$C$5566,3,0)</f>
        <v>SÃO MIGUEL DO GUAMÁ</v>
      </c>
      <c r="C561" t="str">
        <f>VLOOKUP(A561,Planilha2!$A$2:$D$5566,4,0)</f>
        <v>PA</v>
      </c>
    </row>
    <row r="562" spans="1:3" x14ac:dyDescent="0.35">
      <c r="A562">
        <v>150440</v>
      </c>
      <c r="B562" t="str">
        <f>VLOOKUP(A562,Planilha2!$A$2:$C$5566,3,0)</f>
        <v>MARAPANIM</v>
      </c>
      <c r="C562" t="str">
        <f>VLOOKUP(A562,Planilha2!$A$2:$D$5566,4,0)</f>
        <v>PA</v>
      </c>
    </row>
    <row r="563" spans="1:3" x14ac:dyDescent="0.35">
      <c r="A563">
        <v>150497</v>
      </c>
      <c r="B563" t="str">
        <f>VLOOKUP(A563,Planilha2!$A$2:$C$5566,3,0)</f>
        <v>NOVA IPIXUNA</v>
      </c>
      <c r="C563" t="str">
        <f>VLOOKUP(A563,Planilha2!$A$2:$D$5566,4,0)</f>
        <v>PA</v>
      </c>
    </row>
    <row r="564" spans="1:3" x14ac:dyDescent="0.35">
      <c r="A564">
        <v>170550</v>
      </c>
      <c r="B564" t="str">
        <f>VLOOKUP(A564,Planilha2!$A$2:$C$5566,3,0)</f>
        <v>COLINAS DO TOCANTINS</v>
      </c>
      <c r="C564" t="str">
        <f>VLOOKUP(A564,Planilha2!$A$2:$D$5566,4,0)</f>
        <v>TO</v>
      </c>
    </row>
    <row r="565" spans="1:3" x14ac:dyDescent="0.35">
      <c r="A565">
        <v>172110</v>
      </c>
      <c r="B565" t="str">
        <f>VLOOKUP(A565,Planilha2!$A$2:$C$5566,3,0)</f>
        <v>TOCANTÍNIA</v>
      </c>
      <c r="C565" t="str">
        <f>VLOOKUP(A565,Planilha2!$A$2:$D$5566,4,0)</f>
        <v>TO</v>
      </c>
    </row>
    <row r="566" spans="1:3" x14ac:dyDescent="0.35">
      <c r="A566">
        <v>170390</v>
      </c>
      <c r="B566" t="str">
        <f>VLOOKUP(A566,Planilha2!$A$2:$C$5566,3,0)</f>
        <v>CASEARA</v>
      </c>
      <c r="C566" t="str">
        <f>VLOOKUP(A566,Planilha2!$A$2:$D$5566,4,0)</f>
        <v>TO</v>
      </c>
    </row>
    <row r="567" spans="1:3" x14ac:dyDescent="0.35">
      <c r="A567">
        <v>170300</v>
      </c>
      <c r="B567" t="str">
        <f>VLOOKUP(A567,Planilha2!$A$2:$C$5566,3,0)</f>
        <v>BABAÇULÂNDIA</v>
      </c>
      <c r="C567" t="str">
        <f>VLOOKUP(A567,Planilha2!$A$2:$D$5566,4,0)</f>
        <v>TO</v>
      </c>
    </row>
    <row r="568" spans="1:3" x14ac:dyDescent="0.35">
      <c r="A568">
        <v>170950</v>
      </c>
      <c r="B568" t="str">
        <f>VLOOKUP(A568,Planilha2!$A$2:$C$5566,3,0)</f>
        <v>GURUPI</v>
      </c>
      <c r="C568" t="str">
        <f>VLOOKUP(A568,Planilha2!$A$2:$D$5566,4,0)</f>
        <v>TO</v>
      </c>
    </row>
    <row r="569" spans="1:3" x14ac:dyDescent="0.35">
      <c r="A569">
        <v>170070</v>
      </c>
      <c r="B569" t="str">
        <f>VLOOKUP(A569,Planilha2!$A$2:$C$5566,3,0)</f>
        <v>ALVORADA</v>
      </c>
      <c r="C569" t="str">
        <f>VLOOKUP(A569,Planilha2!$A$2:$D$5566,4,0)</f>
        <v>TO</v>
      </c>
    </row>
    <row r="570" spans="1:3" x14ac:dyDescent="0.35">
      <c r="A570">
        <v>171830</v>
      </c>
      <c r="B570" t="str">
        <f>VLOOKUP(A570,Planilha2!$A$2:$C$5566,3,0)</f>
        <v>PRAIA NORTE</v>
      </c>
      <c r="C570" t="str">
        <f>VLOOKUP(A570,Planilha2!$A$2:$D$5566,4,0)</f>
        <v>TO</v>
      </c>
    </row>
    <row r="571" spans="1:3" x14ac:dyDescent="0.35">
      <c r="A571">
        <v>171430</v>
      </c>
      <c r="B571" t="str">
        <f>VLOOKUP(A571,Planilha2!$A$2:$C$5566,3,0)</f>
        <v>NAZARÉ</v>
      </c>
      <c r="C571" t="str">
        <f>VLOOKUP(A571,Planilha2!$A$2:$D$5566,4,0)</f>
        <v>TO</v>
      </c>
    </row>
    <row r="572" spans="1:3" x14ac:dyDescent="0.35">
      <c r="A572">
        <v>170740</v>
      </c>
      <c r="B572" t="str">
        <f>VLOOKUP(A572,Planilha2!$A$2:$C$5566,3,0)</f>
        <v>ESPERANTINA</v>
      </c>
      <c r="C572" t="str">
        <f>VLOOKUP(A572,Planilha2!$A$2:$D$5566,4,0)</f>
        <v>TO</v>
      </c>
    </row>
    <row r="573" spans="1:3" x14ac:dyDescent="0.35">
      <c r="A573">
        <v>171370</v>
      </c>
      <c r="B573" t="str">
        <f>VLOOKUP(A573,Planilha2!$A$2:$C$5566,3,0)</f>
        <v>MONTE SANTO DO TOCANTINS</v>
      </c>
      <c r="C573" t="str">
        <f>VLOOKUP(A573,Planilha2!$A$2:$D$5566,4,0)</f>
        <v>TO</v>
      </c>
    </row>
    <row r="574" spans="1:3" x14ac:dyDescent="0.35">
      <c r="A574">
        <v>171665</v>
      </c>
      <c r="B574" t="str">
        <f>VLOOKUP(A574,Planilha2!$A$2:$C$5566,3,0)</f>
        <v>PEQUIZEIRO</v>
      </c>
      <c r="C574" t="str">
        <f>VLOOKUP(A574,Planilha2!$A$2:$D$5566,4,0)</f>
        <v>TO</v>
      </c>
    </row>
    <row r="575" spans="1:3" x14ac:dyDescent="0.35">
      <c r="A575">
        <v>171820</v>
      </c>
      <c r="B575" t="str">
        <f>VLOOKUP(A575,Planilha2!$A$2:$C$5566,3,0)</f>
        <v>PORTO NACIONAL</v>
      </c>
      <c r="C575" t="str">
        <f>VLOOKUP(A575,Planilha2!$A$2:$D$5566,4,0)</f>
        <v>TO</v>
      </c>
    </row>
    <row r="576" spans="1:3" x14ac:dyDescent="0.35">
      <c r="A576">
        <v>172100</v>
      </c>
      <c r="B576" t="str">
        <f>VLOOKUP(A576,Planilha2!$A$2:$C$5566,3,0)</f>
        <v>PALMAS</v>
      </c>
      <c r="C576" t="str">
        <f>VLOOKUP(A576,Planilha2!$A$2:$D$5566,4,0)</f>
        <v>TO</v>
      </c>
    </row>
    <row r="577" spans="1:3" x14ac:dyDescent="0.35">
      <c r="A577">
        <v>171610</v>
      </c>
      <c r="B577" t="str">
        <f>VLOOKUP(A577,Planilha2!$A$2:$C$5566,3,0)</f>
        <v>PARAÍSO DO TOCANTINS</v>
      </c>
      <c r="C577" t="str">
        <f>VLOOKUP(A577,Planilha2!$A$2:$D$5566,4,0)</f>
        <v>TO</v>
      </c>
    </row>
    <row r="578" spans="1:3" x14ac:dyDescent="0.35">
      <c r="A578">
        <v>171380</v>
      </c>
      <c r="B578" t="str">
        <f>VLOOKUP(A578,Planilha2!$A$2:$C$5566,3,0)</f>
        <v>PALMEIRAS DO TOCANTINS</v>
      </c>
      <c r="C578" t="str">
        <f>VLOOKUP(A578,Planilha2!$A$2:$D$5566,4,0)</f>
        <v>TO</v>
      </c>
    </row>
    <row r="579" spans="1:3" x14ac:dyDescent="0.35">
      <c r="A579">
        <v>170210</v>
      </c>
      <c r="B579" t="str">
        <f>VLOOKUP(A579,Planilha2!$A$2:$C$5566,3,0)</f>
        <v>ARAGUAÍNA</v>
      </c>
      <c r="C579" t="str">
        <f>VLOOKUP(A579,Planilha2!$A$2:$D$5566,4,0)</f>
        <v>TO</v>
      </c>
    </row>
    <row r="580" spans="1:3" x14ac:dyDescent="0.35">
      <c r="A580">
        <v>171050</v>
      </c>
      <c r="B580" t="str">
        <f>VLOOKUP(A580,Planilha2!$A$2:$C$5566,3,0)</f>
        <v>ITACAJÁ</v>
      </c>
      <c r="C580" t="str">
        <f>VLOOKUP(A580,Planilha2!$A$2:$D$5566,4,0)</f>
        <v>TO</v>
      </c>
    </row>
    <row r="581" spans="1:3" x14ac:dyDescent="0.35">
      <c r="A581">
        <v>210080</v>
      </c>
      <c r="B581" t="str">
        <f>VLOOKUP(A581,Planilha2!$A$2:$C$5566,3,0)</f>
        <v>ANAPURUS</v>
      </c>
      <c r="C581" t="str">
        <f>VLOOKUP(A581,Planilha2!$A$2:$D$5566,4,0)</f>
        <v>MA</v>
      </c>
    </row>
    <row r="582" spans="1:3" x14ac:dyDescent="0.35">
      <c r="A582">
        <v>211120</v>
      </c>
      <c r="B582" t="str">
        <f>VLOOKUP(A582,Planilha2!$A$2:$C$5566,3,0)</f>
        <v>SÃO JOSÉ DE RIBAMAR</v>
      </c>
      <c r="C582" t="str">
        <f>VLOOKUP(A582,Planilha2!$A$2:$D$5566,4,0)</f>
        <v>MA</v>
      </c>
    </row>
    <row r="583" spans="1:3" x14ac:dyDescent="0.35">
      <c r="A583">
        <v>210870</v>
      </c>
      <c r="B583" t="str">
        <f>VLOOKUP(A583,Planilha2!$A$2:$C$5566,3,0)</f>
        <v>PIO XII</v>
      </c>
      <c r="C583" t="str">
        <f>VLOOKUP(A583,Planilha2!$A$2:$D$5566,4,0)</f>
        <v>MA</v>
      </c>
    </row>
    <row r="584" spans="1:3" x14ac:dyDescent="0.35">
      <c r="A584">
        <v>211040</v>
      </c>
      <c r="B584" t="str">
        <f>VLOOKUP(A584,Planilha2!$A$2:$C$5566,3,0)</f>
        <v>SÃO BENEDITO DO RIO PRETO</v>
      </c>
      <c r="C584" t="str">
        <f>VLOOKUP(A584,Planilha2!$A$2:$D$5566,4,0)</f>
        <v>MA</v>
      </c>
    </row>
    <row r="585" spans="1:3" x14ac:dyDescent="0.35">
      <c r="A585">
        <v>210210</v>
      </c>
      <c r="B585" t="str">
        <f>VLOOKUP(A585,Planilha2!$A$2:$C$5566,3,0)</f>
        <v>BREJO</v>
      </c>
      <c r="C585" t="str">
        <f>VLOOKUP(A585,Planilha2!$A$2:$D$5566,4,0)</f>
        <v>MA</v>
      </c>
    </row>
    <row r="586" spans="1:3" x14ac:dyDescent="0.35">
      <c r="A586">
        <v>211176</v>
      </c>
      <c r="B586" t="str">
        <f>VLOOKUP(A586,Planilha2!$A$2:$C$5566,3,0)</f>
        <v>SENADOR LA ROCQUE</v>
      </c>
      <c r="C586" t="str">
        <f>VLOOKUP(A586,Planilha2!$A$2:$D$5566,4,0)</f>
        <v>MA</v>
      </c>
    </row>
    <row r="587" spans="1:3" x14ac:dyDescent="0.35">
      <c r="A587">
        <v>210047</v>
      </c>
      <c r="B587" t="str">
        <f>VLOOKUP(A587,Planilha2!$A$2:$C$5566,3,0)</f>
        <v>ALTO ALEGRE DO PINDARÉ</v>
      </c>
      <c r="C587" t="str">
        <f>VLOOKUP(A587,Planilha2!$A$2:$D$5566,4,0)</f>
        <v>MA</v>
      </c>
    </row>
    <row r="588" spans="1:3" x14ac:dyDescent="0.35">
      <c r="A588">
        <v>210197</v>
      </c>
      <c r="B588" t="str">
        <f>VLOOKUP(A588,Planilha2!$A$2:$C$5566,3,0)</f>
        <v>BOA VISTA DO GURUPI</v>
      </c>
      <c r="C588" t="str">
        <f>VLOOKUP(A588,Planilha2!$A$2:$D$5566,4,0)</f>
        <v>MA</v>
      </c>
    </row>
    <row r="589" spans="1:3" x14ac:dyDescent="0.35">
      <c r="A589">
        <v>210735</v>
      </c>
      <c r="B589" t="str">
        <f>VLOOKUP(A589,Planilha2!$A$2:$C$5566,3,0)</f>
        <v>NOVA OLINDA DO MARANHÃO</v>
      </c>
      <c r="C589" t="str">
        <f>VLOOKUP(A589,Planilha2!$A$2:$D$5566,4,0)</f>
        <v>MA</v>
      </c>
    </row>
    <row r="590" spans="1:3" x14ac:dyDescent="0.35">
      <c r="A590">
        <v>210637</v>
      </c>
      <c r="B590" t="str">
        <f>VLOOKUP(A590,Planilha2!$A$2:$C$5566,3,0)</f>
        <v>MARANHÃOZINHO</v>
      </c>
      <c r="C590" t="str">
        <f>VLOOKUP(A590,Planilha2!$A$2:$D$5566,4,0)</f>
        <v>MA</v>
      </c>
    </row>
    <row r="591" spans="1:3" x14ac:dyDescent="0.35">
      <c r="A591">
        <v>211150</v>
      </c>
      <c r="B591" t="str">
        <f>VLOOKUP(A591,Planilha2!$A$2:$C$5566,3,0)</f>
        <v>SÃO MATEUS DO MARANHÃO</v>
      </c>
      <c r="C591" t="str">
        <f>VLOOKUP(A591,Planilha2!$A$2:$D$5566,4,0)</f>
        <v>MA</v>
      </c>
    </row>
    <row r="592" spans="1:3" x14ac:dyDescent="0.35">
      <c r="A592">
        <v>211130</v>
      </c>
      <c r="B592" t="str">
        <f>VLOOKUP(A592,Planilha2!$A$2:$C$5566,3,0)</f>
        <v>SÃO LUÍS</v>
      </c>
      <c r="C592" t="str">
        <f>VLOOKUP(A592,Planilha2!$A$2:$D$5566,4,0)</f>
        <v>MA</v>
      </c>
    </row>
    <row r="593" spans="1:3" x14ac:dyDescent="0.35">
      <c r="A593">
        <v>210675</v>
      </c>
      <c r="B593" t="str">
        <f>VLOOKUP(A593,Planilha2!$A$2:$C$5566,3,0)</f>
        <v>MIRANDA DO NORTE</v>
      </c>
      <c r="C593" t="str">
        <f>VLOOKUP(A593,Planilha2!$A$2:$D$5566,4,0)</f>
        <v>MA</v>
      </c>
    </row>
    <row r="594" spans="1:3" x14ac:dyDescent="0.35">
      <c r="A594">
        <v>210408</v>
      </c>
      <c r="B594" t="str">
        <f>VLOOKUP(A594,Planilha2!$A$2:$C$5566,3,0)</f>
        <v>FERNANDO FALCÃO</v>
      </c>
      <c r="C594" t="str">
        <f>VLOOKUP(A594,Planilha2!$A$2:$D$5566,4,0)</f>
        <v>MA</v>
      </c>
    </row>
    <row r="595" spans="1:3" x14ac:dyDescent="0.35">
      <c r="A595">
        <v>211163</v>
      </c>
      <c r="B595" t="str">
        <f>VLOOKUP(A595,Planilha2!$A$2:$C$5566,3,0)</f>
        <v>SÃO RAIMUNDO DO DOCA BEZERRA</v>
      </c>
      <c r="C595" t="str">
        <f>VLOOKUP(A595,Planilha2!$A$2:$D$5566,4,0)</f>
        <v>MA</v>
      </c>
    </row>
    <row r="596" spans="1:3" x14ac:dyDescent="0.35">
      <c r="A596">
        <v>210130</v>
      </c>
      <c r="B596" t="str">
        <f>VLOOKUP(A596,Planilha2!$A$2:$C$5566,3,0)</f>
        <v>BACURI</v>
      </c>
      <c r="C596" t="str">
        <f>VLOOKUP(A596,Planilha2!$A$2:$D$5566,4,0)</f>
        <v>MA</v>
      </c>
    </row>
    <row r="597" spans="1:3" x14ac:dyDescent="0.35">
      <c r="A597">
        <v>211178</v>
      </c>
      <c r="B597" t="str">
        <f>VLOOKUP(A597,Planilha2!$A$2:$C$5566,3,0)</f>
        <v>SERRANO DO MARANHÃO</v>
      </c>
      <c r="C597" t="str">
        <f>VLOOKUP(A597,Planilha2!$A$2:$D$5566,4,0)</f>
        <v>MA</v>
      </c>
    </row>
    <row r="598" spans="1:3" x14ac:dyDescent="0.35">
      <c r="A598">
        <v>210560</v>
      </c>
      <c r="B598" t="str">
        <f>VLOOKUP(A598,Planilha2!$A$2:$C$5566,3,0)</f>
        <v>JOSELÂNDIA</v>
      </c>
      <c r="C598" t="str">
        <f>VLOOKUP(A598,Planilha2!$A$2:$D$5566,4,0)</f>
        <v>MA</v>
      </c>
    </row>
    <row r="599" spans="1:3" x14ac:dyDescent="0.35">
      <c r="A599">
        <v>210070</v>
      </c>
      <c r="B599" t="str">
        <f>VLOOKUP(A599,Planilha2!$A$2:$C$5566,3,0)</f>
        <v>ANAJATUBA</v>
      </c>
      <c r="C599" t="str">
        <f>VLOOKUP(A599,Planilha2!$A$2:$D$5566,4,0)</f>
        <v>MA</v>
      </c>
    </row>
    <row r="600" spans="1:3" x14ac:dyDescent="0.35">
      <c r="A600">
        <v>210005</v>
      </c>
      <c r="B600" t="str">
        <f>VLOOKUP(A600,Planilha2!$A$2:$C$5566,3,0)</f>
        <v>AÇAILÂNDIA</v>
      </c>
      <c r="C600" t="str">
        <f>VLOOKUP(A600,Planilha2!$A$2:$D$5566,4,0)</f>
        <v>MA</v>
      </c>
    </row>
    <row r="601" spans="1:3" x14ac:dyDescent="0.35">
      <c r="A601">
        <v>210542</v>
      </c>
      <c r="B601" t="str">
        <f>VLOOKUP(A601,Planilha2!$A$2:$C$5566,3,0)</f>
        <v>ITINGA DO MARANHÃO</v>
      </c>
      <c r="C601" t="str">
        <f>VLOOKUP(A601,Planilha2!$A$2:$D$5566,4,0)</f>
        <v>MA</v>
      </c>
    </row>
    <row r="602" spans="1:3" x14ac:dyDescent="0.35">
      <c r="A602">
        <v>210405</v>
      </c>
      <c r="B602" t="str">
        <f>VLOOKUP(A602,Planilha2!$A$2:$C$5566,3,0)</f>
        <v>ESTREITO</v>
      </c>
      <c r="C602" t="str">
        <f>VLOOKUP(A602,Planilha2!$A$2:$D$5566,4,0)</f>
        <v>MA</v>
      </c>
    </row>
    <row r="603" spans="1:3" x14ac:dyDescent="0.35">
      <c r="A603">
        <v>210280</v>
      </c>
      <c r="B603" t="str">
        <f>VLOOKUP(A603,Planilha2!$A$2:$C$5566,3,0)</f>
        <v>CAROLINA</v>
      </c>
      <c r="C603" t="str">
        <f>VLOOKUP(A603,Planilha2!$A$2:$D$5566,4,0)</f>
        <v>MA</v>
      </c>
    </row>
    <row r="604" spans="1:3" x14ac:dyDescent="0.35">
      <c r="A604">
        <v>210530</v>
      </c>
      <c r="B604" t="str">
        <f>VLOOKUP(A604,Planilha2!$A$2:$C$5566,3,0)</f>
        <v>IMPERATRIZ</v>
      </c>
      <c r="C604" t="str">
        <f>VLOOKUP(A604,Planilha2!$A$2:$D$5566,4,0)</f>
        <v>MA</v>
      </c>
    </row>
    <row r="605" spans="1:3" x14ac:dyDescent="0.35">
      <c r="A605">
        <v>211105</v>
      </c>
      <c r="B605" t="str">
        <f>VLOOKUP(A605,Planilha2!$A$2:$C$5566,3,0)</f>
        <v>SÃO JOÃO DO PARAÍSO</v>
      </c>
      <c r="C605" t="str">
        <f>VLOOKUP(A605,Planilha2!$A$2:$D$5566,4,0)</f>
        <v>MA</v>
      </c>
    </row>
    <row r="606" spans="1:3" x14ac:dyDescent="0.35">
      <c r="A606">
        <v>210480</v>
      </c>
      <c r="B606" t="str">
        <f>VLOOKUP(A606,Planilha2!$A$2:$C$5566,3,0)</f>
        <v>GRAJAÚ</v>
      </c>
      <c r="C606" t="str">
        <f>VLOOKUP(A606,Planilha2!$A$2:$D$5566,4,0)</f>
        <v>MA</v>
      </c>
    </row>
    <row r="607" spans="1:3" x14ac:dyDescent="0.35">
      <c r="A607">
        <v>210203</v>
      </c>
      <c r="B607" t="str">
        <f>VLOOKUP(A607,Planilha2!$A$2:$C$5566,3,0)</f>
        <v>BOM JESUS DAS SELVAS</v>
      </c>
      <c r="C607" t="str">
        <f>VLOOKUP(A607,Planilha2!$A$2:$D$5566,4,0)</f>
        <v>MA</v>
      </c>
    </row>
    <row r="608" spans="1:3" x14ac:dyDescent="0.35">
      <c r="A608">
        <v>210200</v>
      </c>
      <c r="B608" t="str">
        <f>VLOOKUP(A608,Planilha2!$A$2:$C$5566,3,0)</f>
        <v>BOM JARDIM</v>
      </c>
      <c r="C608" t="str">
        <f>VLOOKUP(A608,Planilha2!$A$2:$D$5566,4,0)</f>
        <v>MA</v>
      </c>
    </row>
    <row r="609" spans="1:3" x14ac:dyDescent="0.35">
      <c r="A609">
        <v>210232</v>
      </c>
      <c r="B609" t="str">
        <f>VLOOKUP(A609,Planilha2!$A$2:$C$5566,3,0)</f>
        <v>BURITICUPU</v>
      </c>
      <c r="C609" t="str">
        <f>VLOOKUP(A609,Planilha2!$A$2:$D$5566,4,0)</f>
        <v>MA</v>
      </c>
    </row>
    <row r="610" spans="1:3" x14ac:dyDescent="0.35">
      <c r="A610">
        <v>210760</v>
      </c>
      <c r="B610" t="str">
        <f>VLOOKUP(A610,Planilha2!$A$2:$C$5566,3,0)</f>
        <v>PALMEIRÂNDIA</v>
      </c>
      <c r="C610" t="str">
        <f>VLOOKUP(A610,Planilha2!$A$2:$D$5566,4,0)</f>
        <v>MA</v>
      </c>
    </row>
    <row r="611" spans="1:3" x14ac:dyDescent="0.35">
      <c r="A611">
        <v>210830</v>
      </c>
      <c r="B611" t="str">
        <f>VLOOKUP(A611,Planilha2!$A$2:$C$5566,3,0)</f>
        <v>PENALVA</v>
      </c>
      <c r="C611" t="str">
        <f>VLOOKUP(A611,Planilha2!$A$2:$D$5566,4,0)</f>
        <v>MA</v>
      </c>
    </row>
    <row r="612" spans="1:3" x14ac:dyDescent="0.35">
      <c r="A612">
        <v>211220</v>
      </c>
      <c r="B612" t="str">
        <f>VLOOKUP(A612,Planilha2!$A$2:$C$5566,3,0)</f>
        <v>TIMON</v>
      </c>
      <c r="C612" t="str">
        <f>VLOOKUP(A612,Planilha2!$A$2:$D$5566,4,0)</f>
        <v>MA</v>
      </c>
    </row>
    <row r="613" spans="1:3" x14ac:dyDescent="0.35">
      <c r="A613">
        <v>210330</v>
      </c>
      <c r="B613" t="str">
        <f>VLOOKUP(A613,Planilha2!$A$2:$C$5566,3,0)</f>
        <v>CODÓ</v>
      </c>
      <c r="C613" t="str">
        <f>VLOOKUP(A613,Planilha2!$A$2:$D$5566,4,0)</f>
        <v>MA</v>
      </c>
    </row>
    <row r="614" spans="1:3" x14ac:dyDescent="0.35">
      <c r="A614">
        <v>210340</v>
      </c>
      <c r="B614" t="str">
        <f>VLOOKUP(A614,Planilha2!$A$2:$C$5566,3,0)</f>
        <v>COELHO NETO</v>
      </c>
      <c r="C614" t="str">
        <f>VLOOKUP(A614,Planilha2!$A$2:$D$5566,4,0)</f>
        <v>MA</v>
      </c>
    </row>
    <row r="615" spans="1:3" x14ac:dyDescent="0.35">
      <c r="A615">
        <v>210300</v>
      </c>
      <c r="B615" t="str">
        <f>VLOOKUP(A615,Planilha2!$A$2:$C$5566,3,0)</f>
        <v>CAXIAS</v>
      </c>
      <c r="C615" t="str">
        <f>VLOOKUP(A615,Planilha2!$A$2:$D$5566,4,0)</f>
        <v>MA</v>
      </c>
    </row>
    <row r="616" spans="1:3" x14ac:dyDescent="0.35">
      <c r="A616">
        <v>210400</v>
      </c>
      <c r="B616" t="str">
        <f>VLOOKUP(A616,Planilha2!$A$2:$C$5566,3,0)</f>
        <v>ESPERANTINÓPOLIS</v>
      </c>
      <c r="C616" t="str">
        <f>VLOOKUP(A616,Planilha2!$A$2:$D$5566,4,0)</f>
        <v>MA</v>
      </c>
    </row>
    <row r="617" spans="1:3" x14ac:dyDescent="0.35">
      <c r="A617">
        <v>210820</v>
      </c>
      <c r="B617" t="str">
        <f>VLOOKUP(A617,Planilha2!$A$2:$C$5566,3,0)</f>
        <v>PEDREIRAS</v>
      </c>
      <c r="C617" t="str">
        <f>VLOOKUP(A617,Planilha2!$A$2:$D$5566,4,0)</f>
        <v>MA</v>
      </c>
    </row>
    <row r="618" spans="1:3" x14ac:dyDescent="0.35">
      <c r="A618">
        <v>211230</v>
      </c>
      <c r="B618" t="str">
        <f>VLOOKUP(A618,Planilha2!$A$2:$C$5566,3,0)</f>
        <v>TUNTUM</v>
      </c>
      <c r="C618" t="str">
        <f>VLOOKUP(A618,Planilha2!$A$2:$D$5566,4,0)</f>
        <v>MA</v>
      </c>
    </row>
    <row r="619" spans="1:3" x14ac:dyDescent="0.35">
      <c r="A619">
        <v>210540</v>
      </c>
      <c r="B619" t="str">
        <f>VLOOKUP(A619,Planilha2!$A$2:$C$5566,3,0)</f>
        <v>ITAPECURU MIRIM</v>
      </c>
      <c r="C619" t="str">
        <f>VLOOKUP(A619,Planilha2!$A$2:$D$5566,4,0)</f>
        <v>MA</v>
      </c>
    </row>
    <row r="620" spans="1:3" x14ac:dyDescent="0.35">
      <c r="A620">
        <v>210370</v>
      </c>
      <c r="B620" t="str">
        <f>VLOOKUP(A620,Planilha2!$A$2:$C$5566,3,0)</f>
        <v>CURURUPU</v>
      </c>
      <c r="C620" t="str">
        <f>VLOOKUP(A620,Planilha2!$A$2:$D$5566,4,0)</f>
        <v>MA</v>
      </c>
    </row>
    <row r="621" spans="1:3" x14ac:dyDescent="0.35">
      <c r="A621">
        <v>210945</v>
      </c>
      <c r="B621" t="str">
        <f>VLOOKUP(A621,Planilha2!$A$2:$C$5566,3,0)</f>
        <v>RAPOSA</v>
      </c>
      <c r="C621" t="str">
        <f>VLOOKUP(A621,Planilha2!$A$2:$D$5566,4,0)</f>
        <v>MA</v>
      </c>
    </row>
    <row r="622" spans="1:3" x14ac:dyDescent="0.35">
      <c r="A622">
        <v>210750</v>
      </c>
      <c r="B622" t="str">
        <f>VLOOKUP(A622,Planilha2!$A$2:$C$5566,3,0)</f>
        <v>PAÇO DO LUMIAR</v>
      </c>
      <c r="C622" t="str">
        <f>VLOOKUP(A622,Planilha2!$A$2:$D$5566,4,0)</f>
        <v>MA</v>
      </c>
    </row>
    <row r="623" spans="1:3" x14ac:dyDescent="0.35">
      <c r="A623">
        <v>211250</v>
      </c>
      <c r="B623" t="str">
        <f>VLOOKUP(A623,Planilha2!$A$2:$C$5566,3,0)</f>
        <v>TUTÓIA</v>
      </c>
      <c r="C623" t="str">
        <f>VLOOKUP(A623,Planilha2!$A$2:$D$5566,4,0)</f>
        <v>MA</v>
      </c>
    </row>
    <row r="624" spans="1:3" x14ac:dyDescent="0.35">
      <c r="A624">
        <v>210320</v>
      </c>
      <c r="B624" t="str">
        <f>VLOOKUP(A624,Planilha2!$A$2:$C$5566,3,0)</f>
        <v>CHAPADINHA</v>
      </c>
      <c r="C624" t="str">
        <f>VLOOKUP(A624,Planilha2!$A$2:$D$5566,4,0)</f>
        <v>MA</v>
      </c>
    </row>
    <row r="625" spans="1:3" x14ac:dyDescent="0.35">
      <c r="A625">
        <v>210160</v>
      </c>
      <c r="B625" t="str">
        <f>VLOOKUP(A625,Planilha2!$A$2:$C$5566,3,0)</f>
        <v>BARRA DO CORDA</v>
      </c>
      <c r="C625" t="str">
        <f>VLOOKUP(A625,Planilha2!$A$2:$D$5566,4,0)</f>
        <v>MA</v>
      </c>
    </row>
    <row r="626" spans="1:3" x14ac:dyDescent="0.35">
      <c r="A626">
        <v>210050</v>
      </c>
      <c r="B626" t="str">
        <f>VLOOKUP(A626,Planilha2!$A$2:$C$5566,3,0)</f>
        <v>ALTO PARNAÍBA</v>
      </c>
      <c r="C626" t="str">
        <f>VLOOKUP(A626,Planilha2!$A$2:$D$5566,4,0)</f>
        <v>MA</v>
      </c>
    </row>
    <row r="627" spans="1:3" x14ac:dyDescent="0.35">
      <c r="A627">
        <v>210725</v>
      </c>
      <c r="B627" t="str">
        <f>VLOOKUP(A627,Planilha2!$A$2:$C$5566,3,0)</f>
        <v>NOVA COLINAS</v>
      </c>
      <c r="C627" t="str">
        <f>VLOOKUP(A627,Planilha2!$A$2:$D$5566,4,0)</f>
        <v>MA</v>
      </c>
    </row>
    <row r="628" spans="1:3" x14ac:dyDescent="0.35">
      <c r="A628">
        <v>210190</v>
      </c>
      <c r="B628" t="str">
        <f>VLOOKUP(A628,Planilha2!$A$2:$C$5566,3,0)</f>
        <v>BEQUIMÃO</v>
      </c>
      <c r="C628" t="str">
        <f>VLOOKUP(A628,Planilha2!$A$2:$D$5566,4,0)</f>
        <v>MA</v>
      </c>
    </row>
    <row r="629" spans="1:3" x14ac:dyDescent="0.35">
      <c r="A629">
        <v>210470</v>
      </c>
      <c r="B629" t="str">
        <f>VLOOKUP(A629,Planilha2!$A$2:$C$5566,3,0)</f>
        <v>GRAÇA ARANHA</v>
      </c>
      <c r="C629" t="str">
        <f>VLOOKUP(A629,Planilha2!$A$2:$D$5566,4,0)</f>
        <v>MA</v>
      </c>
    </row>
    <row r="630" spans="1:3" x14ac:dyDescent="0.35">
      <c r="A630">
        <v>211174</v>
      </c>
      <c r="B630" t="str">
        <f>VLOOKUP(A630,Planilha2!$A$2:$C$5566,3,0)</f>
        <v>SENADOR ALEXANDRE COSTA</v>
      </c>
      <c r="C630" t="str">
        <f>VLOOKUP(A630,Planilha2!$A$2:$D$5566,4,0)</f>
        <v>MA</v>
      </c>
    </row>
    <row r="631" spans="1:3" x14ac:dyDescent="0.35">
      <c r="A631">
        <v>210910</v>
      </c>
      <c r="B631" t="str">
        <f>VLOOKUP(A631,Planilha2!$A$2:$C$5566,3,0)</f>
        <v>PRESIDENTE DUTRA</v>
      </c>
      <c r="C631" t="str">
        <f>VLOOKUP(A631,Planilha2!$A$2:$D$5566,4,0)</f>
        <v>MA</v>
      </c>
    </row>
    <row r="632" spans="1:3" x14ac:dyDescent="0.35">
      <c r="A632">
        <v>211290</v>
      </c>
      <c r="B632" t="str">
        <f>VLOOKUP(A632,Planilha2!$A$2:$C$5566,3,0)</f>
        <v>VITÓRIA DO MEARIM</v>
      </c>
      <c r="C632" t="str">
        <f>VLOOKUP(A632,Planilha2!$A$2:$D$5566,4,0)</f>
        <v>MA</v>
      </c>
    </row>
    <row r="633" spans="1:3" x14ac:dyDescent="0.35">
      <c r="A633">
        <v>210120</v>
      </c>
      <c r="B633" t="str">
        <f>VLOOKUP(A633,Planilha2!$A$2:$C$5566,3,0)</f>
        <v>BACABAL</v>
      </c>
      <c r="C633" t="str">
        <f>VLOOKUP(A633,Planilha2!$A$2:$D$5566,4,0)</f>
        <v>MA</v>
      </c>
    </row>
    <row r="634" spans="1:3" x14ac:dyDescent="0.35">
      <c r="A634">
        <v>210207</v>
      </c>
      <c r="B634" t="str">
        <f>VLOOKUP(A634,Planilha2!$A$2:$C$5566,3,0)</f>
        <v>BOM LUGAR</v>
      </c>
      <c r="C634" t="str">
        <f>VLOOKUP(A634,Planilha2!$A$2:$D$5566,4,0)</f>
        <v>MA</v>
      </c>
    </row>
    <row r="635" spans="1:3" x14ac:dyDescent="0.35">
      <c r="A635">
        <v>210990</v>
      </c>
      <c r="B635" t="str">
        <f>VLOOKUP(A635,Planilha2!$A$2:$C$5566,3,0)</f>
        <v>SANTA INÊS</v>
      </c>
      <c r="C635" t="str">
        <f>VLOOKUP(A635,Planilha2!$A$2:$D$5566,4,0)</f>
        <v>MA</v>
      </c>
    </row>
    <row r="636" spans="1:3" x14ac:dyDescent="0.35">
      <c r="A636">
        <v>211000</v>
      </c>
      <c r="B636" t="str">
        <f>VLOOKUP(A636,Planilha2!$A$2:$C$5566,3,0)</f>
        <v>SANTA LUZIA</v>
      </c>
      <c r="C636" t="str">
        <f>VLOOKUP(A636,Planilha2!$A$2:$D$5566,4,0)</f>
        <v>MA</v>
      </c>
    </row>
    <row r="637" spans="1:3" x14ac:dyDescent="0.35">
      <c r="A637">
        <v>210930</v>
      </c>
      <c r="B637" t="str">
        <f>VLOOKUP(A637,Planilha2!$A$2:$C$5566,3,0)</f>
        <v>PRESIDENTE VARGAS</v>
      </c>
      <c r="C637" t="str">
        <f>VLOOKUP(A637,Planilha2!$A$2:$D$5566,4,0)</f>
        <v>MA</v>
      </c>
    </row>
    <row r="638" spans="1:3" x14ac:dyDescent="0.35">
      <c r="A638">
        <v>210315</v>
      </c>
      <c r="B638" t="str">
        <f>VLOOKUP(A638,Planilha2!$A$2:$C$5566,3,0)</f>
        <v>CENTRO DO GUILHERME</v>
      </c>
      <c r="C638" t="str">
        <f>VLOOKUP(A638,Planilha2!$A$2:$D$5566,4,0)</f>
        <v>MA</v>
      </c>
    </row>
    <row r="639" spans="1:3" x14ac:dyDescent="0.35">
      <c r="A639">
        <v>210020</v>
      </c>
      <c r="B639" t="str">
        <f>VLOOKUP(A639,Planilha2!$A$2:$C$5566,3,0)</f>
        <v>ALCÂNTARA</v>
      </c>
      <c r="C639" t="str">
        <f>VLOOKUP(A639,Planilha2!$A$2:$D$5566,4,0)</f>
        <v>MA</v>
      </c>
    </row>
    <row r="640" spans="1:3" x14ac:dyDescent="0.35">
      <c r="A640">
        <v>211020</v>
      </c>
      <c r="B640" t="str">
        <f>VLOOKUP(A640,Planilha2!$A$2:$C$5566,3,0)</f>
        <v>SANTA RITA</v>
      </c>
      <c r="C640" t="str">
        <f>VLOOKUP(A640,Planilha2!$A$2:$D$5566,4,0)</f>
        <v>MA</v>
      </c>
    </row>
    <row r="641" spans="1:3" x14ac:dyDescent="0.35">
      <c r="A641">
        <v>210960</v>
      </c>
      <c r="B641" t="str">
        <f>VLOOKUP(A641,Planilha2!$A$2:$C$5566,3,0)</f>
        <v>ROSÁRIO</v>
      </c>
      <c r="C641" t="str">
        <f>VLOOKUP(A641,Planilha2!$A$2:$D$5566,4,0)</f>
        <v>MA</v>
      </c>
    </row>
    <row r="642" spans="1:3" x14ac:dyDescent="0.35">
      <c r="A642">
        <v>210360</v>
      </c>
      <c r="B642" t="str">
        <f>VLOOKUP(A642,Planilha2!$A$2:$C$5566,3,0)</f>
        <v>COROATÁ</v>
      </c>
      <c r="C642" t="str">
        <f>VLOOKUP(A642,Planilha2!$A$2:$D$5566,4,0)</f>
        <v>MA</v>
      </c>
    </row>
    <row r="643" spans="1:3" x14ac:dyDescent="0.35">
      <c r="A643">
        <v>210860</v>
      </c>
      <c r="B643" t="str">
        <f>VLOOKUP(A643,Planilha2!$A$2:$C$5566,3,0)</f>
        <v>PINHEIRO</v>
      </c>
      <c r="C643" t="str">
        <f>VLOOKUP(A643,Planilha2!$A$2:$D$5566,4,0)</f>
        <v>MA</v>
      </c>
    </row>
    <row r="644" spans="1:3" x14ac:dyDescent="0.35">
      <c r="A644">
        <v>210083</v>
      </c>
      <c r="B644" t="str">
        <f>VLOOKUP(A644,Planilha2!$A$2:$C$5566,3,0)</f>
        <v>APICUM-AÇU</v>
      </c>
      <c r="C644" t="str">
        <f>VLOOKUP(A644,Planilha2!$A$2:$D$5566,4,0)</f>
        <v>MA</v>
      </c>
    </row>
    <row r="645" spans="1:3" x14ac:dyDescent="0.35">
      <c r="A645">
        <v>210850</v>
      </c>
      <c r="B645" t="str">
        <f>VLOOKUP(A645,Planilha2!$A$2:$C$5566,3,0)</f>
        <v>PINDARÉ-MIRIM</v>
      </c>
      <c r="C645" t="str">
        <f>VLOOKUP(A645,Planilha2!$A$2:$D$5566,4,0)</f>
        <v>MA</v>
      </c>
    </row>
    <row r="646" spans="1:3" x14ac:dyDescent="0.35">
      <c r="A646">
        <v>210745</v>
      </c>
      <c r="B646" t="str">
        <f>VLOOKUP(A646,Planilha2!$A$2:$C$5566,3,0)</f>
        <v>OLINDA NOVA DO MARANHÃO</v>
      </c>
      <c r="C646" t="str">
        <f>VLOOKUP(A646,Planilha2!$A$2:$D$5566,4,0)</f>
        <v>MA</v>
      </c>
    </row>
    <row r="647" spans="1:3" x14ac:dyDescent="0.35">
      <c r="A647">
        <v>220010</v>
      </c>
      <c r="B647" t="str">
        <f>VLOOKUP(A647,Planilha2!$A$2:$C$5566,3,0)</f>
        <v>AGRICOLÂNDIA</v>
      </c>
      <c r="C647" t="str">
        <f>VLOOKUP(A647,Planilha2!$A$2:$D$5566,4,0)</f>
        <v>PI</v>
      </c>
    </row>
    <row r="648" spans="1:3" x14ac:dyDescent="0.35">
      <c r="A648">
        <v>220030</v>
      </c>
      <c r="B648" t="str">
        <f>VLOOKUP(A648,Planilha2!$A$2:$C$5566,3,0)</f>
        <v>ALTO LONGÁ</v>
      </c>
      <c r="C648" t="str">
        <f>VLOOKUP(A648,Planilha2!$A$2:$D$5566,4,0)</f>
        <v>PI</v>
      </c>
    </row>
    <row r="649" spans="1:3" x14ac:dyDescent="0.35">
      <c r="A649">
        <v>220270</v>
      </c>
      <c r="B649" t="str">
        <f>VLOOKUP(A649,Planilha2!$A$2:$C$5566,3,0)</f>
        <v>COCAL</v>
      </c>
      <c r="C649" t="str">
        <f>VLOOKUP(A649,Planilha2!$A$2:$D$5566,4,0)</f>
        <v>PI</v>
      </c>
    </row>
    <row r="650" spans="1:3" x14ac:dyDescent="0.35">
      <c r="A650">
        <v>220557</v>
      </c>
      <c r="B650" t="str">
        <f>VLOOKUP(A650,Planilha2!$A$2:$C$5566,3,0)</f>
        <v>LAGOA DE SÃO FRANCISCO</v>
      </c>
      <c r="C650" t="str">
        <f>VLOOKUP(A650,Planilha2!$A$2:$D$5566,4,0)</f>
        <v>PI</v>
      </c>
    </row>
    <row r="651" spans="1:3" x14ac:dyDescent="0.35">
      <c r="A651">
        <v>220580</v>
      </c>
      <c r="B651" t="str">
        <f>VLOOKUP(A651,Planilha2!$A$2:$C$5566,3,0)</f>
        <v>LUZILÂNDIA</v>
      </c>
      <c r="C651" t="str">
        <f>VLOOKUP(A651,Planilha2!$A$2:$D$5566,4,0)</f>
        <v>PI</v>
      </c>
    </row>
    <row r="652" spans="1:3" x14ac:dyDescent="0.35">
      <c r="A652">
        <v>220635</v>
      </c>
      <c r="B652" t="str">
        <f>VLOOKUP(A652,Planilha2!$A$2:$C$5566,3,0)</f>
        <v>MILTON BRANDÃO</v>
      </c>
      <c r="C652" t="str">
        <f>VLOOKUP(A652,Planilha2!$A$2:$D$5566,4,0)</f>
        <v>PI</v>
      </c>
    </row>
    <row r="653" spans="1:3" x14ac:dyDescent="0.35">
      <c r="A653">
        <v>220220</v>
      </c>
      <c r="B653" t="str">
        <f>VLOOKUP(A653,Planilha2!$A$2:$C$5566,3,0)</f>
        <v>CAMPO MAIOR</v>
      </c>
      <c r="C653" t="str">
        <f>VLOOKUP(A653,Planilha2!$A$2:$D$5566,4,0)</f>
        <v>PI</v>
      </c>
    </row>
    <row r="654" spans="1:3" x14ac:dyDescent="0.35">
      <c r="A654">
        <v>220120</v>
      </c>
      <c r="B654" t="str">
        <f>VLOOKUP(A654,Planilha2!$A$2:$C$5566,3,0)</f>
        <v>BARRAS</v>
      </c>
      <c r="C654" t="str">
        <f>VLOOKUP(A654,Planilha2!$A$2:$D$5566,4,0)</f>
        <v>PI</v>
      </c>
    </row>
    <row r="655" spans="1:3" x14ac:dyDescent="0.35">
      <c r="A655">
        <v>240200</v>
      </c>
      <c r="B655" t="str">
        <f>VLOOKUP(A655,Planilha2!$A$2:$C$5566,3,0)</f>
        <v>CAICÓ</v>
      </c>
      <c r="C655" t="str">
        <f>VLOOKUP(A655,Planilha2!$A$2:$D$5566,4,0)</f>
        <v>RN</v>
      </c>
    </row>
    <row r="656" spans="1:3" x14ac:dyDescent="0.35">
      <c r="A656">
        <v>220830</v>
      </c>
      <c r="B656" t="str">
        <f>VLOOKUP(A656,Planilha2!$A$2:$C$5566,3,0)</f>
        <v>PIRACURUCA</v>
      </c>
      <c r="C656" t="str">
        <f>VLOOKUP(A656,Planilha2!$A$2:$D$5566,4,0)</f>
        <v>PI</v>
      </c>
    </row>
    <row r="657" spans="1:3" x14ac:dyDescent="0.35">
      <c r="A657">
        <v>210780</v>
      </c>
      <c r="B657" t="str">
        <f>VLOOKUP(A657,Planilha2!$A$2:$C$5566,3,0)</f>
        <v>PARNARAMA</v>
      </c>
      <c r="C657" t="str">
        <f>VLOOKUP(A657,Planilha2!$A$2:$D$5566,4,0)</f>
        <v>MA</v>
      </c>
    </row>
    <row r="658" spans="1:3" x14ac:dyDescent="0.35">
      <c r="A658">
        <v>220370</v>
      </c>
      <c r="B658" t="str">
        <f>VLOOKUP(A658,Planilha2!$A$2:$C$5566,3,0)</f>
        <v>ESPERANTINA</v>
      </c>
      <c r="C658" t="str">
        <f>VLOOKUP(A658,Planilha2!$A$2:$D$5566,4,0)</f>
        <v>PI</v>
      </c>
    </row>
    <row r="659" spans="1:3" x14ac:dyDescent="0.35">
      <c r="A659">
        <v>221039</v>
      </c>
      <c r="B659" t="str">
        <f>VLOOKUP(A659,Planilha2!$A$2:$C$5566,3,0)</f>
        <v>SÃO MIGUEL DO FIDALGO</v>
      </c>
      <c r="C659" t="str">
        <f>VLOOKUP(A659,Planilha2!$A$2:$D$5566,4,0)</f>
        <v>PI</v>
      </c>
    </row>
    <row r="660" spans="1:3" x14ac:dyDescent="0.35">
      <c r="A660">
        <v>220250</v>
      </c>
      <c r="B660" t="str">
        <f>VLOOKUP(A660,Planilha2!$A$2:$C$5566,3,0)</f>
        <v>CARACOL</v>
      </c>
      <c r="C660" t="str">
        <f>VLOOKUP(A660,Planilha2!$A$2:$D$5566,4,0)</f>
        <v>PI</v>
      </c>
    </row>
    <row r="661" spans="1:3" x14ac:dyDescent="0.35">
      <c r="A661">
        <v>221020</v>
      </c>
      <c r="B661" t="str">
        <f>VLOOKUP(A661,Planilha2!$A$2:$C$5566,3,0)</f>
        <v>SÃO JOSÉ DO PIAUÍ</v>
      </c>
      <c r="C661" t="str">
        <f>VLOOKUP(A661,Planilha2!$A$2:$D$5566,4,0)</f>
        <v>PI</v>
      </c>
    </row>
    <row r="662" spans="1:3" x14ac:dyDescent="0.35">
      <c r="A662">
        <v>220990</v>
      </c>
      <c r="B662" t="str">
        <f>VLOOKUP(A662,Planilha2!$A$2:$C$5566,3,0)</f>
        <v>SÃO JOÃO DA SERRA</v>
      </c>
      <c r="C662" t="str">
        <f>VLOOKUP(A662,Planilha2!$A$2:$D$5566,4,0)</f>
        <v>PI</v>
      </c>
    </row>
    <row r="663" spans="1:3" x14ac:dyDescent="0.35">
      <c r="A663">
        <v>220550</v>
      </c>
      <c r="B663" t="str">
        <f>VLOOKUP(A663,Planilha2!$A$2:$C$5566,3,0)</f>
        <v>JOSÉ DE FREITAS</v>
      </c>
      <c r="C663" t="str">
        <f>VLOOKUP(A663,Planilha2!$A$2:$D$5566,4,0)</f>
        <v>PI</v>
      </c>
    </row>
    <row r="664" spans="1:3" x14ac:dyDescent="0.35">
      <c r="A664">
        <v>220340</v>
      </c>
      <c r="B664" t="str">
        <f>VLOOKUP(A664,Planilha2!$A$2:$C$5566,3,0)</f>
        <v>DOM EXPEDITO LOPES</v>
      </c>
      <c r="C664" t="str">
        <f>VLOOKUP(A664,Planilha2!$A$2:$D$5566,4,0)</f>
        <v>PI</v>
      </c>
    </row>
    <row r="665" spans="1:3" x14ac:dyDescent="0.35">
      <c r="A665">
        <v>220820</v>
      </c>
      <c r="B665" t="str">
        <f>VLOOKUP(A665,Planilha2!$A$2:$C$5566,3,0)</f>
        <v>PIO IX</v>
      </c>
      <c r="C665" t="str">
        <f>VLOOKUP(A665,Planilha2!$A$2:$D$5566,4,0)</f>
        <v>PI</v>
      </c>
    </row>
    <row r="666" spans="1:3" x14ac:dyDescent="0.35">
      <c r="A666">
        <v>221150</v>
      </c>
      <c r="B666" t="str">
        <f>VLOOKUP(A666,Planilha2!$A$2:$C$5566,3,0)</f>
        <v>VERA MENDES</v>
      </c>
      <c r="C666" t="str">
        <f>VLOOKUP(A666,Planilha2!$A$2:$D$5566,4,0)</f>
        <v>PI</v>
      </c>
    </row>
    <row r="667" spans="1:3" x14ac:dyDescent="0.35">
      <c r="A667">
        <v>220327</v>
      </c>
      <c r="B667" t="str">
        <f>VLOOKUP(A667,Planilha2!$A$2:$C$5566,3,0)</f>
        <v>CURRAL NOVO DO PIAUÍ</v>
      </c>
      <c r="C667" t="str">
        <f>VLOOKUP(A667,Planilha2!$A$2:$D$5566,4,0)</f>
        <v>PI</v>
      </c>
    </row>
    <row r="668" spans="1:3" x14ac:dyDescent="0.35">
      <c r="A668">
        <v>220117</v>
      </c>
      <c r="B668" t="str">
        <f>VLOOKUP(A668,Planilha2!$A$2:$C$5566,3,0)</f>
        <v>BARRA D`ALCÂNTARA</v>
      </c>
      <c r="C668" t="str">
        <f>VLOOKUP(A668,Planilha2!$A$2:$D$5566,4,0)</f>
        <v>PI</v>
      </c>
    </row>
    <row r="669" spans="1:3" x14ac:dyDescent="0.35">
      <c r="A669">
        <v>220180</v>
      </c>
      <c r="B669" t="str">
        <f>VLOOKUP(A669,Planilha2!$A$2:$C$5566,3,0)</f>
        <v>BOCAINA</v>
      </c>
      <c r="C669" t="str">
        <f>VLOOKUP(A669,Planilha2!$A$2:$D$5566,4,0)</f>
        <v>PI</v>
      </c>
    </row>
    <row r="670" spans="1:3" x14ac:dyDescent="0.35">
      <c r="A670">
        <v>220800</v>
      </c>
      <c r="B670" t="str">
        <f>VLOOKUP(A670,Planilha2!$A$2:$C$5566,3,0)</f>
        <v>PICOS</v>
      </c>
      <c r="C670" t="str">
        <f>VLOOKUP(A670,Planilha2!$A$2:$D$5566,4,0)</f>
        <v>PI</v>
      </c>
    </row>
    <row r="671" spans="1:3" x14ac:dyDescent="0.35">
      <c r="A671">
        <v>220194</v>
      </c>
      <c r="B671" t="str">
        <f>VLOOKUP(A671,Planilha2!$A$2:$C$5566,3,0)</f>
        <v>BOQUEIRÃO DO PIAUÍ</v>
      </c>
      <c r="C671" t="str">
        <f>VLOOKUP(A671,Planilha2!$A$2:$D$5566,4,0)</f>
        <v>PI</v>
      </c>
    </row>
    <row r="672" spans="1:3" x14ac:dyDescent="0.35">
      <c r="A672">
        <v>230030</v>
      </c>
      <c r="B672" t="str">
        <f>VLOOKUP(A672,Planilha2!$A$2:$C$5566,3,0)</f>
        <v>ACOPIARA</v>
      </c>
      <c r="C672" t="str">
        <f>VLOOKUP(A672,Planilha2!$A$2:$D$5566,4,0)</f>
        <v>CE</v>
      </c>
    </row>
    <row r="673" spans="1:3" x14ac:dyDescent="0.35">
      <c r="A673">
        <v>230550</v>
      </c>
      <c r="B673" t="str">
        <f>VLOOKUP(A673,Planilha2!$A$2:$C$5566,3,0)</f>
        <v>IGUATU</v>
      </c>
      <c r="C673" t="str">
        <f>VLOOKUP(A673,Planilha2!$A$2:$D$5566,4,0)</f>
        <v>CE</v>
      </c>
    </row>
    <row r="674" spans="1:3" x14ac:dyDescent="0.35">
      <c r="A674">
        <v>231150</v>
      </c>
      <c r="B674" t="str">
        <f>VLOOKUP(A674,Planilha2!$A$2:$C$5566,3,0)</f>
        <v>QUIXERÉ</v>
      </c>
      <c r="C674" t="str">
        <f>VLOOKUP(A674,Planilha2!$A$2:$D$5566,4,0)</f>
        <v>CE</v>
      </c>
    </row>
    <row r="675" spans="1:3" x14ac:dyDescent="0.35">
      <c r="A675">
        <v>230440</v>
      </c>
      <c r="B675" t="str">
        <f>VLOOKUP(A675,Planilha2!$A$2:$C$5566,3,0)</f>
        <v>FORTALEZA</v>
      </c>
      <c r="C675" t="str">
        <f>VLOOKUP(A675,Planilha2!$A$2:$D$5566,4,0)</f>
        <v>CE</v>
      </c>
    </row>
    <row r="676" spans="1:3" x14ac:dyDescent="0.35">
      <c r="A676">
        <v>230370</v>
      </c>
      <c r="B676" t="str">
        <f>VLOOKUP(A676,Planilha2!$A$2:$C$5566,3,0)</f>
        <v>CAUCAIA</v>
      </c>
      <c r="C676" t="str">
        <f>VLOOKUP(A676,Planilha2!$A$2:$D$5566,4,0)</f>
        <v>CE</v>
      </c>
    </row>
    <row r="677" spans="1:3" x14ac:dyDescent="0.35">
      <c r="A677">
        <v>231000</v>
      </c>
      <c r="B677" t="str">
        <f>VLOOKUP(A677,Planilha2!$A$2:$C$5566,3,0)</f>
        <v>PALHANO</v>
      </c>
      <c r="C677" t="str">
        <f>VLOOKUP(A677,Planilha2!$A$2:$D$5566,4,0)</f>
        <v>CE</v>
      </c>
    </row>
    <row r="678" spans="1:3" x14ac:dyDescent="0.35">
      <c r="A678">
        <v>230690</v>
      </c>
      <c r="B678" t="str">
        <f>VLOOKUP(A678,Planilha2!$A$2:$C$5566,3,0)</f>
        <v>JAGUARIBE</v>
      </c>
      <c r="C678" t="str">
        <f>VLOOKUP(A678,Planilha2!$A$2:$D$5566,4,0)</f>
        <v>CE</v>
      </c>
    </row>
    <row r="679" spans="1:3" x14ac:dyDescent="0.35">
      <c r="A679">
        <v>230290</v>
      </c>
      <c r="B679" t="str">
        <f>VLOOKUP(A679,Planilha2!$A$2:$C$5566,3,0)</f>
        <v>CAPISTRANO</v>
      </c>
      <c r="C679" t="str">
        <f>VLOOKUP(A679,Planilha2!$A$2:$D$5566,4,0)</f>
        <v>CE</v>
      </c>
    </row>
    <row r="680" spans="1:3" x14ac:dyDescent="0.35">
      <c r="A680">
        <v>231335</v>
      </c>
      <c r="B680" t="str">
        <f>VLOOKUP(A680,Planilha2!$A$2:$C$5566,3,0)</f>
        <v>TEJUÇUOCA</v>
      </c>
      <c r="C680" t="str">
        <f>VLOOKUP(A680,Planilha2!$A$2:$D$5566,4,0)</f>
        <v>CE</v>
      </c>
    </row>
    <row r="681" spans="1:3" x14ac:dyDescent="0.35">
      <c r="A681">
        <v>231070</v>
      </c>
      <c r="B681" t="str">
        <f>VLOOKUP(A681,Planilha2!$A$2:$C$5566,3,0)</f>
        <v>PENTECOSTE</v>
      </c>
      <c r="C681" t="str">
        <f>VLOOKUP(A681,Planilha2!$A$2:$D$5566,4,0)</f>
        <v>CE</v>
      </c>
    </row>
    <row r="682" spans="1:3" x14ac:dyDescent="0.35">
      <c r="A682">
        <v>230280</v>
      </c>
      <c r="B682" t="str">
        <f>VLOOKUP(A682,Planilha2!$A$2:$C$5566,3,0)</f>
        <v>CANINDÉ</v>
      </c>
      <c r="C682" t="str">
        <f>VLOOKUP(A682,Planilha2!$A$2:$D$5566,4,0)</f>
        <v>CE</v>
      </c>
    </row>
    <row r="683" spans="1:3" x14ac:dyDescent="0.35">
      <c r="A683">
        <v>230240</v>
      </c>
      <c r="B683" t="str">
        <f>VLOOKUP(A683,Planilha2!$A$2:$C$5566,3,0)</f>
        <v>BOA VIAGEM</v>
      </c>
      <c r="C683" t="str">
        <f>VLOOKUP(A683,Planilha2!$A$2:$D$5566,4,0)</f>
        <v>CE</v>
      </c>
    </row>
    <row r="684" spans="1:3" x14ac:dyDescent="0.35">
      <c r="A684">
        <v>230630</v>
      </c>
      <c r="B684" t="str">
        <f>VLOOKUP(A684,Planilha2!$A$2:$C$5566,3,0)</f>
        <v>ITAPAGÉ</v>
      </c>
      <c r="C684" t="str">
        <f>VLOOKUP(A684,Planilha2!$A$2:$D$5566,4,0)</f>
        <v>CE</v>
      </c>
    </row>
    <row r="685" spans="1:3" x14ac:dyDescent="0.35">
      <c r="A685">
        <v>230526</v>
      </c>
      <c r="B685" t="str">
        <f>VLOOKUP(A685,Planilha2!$A$2:$C$5566,3,0)</f>
        <v>IBARETAMA</v>
      </c>
      <c r="C685" t="str">
        <f>VLOOKUP(A685,Planilha2!$A$2:$D$5566,4,0)</f>
        <v>CE</v>
      </c>
    </row>
    <row r="686" spans="1:3" x14ac:dyDescent="0.35">
      <c r="A686">
        <v>230320</v>
      </c>
      <c r="B686" t="str">
        <f>VLOOKUP(A686,Planilha2!$A$2:$C$5566,3,0)</f>
        <v>CARIRIAÇU</v>
      </c>
      <c r="C686" t="str">
        <f>VLOOKUP(A686,Planilha2!$A$2:$D$5566,4,0)</f>
        <v>CE</v>
      </c>
    </row>
    <row r="687" spans="1:3" x14ac:dyDescent="0.35">
      <c r="A687">
        <v>230730</v>
      </c>
      <c r="B687" t="str">
        <f>VLOOKUP(A687,Planilha2!$A$2:$C$5566,3,0)</f>
        <v>JUAZEIRO DO NORTE</v>
      </c>
      <c r="C687" t="str">
        <f>VLOOKUP(A687,Planilha2!$A$2:$D$5566,4,0)</f>
        <v>CE</v>
      </c>
    </row>
    <row r="688" spans="1:3" x14ac:dyDescent="0.35">
      <c r="A688">
        <v>231210</v>
      </c>
      <c r="B688" t="str">
        <f>VLOOKUP(A688,Planilha2!$A$2:$C$5566,3,0)</f>
        <v>SANTANA DO CARIRI</v>
      </c>
      <c r="C688" t="str">
        <f>VLOOKUP(A688,Planilha2!$A$2:$D$5566,4,0)</f>
        <v>CE</v>
      </c>
    </row>
    <row r="689" spans="1:3" x14ac:dyDescent="0.35">
      <c r="A689">
        <v>230330</v>
      </c>
      <c r="B689" t="str">
        <f>VLOOKUP(A689,Planilha2!$A$2:$C$5566,3,0)</f>
        <v>CARIÚS</v>
      </c>
      <c r="C689" t="str">
        <f>VLOOKUP(A689,Planilha2!$A$2:$D$5566,4,0)</f>
        <v>CE</v>
      </c>
    </row>
    <row r="690" spans="1:3" x14ac:dyDescent="0.35">
      <c r="A690">
        <v>231320</v>
      </c>
      <c r="B690" t="str">
        <f>VLOOKUP(A690,Planilha2!$A$2:$C$5566,3,0)</f>
        <v>TAMBORIL</v>
      </c>
      <c r="C690" t="str">
        <f>VLOOKUP(A690,Planilha2!$A$2:$D$5566,4,0)</f>
        <v>CE</v>
      </c>
    </row>
    <row r="691" spans="1:3" x14ac:dyDescent="0.35">
      <c r="A691">
        <v>231100</v>
      </c>
      <c r="B691" t="str">
        <f>VLOOKUP(A691,Planilha2!$A$2:$C$5566,3,0)</f>
        <v>PORANGA</v>
      </c>
      <c r="C691" t="str">
        <f>VLOOKUP(A691,Planilha2!$A$2:$D$5566,4,0)</f>
        <v>CE</v>
      </c>
    </row>
    <row r="692" spans="1:3" x14ac:dyDescent="0.35">
      <c r="A692">
        <v>230860</v>
      </c>
      <c r="B692" t="str">
        <f>VLOOKUP(A692,Planilha2!$A$2:$C$5566,3,0)</f>
        <v>MONSENHOR TABOSA</v>
      </c>
      <c r="C692" t="str">
        <f>VLOOKUP(A692,Planilha2!$A$2:$D$5566,4,0)</f>
        <v>CE</v>
      </c>
    </row>
    <row r="693" spans="1:3" x14ac:dyDescent="0.35">
      <c r="A693">
        <v>230940</v>
      </c>
      <c r="B693" t="str">
        <f>VLOOKUP(A693,Planilha2!$A$2:$C$5566,3,0)</f>
        <v>NOVO ORIENTE</v>
      </c>
      <c r="C693" t="str">
        <f>VLOOKUP(A693,Planilha2!$A$2:$D$5566,4,0)</f>
        <v>CE</v>
      </c>
    </row>
    <row r="694" spans="1:3" x14ac:dyDescent="0.35">
      <c r="A694">
        <v>230560</v>
      </c>
      <c r="B694" t="str">
        <f>VLOOKUP(A694,Planilha2!$A$2:$C$5566,3,0)</f>
        <v>INDEPENDÊNCIA</v>
      </c>
      <c r="C694" t="str">
        <f>VLOOKUP(A694,Planilha2!$A$2:$D$5566,4,0)</f>
        <v>CE</v>
      </c>
    </row>
    <row r="695" spans="1:3" x14ac:dyDescent="0.35">
      <c r="A695">
        <v>230410</v>
      </c>
      <c r="B695" t="str">
        <f>VLOOKUP(A695,Planilha2!$A$2:$C$5566,3,0)</f>
        <v>CRATEÚS</v>
      </c>
      <c r="C695" t="str">
        <f>VLOOKUP(A695,Planilha2!$A$2:$D$5566,4,0)</f>
        <v>CE</v>
      </c>
    </row>
    <row r="696" spans="1:3" x14ac:dyDescent="0.35">
      <c r="A696">
        <v>230185</v>
      </c>
      <c r="B696" t="str">
        <f>VLOOKUP(A696,Planilha2!$A$2:$C$5566,3,0)</f>
        <v>BANABUIÚ</v>
      </c>
      <c r="C696" t="str">
        <f>VLOOKUP(A696,Planilha2!$A$2:$D$5566,4,0)</f>
        <v>CE</v>
      </c>
    </row>
    <row r="697" spans="1:3" x14ac:dyDescent="0.35">
      <c r="A697">
        <v>230680</v>
      </c>
      <c r="B697" t="str">
        <f>VLOOKUP(A697,Planilha2!$A$2:$C$5566,3,0)</f>
        <v>JAGUARIBARA</v>
      </c>
      <c r="C697" t="str">
        <f>VLOOKUP(A697,Planilha2!$A$2:$D$5566,4,0)</f>
        <v>CE</v>
      </c>
    </row>
    <row r="698" spans="1:3" x14ac:dyDescent="0.35">
      <c r="A698">
        <v>231090</v>
      </c>
      <c r="B698" t="str">
        <f>VLOOKUP(A698,Planilha2!$A$2:$C$5566,3,0)</f>
        <v>PIQUET CARNEIRO</v>
      </c>
      <c r="C698" t="str">
        <f>VLOOKUP(A698,Planilha2!$A$2:$D$5566,4,0)</f>
        <v>CE</v>
      </c>
    </row>
    <row r="699" spans="1:3" x14ac:dyDescent="0.35">
      <c r="A699">
        <v>230393</v>
      </c>
      <c r="B699" t="str">
        <f>VLOOKUP(A699,Planilha2!$A$2:$C$5566,3,0)</f>
        <v>CHORÓ</v>
      </c>
      <c r="C699" t="str">
        <f>VLOOKUP(A699,Planilha2!$A$2:$D$5566,4,0)</f>
        <v>CE</v>
      </c>
    </row>
    <row r="700" spans="1:3" x14ac:dyDescent="0.35">
      <c r="A700">
        <v>231130</v>
      </c>
      <c r="B700" t="str">
        <f>VLOOKUP(A700,Planilha2!$A$2:$C$5566,3,0)</f>
        <v>QUIXADÁ</v>
      </c>
      <c r="C700" t="str">
        <f>VLOOKUP(A700,Planilha2!$A$2:$D$5566,4,0)</f>
        <v>CE</v>
      </c>
    </row>
    <row r="701" spans="1:3" x14ac:dyDescent="0.35">
      <c r="A701">
        <v>230426</v>
      </c>
      <c r="B701" t="str">
        <f>VLOOKUP(A701,Planilha2!$A$2:$C$5566,3,0)</f>
        <v>DEPUTADO IRAPUAN PINHEIRO</v>
      </c>
      <c r="C701" t="str">
        <f>VLOOKUP(A701,Planilha2!$A$2:$D$5566,4,0)</f>
        <v>CE</v>
      </c>
    </row>
    <row r="702" spans="1:3" x14ac:dyDescent="0.35">
      <c r="A702">
        <v>230850</v>
      </c>
      <c r="B702" t="str">
        <f>VLOOKUP(A702,Planilha2!$A$2:$C$5566,3,0)</f>
        <v>MOMBAÇA</v>
      </c>
      <c r="C702" t="str">
        <f>VLOOKUP(A702,Planilha2!$A$2:$D$5566,4,0)</f>
        <v>CE</v>
      </c>
    </row>
    <row r="703" spans="1:3" x14ac:dyDescent="0.35">
      <c r="A703">
        <v>230260</v>
      </c>
      <c r="B703" t="str">
        <f>VLOOKUP(A703,Planilha2!$A$2:$C$5566,3,0)</f>
        <v>CAMOCIM</v>
      </c>
      <c r="C703" t="str">
        <f>VLOOKUP(A703,Planilha2!$A$2:$D$5566,4,0)</f>
        <v>CE</v>
      </c>
    </row>
    <row r="704" spans="1:3" x14ac:dyDescent="0.35">
      <c r="A704">
        <v>260800</v>
      </c>
      <c r="B704" t="str">
        <f>VLOOKUP(A704,Planilha2!$A$2:$C$5566,3,0)</f>
        <v>JATAÚBA</v>
      </c>
      <c r="C704" t="str">
        <f>VLOOKUP(A704,Planilha2!$A$2:$D$5566,4,0)</f>
        <v>PE</v>
      </c>
    </row>
    <row r="705" spans="1:3" x14ac:dyDescent="0.35">
      <c r="A705">
        <v>230470</v>
      </c>
      <c r="B705" t="str">
        <f>VLOOKUP(A705,Planilha2!$A$2:$C$5566,3,0)</f>
        <v>GRANJA</v>
      </c>
      <c r="C705" t="str">
        <f>VLOOKUP(A705,Planilha2!$A$2:$D$5566,4,0)</f>
        <v>CE</v>
      </c>
    </row>
    <row r="706" spans="1:3" x14ac:dyDescent="0.35">
      <c r="A706">
        <v>231290</v>
      </c>
      <c r="B706" t="str">
        <f>VLOOKUP(A706,Planilha2!$A$2:$C$5566,3,0)</f>
        <v>SOBRAL</v>
      </c>
      <c r="C706" t="str">
        <f>VLOOKUP(A706,Planilha2!$A$2:$D$5566,4,0)</f>
        <v>CE</v>
      </c>
    </row>
    <row r="707" spans="1:3" x14ac:dyDescent="0.35">
      <c r="A707">
        <v>231340</v>
      </c>
      <c r="B707" t="str">
        <f>VLOOKUP(A707,Planilha2!$A$2:$C$5566,3,0)</f>
        <v>TIANGUÁ</v>
      </c>
      <c r="C707" t="str">
        <f>VLOOKUP(A707,Planilha2!$A$2:$D$5566,4,0)</f>
        <v>CE</v>
      </c>
    </row>
    <row r="708" spans="1:3" x14ac:dyDescent="0.35">
      <c r="A708">
        <v>230610</v>
      </c>
      <c r="B708" t="str">
        <f>VLOOKUP(A708,Planilha2!$A$2:$C$5566,3,0)</f>
        <v>IRAUÇUBA</v>
      </c>
      <c r="C708" t="str">
        <f>VLOOKUP(A708,Planilha2!$A$2:$D$5566,4,0)</f>
        <v>CE</v>
      </c>
    </row>
    <row r="709" spans="1:3" x14ac:dyDescent="0.35">
      <c r="A709">
        <v>230050</v>
      </c>
      <c r="B709" t="str">
        <f>VLOOKUP(A709,Planilha2!$A$2:$C$5566,3,0)</f>
        <v>ALCÂNTARAS</v>
      </c>
      <c r="C709" t="str">
        <f>VLOOKUP(A709,Planilha2!$A$2:$D$5566,4,0)</f>
        <v>CE</v>
      </c>
    </row>
    <row r="710" spans="1:3" x14ac:dyDescent="0.35">
      <c r="A710">
        <v>231220</v>
      </c>
      <c r="B710" t="str">
        <f>VLOOKUP(A710,Planilha2!$A$2:$C$5566,3,0)</f>
        <v>SANTA QUITÉRIA</v>
      </c>
      <c r="C710" t="str">
        <f>VLOOKUP(A710,Planilha2!$A$2:$D$5566,4,0)</f>
        <v>CE</v>
      </c>
    </row>
    <row r="711" spans="1:3" x14ac:dyDescent="0.35">
      <c r="A711">
        <v>230435</v>
      </c>
      <c r="B711" t="str">
        <f>VLOOKUP(A711,Planilha2!$A$2:$C$5566,3,0)</f>
        <v>FORQUILHA</v>
      </c>
      <c r="C711" t="str">
        <f>VLOOKUP(A711,Planilha2!$A$2:$D$5566,4,0)</f>
        <v>CE</v>
      </c>
    </row>
    <row r="712" spans="1:3" x14ac:dyDescent="0.35">
      <c r="A712">
        <v>230500</v>
      </c>
      <c r="B712" t="str">
        <f>VLOOKUP(A712,Planilha2!$A$2:$C$5566,3,0)</f>
        <v>GUARACIABA DO NORTE</v>
      </c>
      <c r="C712" t="str">
        <f>VLOOKUP(A712,Planilha2!$A$2:$D$5566,4,0)</f>
        <v>CE</v>
      </c>
    </row>
    <row r="713" spans="1:3" x14ac:dyDescent="0.35">
      <c r="A713">
        <v>230400</v>
      </c>
      <c r="B713" t="str">
        <f>VLOOKUP(A713,Planilha2!$A$2:$C$5566,3,0)</f>
        <v>COREAÚ</v>
      </c>
      <c r="C713" t="str">
        <f>VLOOKUP(A713,Planilha2!$A$2:$D$5566,4,0)</f>
        <v>CE</v>
      </c>
    </row>
    <row r="714" spans="1:3" x14ac:dyDescent="0.35">
      <c r="A714">
        <v>231410</v>
      </c>
      <c r="B714" t="str">
        <f>VLOOKUP(A714,Planilha2!$A$2:$C$5566,3,0)</f>
        <v>VIÇOSA DO CEARÁ</v>
      </c>
      <c r="C714" t="str">
        <f>VLOOKUP(A714,Planilha2!$A$2:$D$5566,4,0)</f>
        <v>CE</v>
      </c>
    </row>
    <row r="715" spans="1:3" x14ac:dyDescent="0.35">
      <c r="A715">
        <v>230870</v>
      </c>
      <c r="B715" t="str">
        <f>VLOOKUP(A715,Planilha2!$A$2:$C$5566,3,0)</f>
        <v>MORADA NOVA</v>
      </c>
      <c r="C715" t="str">
        <f>VLOOKUP(A715,Planilha2!$A$2:$D$5566,4,0)</f>
        <v>CE</v>
      </c>
    </row>
    <row r="716" spans="1:3" x14ac:dyDescent="0.35">
      <c r="A716">
        <v>231180</v>
      </c>
      <c r="B716" t="str">
        <f>VLOOKUP(A716,Planilha2!$A$2:$C$5566,3,0)</f>
        <v>RUSSAS</v>
      </c>
      <c r="C716" t="str">
        <f>VLOOKUP(A716,Planilha2!$A$2:$D$5566,4,0)</f>
        <v>CE</v>
      </c>
    </row>
    <row r="717" spans="1:3" x14ac:dyDescent="0.35">
      <c r="A717">
        <v>230810</v>
      </c>
      <c r="B717" t="str">
        <f>VLOOKUP(A717,Planilha2!$A$2:$C$5566,3,0)</f>
        <v>MAURITI</v>
      </c>
      <c r="C717" t="str">
        <f>VLOOKUP(A717,Planilha2!$A$2:$D$5566,4,0)</f>
        <v>CE</v>
      </c>
    </row>
    <row r="718" spans="1:3" x14ac:dyDescent="0.35">
      <c r="A718">
        <v>230960</v>
      </c>
      <c r="B718" t="str">
        <f>VLOOKUP(A718,Planilha2!$A$2:$C$5566,3,0)</f>
        <v>PACAJUS</v>
      </c>
      <c r="C718" t="str">
        <f>VLOOKUP(A718,Planilha2!$A$2:$D$5566,4,0)</f>
        <v>CE</v>
      </c>
    </row>
    <row r="719" spans="1:3" x14ac:dyDescent="0.35">
      <c r="A719">
        <v>231060</v>
      </c>
      <c r="B719" t="str">
        <f>VLOOKUP(A719,Planilha2!$A$2:$C$5566,3,0)</f>
        <v>PENAFORTE</v>
      </c>
      <c r="C719" t="str">
        <f>VLOOKUP(A719,Planilha2!$A$2:$D$5566,4,0)</f>
        <v>CE</v>
      </c>
    </row>
    <row r="720" spans="1:3" x14ac:dyDescent="0.35">
      <c r="A720">
        <v>230970</v>
      </c>
      <c r="B720" t="str">
        <f>VLOOKUP(A720,Planilha2!$A$2:$C$5566,3,0)</f>
        <v>PACATUBA</v>
      </c>
      <c r="C720" t="str">
        <f>VLOOKUP(A720,Planilha2!$A$2:$D$5566,4,0)</f>
        <v>CE</v>
      </c>
    </row>
    <row r="721" spans="1:3" x14ac:dyDescent="0.35">
      <c r="A721">
        <v>230395</v>
      </c>
      <c r="B721" t="str">
        <f>VLOOKUP(A721,Planilha2!$A$2:$C$5566,3,0)</f>
        <v>CHOROZINHO</v>
      </c>
      <c r="C721" t="str">
        <f>VLOOKUP(A721,Planilha2!$A$2:$D$5566,4,0)</f>
        <v>CE</v>
      </c>
    </row>
    <row r="722" spans="1:3" x14ac:dyDescent="0.35">
      <c r="A722">
        <v>230428</v>
      </c>
      <c r="B722" t="str">
        <f>VLOOKUP(A722,Planilha2!$A$2:$C$5566,3,0)</f>
        <v>EUZÉBIO</v>
      </c>
      <c r="C722" t="str">
        <f>VLOOKUP(A722,Planilha2!$A$2:$D$5566,4,0)</f>
        <v>CE</v>
      </c>
    </row>
    <row r="723" spans="1:3" x14ac:dyDescent="0.35">
      <c r="A723">
        <v>230700</v>
      </c>
      <c r="B723" t="str">
        <f>VLOOKUP(A723,Planilha2!$A$2:$C$5566,3,0)</f>
        <v>JAGUARUANA</v>
      </c>
      <c r="C723" t="str">
        <f>VLOOKUP(A723,Planilha2!$A$2:$D$5566,4,0)</f>
        <v>CE</v>
      </c>
    </row>
    <row r="724" spans="1:3" x14ac:dyDescent="0.35">
      <c r="A724">
        <v>231020</v>
      </c>
      <c r="B724" t="str">
        <f>VLOOKUP(A724,Planilha2!$A$2:$C$5566,3,0)</f>
        <v>PARACURU</v>
      </c>
      <c r="C724" t="str">
        <f>VLOOKUP(A724,Planilha2!$A$2:$D$5566,4,0)</f>
        <v>CE</v>
      </c>
    </row>
    <row r="725" spans="1:3" x14ac:dyDescent="0.35">
      <c r="A725">
        <v>231025</v>
      </c>
      <c r="B725" t="str">
        <f>VLOOKUP(A725,Planilha2!$A$2:$C$5566,3,0)</f>
        <v>PARAIPABA</v>
      </c>
      <c r="C725" t="str">
        <f>VLOOKUP(A725,Planilha2!$A$2:$D$5566,4,0)</f>
        <v>CE</v>
      </c>
    </row>
    <row r="726" spans="1:3" x14ac:dyDescent="0.35">
      <c r="A726">
        <v>230625</v>
      </c>
      <c r="B726" t="str">
        <f>VLOOKUP(A726,Planilha2!$A$2:$C$5566,3,0)</f>
        <v>ITAITINGA</v>
      </c>
      <c r="C726" t="str">
        <f>VLOOKUP(A726,Planilha2!$A$2:$D$5566,4,0)</f>
        <v>CE</v>
      </c>
    </row>
    <row r="727" spans="1:3" x14ac:dyDescent="0.35">
      <c r="A727">
        <v>230100</v>
      </c>
      <c r="B727" t="str">
        <f>VLOOKUP(A727,Planilha2!$A$2:$C$5566,3,0)</f>
        <v>AQUIRAZ</v>
      </c>
      <c r="C727" t="str">
        <f>VLOOKUP(A727,Planilha2!$A$2:$D$5566,4,0)</f>
        <v>CE</v>
      </c>
    </row>
    <row r="728" spans="1:3" x14ac:dyDescent="0.35">
      <c r="A728">
        <v>241355</v>
      </c>
      <c r="B728" t="str">
        <f>VLOOKUP(A728,Planilha2!$A$2:$C$5566,3,0)</f>
        <v>SERRINHA DOS PINTOS</v>
      </c>
      <c r="C728" t="str">
        <f>VLOOKUP(A728,Planilha2!$A$2:$D$5566,4,0)</f>
        <v>RN</v>
      </c>
    </row>
    <row r="729" spans="1:3" x14ac:dyDescent="0.35">
      <c r="A729">
        <v>240930</v>
      </c>
      <c r="B729" t="str">
        <f>VLOOKUP(A729,Planilha2!$A$2:$C$5566,3,0)</f>
        <v>PATU</v>
      </c>
      <c r="C729" t="str">
        <f>VLOOKUP(A729,Planilha2!$A$2:$D$5566,4,0)</f>
        <v>RN</v>
      </c>
    </row>
    <row r="730" spans="1:3" x14ac:dyDescent="0.35">
      <c r="A730">
        <v>241050</v>
      </c>
      <c r="B730" t="str">
        <f>VLOOKUP(A730,Planilha2!$A$2:$C$5566,3,0)</f>
        <v>RAFAEL FERNANDES</v>
      </c>
      <c r="C730" t="str">
        <f>VLOOKUP(A730,Planilha2!$A$2:$D$5566,4,0)</f>
        <v>RN</v>
      </c>
    </row>
    <row r="731" spans="1:3" x14ac:dyDescent="0.35">
      <c r="A731">
        <v>241240</v>
      </c>
      <c r="B731" t="str">
        <f>VLOOKUP(A731,Planilha2!$A$2:$C$5566,3,0)</f>
        <v>SÃO JOSÉ DO SERIDÓ</v>
      </c>
      <c r="C731" t="str">
        <f>VLOOKUP(A731,Planilha2!$A$2:$D$5566,4,0)</f>
        <v>RN</v>
      </c>
    </row>
    <row r="732" spans="1:3" x14ac:dyDescent="0.35">
      <c r="A732">
        <v>240010</v>
      </c>
      <c r="B732" t="str">
        <f>VLOOKUP(A732,Planilha2!$A$2:$C$5566,3,0)</f>
        <v>ACARI</v>
      </c>
      <c r="C732" t="str">
        <f>VLOOKUP(A732,Planilha2!$A$2:$D$5566,4,0)</f>
        <v>RN</v>
      </c>
    </row>
    <row r="733" spans="1:3" x14ac:dyDescent="0.35">
      <c r="A733">
        <v>240240</v>
      </c>
      <c r="B733" t="str">
        <f>VLOOKUP(A733,Planilha2!$A$2:$C$5566,3,0)</f>
        <v>CARNAÚBA DOS DANTAS</v>
      </c>
      <c r="C733" t="str">
        <f>VLOOKUP(A733,Planilha2!$A$2:$D$5566,4,0)</f>
        <v>RN</v>
      </c>
    </row>
    <row r="734" spans="1:3" x14ac:dyDescent="0.35">
      <c r="A734">
        <v>240470</v>
      </c>
      <c r="B734" t="str">
        <f>VLOOKUP(A734,Planilha2!$A$2:$C$5566,3,0)</f>
        <v>IPANGUAÇU</v>
      </c>
      <c r="C734" t="str">
        <f>VLOOKUP(A734,Planilha2!$A$2:$D$5566,4,0)</f>
        <v>RN</v>
      </c>
    </row>
    <row r="735" spans="1:3" x14ac:dyDescent="0.35">
      <c r="A735">
        <v>240110</v>
      </c>
      <c r="B735" t="str">
        <f>VLOOKUP(A735,Planilha2!$A$2:$C$5566,3,0)</f>
        <v>AREIA BRANCA</v>
      </c>
      <c r="C735" t="str">
        <f>VLOOKUP(A735,Planilha2!$A$2:$D$5566,4,0)</f>
        <v>RN</v>
      </c>
    </row>
    <row r="736" spans="1:3" x14ac:dyDescent="0.35">
      <c r="A736">
        <v>240720</v>
      </c>
      <c r="B736" t="str">
        <f>VLOOKUP(A736,Planilha2!$A$2:$C$5566,3,0)</f>
        <v>MACAU</v>
      </c>
      <c r="C736" t="str">
        <f>VLOOKUP(A736,Planilha2!$A$2:$D$5566,4,0)</f>
        <v>RN</v>
      </c>
    </row>
    <row r="737" spans="1:3" x14ac:dyDescent="0.35">
      <c r="A737">
        <v>241335</v>
      </c>
      <c r="B737" t="str">
        <f>VLOOKUP(A737,Planilha2!$A$2:$C$5566,3,0)</f>
        <v>SERRA DO MEL</v>
      </c>
      <c r="C737" t="str">
        <f>VLOOKUP(A737,Planilha2!$A$2:$D$5566,4,0)</f>
        <v>RN</v>
      </c>
    </row>
    <row r="738" spans="1:3" x14ac:dyDescent="0.35">
      <c r="A738">
        <v>240800</v>
      </c>
      <c r="B738" t="str">
        <f>VLOOKUP(A738,Planilha2!$A$2:$C$5566,3,0)</f>
        <v>MOSSORÓ</v>
      </c>
      <c r="C738" t="str">
        <f>VLOOKUP(A738,Planilha2!$A$2:$D$5566,4,0)</f>
        <v>RN</v>
      </c>
    </row>
    <row r="739" spans="1:3" x14ac:dyDescent="0.35">
      <c r="A739">
        <v>240990</v>
      </c>
      <c r="B739" t="str">
        <f>VLOOKUP(A739,Planilha2!$A$2:$C$5566,3,0)</f>
        <v>PENDÊNCIAS</v>
      </c>
      <c r="C739" t="str">
        <f>VLOOKUP(A739,Planilha2!$A$2:$D$5566,4,0)</f>
        <v>RN</v>
      </c>
    </row>
    <row r="740" spans="1:3" x14ac:dyDescent="0.35">
      <c r="A740">
        <v>240100</v>
      </c>
      <c r="B740" t="str">
        <f>VLOOKUP(A740,Planilha2!$A$2:$C$5566,3,0)</f>
        <v>APODI</v>
      </c>
      <c r="C740" t="str">
        <f>VLOOKUP(A740,Planilha2!$A$2:$D$5566,4,0)</f>
        <v>RN</v>
      </c>
    </row>
    <row r="741" spans="1:3" x14ac:dyDescent="0.35">
      <c r="A741">
        <v>241220</v>
      </c>
      <c r="B741" t="str">
        <f>VLOOKUP(A741,Planilha2!$A$2:$C$5566,3,0)</f>
        <v>SÃO JOSÉ DE MIBIPÚ</v>
      </c>
      <c r="C741" t="str">
        <f>VLOOKUP(A741,Planilha2!$A$2:$D$5566,4,0)</f>
        <v>RN</v>
      </c>
    </row>
    <row r="742" spans="1:3" x14ac:dyDescent="0.35">
      <c r="A742">
        <v>240325</v>
      </c>
      <c r="B742" t="str">
        <f>VLOOKUP(A742,Planilha2!$A$2:$C$5566,3,0)</f>
        <v>PARNAMIRIM</v>
      </c>
      <c r="C742" t="str">
        <f>VLOOKUP(A742,Planilha2!$A$2:$D$5566,4,0)</f>
        <v>RN</v>
      </c>
    </row>
    <row r="743" spans="1:3" x14ac:dyDescent="0.35">
      <c r="A743">
        <v>240810</v>
      </c>
      <c r="B743" t="str">
        <f>VLOOKUP(A743,Planilha2!$A$2:$C$5566,3,0)</f>
        <v>NATAL</v>
      </c>
      <c r="C743" t="str">
        <f>VLOOKUP(A743,Planilha2!$A$2:$D$5566,4,0)</f>
        <v>RN</v>
      </c>
    </row>
    <row r="744" spans="1:3" x14ac:dyDescent="0.35">
      <c r="A744">
        <v>241400</v>
      </c>
      <c r="B744" t="str">
        <f>VLOOKUP(A744,Planilha2!$A$2:$C$5566,3,0)</f>
        <v>TANGARÁ</v>
      </c>
      <c r="C744" t="str">
        <f>VLOOKUP(A744,Planilha2!$A$2:$D$5566,4,0)</f>
        <v>RN</v>
      </c>
    </row>
    <row r="745" spans="1:3" x14ac:dyDescent="0.35">
      <c r="A745">
        <v>240530</v>
      </c>
      <c r="B745" t="str">
        <f>VLOOKUP(A745,Planilha2!$A$2:$C$5566,3,0)</f>
        <v>JANUÁRIO CICCO</v>
      </c>
      <c r="C745" t="str">
        <f>VLOOKUP(A745,Planilha2!$A$2:$D$5566,4,0)</f>
        <v>RN</v>
      </c>
    </row>
    <row r="746" spans="1:3" x14ac:dyDescent="0.35">
      <c r="A746">
        <v>241040</v>
      </c>
      <c r="B746" t="str">
        <f>VLOOKUP(A746,Planilha2!$A$2:$C$5566,3,0)</f>
        <v>PUREZA</v>
      </c>
      <c r="C746" t="str">
        <f>VLOOKUP(A746,Planilha2!$A$2:$D$5566,4,0)</f>
        <v>RN</v>
      </c>
    </row>
    <row r="747" spans="1:3" x14ac:dyDescent="0.35">
      <c r="A747">
        <v>241260</v>
      </c>
      <c r="B747" t="str">
        <f>VLOOKUP(A747,Planilha2!$A$2:$C$5566,3,0)</f>
        <v>SÃO PAULO DO POTENGI</v>
      </c>
      <c r="C747" t="str">
        <f>VLOOKUP(A747,Planilha2!$A$2:$D$5566,4,0)</f>
        <v>RN</v>
      </c>
    </row>
    <row r="748" spans="1:3" x14ac:dyDescent="0.35">
      <c r="A748">
        <v>241200</v>
      </c>
      <c r="B748" t="str">
        <f>VLOOKUP(A748,Planilha2!$A$2:$C$5566,3,0)</f>
        <v>SÃO GONÇALO DO AMARANTE</v>
      </c>
      <c r="C748" t="str">
        <f>VLOOKUP(A748,Planilha2!$A$2:$D$5566,4,0)</f>
        <v>RN</v>
      </c>
    </row>
    <row r="749" spans="1:3" x14ac:dyDescent="0.35">
      <c r="A749">
        <v>240970</v>
      </c>
      <c r="B749" t="str">
        <f>VLOOKUP(A749,Planilha2!$A$2:$C$5566,3,0)</f>
        <v>PEDRO AVELINO</v>
      </c>
      <c r="C749" t="str">
        <f>VLOOKUP(A749,Planilha2!$A$2:$D$5566,4,0)</f>
        <v>RN</v>
      </c>
    </row>
    <row r="750" spans="1:3" x14ac:dyDescent="0.35">
      <c r="A750">
        <v>240485</v>
      </c>
      <c r="B750" t="str">
        <f>VLOOKUP(A750,Planilha2!$A$2:$C$5566,3,0)</f>
        <v>ITAJÁ</v>
      </c>
      <c r="C750" t="str">
        <f>VLOOKUP(A750,Planilha2!$A$2:$D$5566,4,0)</f>
        <v>RN</v>
      </c>
    </row>
    <row r="751" spans="1:3" x14ac:dyDescent="0.35">
      <c r="A751">
        <v>230190</v>
      </c>
      <c r="B751" t="str">
        <f>VLOOKUP(A751,Planilha2!$A$2:$C$5566,3,0)</f>
        <v>BARBALHA</v>
      </c>
      <c r="C751" t="str">
        <f>VLOOKUP(A751,Planilha2!$A$2:$D$5566,4,0)</f>
        <v>CE</v>
      </c>
    </row>
    <row r="752" spans="1:3" x14ac:dyDescent="0.35">
      <c r="A752">
        <v>240700</v>
      </c>
      <c r="B752" t="str">
        <f>VLOOKUP(A752,Planilha2!$A$2:$C$5566,3,0)</f>
        <v>LUÍS GOMES</v>
      </c>
      <c r="C752" t="str">
        <f>VLOOKUP(A752,Planilha2!$A$2:$D$5566,4,0)</f>
        <v>RN</v>
      </c>
    </row>
    <row r="753" spans="1:3" x14ac:dyDescent="0.35">
      <c r="A753">
        <v>240330</v>
      </c>
      <c r="B753" t="str">
        <f>VLOOKUP(A753,Planilha2!$A$2:$C$5566,3,0)</f>
        <v>ENCANTO</v>
      </c>
      <c r="C753" t="str">
        <f>VLOOKUP(A753,Planilha2!$A$2:$D$5566,4,0)</f>
        <v>RN</v>
      </c>
    </row>
    <row r="754" spans="1:3" x14ac:dyDescent="0.35">
      <c r="A754">
        <v>241450</v>
      </c>
      <c r="B754" t="str">
        <f>VLOOKUP(A754,Planilha2!$A$2:$C$5566,3,0)</f>
        <v>UMARIZAL</v>
      </c>
      <c r="C754" t="str">
        <f>VLOOKUP(A754,Planilha2!$A$2:$D$5566,4,0)</f>
        <v>RN</v>
      </c>
    </row>
    <row r="755" spans="1:3" x14ac:dyDescent="0.35">
      <c r="A755">
        <v>241475</v>
      </c>
      <c r="B755" t="str">
        <f>VLOOKUP(A755,Planilha2!$A$2:$C$5566,3,0)</f>
        <v>VENHA-VER</v>
      </c>
      <c r="C755" t="str">
        <f>VLOOKUP(A755,Planilha2!$A$2:$D$5566,4,0)</f>
        <v>RN</v>
      </c>
    </row>
    <row r="756" spans="1:3" x14ac:dyDescent="0.35">
      <c r="A756">
        <v>241010</v>
      </c>
      <c r="B756" t="str">
        <f>VLOOKUP(A756,Planilha2!$A$2:$C$5566,3,0)</f>
        <v>POÇO BRANCO</v>
      </c>
      <c r="C756" t="str">
        <f>VLOOKUP(A756,Planilha2!$A$2:$D$5566,4,0)</f>
        <v>RN</v>
      </c>
    </row>
    <row r="757" spans="1:3" x14ac:dyDescent="0.35">
      <c r="A757">
        <v>240580</v>
      </c>
      <c r="B757" t="str">
        <f>VLOOKUP(A757,Planilha2!$A$2:$C$5566,3,0)</f>
        <v>JOÃO CÂMARA</v>
      </c>
      <c r="C757" t="str">
        <f>VLOOKUP(A757,Planilha2!$A$2:$D$5566,4,0)</f>
        <v>RN</v>
      </c>
    </row>
    <row r="758" spans="1:3" x14ac:dyDescent="0.35">
      <c r="A758">
        <v>251130</v>
      </c>
      <c r="B758" t="str">
        <f>VLOOKUP(A758,Planilha2!$A$2:$C$5566,3,0)</f>
        <v>PIANCÓ</v>
      </c>
      <c r="C758" t="str">
        <f>VLOOKUP(A758,Planilha2!$A$2:$D$5566,4,0)</f>
        <v>PB</v>
      </c>
    </row>
    <row r="759" spans="1:3" x14ac:dyDescent="0.35">
      <c r="A759">
        <v>250690</v>
      </c>
      <c r="B759" t="str">
        <f>VLOOKUP(A759,Planilha2!$A$2:$C$5566,3,0)</f>
        <v>ITABAIANA</v>
      </c>
      <c r="C759" t="str">
        <f>VLOOKUP(A759,Planilha2!$A$2:$D$5566,4,0)</f>
        <v>PB</v>
      </c>
    </row>
    <row r="760" spans="1:3" x14ac:dyDescent="0.35">
      <c r="A760">
        <v>250940</v>
      </c>
      <c r="B760" t="str">
        <f>VLOOKUP(A760,Planilha2!$A$2:$C$5566,3,0)</f>
        <v>MOGEIRO</v>
      </c>
      <c r="C760" t="str">
        <f>VLOOKUP(A760,Planilha2!$A$2:$D$5566,4,0)</f>
        <v>PB</v>
      </c>
    </row>
    <row r="761" spans="1:3" x14ac:dyDescent="0.35">
      <c r="A761">
        <v>250570</v>
      </c>
      <c r="B761" t="str">
        <f>VLOOKUP(A761,Planilha2!$A$2:$C$5566,3,0)</f>
        <v>DONA INÊS</v>
      </c>
      <c r="C761" t="str">
        <f>VLOOKUP(A761,Planilha2!$A$2:$D$5566,4,0)</f>
        <v>PB</v>
      </c>
    </row>
    <row r="762" spans="1:3" x14ac:dyDescent="0.35">
      <c r="A762">
        <v>250050</v>
      </c>
      <c r="B762" t="str">
        <f>VLOOKUP(A762,Planilha2!$A$2:$C$5566,3,0)</f>
        <v>ALAGOINHA</v>
      </c>
      <c r="C762" t="str">
        <f>VLOOKUP(A762,Planilha2!$A$2:$D$5566,4,0)</f>
        <v>PB</v>
      </c>
    </row>
    <row r="763" spans="1:3" x14ac:dyDescent="0.35">
      <c r="A763">
        <v>251445</v>
      </c>
      <c r="B763" t="str">
        <f>VLOOKUP(A763,Planilha2!$A$2:$C$5566,3,0)</f>
        <v>SÃO JOSÉ DOS RAMOS</v>
      </c>
      <c r="C763" t="str">
        <f>VLOOKUP(A763,Planilha2!$A$2:$D$5566,4,0)</f>
        <v>PB</v>
      </c>
    </row>
    <row r="764" spans="1:3" x14ac:dyDescent="0.35">
      <c r="A764">
        <v>250090</v>
      </c>
      <c r="B764" t="str">
        <f>VLOOKUP(A764,Planilha2!$A$2:$C$5566,3,0)</f>
        <v>ARARA</v>
      </c>
      <c r="C764" t="str">
        <f>VLOOKUP(A764,Planilha2!$A$2:$D$5566,4,0)</f>
        <v>PB</v>
      </c>
    </row>
    <row r="765" spans="1:3" x14ac:dyDescent="0.35">
      <c r="A765">
        <v>251150</v>
      </c>
      <c r="B765" t="str">
        <f>VLOOKUP(A765,Planilha2!$A$2:$C$5566,3,0)</f>
        <v>PILAR</v>
      </c>
      <c r="C765" t="str">
        <f>VLOOKUP(A765,Planilha2!$A$2:$D$5566,4,0)</f>
        <v>PB</v>
      </c>
    </row>
    <row r="766" spans="1:3" x14ac:dyDescent="0.35">
      <c r="A766">
        <v>250830</v>
      </c>
      <c r="B766" t="str">
        <f>VLOOKUP(A766,Planilha2!$A$2:$C$5566,3,0)</f>
        <v>LAGOA SECA</v>
      </c>
      <c r="C766" t="str">
        <f>VLOOKUP(A766,Planilha2!$A$2:$D$5566,4,0)</f>
        <v>PB</v>
      </c>
    </row>
    <row r="767" spans="1:3" x14ac:dyDescent="0.35">
      <c r="A767">
        <v>251510</v>
      </c>
      <c r="B767" t="str">
        <f>VLOOKUP(A767,Planilha2!$A$2:$C$5566,3,0)</f>
        <v>SÃO SEBASTIÃO DE LAGOA DE ROÇA</v>
      </c>
      <c r="C767" t="str">
        <f>VLOOKUP(A767,Planilha2!$A$2:$D$5566,4,0)</f>
        <v>PB</v>
      </c>
    </row>
    <row r="768" spans="1:3" x14ac:dyDescent="0.35">
      <c r="A768">
        <v>250520</v>
      </c>
      <c r="B768" t="str">
        <f>VLOOKUP(A768,Planilha2!$A$2:$C$5566,3,0)</f>
        <v>CUITEGI</v>
      </c>
      <c r="C768" t="str">
        <f>VLOOKUP(A768,Planilha2!$A$2:$D$5566,4,0)</f>
        <v>PB</v>
      </c>
    </row>
    <row r="769" spans="1:3" x14ac:dyDescent="0.35">
      <c r="A769">
        <v>250180</v>
      </c>
      <c r="B769" t="str">
        <f>VLOOKUP(A769,Planilha2!$A$2:$C$5566,3,0)</f>
        <v>BAYEUX</v>
      </c>
      <c r="C769" t="str">
        <f>VLOOKUP(A769,Planilha2!$A$2:$D$5566,4,0)</f>
        <v>PB</v>
      </c>
    </row>
    <row r="770" spans="1:3" x14ac:dyDescent="0.35">
      <c r="A770">
        <v>250850</v>
      </c>
      <c r="B770" t="str">
        <f>VLOOKUP(A770,Planilha2!$A$2:$C$5566,3,0)</f>
        <v>LIVRAMENTO</v>
      </c>
      <c r="C770" t="str">
        <f>VLOOKUP(A770,Planilha2!$A$2:$D$5566,4,0)</f>
        <v>PB</v>
      </c>
    </row>
    <row r="771" spans="1:3" x14ac:dyDescent="0.35">
      <c r="A771">
        <v>251315</v>
      </c>
      <c r="B771" t="str">
        <f>VLOOKUP(A771,Planilha2!$A$2:$C$5566,3,0)</f>
        <v>SANTA CECÍLIA</v>
      </c>
      <c r="C771" t="str">
        <f>VLOOKUP(A771,Planilha2!$A$2:$D$5566,4,0)</f>
        <v>PB</v>
      </c>
    </row>
    <row r="772" spans="1:3" x14ac:dyDescent="0.35">
      <c r="A772">
        <v>260360</v>
      </c>
      <c r="B772" t="str">
        <f>VLOOKUP(A772,Planilha2!$A$2:$C$5566,3,0)</f>
        <v>CAMUTANGA</v>
      </c>
      <c r="C772" t="str">
        <f>VLOOKUP(A772,Planilha2!$A$2:$D$5566,4,0)</f>
        <v>PE</v>
      </c>
    </row>
    <row r="773" spans="1:3" x14ac:dyDescent="0.35">
      <c r="A773">
        <v>251530</v>
      </c>
      <c r="B773" t="str">
        <f>VLOOKUP(A773,Planilha2!$A$2:$C$5566,3,0)</f>
        <v>SAPÉ</v>
      </c>
      <c r="C773" t="str">
        <f>VLOOKUP(A773,Planilha2!$A$2:$D$5566,4,0)</f>
        <v>PB</v>
      </c>
    </row>
    <row r="774" spans="1:3" x14ac:dyDescent="0.35">
      <c r="A774">
        <v>251275</v>
      </c>
      <c r="B774" t="str">
        <f>VLOOKUP(A774,Planilha2!$A$2:$C$5566,3,0)</f>
        <v>RIACHÃO DO BACAMARTE</v>
      </c>
      <c r="C774" t="str">
        <f>VLOOKUP(A774,Planilha2!$A$2:$D$5566,4,0)</f>
        <v>PB</v>
      </c>
    </row>
    <row r="775" spans="1:3" x14ac:dyDescent="0.35">
      <c r="A775">
        <v>251080</v>
      </c>
      <c r="B775" t="str">
        <f>VLOOKUP(A775,Planilha2!$A$2:$C$5566,3,0)</f>
        <v>PATOS</v>
      </c>
      <c r="C775" t="str">
        <f>VLOOKUP(A775,Planilha2!$A$2:$D$5566,4,0)</f>
        <v>PB</v>
      </c>
    </row>
    <row r="776" spans="1:3" x14ac:dyDescent="0.35">
      <c r="A776">
        <v>250485</v>
      </c>
      <c r="B776" t="str">
        <f>VLOOKUP(A776,Planilha2!$A$2:$C$5566,3,0)</f>
        <v>COXIXOLA</v>
      </c>
      <c r="C776" t="str">
        <f>VLOOKUP(A776,Planilha2!$A$2:$D$5566,4,0)</f>
        <v>PB</v>
      </c>
    </row>
    <row r="777" spans="1:3" x14ac:dyDescent="0.35">
      <c r="A777">
        <v>250435</v>
      </c>
      <c r="B777" t="str">
        <f>VLOOKUP(A777,Planilha2!$A$2:$C$5566,3,0)</f>
        <v>CATURITÉ</v>
      </c>
      <c r="C777" t="str">
        <f>VLOOKUP(A777,Planilha2!$A$2:$D$5566,4,0)</f>
        <v>PB</v>
      </c>
    </row>
    <row r="778" spans="1:3" x14ac:dyDescent="0.35">
      <c r="A778">
        <v>251270</v>
      </c>
      <c r="B778" t="str">
        <f>VLOOKUP(A778,Planilha2!$A$2:$C$5566,3,0)</f>
        <v>REMÍGIO</v>
      </c>
      <c r="C778" t="str">
        <f>VLOOKUP(A778,Planilha2!$A$2:$D$5566,4,0)</f>
        <v>PB</v>
      </c>
    </row>
    <row r="779" spans="1:3" x14ac:dyDescent="0.35">
      <c r="A779">
        <v>250407</v>
      </c>
      <c r="B779" t="str">
        <f>VLOOKUP(A779,Planilha2!$A$2:$C$5566,3,0)</f>
        <v>CARAÚBAS</v>
      </c>
      <c r="C779" t="str">
        <f>VLOOKUP(A779,Planilha2!$A$2:$D$5566,4,0)</f>
        <v>PB</v>
      </c>
    </row>
    <row r="780" spans="1:3" x14ac:dyDescent="0.35">
      <c r="A780">
        <v>251470</v>
      </c>
      <c r="B780" t="str">
        <f>VLOOKUP(A780,Planilha2!$A$2:$C$5566,3,0)</f>
        <v>SÃO JOSÉ DO SABUGI</v>
      </c>
      <c r="C780" t="str">
        <f>VLOOKUP(A780,Planilha2!$A$2:$D$5566,4,0)</f>
        <v>PB</v>
      </c>
    </row>
    <row r="781" spans="1:3" x14ac:dyDescent="0.35">
      <c r="A781">
        <v>250340</v>
      </c>
      <c r="B781" t="str">
        <f>VLOOKUP(A781,Planilha2!$A$2:$C$5566,3,0)</f>
        <v>CACIMBA DE AREIA</v>
      </c>
      <c r="C781" t="str">
        <f>VLOOKUP(A781,Planilha2!$A$2:$D$5566,4,0)</f>
        <v>PB</v>
      </c>
    </row>
    <row r="782" spans="1:3" x14ac:dyDescent="0.35">
      <c r="A782">
        <v>261640</v>
      </c>
      <c r="B782" t="str">
        <f>VLOOKUP(A782,Planilha2!$A$2:$C$5566,3,0)</f>
        <v>VITÓRIA DE SANTO ANTÃO</v>
      </c>
      <c r="C782" t="str">
        <f>VLOOKUP(A782,Planilha2!$A$2:$D$5566,4,0)</f>
        <v>PE</v>
      </c>
    </row>
    <row r="783" spans="1:3" x14ac:dyDescent="0.35">
      <c r="A783">
        <v>260720</v>
      </c>
      <c r="B783" t="str">
        <f>VLOOKUP(A783,Planilha2!$A$2:$C$5566,3,0)</f>
        <v>IPOJUCA</v>
      </c>
      <c r="C783" t="str">
        <f>VLOOKUP(A783,Planilha2!$A$2:$D$5566,4,0)</f>
        <v>PE</v>
      </c>
    </row>
    <row r="784" spans="1:3" x14ac:dyDescent="0.35">
      <c r="A784">
        <v>260140</v>
      </c>
      <c r="B784" t="str">
        <f>VLOOKUP(A784,Planilha2!$A$2:$C$5566,3,0)</f>
        <v>BARREIROS</v>
      </c>
      <c r="C784" t="str">
        <f>VLOOKUP(A784,Planilha2!$A$2:$D$5566,4,0)</f>
        <v>PE</v>
      </c>
    </row>
    <row r="785" spans="1:3" x14ac:dyDescent="0.35">
      <c r="A785">
        <v>260005</v>
      </c>
      <c r="B785" t="str">
        <f>VLOOKUP(A785,Planilha2!$A$2:$C$5566,3,0)</f>
        <v>ABREU E LIMA</v>
      </c>
      <c r="C785" t="str">
        <f>VLOOKUP(A785,Planilha2!$A$2:$D$5566,4,0)</f>
        <v>PE</v>
      </c>
    </row>
    <row r="786" spans="1:3" x14ac:dyDescent="0.35">
      <c r="A786">
        <v>261070</v>
      </c>
      <c r="B786" t="str">
        <f>VLOOKUP(A786,Planilha2!$A$2:$C$5566,3,0)</f>
        <v>PAULISTA</v>
      </c>
      <c r="C786" t="str">
        <f>VLOOKUP(A786,Planilha2!$A$2:$D$5566,4,0)</f>
        <v>PE</v>
      </c>
    </row>
    <row r="787" spans="1:3" x14ac:dyDescent="0.35">
      <c r="A787">
        <v>260960</v>
      </c>
      <c r="B787" t="str">
        <f>VLOOKUP(A787,Planilha2!$A$2:$C$5566,3,0)</f>
        <v>OLINDA</v>
      </c>
      <c r="C787" t="str">
        <f>VLOOKUP(A787,Planilha2!$A$2:$D$5566,4,0)</f>
        <v>PE</v>
      </c>
    </row>
    <row r="788" spans="1:3" x14ac:dyDescent="0.35">
      <c r="A788">
        <v>261230</v>
      </c>
      <c r="B788" t="str">
        <f>VLOOKUP(A788,Planilha2!$A$2:$C$5566,3,0)</f>
        <v>SALOÁ</v>
      </c>
      <c r="C788" t="str">
        <f>VLOOKUP(A788,Planilha2!$A$2:$D$5566,4,0)</f>
        <v>PE</v>
      </c>
    </row>
    <row r="789" spans="1:3" x14ac:dyDescent="0.35">
      <c r="A789">
        <v>261320</v>
      </c>
      <c r="B789" t="str">
        <f>VLOOKUP(A789,Planilha2!$A$2:$C$5566,3,0)</f>
        <v>SÃO JOÃO</v>
      </c>
      <c r="C789" t="str">
        <f>VLOOKUP(A789,Planilha2!$A$2:$D$5566,4,0)</f>
        <v>PE</v>
      </c>
    </row>
    <row r="790" spans="1:3" x14ac:dyDescent="0.35">
      <c r="A790">
        <v>260825</v>
      </c>
      <c r="B790" t="str">
        <f>VLOOKUP(A790,Planilha2!$A$2:$C$5566,3,0)</f>
        <v>JUCATI</v>
      </c>
      <c r="C790" t="str">
        <f>VLOOKUP(A790,Planilha2!$A$2:$D$5566,4,0)</f>
        <v>PE</v>
      </c>
    </row>
    <row r="791" spans="1:3" x14ac:dyDescent="0.35">
      <c r="A791">
        <v>260100</v>
      </c>
      <c r="B791" t="str">
        <f>VLOOKUP(A791,Planilha2!$A$2:$C$5566,3,0)</f>
        <v>ANGELIM</v>
      </c>
      <c r="C791" t="str">
        <f>VLOOKUP(A791,Planilha2!$A$2:$D$5566,4,0)</f>
        <v>PE</v>
      </c>
    </row>
    <row r="792" spans="1:3" x14ac:dyDescent="0.35">
      <c r="A792">
        <v>261110</v>
      </c>
      <c r="B792" t="str">
        <f>VLOOKUP(A792,Planilha2!$A$2:$C$5566,3,0)</f>
        <v>PETROLINA</v>
      </c>
      <c r="C792" t="str">
        <f>VLOOKUP(A792,Planilha2!$A$2:$D$5566,4,0)</f>
        <v>PE</v>
      </c>
    </row>
    <row r="793" spans="1:3" x14ac:dyDescent="0.35">
      <c r="A793">
        <v>260530</v>
      </c>
      <c r="B793" t="str">
        <f>VLOOKUP(A793,Planilha2!$A$2:$C$5566,3,0)</f>
        <v>EXU</v>
      </c>
      <c r="C793" t="str">
        <f>VLOOKUP(A793,Planilha2!$A$2:$D$5566,4,0)</f>
        <v>PE</v>
      </c>
    </row>
    <row r="794" spans="1:3" x14ac:dyDescent="0.35">
      <c r="A794">
        <v>260200</v>
      </c>
      <c r="B794" t="str">
        <f>VLOOKUP(A794,Planilha2!$A$2:$C$5566,3,0)</f>
        <v>BODOCÓ</v>
      </c>
      <c r="C794" t="str">
        <f>VLOOKUP(A794,Planilha2!$A$2:$D$5566,4,0)</f>
        <v>PE</v>
      </c>
    </row>
    <row r="795" spans="1:3" x14ac:dyDescent="0.35">
      <c r="A795">
        <v>261170</v>
      </c>
      <c r="B795" t="str">
        <f>VLOOKUP(A795,Planilha2!$A$2:$C$5566,3,0)</f>
        <v>RIACHO DAS ALMAS</v>
      </c>
      <c r="C795" t="str">
        <f>VLOOKUP(A795,Planilha2!$A$2:$D$5566,4,0)</f>
        <v>PE</v>
      </c>
    </row>
    <row r="796" spans="1:3" x14ac:dyDescent="0.35">
      <c r="A796">
        <v>260310</v>
      </c>
      <c r="B796" t="str">
        <f>VLOOKUP(A796,Planilha2!$A$2:$C$5566,3,0)</f>
        <v>CACHOEIRINHA</v>
      </c>
      <c r="C796" t="str">
        <f>VLOOKUP(A796,Planilha2!$A$2:$D$5566,4,0)</f>
        <v>PE</v>
      </c>
    </row>
    <row r="797" spans="1:3" x14ac:dyDescent="0.35">
      <c r="A797">
        <v>261500</v>
      </c>
      <c r="B797" t="str">
        <f>VLOOKUP(A797,Planilha2!$A$2:$C$5566,3,0)</f>
        <v>TAQUARITINGA DO NORTE</v>
      </c>
      <c r="C797" t="str">
        <f>VLOOKUP(A797,Planilha2!$A$2:$D$5566,4,0)</f>
        <v>PE</v>
      </c>
    </row>
    <row r="798" spans="1:3" x14ac:dyDescent="0.35">
      <c r="A798">
        <v>260260</v>
      </c>
      <c r="B798" t="str">
        <f>VLOOKUP(A798,Planilha2!$A$2:$C$5566,3,0)</f>
        <v>BREJO DA MADRE DE DEUS</v>
      </c>
      <c r="C798" t="str">
        <f>VLOOKUP(A798,Planilha2!$A$2:$D$5566,4,0)</f>
        <v>PE</v>
      </c>
    </row>
    <row r="799" spans="1:3" x14ac:dyDescent="0.35">
      <c r="A799">
        <v>261000</v>
      </c>
      <c r="B799" t="str">
        <f>VLOOKUP(A799,Planilha2!$A$2:$C$5566,3,0)</f>
        <v>PALMARES</v>
      </c>
      <c r="C799" t="str">
        <f>VLOOKUP(A799,Planilha2!$A$2:$D$5566,4,0)</f>
        <v>PE</v>
      </c>
    </row>
    <row r="800" spans="1:3" x14ac:dyDescent="0.35">
      <c r="A800">
        <v>261190</v>
      </c>
      <c r="B800" t="str">
        <f>VLOOKUP(A800,Planilha2!$A$2:$C$5566,3,0)</f>
        <v>RIO FORMOSO</v>
      </c>
      <c r="C800" t="str">
        <f>VLOOKUP(A800,Planilha2!$A$2:$D$5566,4,0)</f>
        <v>PE</v>
      </c>
    </row>
    <row r="801" spans="1:3" x14ac:dyDescent="0.35">
      <c r="A801">
        <v>261150</v>
      </c>
      <c r="B801" t="str">
        <f>VLOOKUP(A801,Planilha2!$A$2:$C$5566,3,0)</f>
        <v>QUIPAPÁ</v>
      </c>
      <c r="C801" t="str">
        <f>VLOOKUP(A801,Planilha2!$A$2:$D$5566,4,0)</f>
        <v>PE</v>
      </c>
    </row>
    <row r="802" spans="1:3" x14ac:dyDescent="0.35">
      <c r="A802">
        <v>260520</v>
      </c>
      <c r="B802" t="str">
        <f>VLOOKUP(A802,Planilha2!$A$2:$C$5566,3,0)</f>
        <v>ESCADA</v>
      </c>
      <c r="C802" t="str">
        <f>VLOOKUP(A802,Planilha2!$A$2:$D$5566,4,0)</f>
        <v>PE</v>
      </c>
    </row>
    <row r="803" spans="1:3" x14ac:dyDescent="0.35">
      <c r="A803">
        <v>260040</v>
      </c>
      <c r="B803" t="str">
        <f>VLOOKUP(A803,Planilha2!$A$2:$C$5566,3,0)</f>
        <v>ÁGUA PRETA</v>
      </c>
      <c r="C803" t="str">
        <f>VLOOKUP(A803,Planilha2!$A$2:$D$5566,4,0)</f>
        <v>PE</v>
      </c>
    </row>
    <row r="804" spans="1:3" x14ac:dyDescent="0.35">
      <c r="A804">
        <v>260350</v>
      </c>
      <c r="B804" t="str">
        <f>VLOOKUP(A804,Planilha2!$A$2:$C$5566,3,0)</f>
        <v>CAMOCIM DE SÃO FÉLIX</v>
      </c>
      <c r="C804" t="str">
        <f>VLOOKUP(A804,Planilha2!$A$2:$D$5566,4,0)</f>
        <v>PE</v>
      </c>
    </row>
    <row r="805" spans="1:3" x14ac:dyDescent="0.35">
      <c r="A805">
        <v>261420</v>
      </c>
      <c r="B805" t="str">
        <f>VLOOKUP(A805,Planilha2!$A$2:$C$5566,3,0)</f>
        <v>SIRINHAÉM</v>
      </c>
      <c r="C805" t="str">
        <f>VLOOKUP(A805,Planilha2!$A$2:$D$5566,4,0)</f>
        <v>PE</v>
      </c>
    </row>
    <row r="806" spans="1:3" x14ac:dyDescent="0.35">
      <c r="A806">
        <v>260450</v>
      </c>
      <c r="B806" t="str">
        <f>VLOOKUP(A806,Planilha2!$A$2:$C$5566,3,0)</f>
        <v>CHÃ GRANDE</v>
      </c>
      <c r="C806" t="str">
        <f>VLOOKUP(A806,Planilha2!$A$2:$D$5566,4,0)</f>
        <v>PE</v>
      </c>
    </row>
    <row r="807" spans="1:3" x14ac:dyDescent="0.35">
      <c r="A807">
        <v>260640</v>
      </c>
      <c r="B807" t="str">
        <f>VLOOKUP(A807,Planilha2!$A$2:$C$5566,3,0)</f>
        <v>GRAVATÁ</v>
      </c>
      <c r="C807" t="str">
        <f>VLOOKUP(A807,Planilha2!$A$2:$D$5566,4,0)</f>
        <v>PE</v>
      </c>
    </row>
    <row r="808" spans="1:3" x14ac:dyDescent="0.35">
      <c r="A808">
        <v>260420</v>
      </c>
      <c r="B808" t="str">
        <f>VLOOKUP(A808,Planilha2!$A$2:$C$5566,3,0)</f>
        <v>CATENDE</v>
      </c>
      <c r="C808" t="str">
        <f>VLOOKUP(A808,Planilha2!$A$2:$D$5566,4,0)</f>
        <v>PE</v>
      </c>
    </row>
    <row r="809" spans="1:3" x14ac:dyDescent="0.35">
      <c r="A809">
        <v>260090</v>
      </c>
      <c r="B809" t="str">
        <f>VLOOKUP(A809,Planilha2!$A$2:$C$5566,3,0)</f>
        <v>AMARAJI</v>
      </c>
      <c r="C809" t="str">
        <f>VLOOKUP(A809,Planilha2!$A$2:$D$5566,4,0)</f>
        <v>PE</v>
      </c>
    </row>
    <row r="810" spans="1:3" x14ac:dyDescent="0.35">
      <c r="A810">
        <v>260160</v>
      </c>
      <c r="B810" t="str">
        <f>VLOOKUP(A810,Planilha2!$A$2:$C$5566,3,0)</f>
        <v>BELÉM DE SÃO FRANCISCO</v>
      </c>
      <c r="C810" t="str">
        <f>VLOOKUP(A810,Planilha2!$A$2:$D$5566,4,0)</f>
        <v>PE</v>
      </c>
    </row>
    <row r="811" spans="1:3" x14ac:dyDescent="0.35">
      <c r="A811">
        <v>260930</v>
      </c>
      <c r="B811" t="str">
        <f>VLOOKUP(A811,Planilha2!$A$2:$C$5566,3,0)</f>
        <v>MIRANDIBA</v>
      </c>
      <c r="C811" t="str">
        <f>VLOOKUP(A811,Planilha2!$A$2:$D$5566,4,0)</f>
        <v>PE</v>
      </c>
    </row>
    <row r="812" spans="1:3" x14ac:dyDescent="0.35">
      <c r="A812">
        <v>261130</v>
      </c>
      <c r="B812" t="str">
        <f>VLOOKUP(A812,Planilha2!$A$2:$C$5566,3,0)</f>
        <v>POMBOS</v>
      </c>
      <c r="C812" t="str">
        <f>VLOOKUP(A812,Planilha2!$A$2:$D$5566,4,0)</f>
        <v>PE</v>
      </c>
    </row>
    <row r="813" spans="1:3" x14ac:dyDescent="0.35">
      <c r="A813">
        <v>260345</v>
      </c>
      <c r="B813" t="str">
        <f>VLOOKUP(A813,Planilha2!$A$2:$C$5566,3,0)</f>
        <v>CAMARAGIBE</v>
      </c>
      <c r="C813" t="str">
        <f>VLOOKUP(A813,Planilha2!$A$2:$D$5566,4,0)</f>
        <v>PE</v>
      </c>
    </row>
    <row r="814" spans="1:3" x14ac:dyDescent="0.35">
      <c r="A814">
        <v>260190</v>
      </c>
      <c r="B814" t="str">
        <f>VLOOKUP(A814,Planilha2!$A$2:$C$5566,3,0)</f>
        <v>BEZERROS</v>
      </c>
      <c r="C814" t="str">
        <f>VLOOKUP(A814,Planilha2!$A$2:$D$5566,4,0)</f>
        <v>PE</v>
      </c>
    </row>
    <row r="815" spans="1:3" x14ac:dyDescent="0.35">
      <c r="A815">
        <v>261300</v>
      </c>
      <c r="B815" t="str">
        <f>VLOOKUP(A815,Planilha2!$A$2:$C$5566,3,0)</f>
        <v>SÃO BENTO DO UNA</v>
      </c>
      <c r="C815" t="str">
        <f>VLOOKUP(A815,Planilha2!$A$2:$D$5566,4,0)</f>
        <v>PE</v>
      </c>
    </row>
    <row r="816" spans="1:3" x14ac:dyDescent="0.35">
      <c r="A816">
        <v>260560</v>
      </c>
      <c r="B816" t="str">
        <f>VLOOKUP(A816,Planilha2!$A$2:$C$5566,3,0)</f>
        <v>FLORES</v>
      </c>
      <c r="C816" t="str">
        <f>VLOOKUP(A816,Planilha2!$A$2:$D$5566,4,0)</f>
        <v>PE</v>
      </c>
    </row>
    <row r="817" spans="1:3" x14ac:dyDescent="0.35">
      <c r="A817">
        <v>261247</v>
      </c>
      <c r="B817" t="str">
        <f>VLOOKUP(A817,Planilha2!$A$2:$C$5566,3,0)</f>
        <v>SANTA CRUZ DA BAIXA VERDE</v>
      </c>
      <c r="C817" t="str">
        <f>VLOOKUP(A817,Planilha2!$A$2:$D$5566,4,0)</f>
        <v>PE</v>
      </c>
    </row>
    <row r="818" spans="1:3" x14ac:dyDescent="0.35">
      <c r="A818">
        <v>261630</v>
      </c>
      <c r="B818" t="str">
        <f>VLOOKUP(A818,Planilha2!$A$2:$C$5566,3,0)</f>
        <v>VICÊNCIA</v>
      </c>
      <c r="C818" t="str">
        <f>VLOOKUP(A818,Planilha2!$A$2:$D$5566,4,0)</f>
        <v>PE</v>
      </c>
    </row>
    <row r="819" spans="1:3" x14ac:dyDescent="0.35">
      <c r="A819">
        <v>260900</v>
      </c>
      <c r="B819" t="str">
        <f>VLOOKUP(A819,Planilha2!$A$2:$C$5566,3,0)</f>
        <v>MACAPARANA</v>
      </c>
      <c r="C819" t="str">
        <f>VLOOKUP(A819,Planilha2!$A$2:$D$5566,4,0)</f>
        <v>PE</v>
      </c>
    </row>
    <row r="820" spans="1:3" x14ac:dyDescent="0.35">
      <c r="A820">
        <v>260620</v>
      </c>
      <c r="B820" t="str">
        <f>VLOOKUP(A820,Planilha2!$A$2:$C$5566,3,0)</f>
        <v>GOIANA</v>
      </c>
      <c r="C820" t="str">
        <f>VLOOKUP(A820,Planilha2!$A$2:$D$5566,4,0)</f>
        <v>PE</v>
      </c>
    </row>
    <row r="821" spans="1:3" x14ac:dyDescent="0.35">
      <c r="A821">
        <v>260070</v>
      </c>
      <c r="B821" t="str">
        <f>VLOOKUP(A821,Planilha2!$A$2:$C$5566,3,0)</f>
        <v>ALIANÇA</v>
      </c>
      <c r="C821" t="str">
        <f>VLOOKUP(A821,Planilha2!$A$2:$D$5566,4,0)</f>
        <v>PE</v>
      </c>
    </row>
    <row r="822" spans="1:3" x14ac:dyDescent="0.35">
      <c r="A822">
        <v>260600</v>
      </c>
      <c r="B822" t="str">
        <f>VLOOKUP(A822,Planilha2!$A$2:$C$5566,3,0)</f>
        <v>GARANHUNS</v>
      </c>
      <c r="C822" t="str">
        <f>VLOOKUP(A822,Planilha2!$A$2:$D$5566,4,0)</f>
        <v>PE</v>
      </c>
    </row>
    <row r="823" spans="1:3" x14ac:dyDescent="0.35">
      <c r="A823">
        <v>260240</v>
      </c>
      <c r="B823" t="str">
        <f>VLOOKUP(A823,Planilha2!$A$2:$C$5566,3,0)</f>
        <v>BREJÃO</v>
      </c>
      <c r="C823" t="str">
        <f>VLOOKUP(A823,Planilha2!$A$2:$D$5566,4,0)</f>
        <v>PE</v>
      </c>
    </row>
    <row r="824" spans="1:3" x14ac:dyDescent="0.35">
      <c r="A824">
        <v>290720</v>
      </c>
      <c r="B824" t="str">
        <f>VLOOKUP(A824,Planilha2!$A$2:$C$5566,3,0)</f>
        <v>CASA NOVA</v>
      </c>
      <c r="C824" t="str">
        <f>VLOOKUP(A824,Planilha2!$A$2:$D$5566,4,0)</f>
        <v>BA</v>
      </c>
    </row>
    <row r="825" spans="1:3" x14ac:dyDescent="0.35">
      <c r="A825">
        <v>291840</v>
      </c>
      <c r="B825" t="str">
        <f>VLOOKUP(A825,Planilha2!$A$2:$C$5566,3,0)</f>
        <v>JUAZEIRO</v>
      </c>
      <c r="C825" t="str">
        <f>VLOOKUP(A825,Planilha2!$A$2:$D$5566,4,0)</f>
        <v>BA</v>
      </c>
    </row>
    <row r="826" spans="1:3" x14ac:dyDescent="0.35">
      <c r="A826">
        <v>261220</v>
      </c>
      <c r="B826" t="str">
        <f>VLOOKUP(A826,Planilha2!$A$2:$C$5566,3,0)</f>
        <v>SALGUEIRO</v>
      </c>
      <c r="C826" t="str">
        <f>VLOOKUP(A826,Planilha2!$A$2:$D$5566,4,0)</f>
        <v>PE</v>
      </c>
    </row>
    <row r="827" spans="1:3" x14ac:dyDescent="0.35">
      <c r="A827">
        <v>261260</v>
      </c>
      <c r="B827" t="str">
        <f>VLOOKUP(A827,Planilha2!$A$2:$C$5566,3,0)</f>
        <v>SANTA MARIA DA BOA VISTA</v>
      </c>
      <c r="C827" t="str">
        <f>VLOOKUP(A827,Planilha2!$A$2:$D$5566,4,0)</f>
        <v>PE</v>
      </c>
    </row>
    <row r="828" spans="1:3" x14ac:dyDescent="0.35">
      <c r="A828">
        <v>260730</v>
      </c>
      <c r="B828" t="str">
        <f>VLOOKUP(A828,Planilha2!$A$2:$C$5566,3,0)</f>
        <v>IPUBI</v>
      </c>
      <c r="C828" t="str">
        <f>VLOOKUP(A828,Planilha2!$A$2:$D$5566,4,0)</f>
        <v>PE</v>
      </c>
    </row>
    <row r="829" spans="1:3" x14ac:dyDescent="0.35">
      <c r="A829">
        <v>270642</v>
      </c>
      <c r="B829" t="str">
        <f>VLOOKUP(A829,Planilha2!$A$2:$C$5566,3,0)</f>
        <v>PARICONHA</v>
      </c>
      <c r="C829" t="str">
        <f>VLOOKUP(A829,Planilha2!$A$2:$D$5566,4,0)</f>
        <v>AL</v>
      </c>
    </row>
    <row r="830" spans="1:3" x14ac:dyDescent="0.35">
      <c r="A830">
        <v>261153</v>
      </c>
      <c r="B830" t="str">
        <f>VLOOKUP(A830,Planilha2!$A$2:$C$5566,3,0)</f>
        <v>QUIXABA</v>
      </c>
      <c r="C830" t="str">
        <f>VLOOKUP(A830,Planilha2!$A$2:$D$5566,4,0)</f>
        <v>PE</v>
      </c>
    </row>
    <row r="831" spans="1:3" x14ac:dyDescent="0.35">
      <c r="A831">
        <v>260660</v>
      </c>
      <c r="B831" t="str">
        <f>VLOOKUP(A831,Planilha2!$A$2:$C$5566,3,0)</f>
        <v>IBIMIRIM</v>
      </c>
      <c r="C831" t="str">
        <f>VLOOKUP(A831,Planilha2!$A$2:$D$5566,4,0)</f>
        <v>PE</v>
      </c>
    </row>
    <row r="832" spans="1:3" x14ac:dyDescent="0.35">
      <c r="A832">
        <v>260210</v>
      </c>
      <c r="B832" t="str">
        <f>VLOOKUP(A832,Planilha2!$A$2:$C$5566,3,0)</f>
        <v>BOM CONSELHO</v>
      </c>
      <c r="C832" t="str">
        <f>VLOOKUP(A832,Planilha2!$A$2:$D$5566,4,0)</f>
        <v>PE</v>
      </c>
    </row>
    <row r="833" spans="1:3" x14ac:dyDescent="0.35">
      <c r="A833">
        <v>261330</v>
      </c>
      <c r="B833" t="str">
        <f>VLOOKUP(A833,Planilha2!$A$2:$C$5566,3,0)</f>
        <v>SÃO JOAQUIM DO MONTE</v>
      </c>
      <c r="C833" t="str">
        <f>VLOOKUP(A833,Planilha2!$A$2:$D$5566,4,0)</f>
        <v>PE</v>
      </c>
    </row>
    <row r="834" spans="1:3" x14ac:dyDescent="0.35">
      <c r="A834">
        <v>260500</v>
      </c>
      <c r="B834" t="str">
        <f>VLOOKUP(A834,Planilha2!$A$2:$C$5566,3,0)</f>
        <v>CUPIRA</v>
      </c>
      <c r="C834" t="str">
        <f>VLOOKUP(A834,Planilha2!$A$2:$D$5566,4,0)</f>
        <v>PE</v>
      </c>
    </row>
    <row r="835" spans="1:3" x14ac:dyDescent="0.35">
      <c r="A835">
        <v>261250</v>
      </c>
      <c r="B835" t="str">
        <f>VLOOKUP(A835,Planilha2!$A$2:$C$5566,3,0)</f>
        <v>SANTA CRUZ DO CAPIBARIBE</v>
      </c>
      <c r="C835" t="str">
        <f>VLOOKUP(A835,Planilha2!$A$2:$D$5566,4,0)</f>
        <v>PE</v>
      </c>
    </row>
    <row r="836" spans="1:3" x14ac:dyDescent="0.35">
      <c r="A836">
        <v>260370</v>
      </c>
      <c r="B836" t="str">
        <f>VLOOKUP(A836,Planilha2!$A$2:$C$5566,3,0)</f>
        <v>CANHOTINHO</v>
      </c>
      <c r="C836" t="str">
        <f>VLOOKUP(A836,Planilha2!$A$2:$D$5566,4,0)</f>
        <v>PE</v>
      </c>
    </row>
    <row r="837" spans="1:3" x14ac:dyDescent="0.35">
      <c r="A837">
        <v>260130</v>
      </c>
      <c r="B837" t="str">
        <f>VLOOKUP(A837,Planilha2!$A$2:$C$5566,3,0)</f>
        <v>BARRA DE GUABIRABA</v>
      </c>
      <c r="C837" t="str">
        <f>VLOOKUP(A837,Planilha2!$A$2:$D$5566,4,0)</f>
        <v>PE</v>
      </c>
    </row>
    <row r="838" spans="1:3" x14ac:dyDescent="0.35">
      <c r="A838">
        <v>260030</v>
      </c>
      <c r="B838" t="str">
        <f>VLOOKUP(A838,Planilha2!$A$2:$C$5566,3,0)</f>
        <v>AGRESTINA</v>
      </c>
      <c r="C838" t="str">
        <f>VLOOKUP(A838,Planilha2!$A$2:$D$5566,4,0)</f>
        <v>PE</v>
      </c>
    </row>
    <row r="839" spans="1:3" x14ac:dyDescent="0.35">
      <c r="A839">
        <v>260170</v>
      </c>
      <c r="B839" t="str">
        <f>VLOOKUP(A839,Planilha2!$A$2:$C$5566,3,0)</f>
        <v>BELO JARDIM</v>
      </c>
      <c r="C839" t="str">
        <f>VLOOKUP(A839,Planilha2!$A$2:$D$5566,4,0)</f>
        <v>PE</v>
      </c>
    </row>
    <row r="840" spans="1:3" x14ac:dyDescent="0.35">
      <c r="A840">
        <v>260850</v>
      </c>
      <c r="B840" t="str">
        <f>VLOOKUP(A840,Planilha2!$A$2:$C$5566,3,0)</f>
        <v>LAGOA DO ITAENGA</v>
      </c>
      <c r="C840" t="str">
        <f>VLOOKUP(A840,Planilha2!$A$2:$D$5566,4,0)</f>
        <v>PE</v>
      </c>
    </row>
    <row r="841" spans="1:3" x14ac:dyDescent="0.35">
      <c r="A841">
        <v>260400</v>
      </c>
      <c r="B841" t="str">
        <f>VLOOKUP(A841,Planilha2!$A$2:$C$5566,3,0)</f>
        <v>CARPINA</v>
      </c>
      <c r="C841" t="str">
        <f>VLOOKUP(A841,Planilha2!$A$2:$D$5566,4,0)</f>
        <v>PE</v>
      </c>
    </row>
    <row r="842" spans="1:3" x14ac:dyDescent="0.35">
      <c r="A842">
        <v>292400</v>
      </c>
      <c r="B842" t="str">
        <f>VLOOKUP(A842,Planilha2!$A$2:$C$5566,3,0)</f>
        <v>PAULO AFONSO</v>
      </c>
      <c r="C842" t="str">
        <f>VLOOKUP(A842,Planilha2!$A$2:$D$5566,4,0)</f>
        <v>BA</v>
      </c>
    </row>
    <row r="843" spans="1:3" x14ac:dyDescent="0.35">
      <c r="A843">
        <v>260890</v>
      </c>
      <c r="B843" t="str">
        <f>VLOOKUP(A843,Planilha2!$A$2:$C$5566,3,0)</f>
        <v>LIMOEIRO</v>
      </c>
      <c r="C843" t="str">
        <f>VLOOKUP(A843,Planilha2!$A$2:$D$5566,4,0)</f>
        <v>PE</v>
      </c>
    </row>
    <row r="844" spans="1:3" x14ac:dyDescent="0.35">
      <c r="A844">
        <v>260680</v>
      </c>
      <c r="B844" t="str">
        <f>VLOOKUP(A844,Planilha2!$A$2:$C$5566,3,0)</f>
        <v>IGARASSU</v>
      </c>
      <c r="C844" t="str">
        <f>VLOOKUP(A844,Planilha2!$A$2:$D$5566,4,0)</f>
        <v>PE</v>
      </c>
    </row>
    <row r="845" spans="1:3" x14ac:dyDescent="0.35">
      <c r="A845">
        <v>261180</v>
      </c>
      <c r="B845" t="str">
        <f>VLOOKUP(A845,Planilha2!$A$2:$C$5566,3,0)</f>
        <v>RIBEIRÃO</v>
      </c>
      <c r="C845" t="str">
        <f>VLOOKUP(A845,Planilha2!$A$2:$D$5566,4,0)</f>
        <v>PE</v>
      </c>
    </row>
    <row r="846" spans="1:3" x14ac:dyDescent="0.35">
      <c r="A846">
        <v>260950</v>
      </c>
      <c r="B846" t="str">
        <f>VLOOKUP(A846,Planilha2!$A$2:$C$5566,3,0)</f>
        <v>NAZARÉ DA MATA</v>
      </c>
      <c r="C846" t="str">
        <f>VLOOKUP(A846,Planilha2!$A$2:$D$5566,4,0)</f>
        <v>PE</v>
      </c>
    </row>
    <row r="847" spans="1:3" x14ac:dyDescent="0.35">
      <c r="A847">
        <v>260460</v>
      </c>
      <c r="B847" t="str">
        <f>VLOOKUP(A847,Planilha2!$A$2:$C$5566,3,0)</f>
        <v>CONDADO</v>
      </c>
      <c r="C847" t="str">
        <f>VLOOKUP(A847,Planilha2!$A$2:$D$5566,4,0)</f>
        <v>PE</v>
      </c>
    </row>
    <row r="848" spans="1:3" x14ac:dyDescent="0.35">
      <c r="A848">
        <v>260775</v>
      </c>
      <c r="B848" t="str">
        <f>VLOOKUP(A848,Planilha2!$A$2:$C$5566,3,0)</f>
        <v>ITAPISSUMA</v>
      </c>
      <c r="C848" t="str">
        <f>VLOOKUP(A848,Planilha2!$A$2:$D$5566,4,0)</f>
        <v>PE</v>
      </c>
    </row>
    <row r="849" spans="1:3" x14ac:dyDescent="0.35">
      <c r="A849">
        <v>261060</v>
      </c>
      <c r="B849" t="str">
        <f>VLOOKUP(A849,Planilha2!$A$2:$C$5566,3,0)</f>
        <v>PAUDALHO</v>
      </c>
      <c r="C849" t="str">
        <f>VLOOKUP(A849,Planilha2!$A$2:$D$5566,4,0)</f>
        <v>PE</v>
      </c>
    </row>
    <row r="850" spans="1:3" x14ac:dyDescent="0.35">
      <c r="A850">
        <v>260380</v>
      </c>
      <c r="B850" t="str">
        <f>VLOOKUP(A850,Planilha2!$A$2:$C$5566,3,0)</f>
        <v>CAPOEIRAS</v>
      </c>
      <c r="C850" t="str">
        <f>VLOOKUP(A850,Planilha2!$A$2:$D$5566,4,0)</f>
        <v>PE</v>
      </c>
    </row>
    <row r="851" spans="1:3" x14ac:dyDescent="0.35">
      <c r="A851">
        <v>260805</v>
      </c>
      <c r="B851" t="str">
        <f>VLOOKUP(A851,Planilha2!$A$2:$C$5566,3,0)</f>
        <v>JATOBÁ</v>
      </c>
      <c r="C851" t="str">
        <f>VLOOKUP(A851,Planilha2!$A$2:$D$5566,4,0)</f>
        <v>PE</v>
      </c>
    </row>
    <row r="852" spans="1:3" x14ac:dyDescent="0.35">
      <c r="A852">
        <v>261450</v>
      </c>
      <c r="B852" t="str">
        <f>VLOOKUP(A852,Planilha2!$A$2:$C$5566,3,0)</f>
        <v>SURUBIM</v>
      </c>
      <c r="C852" t="str">
        <f>VLOOKUP(A852,Planilha2!$A$2:$D$5566,4,0)</f>
        <v>PE</v>
      </c>
    </row>
    <row r="853" spans="1:3" x14ac:dyDescent="0.35">
      <c r="A853">
        <v>270060</v>
      </c>
      <c r="B853" t="str">
        <f>VLOOKUP(A853,Planilha2!$A$2:$C$5566,3,0)</f>
        <v>BARRA DE SÃO MIGUEL</v>
      </c>
      <c r="C853" t="str">
        <f>VLOOKUP(A853,Planilha2!$A$2:$D$5566,4,0)</f>
        <v>AL</v>
      </c>
    </row>
    <row r="854" spans="1:3" x14ac:dyDescent="0.35">
      <c r="A854">
        <v>270310</v>
      </c>
      <c r="B854" t="str">
        <f>VLOOKUP(A854,Planilha2!$A$2:$C$5566,3,0)</f>
        <v>IGACI</v>
      </c>
      <c r="C854" t="str">
        <f>VLOOKUP(A854,Planilha2!$A$2:$D$5566,4,0)</f>
        <v>AL</v>
      </c>
    </row>
    <row r="855" spans="1:3" x14ac:dyDescent="0.35">
      <c r="A855">
        <v>280620</v>
      </c>
      <c r="B855" t="str">
        <f>VLOOKUP(A855,Planilha2!$A$2:$C$5566,3,0)</f>
        <v>SALGADO</v>
      </c>
      <c r="C855" t="str">
        <f>VLOOKUP(A855,Planilha2!$A$2:$D$5566,4,0)</f>
        <v>SE</v>
      </c>
    </row>
    <row r="856" spans="1:3" x14ac:dyDescent="0.35">
      <c r="A856">
        <v>280030</v>
      </c>
      <c r="B856" t="str">
        <f>VLOOKUP(A856,Planilha2!$A$2:$C$5566,3,0)</f>
        <v>ARACAJU</v>
      </c>
      <c r="C856" t="str">
        <f>VLOOKUP(A856,Planilha2!$A$2:$D$5566,4,0)</f>
        <v>SE</v>
      </c>
    </row>
    <row r="857" spans="1:3" x14ac:dyDescent="0.35">
      <c r="A857">
        <v>280070</v>
      </c>
      <c r="B857" t="str">
        <f>VLOOKUP(A857,Planilha2!$A$2:$C$5566,3,0)</f>
        <v>BREJO GRANDE</v>
      </c>
      <c r="C857" t="str">
        <f>VLOOKUP(A857,Planilha2!$A$2:$D$5566,4,0)</f>
        <v>SE</v>
      </c>
    </row>
    <row r="858" spans="1:3" x14ac:dyDescent="0.35">
      <c r="A858">
        <v>280290</v>
      </c>
      <c r="B858" t="str">
        <f>VLOOKUP(A858,Planilha2!$A$2:$C$5566,3,0)</f>
        <v>ITABAIANA</v>
      </c>
      <c r="C858" t="str">
        <f>VLOOKUP(A858,Planilha2!$A$2:$D$5566,4,0)</f>
        <v>SE</v>
      </c>
    </row>
    <row r="859" spans="1:3" x14ac:dyDescent="0.35">
      <c r="A859">
        <v>280530</v>
      </c>
      <c r="B859" t="str">
        <f>VLOOKUP(A859,Planilha2!$A$2:$C$5566,3,0)</f>
        <v>PIRAMBU</v>
      </c>
      <c r="C859" t="str">
        <f>VLOOKUP(A859,Planilha2!$A$2:$D$5566,4,0)</f>
        <v>SE</v>
      </c>
    </row>
    <row r="860" spans="1:3" x14ac:dyDescent="0.35">
      <c r="A860">
        <v>280060</v>
      </c>
      <c r="B860" t="str">
        <f>VLOOKUP(A860,Planilha2!$A$2:$C$5566,3,0)</f>
        <v>BARRA DOS COQUEIROS</v>
      </c>
      <c r="C860" t="str">
        <f>VLOOKUP(A860,Planilha2!$A$2:$D$5566,4,0)</f>
        <v>SE</v>
      </c>
    </row>
    <row r="861" spans="1:3" x14ac:dyDescent="0.35">
      <c r="A861">
        <v>280450</v>
      </c>
      <c r="B861" t="str">
        <f>VLOOKUP(A861,Planilha2!$A$2:$C$5566,3,0)</f>
        <v>NOSSA SENHORA DA GLÓRIA</v>
      </c>
      <c r="C861" t="str">
        <f>VLOOKUP(A861,Planilha2!$A$2:$D$5566,4,0)</f>
        <v>SE</v>
      </c>
    </row>
    <row r="862" spans="1:3" x14ac:dyDescent="0.35">
      <c r="A862">
        <v>280230</v>
      </c>
      <c r="B862" t="str">
        <f>VLOOKUP(A862,Planilha2!$A$2:$C$5566,3,0)</f>
        <v>FREI PAULO</v>
      </c>
      <c r="C862" t="str">
        <f>VLOOKUP(A862,Planilha2!$A$2:$D$5566,4,0)</f>
        <v>SE</v>
      </c>
    </row>
    <row r="863" spans="1:3" x14ac:dyDescent="0.35">
      <c r="A863">
        <v>280720</v>
      </c>
      <c r="B863" t="str">
        <f>VLOOKUP(A863,Planilha2!$A$2:$C$5566,3,0)</f>
        <v>SIRIRI</v>
      </c>
      <c r="C863" t="str">
        <f>VLOOKUP(A863,Planilha2!$A$2:$D$5566,4,0)</f>
        <v>SE</v>
      </c>
    </row>
    <row r="864" spans="1:3" x14ac:dyDescent="0.35">
      <c r="A864">
        <v>280240</v>
      </c>
      <c r="B864" t="str">
        <f>VLOOKUP(A864,Planilha2!$A$2:$C$5566,3,0)</f>
        <v>GARARU</v>
      </c>
      <c r="C864" t="str">
        <f>VLOOKUP(A864,Planilha2!$A$2:$D$5566,4,0)</f>
        <v>SE</v>
      </c>
    </row>
    <row r="865" spans="1:3" x14ac:dyDescent="0.35">
      <c r="A865">
        <v>280390</v>
      </c>
      <c r="B865" t="str">
        <f>VLOOKUP(A865,Planilha2!$A$2:$C$5566,3,0)</f>
        <v>MALHADOR</v>
      </c>
      <c r="C865" t="str">
        <f>VLOOKUP(A865,Planilha2!$A$2:$D$5566,4,0)</f>
        <v>SE</v>
      </c>
    </row>
    <row r="866" spans="1:3" x14ac:dyDescent="0.35">
      <c r="A866">
        <v>280580</v>
      </c>
      <c r="B866" t="str">
        <f>VLOOKUP(A866,Planilha2!$A$2:$C$5566,3,0)</f>
        <v>RIACHÃO DO DANTAS</v>
      </c>
      <c r="C866" t="str">
        <f>VLOOKUP(A866,Planilha2!$A$2:$D$5566,4,0)</f>
        <v>SE</v>
      </c>
    </row>
    <row r="867" spans="1:3" x14ac:dyDescent="0.35">
      <c r="A867">
        <v>280300</v>
      </c>
      <c r="B867" t="str">
        <f>VLOOKUP(A867,Planilha2!$A$2:$C$5566,3,0)</f>
        <v>ITABAIANINHA</v>
      </c>
      <c r="C867" t="str">
        <f>VLOOKUP(A867,Planilha2!$A$2:$D$5566,4,0)</f>
        <v>SE</v>
      </c>
    </row>
    <row r="868" spans="1:3" x14ac:dyDescent="0.35">
      <c r="A868">
        <v>280160</v>
      </c>
      <c r="B868" t="str">
        <f>VLOOKUP(A868,Planilha2!$A$2:$C$5566,3,0)</f>
        <v>CEDRO DE SÃO JOÃO</v>
      </c>
      <c r="C868" t="str">
        <f>VLOOKUP(A868,Planilha2!$A$2:$D$5566,4,0)</f>
        <v>SE</v>
      </c>
    </row>
    <row r="869" spans="1:3" x14ac:dyDescent="0.35">
      <c r="A869">
        <v>280280</v>
      </c>
      <c r="B869" t="str">
        <f>VLOOKUP(A869,Planilha2!$A$2:$C$5566,3,0)</f>
        <v>INDIAROBA</v>
      </c>
      <c r="C869" t="str">
        <f>VLOOKUP(A869,Planilha2!$A$2:$D$5566,4,0)</f>
        <v>SE</v>
      </c>
    </row>
    <row r="870" spans="1:3" x14ac:dyDescent="0.35">
      <c r="A870">
        <v>280320</v>
      </c>
      <c r="B870" t="str">
        <f>VLOOKUP(A870,Planilha2!$A$2:$C$5566,3,0)</f>
        <v>ITAPORANGA D`AJUDA</v>
      </c>
      <c r="C870" t="str">
        <f>VLOOKUP(A870,Planilha2!$A$2:$D$5566,4,0)</f>
        <v>SE</v>
      </c>
    </row>
    <row r="871" spans="1:3" x14ac:dyDescent="0.35">
      <c r="A871">
        <v>280330</v>
      </c>
      <c r="B871" t="str">
        <f>VLOOKUP(A871,Planilha2!$A$2:$C$5566,3,0)</f>
        <v>JAPARATUBA</v>
      </c>
      <c r="C871" t="str">
        <f>VLOOKUP(A871,Planilha2!$A$2:$D$5566,4,0)</f>
        <v>SE</v>
      </c>
    </row>
    <row r="872" spans="1:3" x14ac:dyDescent="0.35">
      <c r="A872">
        <v>280570</v>
      </c>
      <c r="B872" t="str">
        <f>VLOOKUP(A872,Planilha2!$A$2:$C$5566,3,0)</f>
        <v>PROPRIÁ</v>
      </c>
      <c r="C872" t="str">
        <f>VLOOKUP(A872,Planilha2!$A$2:$D$5566,4,0)</f>
        <v>SE</v>
      </c>
    </row>
    <row r="873" spans="1:3" x14ac:dyDescent="0.35">
      <c r="A873">
        <v>280020</v>
      </c>
      <c r="B873" t="str">
        <f>VLOOKUP(A873,Planilha2!$A$2:$C$5566,3,0)</f>
        <v>AQUIDABÃ</v>
      </c>
      <c r="C873" t="str">
        <f>VLOOKUP(A873,Planilha2!$A$2:$D$5566,4,0)</f>
        <v>SE</v>
      </c>
    </row>
    <row r="874" spans="1:3" x14ac:dyDescent="0.35">
      <c r="A874">
        <v>280410</v>
      </c>
      <c r="B874" t="str">
        <f>VLOOKUP(A874,Planilha2!$A$2:$C$5566,3,0)</f>
        <v>MOITA BONITA</v>
      </c>
      <c r="C874" t="str">
        <f>VLOOKUP(A874,Planilha2!$A$2:$D$5566,4,0)</f>
        <v>SE</v>
      </c>
    </row>
    <row r="875" spans="1:3" x14ac:dyDescent="0.35">
      <c r="A875">
        <v>280210</v>
      </c>
      <c r="B875" t="str">
        <f>VLOOKUP(A875,Planilha2!$A$2:$C$5566,3,0)</f>
        <v>ESTÂNCIA</v>
      </c>
      <c r="C875" t="str">
        <f>VLOOKUP(A875,Planilha2!$A$2:$D$5566,4,0)</f>
        <v>SE</v>
      </c>
    </row>
    <row r="876" spans="1:3" x14ac:dyDescent="0.35">
      <c r="A876">
        <v>280140</v>
      </c>
      <c r="B876" t="str">
        <f>VLOOKUP(A876,Planilha2!$A$2:$C$5566,3,0)</f>
        <v>CARIRA</v>
      </c>
      <c r="C876" t="str">
        <f>VLOOKUP(A876,Planilha2!$A$2:$D$5566,4,0)</f>
        <v>SE</v>
      </c>
    </row>
    <row r="877" spans="1:3" x14ac:dyDescent="0.35">
      <c r="A877">
        <v>280480</v>
      </c>
      <c r="B877" t="str">
        <f>VLOOKUP(A877,Planilha2!$A$2:$C$5566,3,0)</f>
        <v>NOSSA SENHORA DO SOCORRO</v>
      </c>
      <c r="C877" t="str">
        <f>VLOOKUP(A877,Planilha2!$A$2:$D$5566,4,0)</f>
        <v>SE</v>
      </c>
    </row>
    <row r="878" spans="1:3" x14ac:dyDescent="0.35">
      <c r="A878">
        <v>280710</v>
      </c>
      <c r="B878" t="str">
        <f>VLOOKUP(A878,Planilha2!$A$2:$C$5566,3,0)</f>
        <v>SIMÃO DIAS</v>
      </c>
      <c r="C878" t="str">
        <f>VLOOKUP(A878,Planilha2!$A$2:$D$5566,4,0)</f>
        <v>SE</v>
      </c>
    </row>
    <row r="879" spans="1:3" x14ac:dyDescent="0.35">
      <c r="A879">
        <v>280500</v>
      </c>
      <c r="B879" t="str">
        <f>VLOOKUP(A879,Planilha2!$A$2:$C$5566,3,0)</f>
        <v>PEDRA MOLE</v>
      </c>
      <c r="C879" t="str">
        <f>VLOOKUP(A879,Planilha2!$A$2:$D$5566,4,0)</f>
        <v>SE</v>
      </c>
    </row>
    <row r="880" spans="1:3" x14ac:dyDescent="0.35">
      <c r="A880">
        <v>292070</v>
      </c>
      <c r="B880" t="str">
        <f>VLOOKUP(A880,Planilha2!$A$2:$C$5566,3,0)</f>
        <v>MARAÚ</v>
      </c>
      <c r="C880" t="str">
        <f>VLOOKUP(A880,Planilha2!$A$2:$D$5566,4,0)</f>
        <v>BA</v>
      </c>
    </row>
    <row r="881" spans="1:3" x14ac:dyDescent="0.35">
      <c r="A881">
        <v>293230</v>
      </c>
      <c r="B881" t="str">
        <f>VLOOKUP(A881,Planilha2!$A$2:$C$5566,3,0)</f>
        <v>UBATÃ</v>
      </c>
      <c r="C881" t="str">
        <f>VLOOKUP(A881,Planilha2!$A$2:$D$5566,4,0)</f>
        <v>BA</v>
      </c>
    </row>
    <row r="882" spans="1:3" x14ac:dyDescent="0.35">
      <c r="A882">
        <v>293190</v>
      </c>
      <c r="B882" t="str">
        <f>VLOOKUP(A882,Planilha2!$A$2:$C$5566,3,0)</f>
        <v>TUCANO</v>
      </c>
      <c r="C882" t="str">
        <f>VLOOKUP(A882,Planilha2!$A$2:$D$5566,4,0)</f>
        <v>BA</v>
      </c>
    </row>
    <row r="883" spans="1:3" x14ac:dyDescent="0.35">
      <c r="A883">
        <v>290260</v>
      </c>
      <c r="B883" t="str">
        <f>VLOOKUP(A883,Planilha2!$A$2:$C$5566,3,0)</f>
        <v>BAIXA GRANDE</v>
      </c>
      <c r="C883" t="str">
        <f>VLOOKUP(A883,Planilha2!$A$2:$D$5566,4,0)</f>
        <v>BA</v>
      </c>
    </row>
    <row r="884" spans="1:3" x14ac:dyDescent="0.35">
      <c r="A884">
        <v>292975</v>
      </c>
      <c r="B884" t="str">
        <f>VLOOKUP(A884,Planilha2!$A$2:$C$5566,3,0)</f>
        <v>SAUBARA</v>
      </c>
      <c r="C884" t="str">
        <f>VLOOKUP(A884,Planilha2!$A$2:$D$5566,4,0)</f>
        <v>BA</v>
      </c>
    </row>
    <row r="885" spans="1:3" x14ac:dyDescent="0.35">
      <c r="A885">
        <v>353480</v>
      </c>
      <c r="B885" t="str">
        <f>VLOOKUP(A885,Planilha2!$A$2:$C$5566,3,0)</f>
        <v>OURO VERDE</v>
      </c>
      <c r="C885" t="str">
        <f>VLOOKUP(A885,Planilha2!$A$2:$D$5566,4,0)</f>
        <v>SP</v>
      </c>
    </row>
    <row r="886" spans="1:3" x14ac:dyDescent="0.35">
      <c r="A886">
        <v>292410</v>
      </c>
      <c r="B886" t="str">
        <f>VLOOKUP(A886,Planilha2!$A$2:$C$5566,3,0)</f>
        <v>PEDRÃO</v>
      </c>
      <c r="C886" t="str">
        <f>VLOOKUP(A886,Planilha2!$A$2:$D$5566,4,0)</f>
        <v>BA</v>
      </c>
    </row>
    <row r="887" spans="1:3" x14ac:dyDescent="0.35">
      <c r="A887">
        <v>292580</v>
      </c>
      <c r="B887" t="str">
        <f>VLOOKUP(A887,Planilha2!$A$2:$C$5566,3,0)</f>
        <v>QUEIMADAS</v>
      </c>
      <c r="C887" t="str">
        <f>VLOOKUP(A887,Planilha2!$A$2:$D$5566,4,0)</f>
        <v>BA</v>
      </c>
    </row>
    <row r="888" spans="1:3" x14ac:dyDescent="0.35">
      <c r="A888">
        <v>290840</v>
      </c>
      <c r="B888" t="str">
        <f>VLOOKUP(A888,Planilha2!$A$2:$C$5566,3,0)</f>
        <v>CONCEIÇÃO DO COITÉ</v>
      </c>
      <c r="C888" t="str">
        <f>VLOOKUP(A888,Planilha2!$A$2:$D$5566,4,0)</f>
        <v>BA</v>
      </c>
    </row>
    <row r="889" spans="1:3" x14ac:dyDescent="0.35">
      <c r="A889">
        <v>291070</v>
      </c>
      <c r="B889" t="str">
        <f>VLOOKUP(A889,Planilha2!$A$2:$C$5566,3,0)</f>
        <v>EUCLIDES DA CUNHA</v>
      </c>
      <c r="C889" t="str">
        <f>VLOOKUP(A889,Planilha2!$A$2:$D$5566,4,0)</f>
        <v>BA</v>
      </c>
    </row>
    <row r="890" spans="1:3" x14ac:dyDescent="0.35">
      <c r="A890">
        <v>293050</v>
      </c>
      <c r="B890" t="str">
        <f>VLOOKUP(A890,Planilha2!$A$2:$C$5566,3,0)</f>
        <v>SERRINHA</v>
      </c>
      <c r="C890" t="str">
        <f>VLOOKUP(A890,Planilha2!$A$2:$D$5566,4,0)</f>
        <v>BA</v>
      </c>
    </row>
    <row r="891" spans="1:3" x14ac:dyDescent="0.35">
      <c r="A891">
        <v>291190</v>
      </c>
      <c r="B891" t="str">
        <f>VLOOKUP(A891,Planilha2!$A$2:$C$5566,3,0)</f>
        <v>IAÇU</v>
      </c>
      <c r="C891" t="str">
        <f>VLOOKUP(A891,Planilha2!$A$2:$D$5566,4,0)</f>
        <v>BA</v>
      </c>
    </row>
    <row r="892" spans="1:3" x14ac:dyDescent="0.35">
      <c r="A892">
        <v>291500</v>
      </c>
      <c r="B892" t="str">
        <f>VLOOKUP(A892,Planilha2!$A$2:$C$5566,3,0)</f>
        <v>ITAETÉ</v>
      </c>
      <c r="C892" t="str">
        <f>VLOOKUP(A892,Planilha2!$A$2:$D$5566,4,0)</f>
        <v>BA</v>
      </c>
    </row>
    <row r="893" spans="1:3" x14ac:dyDescent="0.35">
      <c r="A893">
        <v>291880</v>
      </c>
      <c r="B893" t="str">
        <f>VLOOKUP(A893,Planilha2!$A$2:$C$5566,3,0)</f>
        <v>LAJE</v>
      </c>
      <c r="C893" t="str">
        <f>VLOOKUP(A893,Planilha2!$A$2:$D$5566,4,0)</f>
        <v>BA</v>
      </c>
    </row>
    <row r="894" spans="1:3" x14ac:dyDescent="0.35">
      <c r="A894">
        <v>291470</v>
      </c>
      <c r="B894" t="str">
        <f>VLOOKUP(A894,Planilha2!$A$2:$C$5566,3,0)</f>
        <v>ITABERABA</v>
      </c>
      <c r="C894" t="str">
        <f>VLOOKUP(A894,Planilha2!$A$2:$D$5566,4,0)</f>
        <v>BA</v>
      </c>
    </row>
    <row r="895" spans="1:3" x14ac:dyDescent="0.35">
      <c r="A895">
        <v>291440</v>
      </c>
      <c r="B895" t="str">
        <f>VLOOKUP(A895,Planilha2!$A$2:$C$5566,3,0)</f>
        <v>IRAQUARA</v>
      </c>
      <c r="C895" t="str">
        <f>VLOOKUP(A895,Planilha2!$A$2:$D$5566,4,0)</f>
        <v>BA</v>
      </c>
    </row>
    <row r="896" spans="1:3" x14ac:dyDescent="0.35">
      <c r="A896">
        <v>292990</v>
      </c>
      <c r="B896" t="str">
        <f>VLOOKUP(A896,Planilha2!$A$2:$C$5566,3,0)</f>
        <v>SEABRA</v>
      </c>
      <c r="C896" t="str">
        <f>VLOOKUP(A896,Planilha2!$A$2:$D$5566,4,0)</f>
        <v>BA</v>
      </c>
    </row>
    <row r="897" spans="1:3" x14ac:dyDescent="0.35">
      <c r="A897">
        <v>290760</v>
      </c>
      <c r="B897" t="str">
        <f>VLOOKUP(A897,Planilha2!$A$2:$C$5566,3,0)</f>
        <v>CENTRAL</v>
      </c>
      <c r="C897" t="str">
        <f>VLOOKUP(A897,Planilha2!$A$2:$D$5566,4,0)</f>
        <v>BA</v>
      </c>
    </row>
    <row r="898" spans="1:3" x14ac:dyDescent="0.35">
      <c r="A898">
        <v>292170</v>
      </c>
      <c r="B898" t="str">
        <f>VLOOKUP(A898,Planilha2!$A$2:$C$5566,3,0)</f>
        <v>MORRO DO CHAPÉU</v>
      </c>
      <c r="C898" t="str">
        <f>VLOOKUP(A898,Planilha2!$A$2:$D$5566,4,0)</f>
        <v>BA</v>
      </c>
    </row>
    <row r="899" spans="1:3" x14ac:dyDescent="0.35">
      <c r="A899">
        <v>293310</v>
      </c>
      <c r="B899" t="str">
        <f>VLOOKUP(A899,Planilha2!$A$2:$C$5566,3,0)</f>
        <v>VÁRZEA DO POÇO</v>
      </c>
      <c r="C899" t="str">
        <f>VLOOKUP(A899,Planilha2!$A$2:$D$5566,4,0)</f>
        <v>BA</v>
      </c>
    </row>
    <row r="900" spans="1:3" x14ac:dyDescent="0.35">
      <c r="A900">
        <v>292120</v>
      </c>
      <c r="B900" t="str">
        <f>VLOOKUP(A900,Planilha2!$A$2:$C$5566,3,0)</f>
        <v>MIGUEL CALMON</v>
      </c>
      <c r="C900" t="str">
        <f>VLOOKUP(A900,Planilha2!$A$2:$D$5566,4,0)</f>
        <v>BA</v>
      </c>
    </row>
    <row r="901" spans="1:3" x14ac:dyDescent="0.35">
      <c r="A901">
        <v>291850</v>
      </c>
      <c r="B901" t="str">
        <f>VLOOKUP(A901,Planilha2!$A$2:$C$5566,3,0)</f>
        <v>JUSSARA</v>
      </c>
      <c r="C901" t="str">
        <f>VLOOKUP(A901,Planilha2!$A$2:$D$5566,4,0)</f>
        <v>BA</v>
      </c>
    </row>
    <row r="902" spans="1:3" x14ac:dyDescent="0.35">
      <c r="A902">
        <v>291130</v>
      </c>
      <c r="B902" t="str">
        <f>VLOOKUP(A902,Planilha2!$A$2:$C$5566,3,0)</f>
        <v>GENTIO DO OURO</v>
      </c>
      <c r="C902" t="str">
        <f>VLOOKUP(A902,Planilha2!$A$2:$D$5566,4,0)</f>
        <v>BA</v>
      </c>
    </row>
    <row r="903" spans="1:3" x14ac:dyDescent="0.35">
      <c r="A903">
        <v>290300</v>
      </c>
      <c r="B903" t="str">
        <f>VLOOKUP(A903,Planilha2!$A$2:$C$5566,3,0)</f>
        <v>BARRA DO MENDES</v>
      </c>
      <c r="C903" t="str">
        <f>VLOOKUP(A903,Planilha2!$A$2:$D$5566,4,0)</f>
        <v>BA</v>
      </c>
    </row>
    <row r="904" spans="1:3" x14ac:dyDescent="0.35">
      <c r="A904">
        <v>291915</v>
      </c>
      <c r="B904" t="str">
        <f>VLOOKUP(A904,Planilha2!$A$2:$C$5566,3,0)</f>
        <v>LAPÃO</v>
      </c>
      <c r="C904" t="str">
        <f>VLOOKUP(A904,Planilha2!$A$2:$D$5566,4,0)</f>
        <v>BA</v>
      </c>
    </row>
    <row r="905" spans="1:3" x14ac:dyDescent="0.35">
      <c r="A905">
        <v>291460</v>
      </c>
      <c r="B905" t="str">
        <f>VLOOKUP(A905,Planilha2!$A$2:$C$5566,3,0)</f>
        <v>IRECÊ</v>
      </c>
      <c r="C905" t="str">
        <f>VLOOKUP(A905,Planilha2!$A$2:$D$5566,4,0)</f>
        <v>BA</v>
      </c>
    </row>
    <row r="906" spans="1:3" x14ac:dyDescent="0.35">
      <c r="A906">
        <v>292530</v>
      </c>
      <c r="B906" t="str">
        <f>VLOOKUP(A906,Planilha2!$A$2:$C$5566,3,0)</f>
        <v>PORTO SEGURO</v>
      </c>
      <c r="C906" t="str">
        <f>VLOOKUP(A906,Planilha2!$A$2:$D$5566,4,0)</f>
        <v>BA</v>
      </c>
    </row>
    <row r="907" spans="1:3" x14ac:dyDescent="0.35">
      <c r="A907">
        <v>291560</v>
      </c>
      <c r="B907" t="str">
        <f>VLOOKUP(A907,Planilha2!$A$2:$C$5566,3,0)</f>
        <v>ITAMARAJU</v>
      </c>
      <c r="C907" t="str">
        <f>VLOOKUP(A907,Planilha2!$A$2:$D$5566,4,0)</f>
        <v>BA</v>
      </c>
    </row>
    <row r="908" spans="1:3" x14ac:dyDescent="0.35">
      <c r="A908">
        <v>291280</v>
      </c>
      <c r="B908" t="str">
        <f>VLOOKUP(A908,Planilha2!$A$2:$C$5566,3,0)</f>
        <v>IBIRAPUÃ</v>
      </c>
      <c r="C908" t="str">
        <f>VLOOKUP(A908,Planilha2!$A$2:$D$5566,4,0)</f>
        <v>BA</v>
      </c>
    </row>
    <row r="909" spans="1:3" x14ac:dyDescent="0.35">
      <c r="A909">
        <v>293135</v>
      </c>
      <c r="B909" t="str">
        <f>VLOOKUP(A909,Planilha2!$A$2:$C$5566,3,0)</f>
        <v>TEIXEIRA DE FREITAS</v>
      </c>
      <c r="C909" t="str">
        <f>VLOOKUP(A909,Planilha2!$A$2:$D$5566,4,0)</f>
        <v>BA</v>
      </c>
    </row>
    <row r="910" spans="1:3" x14ac:dyDescent="0.35">
      <c r="A910">
        <v>290080</v>
      </c>
      <c r="B910" t="str">
        <f>VLOOKUP(A910,Planilha2!$A$2:$C$5566,3,0)</f>
        <v>ALCOBAÇA</v>
      </c>
      <c r="C910" t="str">
        <f>VLOOKUP(A910,Planilha2!$A$2:$D$5566,4,0)</f>
        <v>BA</v>
      </c>
    </row>
    <row r="911" spans="1:3" x14ac:dyDescent="0.35">
      <c r="A911">
        <v>292110</v>
      </c>
      <c r="B911" t="str">
        <f>VLOOKUP(A911,Planilha2!$A$2:$C$5566,3,0)</f>
        <v>MEDEIROS NETO</v>
      </c>
      <c r="C911" t="str">
        <f>VLOOKUP(A911,Planilha2!$A$2:$D$5566,4,0)</f>
        <v>BA</v>
      </c>
    </row>
    <row r="912" spans="1:3" x14ac:dyDescent="0.35">
      <c r="A912">
        <v>290070</v>
      </c>
      <c r="B912" t="str">
        <f>VLOOKUP(A912,Planilha2!$A$2:$C$5566,3,0)</f>
        <v>ALAGOINHAS</v>
      </c>
      <c r="C912" t="str">
        <f>VLOOKUP(A912,Planilha2!$A$2:$D$5566,4,0)</f>
        <v>BA</v>
      </c>
    </row>
    <row r="913" spans="1:3" x14ac:dyDescent="0.35">
      <c r="A913">
        <v>290750</v>
      </c>
      <c r="B913" t="str">
        <f>VLOOKUP(A913,Planilha2!$A$2:$C$5566,3,0)</f>
        <v>CATU</v>
      </c>
      <c r="C913" t="str">
        <f>VLOOKUP(A913,Planilha2!$A$2:$D$5566,4,0)</f>
        <v>BA</v>
      </c>
    </row>
    <row r="914" spans="1:3" x14ac:dyDescent="0.35">
      <c r="A914">
        <v>292310</v>
      </c>
      <c r="B914" t="str">
        <f>VLOOKUP(A914,Planilha2!$A$2:$C$5566,3,0)</f>
        <v>OLINDINA</v>
      </c>
      <c r="C914" t="str">
        <f>VLOOKUP(A914,Planilha2!$A$2:$D$5566,4,0)</f>
        <v>BA</v>
      </c>
    </row>
    <row r="915" spans="1:3" x14ac:dyDescent="0.35">
      <c r="A915">
        <v>291050</v>
      </c>
      <c r="B915" t="str">
        <f>VLOOKUP(A915,Planilha2!$A$2:$C$5566,3,0)</f>
        <v>ENTRE RIOS</v>
      </c>
      <c r="C915" t="str">
        <f>VLOOKUP(A915,Planilha2!$A$2:$D$5566,4,0)</f>
        <v>BA</v>
      </c>
    </row>
    <row r="916" spans="1:3" x14ac:dyDescent="0.35">
      <c r="A916">
        <v>291990</v>
      </c>
      <c r="B916" t="str">
        <f>VLOOKUP(A916,Planilha2!$A$2:$C$5566,3,0)</f>
        <v>MACURURÉ</v>
      </c>
      <c r="C916" t="str">
        <f>VLOOKUP(A916,Planilha2!$A$2:$D$5566,4,0)</f>
        <v>BA</v>
      </c>
    </row>
    <row r="917" spans="1:3" x14ac:dyDescent="0.35">
      <c r="A917">
        <v>293200</v>
      </c>
      <c r="B917" t="str">
        <f>VLOOKUP(A917,Planilha2!$A$2:$C$5566,3,0)</f>
        <v>UAUÁ</v>
      </c>
      <c r="C917" t="str">
        <f>VLOOKUP(A917,Planilha2!$A$2:$D$5566,4,0)</f>
        <v>BA</v>
      </c>
    </row>
    <row r="918" spans="1:3" x14ac:dyDescent="0.35">
      <c r="A918">
        <v>293010</v>
      </c>
      <c r="B918" t="str">
        <f>VLOOKUP(A918,Planilha2!$A$2:$C$5566,3,0)</f>
        <v>SENHOR DO BONFIM</v>
      </c>
      <c r="C918" t="str">
        <f>VLOOKUP(A918,Planilha2!$A$2:$D$5566,4,0)</f>
        <v>BA</v>
      </c>
    </row>
    <row r="919" spans="1:3" x14ac:dyDescent="0.35">
      <c r="A919">
        <v>290687</v>
      </c>
      <c r="B919" t="str">
        <f>VLOOKUP(A919,Planilha2!$A$2:$C$5566,3,0)</f>
        <v>CAPIM GROSSO</v>
      </c>
      <c r="C919" t="str">
        <f>VLOOKUP(A919,Planilha2!$A$2:$D$5566,4,0)</f>
        <v>BA</v>
      </c>
    </row>
    <row r="920" spans="1:3" x14ac:dyDescent="0.35">
      <c r="A920">
        <v>290600</v>
      </c>
      <c r="B920" t="str">
        <f>VLOOKUP(A920,Planilha2!$A$2:$C$5566,3,0)</f>
        <v>CAMPO FORMOSO</v>
      </c>
      <c r="C920" t="str">
        <f>VLOOKUP(A920,Planilha2!$A$2:$D$5566,4,0)</f>
        <v>BA</v>
      </c>
    </row>
    <row r="921" spans="1:3" x14ac:dyDescent="0.35">
      <c r="A921">
        <v>292320</v>
      </c>
      <c r="B921" t="str">
        <f>VLOOKUP(A921,Planilha2!$A$2:$C$5566,3,0)</f>
        <v>OLIVEIRA DOS BREJINHOS</v>
      </c>
      <c r="C921" t="str">
        <f>VLOOKUP(A921,Planilha2!$A$2:$D$5566,4,0)</f>
        <v>BA</v>
      </c>
    </row>
    <row r="922" spans="1:3" x14ac:dyDescent="0.35">
      <c r="A922">
        <v>290270</v>
      </c>
      <c r="B922" t="str">
        <f>VLOOKUP(A922,Planilha2!$A$2:$C$5566,3,0)</f>
        <v>BARRA</v>
      </c>
      <c r="C922" t="str">
        <f>VLOOKUP(A922,Planilha2!$A$2:$D$5566,4,0)</f>
        <v>BA</v>
      </c>
    </row>
    <row r="923" spans="1:3" x14ac:dyDescent="0.35">
      <c r="A923">
        <v>291410</v>
      </c>
      <c r="B923" t="str">
        <f>VLOOKUP(A923,Planilha2!$A$2:$C$5566,3,0)</f>
        <v>IPUPIARA</v>
      </c>
      <c r="C923" t="str">
        <f>VLOOKUP(A923,Planilha2!$A$2:$D$5566,4,0)</f>
        <v>BA</v>
      </c>
    </row>
    <row r="924" spans="1:3" x14ac:dyDescent="0.35">
      <c r="A924">
        <v>292890</v>
      </c>
      <c r="B924" t="str">
        <f>VLOOKUP(A924,Planilha2!$A$2:$C$5566,3,0)</f>
        <v>SÃO DESIDÉRIO</v>
      </c>
      <c r="C924" t="str">
        <f>VLOOKUP(A924,Planilha2!$A$2:$D$5566,4,0)</f>
        <v>BA</v>
      </c>
    </row>
    <row r="925" spans="1:3" x14ac:dyDescent="0.35">
      <c r="A925">
        <v>290140</v>
      </c>
      <c r="B925" t="str">
        <f>VLOOKUP(A925,Planilha2!$A$2:$C$5566,3,0)</f>
        <v>ANGICAL</v>
      </c>
      <c r="C925" t="str">
        <f>VLOOKUP(A925,Planilha2!$A$2:$D$5566,4,0)</f>
        <v>BA</v>
      </c>
    </row>
    <row r="926" spans="1:3" x14ac:dyDescent="0.35">
      <c r="A926">
        <v>292840</v>
      </c>
      <c r="B926" t="str">
        <f>VLOOKUP(A926,Planilha2!$A$2:$C$5566,3,0)</f>
        <v>SANTA RITA DE CÁSSIA</v>
      </c>
      <c r="C926" t="str">
        <f>VLOOKUP(A926,Planilha2!$A$2:$D$5566,4,0)</f>
        <v>BA</v>
      </c>
    </row>
    <row r="927" spans="1:3" x14ac:dyDescent="0.35">
      <c r="A927">
        <v>290320</v>
      </c>
      <c r="B927" t="str">
        <f>VLOOKUP(A927,Planilha2!$A$2:$C$5566,3,0)</f>
        <v>BARREIRAS</v>
      </c>
      <c r="C927" t="str">
        <f>VLOOKUP(A927,Planilha2!$A$2:$D$5566,4,0)</f>
        <v>BA</v>
      </c>
    </row>
    <row r="928" spans="1:3" x14ac:dyDescent="0.35">
      <c r="A928">
        <v>290610</v>
      </c>
      <c r="B928" t="str">
        <f>VLOOKUP(A928,Planilha2!$A$2:$C$5566,3,0)</f>
        <v>CANÁPOLIS</v>
      </c>
      <c r="C928" t="str">
        <f>VLOOKUP(A928,Planilha2!$A$2:$D$5566,4,0)</f>
        <v>BA</v>
      </c>
    </row>
    <row r="929" spans="1:3" x14ac:dyDescent="0.35">
      <c r="A929">
        <v>291230</v>
      </c>
      <c r="B929" t="str">
        <f>VLOOKUP(A929,Planilha2!$A$2:$C$5566,3,0)</f>
        <v>IBICUÍ</v>
      </c>
      <c r="C929" t="str">
        <f>VLOOKUP(A929,Planilha2!$A$2:$D$5566,4,0)</f>
        <v>BA</v>
      </c>
    </row>
    <row r="930" spans="1:3" x14ac:dyDescent="0.35">
      <c r="A930">
        <v>291680</v>
      </c>
      <c r="B930" t="str">
        <f>VLOOKUP(A930,Planilha2!$A$2:$C$5566,3,0)</f>
        <v>ITARANTIM</v>
      </c>
      <c r="C930" t="str">
        <f>VLOOKUP(A930,Planilha2!$A$2:$D$5566,4,0)</f>
        <v>BA</v>
      </c>
    </row>
    <row r="931" spans="1:3" x14ac:dyDescent="0.35">
      <c r="A931">
        <v>291640</v>
      </c>
      <c r="B931" t="str">
        <f>VLOOKUP(A931,Planilha2!$A$2:$C$5566,3,0)</f>
        <v>ITAPETINGA</v>
      </c>
      <c r="C931" t="str">
        <f>VLOOKUP(A931,Planilha2!$A$2:$D$5566,4,0)</f>
        <v>BA</v>
      </c>
    </row>
    <row r="932" spans="1:3" x14ac:dyDescent="0.35">
      <c r="A932">
        <v>291580</v>
      </c>
      <c r="B932" t="str">
        <f>VLOOKUP(A932,Planilha2!$A$2:$C$5566,3,0)</f>
        <v>ITAMBÉ</v>
      </c>
      <c r="C932" t="str">
        <f>VLOOKUP(A932,Planilha2!$A$2:$D$5566,4,0)</f>
        <v>BA</v>
      </c>
    </row>
    <row r="933" spans="1:3" x14ac:dyDescent="0.35">
      <c r="A933">
        <v>291010</v>
      </c>
      <c r="B933" t="str">
        <f>VLOOKUP(A933,Planilha2!$A$2:$C$5566,3,0)</f>
        <v>DOM BASÍLIO</v>
      </c>
      <c r="C933" t="str">
        <f>VLOOKUP(A933,Planilha2!$A$2:$D$5566,4,0)</f>
        <v>BA</v>
      </c>
    </row>
    <row r="934" spans="1:3" x14ac:dyDescent="0.35">
      <c r="A934">
        <v>293100</v>
      </c>
      <c r="B934" t="str">
        <f>VLOOKUP(A934,Planilha2!$A$2:$C$5566,3,0)</f>
        <v>TANHAÇU</v>
      </c>
      <c r="C934" t="str">
        <f>VLOOKUP(A934,Planilha2!$A$2:$D$5566,4,0)</f>
        <v>BA</v>
      </c>
    </row>
    <row r="935" spans="1:3" x14ac:dyDescent="0.35">
      <c r="A935">
        <v>291720</v>
      </c>
      <c r="B935" t="str">
        <f>VLOOKUP(A935,Planilha2!$A$2:$C$5566,3,0)</f>
        <v>ITUAÇU</v>
      </c>
      <c r="C935" t="str">
        <f>VLOOKUP(A935,Planilha2!$A$2:$D$5566,4,0)</f>
        <v>BA</v>
      </c>
    </row>
    <row r="936" spans="1:3" x14ac:dyDescent="0.35">
      <c r="A936">
        <v>290460</v>
      </c>
      <c r="B936" t="str">
        <f>VLOOKUP(A936,Planilha2!$A$2:$C$5566,3,0)</f>
        <v>BRUMADO</v>
      </c>
      <c r="C936" t="str">
        <f>VLOOKUP(A936,Planilha2!$A$2:$D$5566,4,0)</f>
        <v>BA</v>
      </c>
    </row>
    <row r="937" spans="1:3" x14ac:dyDescent="0.35">
      <c r="A937">
        <v>290200</v>
      </c>
      <c r="B937" t="str">
        <f>VLOOKUP(A937,Planilha2!$A$2:$C$5566,3,0)</f>
        <v>ARACATU</v>
      </c>
      <c r="C937" t="str">
        <f>VLOOKUP(A937,Planilha2!$A$2:$D$5566,4,0)</f>
        <v>BA</v>
      </c>
    </row>
    <row r="938" spans="1:3" x14ac:dyDescent="0.35">
      <c r="A938">
        <v>291980</v>
      </c>
      <c r="B938" t="str">
        <f>VLOOKUP(A938,Planilha2!$A$2:$C$5566,3,0)</f>
        <v>MACAÚBAS</v>
      </c>
      <c r="C938" t="str">
        <f>VLOOKUP(A938,Planilha2!$A$2:$D$5566,4,0)</f>
        <v>BA</v>
      </c>
    </row>
    <row r="939" spans="1:3" x14ac:dyDescent="0.35">
      <c r="A939">
        <v>292360</v>
      </c>
      <c r="B939" t="str">
        <f>VLOOKUP(A939,Planilha2!$A$2:$C$5566,3,0)</f>
        <v>PARAMIRIM</v>
      </c>
      <c r="C939" t="str">
        <f>VLOOKUP(A939,Planilha2!$A$2:$D$5566,4,0)</f>
        <v>BA</v>
      </c>
    </row>
    <row r="940" spans="1:3" x14ac:dyDescent="0.35">
      <c r="A940">
        <v>291250</v>
      </c>
      <c r="B940" t="str">
        <f>VLOOKUP(A940,Planilha2!$A$2:$C$5566,3,0)</f>
        <v>IBIPITANGA</v>
      </c>
      <c r="C940" t="str">
        <f>VLOOKUP(A940,Planilha2!$A$2:$D$5566,4,0)</f>
        <v>BA</v>
      </c>
    </row>
    <row r="941" spans="1:3" x14ac:dyDescent="0.35">
      <c r="A941">
        <v>290290</v>
      </c>
      <c r="B941" t="str">
        <f>VLOOKUP(A941,Planilha2!$A$2:$C$5566,3,0)</f>
        <v>BARRA DO CHOÇA</v>
      </c>
      <c r="C941" t="str">
        <f>VLOOKUP(A941,Planilha2!$A$2:$D$5566,4,0)</f>
        <v>BA</v>
      </c>
    </row>
    <row r="942" spans="1:3" x14ac:dyDescent="0.35">
      <c r="A942">
        <v>292665</v>
      </c>
      <c r="B942" t="str">
        <f>VLOOKUP(A942,Planilha2!$A$2:$C$5566,3,0)</f>
        <v>RIBEIRÃO DO LARGO</v>
      </c>
      <c r="C942" t="str">
        <f>VLOOKUP(A942,Planilha2!$A$2:$D$5566,4,0)</f>
        <v>BA</v>
      </c>
    </row>
    <row r="943" spans="1:3" x14ac:dyDescent="0.35">
      <c r="A943">
        <v>293330</v>
      </c>
      <c r="B943" t="str">
        <f>VLOOKUP(A943,Planilha2!$A$2:$C$5566,3,0)</f>
        <v>VITÓRIA DA CONQUISTA</v>
      </c>
      <c r="C943" t="str">
        <f>VLOOKUP(A943,Planilha2!$A$2:$D$5566,4,0)</f>
        <v>BA</v>
      </c>
    </row>
    <row r="944" spans="1:3" x14ac:dyDescent="0.35">
      <c r="A944">
        <v>292270</v>
      </c>
      <c r="B944" t="str">
        <f>VLOOKUP(A944,Planilha2!$A$2:$C$5566,3,0)</f>
        <v>NOVA CANAÃ</v>
      </c>
      <c r="C944" t="str">
        <f>VLOOKUP(A944,Planilha2!$A$2:$D$5566,4,0)</f>
        <v>BA</v>
      </c>
    </row>
    <row r="945" spans="1:3" x14ac:dyDescent="0.35">
      <c r="A945">
        <v>290120</v>
      </c>
      <c r="B945" t="str">
        <f>VLOOKUP(A945,Planilha2!$A$2:$C$5566,3,0)</f>
        <v>ANAGÉ</v>
      </c>
      <c r="C945" t="str">
        <f>VLOOKUP(A945,Planilha2!$A$2:$D$5566,4,0)</f>
        <v>BA</v>
      </c>
    </row>
    <row r="946" spans="1:3" x14ac:dyDescent="0.35">
      <c r="A946">
        <v>292510</v>
      </c>
      <c r="B946" t="str">
        <f>VLOOKUP(A946,Planilha2!$A$2:$C$5566,3,0)</f>
        <v>POÇÕES</v>
      </c>
      <c r="C946" t="str">
        <f>VLOOKUP(A946,Planilha2!$A$2:$D$5566,4,0)</f>
        <v>BA</v>
      </c>
    </row>
    <row r="947" spans="1:3" x14ac:dyDescent="0.35">
      <c r="A947">
        <v>290395</v>
      </c>
      <c r="B947" t="str">
        <f>VLOOKUP(A947,Planilha2!$A$2:$C$5566,3,0)</f>
        <v>BOM JESUS DA SERRA</v>
      </c>
      <c r="C947" t="str">
        <f>VLOOKUP(A947,Planilha2!$A$2:$D$5566,4,0)</f>
        <v>BA</v>
      </c>
    </row>
    <row r="948" spans="1:3" x14ac:dyDescent="0.35">
      <c r="A948">
        <v>290350</v>
      </c>
      <c r="B948" t="str">
        <f>VLOOKUP(A948,Planilha2!$A$2:$C$5566,3,0)</f>
        <v>BELO CAMPO</v>
      </c>
      <c r="C948" t="str">
        <f>VLOOKUP(A948,Planilha2!$A$2:$D$5566,4,0)</f>
        <v>BA</v>
      </c>
    </row>
    <row r="949" spans="1:3" x14ac:dyDescent="0.35">
      <c r="A949">
        <v>292500</v>
      </c>
      <c r="B949" t="str">
        <f>VLOOKUP(A949,Planilha2!$A$2:$C$5566,3,0)</f>
        <v>PLANALTO</v>
      </c>
      <c r="C949" t="str">
        <f>VLOOKUP(A949,Planilha2!$A$2:$D$5566,4,0)</f>
        <v>BA</v>
      </c>
    </row>
    <row r="950" spans="1:3" x14ac:dyDescent="0.35">
      <c r="A950">
        <v>292180</v>
      </c>
      <c r="B950" t="str">
        <f>VLOOKUP(A950,Planilha2!$A$2:$C$5566,3,0)</f>
        <v>MORTUGABA</v>
      </c>
      <c r="C950" t="str">
        <f>VLOOKUP(A950,Planilha2!$A$2:$D$5566,4,0)</f>
        <v>BA</v>
      </c>
    </row>
    <row r="951" spans="1:3" x14ac:dyDescent="0.35">
      <c r="A951">
        <v>290500</v>
      </c>
      <c r="B951" t="str">
        <f>VLOOKUP(A951,Planilha2!$A$2:$C$5566,3,0)</f>
        <v>CACULÉ</v>
      </c>
      <c r="C951" t="str">
        <f>VLOOKUP(A951,Planilha2!$A$2:$D$5566,4,0)</f>
        <v>BA</v>
      </c>
    </row>
    <row r="952" spans="1:3" x14ac:dyDescent="0.35">
      <c r="A952">
        <v>291170</v>
      </c>
      <c r="B952" t="str">
        <f>VLOOKUP(A952,Planilha2!$A$2:$C$5566,3,0)</f>
        <v>GUANAMBI</v>
      </c>
      <c r="C952" t="str">
        <f>VLOOKUP(A952,Planilha2!$A$2:$D$5566,4,0)</f>
        <v>BA</v>
      </c>
    </row>
    <row r="953" spans="1:3" x14ac:dyDescent="0.35">
      <c r="A953">
        <v>290580</v>
      </c>
      <c r="B953" t="str">
        <f>VLOOKUP(A953,Planilha2!$A$2:$C$5566,3,0)</f>
        <v>CAMAMU</v>
      </c>
      <c r="C953" t="str">
        <f>VLOOKUP(A953,Planilha2!$A$2:$D$5566,4,0)</f>
        <v>BA</v>
      </c>
    </row>
    <row r="954" spans="1:3" x14ac:dyDescent="0.35">
      <c r="A954">
        <v>292260</v>
      </c>
      <c r="B954" t="str">
        <f>VLOOKUP(A954,Planilha2!$A$2:$C$5566,3,0)</f>
        <v>NILO PEÇANHA</v>
      </c>
      <c r="C954" t="str">
        <f>VLOOKUP(A954,Planilha2!$A$2:$D$5566,4,0)</f>
        <v>BA</v>
      </c>
    </row>
    <row r="955" spans="1:3" x14ac:dyDescent="0.35">
      <c r="A955">
        <v>292575</v>
      </c>
      <c r="B955" t="str">
        <f>VLOOKUP(A955,Planilha2!$A$2:$C$5566,3,0)</f>
        <v>PRESIDENTE TANCREDO NEVES</v>
      </c>
      <c r="C955" t="str">
        <f>VLOOKUP(A955,Planilha2!$A$2:$D$5566,4,0)</f>
        <v>BA</v>
      </c>
    </row>
    <row r="956" spans="1:3" x14ac:dyDescent="0.35">
      <c r="A956">
        <v>290540</v>
      </c>
      <c r="B956" t="str">
        <f>VLOOKUP(A956,Planilha2!$A$2:$C$5566,3,0)</f>
        <v>CAIRU</v>
      </c>
      <c r="C956" t="str">
        <f>VLOOKUP(A956,Planilha2!$A$2:$D$5566,4,0)</f>
        <v>BA</v>
      </c>
    </row>
    <row r="957" spans="1:3" x14ac:dyDescent="0.35">
      <c r="A957">
        <v>292090</v>
      </c>
      <c r="B957" t="str">
        <f>VLOOKUP(A957,Planilha2!$A$2:$C$5566,3,0)</f>
        <v>MASCOTE</v>
      </c>
      <c r="C957" t="str">
        <f>VLOOKUP(A957,Planilha2!$A$2:$D$5566,4,0)</f>
        <v>BA</v>
      </c>
    </row>
    <row r="958" spans="1:3" x14ac:dyDescent="0.35">
      <c r="A958">
        <v>290630</v>
      </c>
      <c r="B958" t="str">
        <f>VLOOKUP(A958,Planilha2!$A$2:$C$5566,3,0)</f>
        <v>CANAVIEIRAS</v>
      </c>
      <c r="C958" t="str">
        <f>VLOOKUP(A958,Planilha2!$A$2:$D$5566,4,0)</f>
        <v>BA</v>
      </c>
    </row>
    <row r="959" spans="1:3" x14ac:dyDescent="0.35">
      <c r="A959">
        <v>291480</v>
      </c>
      <c r="B959" t="str">
        <f>VLOOKUP(A959,Planilha2!$A$2:$C$5566,3,0)</f>
        <v>ITABUNA</v>
      </c>
      <c r="C959" t="str">
        <f>VLOOKUP(A959,Planilha2!$A$2:$D$5566,4,0)</f>
        <v>BA</v>
      </c>
    </row>
    <row r="960" spans="1:3" x14ac:dyDescent="0.35">
      <c r="A960">
        <v>292935</v>
      </c>
      <c r="B960" t="str">
        <f>VLOOKUP(A960,Planilha2!$A$2:$C$5566,3,0)</f>
        <v>SÃO JOSÉ DA VITÓRIA</v>
      </c>
      <c r="C960" t="str">
        <f>VLOOKUP(A960,Planilha2!$A$2:$D$5566,4,0)</f>
        <v>BA</v>
      </c>
    </row>
    <row r="961" spans="1:3" x14ac:dyDescent="0.35">
      <c r="A961">
        <v>291800</v>
      </c>
      <c r="B961" t="str">
        <f>VLOOKUP(A961,Planilha2!$A$2:$C$5566,3,0)</f>
        <v>JEQUIÉ</v>
      </c>
      <c r="C961" t="str">
        <f>VLOOKUP(A961,Planilha2!$A$2:$D$5566,4,0)</f>
        <v>BA</v>
      </c>
    </row>
    <row r="962" spans="1:3" x14ac:dyDescent="0.35">
      <c r="A962">
        <v>291760</v>
      </c>
      <c r="B962" t="str">
        <f>VLOOKUP(A962,Planilha2!$A$2:$C$5566,3,0)</f>
        <v>JAGUAQUARA</v>
      </c>
      <c r="C962" t="str">
        <f>VLOOKUP(A962,Planilha2!$A$2:$D$5566,4,0)</f>
        <v>BA</v>
      </c>
    </row>
    <row r="963" spans="1:3" x14ac:dyDescent="0.35">
      <c r="A963">
        <v>292040</v>
      </c>
      <c r="B963" t="str">
        <f>VLOOKUP(A963,Planilha2!$A$2:$C$5566,3,0)</f>
        <v>MANOEL VITORINO</v>
      </c>
      <c r="C963" t="str">
        <f>VLOOKUP(A963,Planilha2!$A$2:$D$5566,4,0)</f>
        <v>BA</v>
      </c>
    </row>
    <row r="964" spans="1:3" x14ac:dyDescent="0.35">
      <c r="A964">
        <v>291120</v>
      </c>
      <c r="B964" t="str">
        <f>VLOOKUP(A964,Planilha2!$A$2:$C$5566,3,0)</f>
        <v>GANDU</v>
      </c>
      <c r="C964" t="str">
        <f>VLOOKUP(A964,Planilha2!$A$2:$D$5566,4,0)</f>
        <v>BA</v>
      </c>
    </row>
    <row r="965" spans="1:3" x14ac:dyDescent="0.35">
      <c r="A965">
        <v>291390</v>
      </c>
      <c r="B965" t="str">
        <f>VLOOKUP(A965,Planilha2!$A$2:$C$5566,3,0)</f>
        <v>IPIAÚ</v>
      </c>
      <c r="C965" t="str">
        <f>VLOOKUP(A965,Planilha2!$A$2:$D$5566,4,0)</f>
        <v>BA</v>
      </c>
    </row>
    <row r="966" spans="1:3" x14ac:dyDescent="0.35">
      <c r="A966">
        <v>290730</v>
      </c>
      <c r="B966" t="str">
        <f>VLOOKUP(A966,Planilha2!$A$2:$C$5566,3,0)</f>
        <v>CASTRO ALVES</v>
      </c>
      <c r="C966" t="str">
        <f>VLOOKUP(A966,Planilha2!$A$2:$D$5566,4,0)</f>
        <v>BA</v>
      </c>
    </row>
    <row r="967" spans="1:3" x14ac:dyDescent="0.35">
      <c r="A967">
        <v>292730</v>
      </c>
      <c r="B967" t="str">
        <f>VLOOKUP(A967,Planilha2!$A$2:$C$5566,3,0)</f>
        <v>SALINAS DA MARGARIDA</v>
      </c>
      <c r="C967" t="str">
        <f>VLOOKUP(A967,Planilha2!$A$2:$D$5566,4,0)</f>
        <v>BA</v>
      </c>
    </row>
    <row r="968" spans="1:3" x14ac:dyDescent="0.35">
      <c r="A968">
        <v>291160</v>
      </c>
      <c r="B968" t="str">
        <f>VLOOKUP(A968,Planilha2!$A$2:$C$5566,3,0)</f>
        <v>GOVERNADOR MANGABEIRA</v>
      </c>
      <c r="C968" t="str">
        <f>VLOOKUP(A968,Planilha2!$A$2:$D$5566,4,0)</f>
        <v>BA</v>
      </c>
    </row>
    <row r="969" spans="1:3" x14ac:dyDescent="0.35">
      <c r="A969">
        <v>292250</v>
      </c>
      <c r="B969" t="str">
        <f>VLOOKUP(A969,Planilha2!$A$2:$C$5566,3,0)</f>
        <v>NAZARÉ</v>
      </c>
      <c r="C969" t="str">
        <f>VLOOKUP(A969,Planilha2!$A$2:$D$5566,4,0)</f>
        <v>BA</v>
      </c>
    </row>
    <row r="970" spans="1:3" x14ac:dyDescent="0.35">
      <c r="A970">
        <v>293210</v>
      </c>
      <c r="B970" t="str">
        <f>VLOOKUP(A970,Planilha2!$A$2:$C$5566,3,0)</f>
        <v>UBAÍRA</v>
      </c>
      <c r="C970" t="str">
        <f>VLOOKUP(A970,Planilha2!$A$2:$D$5566,4,0)</f>
        <v>BA</v>
      </c>
    </row>
    <row r="971" spans="1:3" x14ac:dyDescent="0.35">
      <c r="A971">
        <v>290980</v>
      </c>
      <c r="B971" t="str">
        <f>VLOOKUP(A971,Planilha2!$A$2:$C$5566,3,0)</f>
        <v>CRUZ DAS ALMAS</v>
      </c>
      <c r="C971" t="str">
        <f>VLOOKUP(A971,Planilha2!$A$2:$D$5566,4,0)</f>
        <v>BA</v>
      </c>
    </row>
    <row r="972" spans="1:3" x14ac:dyDescent="0.35">
      <c r="A972">
        <v>292740</v>
      </c>
      <c r="B972" t="str">
        <f>VLOOKUP(A972,Planilha2!$A$2:$C$5566,3,0)</f>
        <v>SALVADOR</v>
      </c>
      <c r="C972" t="str">
        <f>VLOOKUP(A972,Planilha2!$A$2:$D$5566,4,0)</f>
        <v>BA</v>
      </c>
    </row>
    <row r="973" spans="1:3" x14ac:dyDescent="0.35">
      <c r="A973">
        <v>290650</v>
      </c>
      <c r="B973" t="str">
        <f>VLOOKUP(A973,Planilha2!$A$2:$C$5566,3,0)</f>
        <v>CANDEIAS</v>
      </c>
      <c r="C973" t="str">
        <f>VLOOKUP(A973,Planilha2!$A$2:$D$5566,4,0)</f>
        <v>BA</v>
      </c>
    </row>
    <row r="974" spans="1:3" x14ac:dyDescent="0.35">
      <c r="A974">
        <v>291610</v>
      </c>
      <c r="B974" t="str">
        <f>VLOOKUP(A974,Planilha2!$A$2:$C$5566,3,0)</f>
        <v>ITAPARICA</v>
      </c>
      <c r="C974" t="str">
        <f>VLOOKUP(A974,Planilha2!$A$2:$D$5566,4,0)</f>
        <v>BA</v>
      </c>
    </row>
    <row r="975" spans="1:3" x14ac:dyDescent="0.35">
      <c r="A975">
        <v>290850</v>
      </c>
      <c r="B975" t="str">
        <f>VLOOKUP(A975,Planilha2!$A$2:$C$5566,3,0)</f>
        <v>CONCEIÇÃO DO JACUÍPE</v>
      </c>
      <c r="C975" t="str">
        <f>VLOOKUP(A975,Planilha2!$A$2:$D$5566,4,0)</f>
        <v>BA</v>
      </c>
    </row>
    <row r="976" spans="1:3" x14ac:dyDescent="0.35">
      <c r="A976">
        <v>290570</v>
      </c>
      <c r="B976" t="str">
        <f>VLOOKUP(A976,Planilha2!$A$2:$C$5566,3,0)</f>
        <v>CAMAÇARI</v>
      </c>
      <c r="C976" t="str">
        <f>VLOOKUP(A976,Planilha2!$A$2:$D$5566,4,0)</f>
        <v>BA</v>
      </c>
    </row>
    <row r="977" spans="1:3" x14ac:dyDescent="0.35">
      <c r="A977">
        <v>292870</v>
      </c>
      <c r="B977" t="str">
        <f>VLOOKUP(A977,Planilha2!$A$2:$C$5566,3,0)</f>
        <v>SANTO ANTÔNIO DE JESUS</v>
      </c>
      <c r="C977" t="str">
        <f>VLOOKUP(A977,Planilha2!$A$2:$D$5566,4,0)</f>
        <v>BA</v>
      </c>
    </row>
    <row r="978" spans="1:3" x14ac:dyDescent="0.35">
      <c r="A978">
        <v>291920</v>
      </c>
      <c r="B978" t="str">
        <f>VLOOKUP(A978,Planilha2!$A$2:$C$5566,3,0)</f>
        <v>LAURO DE FREITAS</v>
      </c>
      <c r="C978" t="str">
        <f>VLOOKUP(A978,Planilha2!$A$2:$D$5566,4,0)</f>
        <v>BA</v>
      </c>
    </row>
    <row r="979" spans="1:3" x14ac:dyDescent="0.35">
      <c r="A979">
        <v>292335</v>
      </c>
      <c r="B979" t="str">
        <f>VLOOKUP(A979,Planilha2!$A$2:$C$5566,3,0)</f>
        <v>OUROLÂNDIA</v>
      </c>
      <c r="C979" t="str">
        <f>VLOOKUP(A979,Planilha2!$A$2:$D$5566,4,0)</f>
        <v>BA</v>
      </c>
    </row>
    <row r="980" spans="1:3" x14ac:dyDescent="0.35">
      <c r="A980">
        <v>292900</v>
      </c>
      <c r="B980" t="str">
        <f>VLOOKUP(A980,Planilha2!$A$2:$C$5566,3,0)</f>
        <v>SÃO FÉLIX</v>
      </c>
      <c r="C980" t="str">
        <f>VLOOKUP(A980,Planilha2!$A$2:$D$5566,4,0)</f>
        <v>BA</v>
      </c>
    </row>
    <row r="981" spans="1:3" x14ac:dyDescent="0.35">
      <c r="A981">
        <v>292520</v>
      </c>
      <c r="B981" t="str">
        <f>VLOOKUP(A981,Planilha2!$A$2:$C$5566,3,0)</f>
        <v>POJUCA</v>
      </c>
      <c r="C981" t="str">
        <f>VLOOKUP(A981,Planilha2!$A$2:$D$5566,4,0)</f>
        <v>BA</v>
      </c>
    </row>
    <row r="982" spans="1:3" x14ac:dyDescent="0.35">
      <c r="A982">
        <v>293140</v>
      </c>
      <c r="B982" t="str">
        <f>VLOOKUP(A982,Planilha2!$A$2:$C$5566,3,0)</f>
        <v>TEODORO SAMPAIO</v>
      </c>
      <c r="C982" t="str">
        <f>VLOOKUP(A982,Planilha2!$A$2:$D$5566,4,0)</f>
        <v>BA</v>
      </c>
    </row>
    <row r="983" spans="1:3" x14ac:dyDescent="0.35">
      <c r="A983">
        <v>292910</v>
      </c>
      <c r="B983" t="str">
        <f>VLOOKUP(A983,Planilha2!$A$2:$C$5566,3,0)</f>
        <v>SÃO FELIPE</v>
      </c>
      <c r="C983" t="str">
        <f>VLOOKUP(A983,Planilha2!$A$2:$D$5566,4,0)</f>
        <v>BA</v>
      </c>
    </row>
    <row r="984" spans="1:3" x14ac:dyDescent="0.35">
      <c r="A984">
        <v>291910</v>
      </c>
      <c r="B984" t="str">
        <f>VLOOKUP(A984,Planilha2!$A$2:$C$5566,3,0)</f>
        <v>LAMARÃO</v>
      </c>
      <c r="C984" t="str">
        <f>VLOOKUP(A984,Planilha2!$A$2:$D$5566,4,0)</f>
        <v>BA</v>
      </c>
    </row>
    <row r="985" spans="1:3" x14ac:dyDescent="0.35">
      <c r="A985">
        <v>293070</v>
      </c>
      <c r="B985" t="str">
        <f>VLOOKUP(A985,Planilha2!$A$2:$C$5566,3,0)</f>
        <v>SIMÕES FILHO</v>
      </c>
      <c r="C985" t="str">
        <f>VLOOKUP(A985,Planilha2!$A$2:$D$5566,4,0)</f>
        <v>BA</v>
      </c>
    </row>
    <row r="986" spans="1:3" x14ac:dyDescent="0.35">
      <c r="A986">
        <v>290405</v>
      </c>
      <c r="B986" t="str">
        <f>VLOOKUP(A986,Planilha2!$A$2:$C$5566,3,0)</f>
        <v>BONITO</v>
      </c>
      <c r="C986" t="str">
        <f>VLOOKUP(A986,Planilha2!$A$2:$D$5566,4,0)</f>
        <v>BA</v>
      </c>
    </row>
    <row r="987" spans="1:3" x14ac:dyDescent="0.35">
      <c r="A987" s="2">
        <v>290000</v>
      </c>
      <c r="B987" t="str">
        <f>VLOOKUP(A987,[1]IBGE!A$2:B$27,2,0)</f>
        <v>-</v>
      </c>
      <c r="C987" t="str">
        <f>VLOOKUP(A987,[1]IBGE!A$2:C$27,3,0)</f>
        <v>BA</v>
      </c>
    </row>
    <row r="988" spans="1:3" x14ac:dyDescent="0.35">
      <c r="A988">
        <v>291780</v>
      </c>
      <c r="B988" t="str">
        <f>VLOOKUP(A988,Planilha2!$A$2:$C$5566,3,0)</f>
        <v>JAGUARIPE</v>
      </c>
      <c r="C988" t="str">
        <f>VLOOKUP(A988,Planilha2!$A$2:$D$5566,4,0)</f>
        <v>BA</v>
      </c>
    </row>
    <row r="989" spans="1:3" x14ac:dyDescent="0.35">
      <c r="A989">
        <v>291005</v>
      </c>
      <c r="B989" t="str">
        <f>VLOOKUP(A989,Planilha2!$A$2:$C$5566,3,0)</f>
        <v>DIAS D`ÁVILA</v>
      </c>
      <c r="C989" t="str">
        <f>VLOOKUP(A989,Planilha2!$A$2:$D$5566,4,0)</f>
        <v>BA</v>
      </c>
    </row>
    <row r="990" spans="1:3" x14ac:dyDescent="0.35">
      <c r="A990">
        <v>290930</v>
      </c>
      <c r="B990" t="str">
        <f>VLOOKUP(A990,Planilha2!$A$2:$C$5566,3,0)</f>
        <v>CORRENTINA</v>
      </c>
      <c r="C990" t="str">
        <f>VLOOKUP(A990,Planilha2!$A$2:$D$5566,4,0)</f>
        <v>BA</v>
      </c>
    </row>
    <row r="991" spans="1:3" x14ac:dyDescent="0.35">
      <c r="A991">
        <v>290400</v>
      </c>
      <c r="B991" t="str">
        <f>VLOOKUP(A991,Planilha2!$A$2:$C$5566,3,0)</f>
        <v>BONINAL</v>
      </c>
      <c r="C991" t="str">
        <f>VLOOKUP(A991,Planilha2!$A$2:$D$5566,4,0)</f>
        <v>BA</v>
      </c>
    </row>
    <row r="992" spans="1:3" x14ac:dyDescent="0.35">
      <c r="A992">
        <v>292590</v>
      </c>
      <c r="B992" t="str">
        <f>VLOOKUP(A992,Planilha2!$A$2:$C$5566,3,0)</f>
        <v>QUIJINGUE</v>
      </c>
      <c r="C992" t="str">
        <f>VLOOKUP(A992,Planilha2!$A$2:$D$5566,4,0)</f>
        <v>BA</v>
      </c>
    </row>
    <row r="993" spans="1:3" x14ac:dyDescent="0.35">
      <c r="A993">
        <v>292210</v>
      </c>
      <c r="B993" t="str">
        <f>VLOOKUP(A993,Planilha2!$A$2:$C$5566,3,0)</f>
        <v>MUNDO NOVO</v>
      </c>
      <c r="C993" t="str">
        <f>VLOOKUP(A993,Planilha2!$A$2:$D$5566,4,0)</f>
        <v>BA</v>
      </c>
    </row>
    <row r="994" spans="1:3" x14ac:dyDescent="0.35">
      <c r="A994">
        <v>292430</v>
      </c>
      <c r="B994" t="str">
        <f>VLOOKUP(A994,Planilha2!$A$2:$C$5566,3,0)</f>
        <v>PIATÃ</v>
      </c>
      <c r="C994" t="str">
        <f>VLOOKUP(A994,Planilha2!$A$2:$D$5566,4,0)</f>
        <v>BA</v>
      </c>
    </row>
    <row r="995" spans="1:3" x14ac:dyDescent="0.35">
      <c r="A995">
        <v>292480</v>
      </c>
      <c r="B995" t="str">
        <f>VLOOKUP(A995,Planilha2!$A$2:$C$5566,3,0)</f>
        <v>PIRITIBA</v>
      </c>
      <c r="C995" t="str">
        <f>VLOOKUP(A995,Planilha2!$A$2:$D$5566,4,0)</f>
        <v>BA</v>
      </c>
    </row>
    <row r="996" spans="1:3" x14ac:dyDescent="0.35">
      <c r="A996">
        <v>292140</v>
      </c>
      <c r="B996" t="str">
        <f>VLOOKUP(A996,Planilha2!$A$2:$C$5566,3,0)</f>
        <v>MIRANGABA</v>
      </c>
      <c r="C996" t="str">
        <f>VLOOKUP(A996,Planilha2!$A$2:$D$5566,4,0)</f>
        <v>BA</v>
      </c>
    </row>
    <row r="997" spans="1:3" x14ac:dyDescent="0.35">
      <c r="A997">
        <v>291750</v>
      </c>
      <c r="B997" t="str">
        <f>VLOOKUP(A997,Planilha2!$A$2:$C$5566,3,0)</f>
        <v>JACOBINA</v>
      </c>
      <c r="C997" t="str">
        <f>VLOOKUP(A997,Planilha2!$A$2:$D$5566,4,0)</f>
        <v>BA</v>
      </c>
    </row>
    <row r="998" spans="1:3" x14ac:dyDescent="0.35">
      <c r="A998">
        <v>293120</v>
      </c>
      <c r="B998" t="str">
        <f>VLOOKUP(A998,Planilha2!$A$2:$C$5566,3,0)</f>
        <v>TAPEROÁ</v>
      </c>
      <c r="C998" t="str">
        <f>VLOOKUP(A998,Planilha2!$A$2:$D$5566,4,0)</f>
        <v>BA</v>
      </c>
    </row>
    <row r="999" spans="1:3" x14ac:dyDescent="0.35">
      <c r="A999">
        <v>290830</v>
      </c>
      <c r="B999" t="str">
        <f>VLOOKUP(A999,Planilha2!$A$2:$C$5566,3,0)</f>
        <v>CONCEIÇÃO DO ALMEIDA</v>
      </c>
      <c r="C999" t="str">
        <f>VLOOKUP(A999,Planilha2!$A$2:$D$5566,4,0)</f>
        <v>BA</v>
      </c>
    </row>
    <row r="1000" spans="1:3" x14ac:dyDescent="0.35">
      <c r="A1000">
        <v>292380</v>
      </c>
      <c r="B1000" t="str">
        <f>VLOOKUP(A1000,Planilha2!$A$2:$C$5566,3,0)</f>
        <v>PARIPIRANGA</v>
      </c>
      <c r="C1000" t="str">
        <f>VLOOKUP(A1000,Planilha2!$A$2:$D$5566,4,0)</f>
        <v>BA</v>
      </c>
    </row>
    <row r="1001" spans="1:3" x14ac:dyDescent="0.35">
      <c r="A1001">
        <v>292305</v>
      </c>
      <c r="B1001" t="str">
        <f>VLOOKUP(A1001,Planilha2!$A$2:$C$5566,3,0)</f>
        <v>NOVO TRIUNFO</v>
      </c>
      <c r="C1001" t="str">
        <f>VLOOKUP(A1001,Planilha2!$A$2:$D$5566,4,0)</f>
        <v>BA</v>
      </c>
    </row>
    <row r="1002" spans="1:3" x14ac:dyDescent="0.35">
      <c r="A1002">
        <v>290050</v>
      </c>
      <c r="B1002" t="str">
        <f>VLOOKUP(A1002,Planilha2!$A$2:$C$5566,3,0)</f>
        <v>ÉRICO CARDOSO</v>
      </c>
      <c r="C1002" t="str">
        <f>VLOOKUP(A1002,Planilha2!$A$2:$D$5566,4,0)</f>
        <v>BA</v>
      </c>
    </row>
    <row r="1003" spans="1:3" x14ac:dyDescent="0.35">
      <c r="A1003">
        <v>291360</v>
      </c>
      <c r="B1003" t="str">
        <f>VLOOKUP(A1003,Planilha2!$A$2:$C$5566,3,0)</f>
        <v>ILHÉUS</v>
      </c>
      <c r="C1003" t="str">
        <f>VLOOKUP(A1003,Planilha2!$A$2:$D$5566,4,0)</f>
        <v>BA</v>
      </c>
    </row>
    <row r="1004" spans="1:3" x14ac:dyDescent="0.35">
      <c r="A1004">
        <v>291490</v>
      </c>
      <c r="B1004" t="str">
        <f>VLOOKUP(A1004,Planilha2!$A$2:$C$5566,3,0)</f>
        <v>ITACARÉ</v>
      </c>
      <c r="C1004" t="str">
        <f>VLOOKUP(A1004,Planilha2!$A$2:$D$5566,4,0)</f>
        <v>BA</v>
      </c>
    </row>
    <row r="1005" spans="1:3" x14ac:dyDescent="0.35">
      <c r="A1005">
        <v>315460</v>
      </c>
      <c r="B1005" t="str">
        <f>VLOOKUP(A1005,Planilha2!$A$2:$C$5566,3,0)</f>
        <v>RIBEIRÃO DAS NEVES</v>
      </c>
      <c r="C1005" t="str">
        <f>VLOOKUP(A1005,Planilha2!$A$2:$D$5566,4,0)</f>
        <v>MG</v>
      </c>
    </row>
    <row r="1006" spans="1:3" x14ac:dyDescent="0.35">
      <c r="A1006">
        <v>310620</v>
      </c>
      <c r="B1006" t="str">
        <f>VLOOKUP(A1006,Planilha2!$A$2:$C$5566,3,0)</f>
        <v>BELO HORIZONTE</v>
      </c>
      <c r="C1006" t="str">
        <f>VLOOKUP(A1006,Planilha2!$A$2:$D$5566,4,0)</f>
        <v>MG</v>
      </c>
    </row>
    <row r="1007" spans="1:3" x14ac:dyDescent="0.35">
      <c r="A1007">
        <v>310900</v>
      </c>
      <c r="B1007" t="str">
        <f>VLOOKUP(A1007,Planilha2!$A$2:$C$5566,3,0)</f>
        <v>BRUMADINHO</v>
      </c>
      <c r="C1007" t="str">
        <f>VLOOKUP(A1007,Planilha2!$A$2:$D$5566,4,0)</f>
        <v>MG</v>
      </c>
    </row>
    <row r="1008" spans="1:3" x14ac:dyDescent="0.35">
      <c r="A1008">
        <v>314015</v>
      </c>
      <c r="B1008" t="str">
        <f>VLOOKUP(A1008,Planilha2!$A$2:$C$5566,3,0)</f>
        <v>MÁRIO CAMPOS</v>
      </c>
      <c r="C1008" t="str">
        <f>VLOOKUP(A1008,Planilha2!$A$2:$D$5566,4,0)</f>
        <v>MG</v>
      </c>
    </row>
    <row r="1009" spans="1:3" x14ac:dyDescent="0.35">
      <c r="A1009">
        <v>311000</v>
      </c>
      <c r="B1009" t="str">
        <f>VLOOKUP(A1009,Planilha2!$A$2:$C$5566,3,0)</f>
        <v>CAETÉ</v>
      </c>
      <c r="C1009" t="str">
        <f>VLOOKUP(A1009,Planilha2!$A$2:$D$5566,4,0)</f>
        <v>MG</v>
      </c>
    </row>
    <row r="1010" spans="1:3" x14ac:dyDescent="0.35">
      <c r="A1010">
        <v>311860</v>
      </c>
      <c r="B1010" t="str">
        <f>VLOOKUP(A1010,Planilha2!$A$2:$C$5566,3,0)</f>
        <v>CONTAGEM</v>
      </c>
      <c r="C1010" t="str">
        <f>VLOOKUP(A1010,Planilha2!$A$2:$D$5566,4,0)</f>
        <v>MG</v>
      </c>
    </row>
    <row r="1011" spans="1:3" x14ac:dyDescent="0.35">
      <c r="A1011">
        <v>314000</v>
      </c>
      <c r="B1011" t="str">
        <f>VLOOKUP(A1011,Planilha2!$A$2:$C$5566,3,0)</f>
        <v>MARIANA</v>
      </c>
      <c r="C1011" t="str">
        <f>VLOOKUP(A1011,Planilha2!$A$2:$D$5566,4,0)</f>
        <v>MG</v>
      </c>
    </row>
    <row r="1012" spans="1:3" x14ac:dyDescent="0.35">
      <c r="A1012">
        <v>314070</v>
      </c>
      <c r="B1012" t="str">
        <f>VLOOKUP(A1012,Planilha2!$A$2:$C$5566,3,0)</f>
        <v>MATEUS LEME</v>
      </c>
      <c r="C1012" t="str">
        <f>VLOOKUP(A1012,Planilha2!$A$2:$D$5566,4,0)</f>
        <v>MG</v>
      </c>
    </row>
    <row r="1013" spans="1:3" x14ac:dyDescent="0.35">
      <c r="A1013">
        <v>310670</v>
      </c>
      <c r="B1013" t="str">
        <f>VLOOKUP(A1013,Planilha2!$A$2:$C$5566,3,0)</f>
        <v>BETIM</v>
      </c>
      <c r="C1013" t="str">
        <f>VLOOKUP(A1013,Planilha2!$A$2:$D$5566,4,0)</f>
        <v>MG</v>
      </c>
    </row>
    <row r="1014" spans="1:3" x14ac:dyDescent="0.35">
      <c r="A1014">
        <v>312410</v>
      </c>
      <c r="B1014" t="str">
        <f>VLOOKUP(A1014,Planilha2!$A$2:$C$5566,3,0)</f>
        <v>ESMERALDAS</v>
      </c>
      <c r="C1014" t="str">
        <f>VLOOKUP(A1014,Planilha2!$A$2:$D$5566,4,0)</f>
        <v>MG</v>
      </c>
    </row>
    <row r="1015" spans="1:3" x14ac:dyDescent="0.35">
      <c r="A1015">
        <v>313670</v>
      </c>
      <c r="B1015" t="str">
        <f>VLOOKUP(A1015,Planilha2!$A$2:$C$5566,3,0)</f>
        <v>JUIZ DE FORA</v>
      </c>
      <c r="C1015" t="str">
        <f>VLOOKUP(A1015,Planilha2!$A$2:$D$5566,4,0)</f>
        <v>MG</v>
      </c>
    </row>
    <row r="1016" spans="1:3" x14ac:dyDescent="0.35">
      <c r="A1016">
        <v>316070</v>
      </c>
      <c r="B1016" t="str">
        <f>VLOOKUP(A1016,Planilha2!$A$2:$C$5566,3,0)</f>
        <v>SANTOS DUMONT</v>
      </c>
      <c r="C1016" t="str">
        <f>VLOOKUP(A1016,Planilha2!$A$2:$D$5566,4,0)</f>
        <v>MG</v>
      </c>
    </row>
    <row r="1017" spans="1:3" x14ac:dyDescent="0.35">
      <c r="A1017">
        <v>314080</v>
      </c>
      <c r="B1017" t="str">
        <f>VLOOKUP(A1017,Planilha2!$A$2:$C$5566,3,0)</f>
        <v>MATIAS BARBOSA</v>
      </c>
      <c r="C1017" t="str">
        <f>VLOOKUP(A1017,Planilha2!$A$2:$D$5566,4,0)</f>
        <v>MG</v>
      </c>
    </row>
    <row r="1018" spans="1:3" x14ac:dyDescent="0.35">
      <c r="A1018">
        <v>316290</v>
      </c>
      <c r="B1018" t="str">
        <f>VLOOKUP(A1018,Planilha2!$A$2:$C$5566,3,0)</f>
        <v>SÃO JOÃO NEPOMUCENO</v>
      </c>
      <c r="C1018" t="str">
        <f>VLOOKUP(A1018,Planilha2!$A$2:$D$5566,4,0)</f>
        <v>MG</v>
      </c>
    </row>
    <row r="1019" spans="1:3" x14ac:dyDescent="0.35">
      <c r="A1019">
        <v>312130</v>
      </c>
      <c r="B1019" t="str">
        <f>VLOOKUP(A1019,Planilha2!$A$2:$C$5566,3,0)</f>
        <v>DESCOBERTO</v>
      </c>
      <c r="C1019" t="str">
        <f>VLOOKUP(A1019,Planilha2!$A$2:$D$5566,4,0)</f>
        <v>MG</v>
      </c>
    </row>
    <row r="1020" spans="1:3" x14ac:dyDescent="0.35">
      <c r="A1020">
        <v>310690</v>
      </c>
      <c r="B1020" t="str">
        <f>VLOOKUP(A1020,Planilha2!$A$2:$C$5566,3,0)</f>
        <v>BICAS</v>
      </c>
      <c r="C1020" t="str">
        <f>VLOOKUP(A1020,Planilha2!$A$2:$D$5566,4,0)</f>
        <v>MG</v>
      </c>
    </row>
    <row r="1021" spans="1:3" x14ac:dyDescent="0.35">
      <c r="A1021">
        <v>313860</v>
      </c>
      <c r="B1021" t="str">
        <f>VLOOKUP(A1021,Planilha2!$A$2:$C$5566,3,0)</f>
        <v>LIMA DUARTE</v>
      </c>
      <c r="C1021" t="str">
        <f>VLOOKUP(A1021,Planilha2!$A$2:$D$5566,4,0)</f>
        <v>MG</v>
      </c>
    </row>
    <row r="1022" spans="1:3" x14ac:dyDescent="0.35">
      <c r="A1022">
        <v>314505</v>
      </c>
      <c r="B1022" t="str">
        <f>VLOOKUP(A1022,Planilha2!$A$2:$C$5566,3,0)</f>
        <v>NOVA PORTEIRINHA</v>
      </c>
      <c r="C1022" t="str">
        <f>VLOOKUP(A1022,Planilha2!$A$2:$D$5566,4,0)</f>
        <v>MG</v>
      </c>
    </row>
    <row r="1023" spans="1:3" x14ac:dyDescent="0.35">
      <c r="A1023">
        <v>315220</v>
      </c>
      <c r="B1023" t="str">
        <f>VLOOKUP(A1023,Planilha2!$A$2:$C$5566,3,0)</f>
        <v>PORTEIRINHA</v>
      </c>
      <c r="C1023" t="str">
        <f>VLOOKUP(A1023,Planilha2!$A$2:$D$5566,4,0)</f>
        <v>MG</v>
      </c>
    </row>
    <row r="1024" spans="1:3" x14ac:dyDescent="0.35">
      <c r="A1024">
        <v>315700</v>
      </c>
      <c r="B1024" t="str">
        <f>VLOOKUP(A1024,Planilha2!$A$2:$C$5566,3,0)</f>
        <v>SALINAS</v>
      </c>
      <c r="C1024" t="str">
        <f>VLOOKUP(A1024,Planilha2!$A$2:$D$5566,4,0)</f>
        <v>MG</v>
      </c>
    </row>
    <row r="1025" spans="1:3" x14ac:dyDescent="0.35">
      <c r="A1025">
        <v>314085</v>
      </c>
      <c r="B1025" t="str">
        <f>VLOOKUP(A1025,Planilha2!$A$2:$C$5566,3,0)</f>
        <v>MATIAS CARDOSO</v>
      </c>
      <c r="C1025" t="str">
        <f>VLOOKUP(A1025,Planilha2!$A$2:$D$5566,4,0)</f>
        <v>MG</v>
      </c>
    </row>
    <row r="1026" spans="1:3" x14ac:dyDescent="0.35">
      <c r="A1026">
        <v>312780</v>
      </c>
      <c r="B1026" t="str">
        <f>VLOOKUP(A1026,Planilha2!$A$2:$C$5566,3,0)</f>
        <v>GRÃO MOGOL</v>
      </c>
      <c r="C1026" t="str">
        <f>VLOOKUP(A1026,Planilha2!$A$2:$D$5566,4,0)</f>
        <v>MG</v>
      </c>
    </row>
    <row r="1027" spans="1:3" x14ac:dyDescent="0.35">
      <c r="A1027">
        <v>312430</v>
      </c>
      <c r="B1027" t="str">
        <f>VLOOKUP(A1027,Planilha2!$A$2:$C$5566,3,0)</f>
        <v>ESPINOSA</v>
      </c>
      <c r="C1027" t="str">
        <f>VLOOKUP(A1027,Planilha2!$A$2:$D$5566,4,0)</f>
        <v>MG</v>
      </c>
    </row>
    <row r="1028" spans="1:3" x14ac:dyDescent="0.35">
      <c r="A1028">
        <v>311547</v>
      </c>
      <c r="B1028" t="str">
        <f>VLOOKUP(A1028,Planilha2!$A$2:$C$5566,3,0)</f>
        <v>CATUTI</v>
      </c>
      <c r="C1028" t="str">
        <f>VLOOKUP(A1028,Planilha2!$A$2:$D$5566,4,0)</f>
        <v>MG</v>
      </c>
    </row>
    <row r="1029" spans="1:3" x14ac:dyDescent="0.35">
      <c r="A1029">
        <v>313510</v>
      </c>
      <c r="B1029" t="str">
        <f>VLOOKUP(A1029,Planilha2!$A$2:$C$5566,3,0)</f>
        <v>JANAÚBA</v>
      </c>
      <c r="C1029" t="str">
        <f>VLOOKUP(A1029,Planilha2!$A$2:$D$5566,4,0)</f>
        <v>MG</v>
      </c>
    </row>
    <row r="1030" spans="1:3" x14ac:dyDescent="0.35">
      <c r="A1030">
        <v>316225</v>
      </c>
      <c r="B1030" t="str">
        <f>VLOOKUP(A1030,Planilha2!$A$2:$C$5566,3,0)</f>
        <v>SÃO JOÃO DA LAGOA</v>
      </c>
      <c r="C1030" t="str">
        <f>VLOOKUP(A1030,Planilha2!$A$2:$D$5566,4,0)</f>
        <v>MG</v>
      </c>
    </row>
    <row r="1031" spans="1:3" x14ac:dyDescent="0.35">
      <c r="A1031">
        <v>316800</v>
      </c>
      <c r="B1031" t="str">
        <f>VLOOKUP(A1031,Planilha2!$A$2:$C$5566,3,0)</f>
        <v>TAIOBEIRAS</v>
      </c>
      <c r="C1031" t="str">
        <f>VLOOKUP(A1031,Planilha2!$A$2:$D$5566,4,0)</f>
        <v>MG</v>
      </c>
    </row>
    <row r="1032" spans="1:3" x14ac:dyDescent="0.35">
      <c r="A1032">
        <v>315450</v>
      </c>
      <c r="B1032" t="str">
        <f>VLOOKUP(A1032,Planilha2!$A$2:$C$5566,3,0)</f>
        <v>RIACHO DOS MACHADOS</v>
      </c>
      <c r="C1032" t="str">
        <f>VLOOKUP(A1032,Planilha2!$A$2:$D$5566,4,0)</f>
        <v>MG</v>
      </c>
    </row>
    <row r="1033" spans="1:3" x14ac:dyDescent="0.35">
      <c r="A1033">
        <v>311880</v>
      </c>
      <c r="B1033" t="str">
        <f>VLOOKUP(A1033,Planilha2!$A$2:$C$5566,3,0)</f>
        <v>CORAÇÃO DE JESUS</v>
      </c>
      <c r="C1033" t="str">
        <f>VLOOKUP(A1033,Planilha2!$A$2:$D$5566,4,0)</f>
        <v>MG</v>
      </c>
    </row>
    <row r="1034" spans="1:3" x14ac:dyDescent="0.35">
      <c r="A1034">
        <v>314380</v>
      </c>
      <c r="B1034" t="str">
        <f>VLOOKUP(A1034,Planilha2!$A$2:$C$5566,3,0)</f>
        <v>MUNHOZ</v>
      </c>
      <c r="C1034" t="str">
        <f>VLOOKUP(A1034,Planilha2!$A$2:$D$5566,4,0)</f>
        <v>MG</v>
      </c>
    </row>
    <row r="1035" spans="1:3" x14ac:dyDescent="0.35">
      <c r="A1035">
        <v>315920</v>
      </c>
      <c r="B1035" t="str">
        <f>VLOOKUP(A1035,Planilha2!$A$2:$C$5566,3,0)</f>
        <v>SANTA RITA DE CALDAS</v>
      </c>
      <c r="C1035" t="str">
        <f>VLOOKUP(A1035,Planilha2!$A$2:$D$5566,4,0)</f>
        <v>MG</v>
      </c>
    </row>
    <row r="1036" spans="1:3" x14ac:dyDescent="0.35">
      <c r="A1036">
        <v>315180</v>
      </c>
      <c r="B1036" t="str">
        <f>VLOOKUP(A1036,Planilha2!$A$2:$C$5566,3,0)</f>
        <v>POÇOS DE CALDAS</v>
      </c>
      <c r="C1036" t="str">
        <f>VLOOKUP(A1036,Planilha2!$A$2:$D$5566,4,0)</f>
        <v>MG</v>
      </c>
    </row>
    <row r="1037" spans="1:3" x14ac:dyDescent="0.35">
      <c r="A1037">
        <v>311090</v>
      </c>
      <c r="B1037" t="str">
        <f>VLOOKUP(A1037,Planilha2!$A$2:$C$5566,3,0)</f>
        <v>CAMPANHA</v>
      </c>
      <c r="C1037" t="str">
        <f>VLOOKUP(A1037,Planilha2!$A$2:$D$5566,4,0)</f>
        <v>MG</v>
      </c>
    </row>
    <row r="1038" spans="1:3" x14ac:dyDescent="0.35">
      <c r="A1038">
        <v>311550</v>
      </c>
      <c r="B1038" t="str">
        <f>VLOOKUP(A1038,Planilha2!$A$2:$C$5566,3,0)</f>
        <v>CAXAMBU</v>
      </c>
      <c r="C1038" t="str">
        <f>VLOOKUP(A1038,Planilha2!$A$2:$D$5566,4,0)</f>
        <v>MG</v>
      </c>
    </row>
    <row r="1039" spans="1:3" x14ac:dyDescent="0.35">
      <c r="A1039">
        <v>314530</v>
      </c>
      <c r="B1039" t="str">
        <f>VLOOKUP(A1039,Planilha2!$A$2:$C$5566,3,0)</f>
        <v>NOVO CRUZEIRO</v>
      </c>
      <c r="C1039" t="str">
        <f>VLOOKUP(A1039,Planilha2!$A$2:$D$5566,4,0)</f>
        <v>MG</v>
      </c>
    </row>
    <row r="1040" spans="1:3" x14ac:dyDescent="0.35">
      <c r="A1040">
        <v>315240</v>
      </c>
      <c r="B1040" t="str">
        <f>VLOOKUP(A1040,Planilha2!$A$2:$C$5566,3,0)</f>
        <v>POTÉ</v>
      </c>
      <c r="C1040" t="str">
        <f>VLOOKUP(A1040,Planilha2!$A$2:$D$5566,4,0)</f>
        <v>MG</v>
      </c>
    </row>
    <row r="1041" spans="1:3" x14ac:dyDescent="0.35">
      <c r="A1041">
        <v>314630</v>
      </c>
      <c r="B1041" t="str">
        <f>VLOOKUP(A1041,Planilha2!$A$2:$C$5566,3,0)</f>
        <v>PADRE PARAÍSO</v>
      </c>
      <c r="C1041" t="str">
        <f>VLOOKUP(A1041,Planilha2!$A$2:$D$5566,4,0)</f>
        <v>MG</v>
      </c>
    </row>
    <row r="1042" spans="1:3" x14ac:dyDescent="0.35">
      <c r="A1042">
        <v>316860</v>
      </c>
      <c r="B1042" t="str">
        <f>VLOOKUP(A1042,Planilha2!$A$2:$C$5566,3,0)</f>
        <v>TEÓFILO OTONI</v>
      </c>
      <c r="C1042" t="str">
        <f>VLOOKUP(A1042,Planilha2!$A$2:$D$5566,4,0)</f>
        <v>MG</v>
      </c>
    </row>
    <row r="1043" spans="1:3" x14ac:dyDescent="0.35">
      <c r="A1043">
        <v>310470</v>
      </c>
      <c r="B1043" t="str">
        <f>VLOOKUP(A1043,Planilha2!$A$2:$C$5566,3,0)</f>
        <v>ATALÉIA</v>
      </c>
      <c r="C1043" t="str">
        <f>VLOOKUP(A1043,Planilha2!$A$2:$D$5566,4,0)</f>
        <v>MG</v>
      </c>
    </row>
    <row r="1044" spans="1:3" x14ac:dyDescent="0.35">
      <c r="A1044">
        <v>314320</v>
      </c>
      <c r="B1044" t="str">
        <f>VLOOKUP(A1044,Planilha2!$A$2:$C$5566,3,0)</f>
        <v>MONTE SANTO DE MINAS</v>
      </c>
      <c r="C1044" t="str">
        <f>VLOOKUP(A1044,Planilha2!$A$2:$D$5566,4,0)</f>
        <v>MG</v>
      </c>
    </row>
    <row r="1045" spans="1:3" x14ac:dyDescent="0.35">
      <c r="A1045">
        <v>310030</v>
      </c>
      <c r="B1045" t="str">
        <f>VLOOKUP(A1045,Planilha2!$A$2:$C$5566,3,0)</f>
        <v>ABRE CAMPO</v>
      </c>
      <c r="C1045" t="str">
        <f>VLOOKUP(A1045,Planilha2!$A$2:$D$5566,4,0)</f>
        <v>MG</v>
      </c>
    </row>
    <row r="1046" spans="1:3" x14ac:dyDescent="0.35">
      <c r="A1046">
        <v>314400</v>
      </c>
      <c r="B1046" t="str">
        <f>VLOOKUP(A1046,Planilha2!$A$2:$C$5566,3,0)</f>
        <v>MUTUM</v>
      </c>
      <c r="C1046" t="str">
        <f>VLOOKUP(A1046,Planilha2!$A$2:$D$5566,4,0)</f>
        <v>MG</v>
      </c>
    </row>
    <row r="1047" spans="1:3" x14ac:dyDescent="0.35">
      <c r="A1047">
        <v>310205</v>
      </c>
      <c r="B1047" t="str">
        <f>VLOOKUP(A1047,Planilha2!$A$2:$C$5566,3,0)</f>
        <v>ALTO CAPARAÓ</v>
      </c>
      <c r="C1047" t="str">
        <f>VLOOKUP(A1047,Planilha2!$A$2:$D$5566,4,0)</f>
        <v>MG</v>
      </c>
    </row>
    <row r="1048" spans="1:3" x14ac:dyDescent="0.35">
      <c r="A1048">
        <v>313940</v>
      </c>
      <c r="B1048" t="str">
        <f>VLOOKUP(A1048,Planilha2!$A$2:$C$5566,3,0)</f>
        <v>MANHUAÇU</v>
      </c>
      <c r="C1048" t="str">
        <f>VLOOKUP(A1048,Planilha2!$A$2:$D$5566,4,0)</f>
        <v>MG</v>
      </c>
    </row>
    <row r="1049" spans="1:3" x14ac:dyDescent="0.35">
      <c r="A1049">
        <v>311330</v>
      </c>
      <c r="B1049" t="str">
        <f>VLOOKUP(A1049,Planilha2!$A$2:$C$5566,3,0)</f>
        <v>CARANGOLA</v>
      </c>
      <c r="C1049" t="str">
        <f>VLOOKUP(A1049,Planilha2!$A$2:$D$5566,4,0)</f>
        <v>MG</v>
      </c>
    </row>
    <row r="1050" spans="1:3" x14ac:dyDescent="0.35">
      <c r="A1050">
        <v>312200</v>
      </c>
      <c r="B1050" t="str">
        <f>VLOOKUP(A1050,Planilha2!$A$2:$C$5566,3,0)</f>
        <v>DIVINO</v>
      </c>
      <c r="C1050" t="str">
        <f>VLOOKUP(A1050,Planilha2!$A$2:$D$5566,4,0)</f>
        <v>MG</v>
      </c>
    </row>
    <row r="1051" spans="1:3" x14ac:dyDescent="0.35">
      <c r="A1051">
        <v>314350</v>
      </c>
      <c r="B1051" t="str">
        <f>VLOOKUP(A1051,Planilha2!$A$2:$C$5566,3,0)</f>
        <v>MORADA NOVA DE MINAS</v>
      </c>
      <c r="C1051" t="str">
        <f>VLOOKUP(A1051,Planilha2!$A$2:$D$5566,4,0)</f>
        <v>MG</v>
      </c>
    </row>
    <row r="1052" spans="1:3" x14ac:dyDescent="0.35">
      <c r="A1052">
        <v>310250</v>
      </c>
      <c r="B1052" t="str">
        <f>VLOOKUP(A1052,Planilha2!$A$2:$C$5566,3,0)</f>
        <v>AMPARO DO SERRA</v>
      </c>
      <c r="C1052" t="str">
        <f>VLOOKUP(A1052,Planilha2!$A$2:$D$5566,4,0)</f>
        <v>MG</v>
      </c>
    </row>
    <row r="1053" spans="1:3" x14ac:dyDescent="0.35">
      <c r="A1053">
        <v>314830</v>
      </c>
      <c r="B1053" t="str">
        <f>VLOOKUP(A1053,Planilha2!$A$2:$C$5566,3,0)</f>
        <v>PAULA CÂNDIDO</v>
      </c>
      <c r="C1053" t="str">
        <f>VLOOKUP(A1053,Planilha2!$A$2:$D$5566,4,0)</f>
        <v>MG</v>
      </c>
    </row>
    <row r="1054" spans="1:3" x14ac:dyDescent="0.35">
      <c r="A1054">
        <v>315490</v>
      </c>
      <c r="B1054" t="str">
        <f>VLOOKUP(A1054,Planilha2!$A$2:$C$5566,3,0)</f>
        <v>RIO CASCA</v>
      </c>
      <c r="C1054" t="str">
        <f>VLOOKUP(A1054,Planilha2!$A$2:$D$5566,4,0)</f>
        <v>MG</v>
      </c>
    </row>
    <row r="1055" spans="1:3" x14ac:dyDescent="0.35">
      <c r="A1055">
        <v>317130</v>
      </c>
      <c r="B1055" t="str">
        <f>VLOOKUP(A1055,Planilha2!$A$2:$C$5566,3,0)</f>
        <v>VIÇOSA</v>
      </c>
      <c r="C1055" t="str">
        <f>VLOOKUP(A1055,Planilha2!$A$2:$D$5566,4,0)</f>
        <v>MG</v>
      </c>
    </row>
    <row r="1056" spans="1:3" x14ac:dyDescent="0.35">
      <c r="A1056">
        <v>310230</v>
      </c>
      <c r="B1056" t="str">
        <f>VLOOKUP(A1056,Planilha2!$A$2:$C$5566,3,0)</f>
        <v>ALVINÓPOLIS</v>
      </c>
      <c r="C1056" t="str">
        <f>VLOOKUP(A1056,Planilha2!$A$2:$D$5566,4,0)</f>
        <v>MG</v>
      </c>
    </row>
    <row r="1057" spans="1:3" x14ac:dyDescent="0.35">
      <c r="A1057">
        <v>310870</v>
      </c>
      <c r="B1057" t="str">
        <f>VLOOKUP(A1057,Planilha2!$A$2:$C$5566,3,0)</f>
        <v>BRÁS PIRES</v>
      </c>
      <c r="C1057" t="str">
        <f>VLOOKUP(A1057,Planilha2!$A$2:$D$5566,4,0)</f>
        <v>MG</v>
      </c>
    </row>
    <row r="1058" spans="1:3" x14ac:dyDescent="0.35">
      <c r="A1058">
        <v>314390</v>
      </c>
      <c r="B1058" t="str">
        <f>VLOOKUP(A1058,Planilha2!$A$2:$C$5566,3,0)</f>
        <v>MURIAÉ</v>
      </c>
      <c r="C1058" t="str">
        <f>VLOOKUP(A1058,Planilha2!$A$2:$D$5566,4,0)</f>
        <v>MG</v>
      </c>
    </row>
    <row r="1059" spans="1:3" x14ac:dyDescent="0.35">
      <c r="A1059">
        <v>312490</v>
      </c>
      <c r="B1059" t="str">
        <f>VLOOKUP(A1059,Planilha2!$A$2:$C$5566,3,0)</f>
        <v>EUGENÓPOLIS</v>
      </c>
      <c r="C1059" t="str">
        <f>VLOOKUP(A1059,Planilha2!$A$2:$D$5566,4,0)</f>
        <v>MG</v>
      </c>
    </row>
    <row r="1060" spans="1:3" x14ac:dyDescent="0.35">
      <c r="A1060">
        <v>317020</v>
      </c>
      <c r="B1060" t="str">
        <f>VLOOKUP(A1060,Planilha2!$A$2:$C$5566,3,0)</f>
        <v>UBERLÂNDIA</v>
      </c>
      <c r="C1060" t="str">
        <f>VLOOKUP(A1060,Planilha2!$A$2:$D$5566,4,0)</f>
        <v>MG</v>
      </c>
    </row>
    <row r="1061" spans="1:3" x14ac:dyDescent="0.35">
      <c r="A1061">
        <v>310350</v>
      </c>
      <c r="B1061" t="str">
        <f>VLOOKUP(A1061,Planilha2!$A$2:$C$5566,3,0)</f>
        <v>ARAGUARI</v>
      </c>
      <c r="C1061" t="str">
        <f>VLOOKUP(A1061,Planilha2!$A$2:$D$5566,4,0)</f>
        <v>MG</v>
      </c>
    </row>
    <row r="1062" spans="1:3" x14ac:dyDescent="0.35">
      <c r="A1062">
        <v>314970</v>
      </c>
      <c r="B1062" t="str">
        <f>VLOOKUP(A1062,Planilha2!$A$2:$C$5566,3,0)</f>
        <v>PERDIGÃO</v>
      </c>
      <c r="C1062" t="str">
        <f>VLOOKUP(A1062,Planilha2!$A$2:$D$5566,4,0)</f>
        <v>MG</v>
      </c>
    </row>
    <row r="1063" spans="1:3" x14ac:dyDescent="0.35">
      <c r="A1063">
        <v>313880</v>
      </c>
      <c r="B1063" t="str">
        <f>VLOOKUP(A1063,Planilha2!$A$2:$C$5566,3,0)</f>
        <v>LUZ</v>
      </c>
      <c r="C1063" t="str">
        <f>VLOOKUP(A1063,Planilha2!$A$2:$D$5566,4,0)</f>
        <v>MG</v>
      </c>
    </row>
    <row r="1064" spans="1:3" x14ac:dyDescent="0.35">
      <c r="A1064">
        <v>312245</v>
      </c>
      <c r="B1064" t="str">
        <f>VLOOKUP(A1064,Planilha2!$A$2:$C$5566,3,0)</f>
        <v>DIVISÓPOLIS</v>
      </c>
      <c r="C1064" t="str">
        <f>VLOOKUP(A1064,Planilha2!$A$2:$D$5566,4,0)</f>
        <v>MG</v>
      </c>
    </row>
    <row r="1065" spans="1:3" x14ac:dyDescent="0.35">
      <c r="A1065">
        <v>314675</v>
      </c>
      <c r="B1065" t="str">
        <f>VLOOKUP(A1065,Planilha2!$A$2:$C$5566,3,0)</f>
        <v>PALMÓPOLIS</v>
      </c>
      <c r="C1065" t="str">
        <f>VLOOKUP(A1065,Planilha2!$A$2:$D$5566,4,0)</f>
        <v>MG</v>
      </c>
    </row>
    <row r="1066" spans="1:3" x14ac:dyDescent="0.35">
      <c r="A1066">
        <v>317010</v>
      </c>
      <c r="B1066" t="str">
        <f>VLOOKUP(A1066,Planilha2!$A$2:$C$5566,3,0)</f>
        <v>UBERABA</v>
      </c>
      <c r="C1066" t="str">
        <f>VLOOKUP(A1066,Planilha2!$A$2:$D$5566,4,0)</f>
        <v>MG</v>
      </c>
    </row>
    <row r="1067" spans="1:3" x14ac:dyDescent="0.35">
      <c r="A1067">
        <v>310400</v>
      </c>
      <c r="B1067" t="str">
        <f>VLOOKUP(A1067,Planilha2!$A$2:$C$5566,3,0)</f>
        <v>ARAXÁ</v>
      </c>
      <c r="C1067" t="str">
        <f>VLOOKUP(A1067,Planilha2!$A$2:$D$5566,4,0)</f>
        <v>MG</v>
      </c>
    </row>
    <row r="1068" spans="1:3" x14ac:dyDescent="0.35">
      <c r="A1068">
        <v>316447</v>
      </c>
      <c r="B1068" t="str">
        <f>VLOOKUP(A1068,Planilha2!$A$2:$C$5566,3,0)</f>
        <v>SÃO SEBASTIÃO DO ANTA</v>
      </c>
      <c r="C1068" t="str">
        <f>VLOOKUP(A1068,Planilha2!$A$2:$D$5566,4,0)</f>
        <v>MG</v>
      </c>
    </row>
    <row r="1069" spans="1:3" x14ac:dyDescent="0.35">
      <c r="A1069">
        <v>350160</v>
      </c>
      <c r="B1069" t="str">
        <f>VLOOKUP(A1069,Planilha2!$A$2:$C$5566,3,0)</f>
        <v>AMERICANA</v>
      </c>
      <c r="C1069" t="str">
        <f>VLOOKUP(A1069,Planilha2!$A$2:$D$5566,4,0)</f>
        <v>SP</v>
      </c>
    </row>
    <row r="1070" spans="1:3" x14ac:dyDescent="0.35">
      <c r="A1070">
        <v>313440</v>
      </c>
      <c r="B1070" t="str">
        <f>VLOOKUP(A1070,Planilha2!$A$2:$C$5566,3,0)</f>
        <v>ITURAMA</v>
      </c>
      <c r="C1070" t="str">
        <f>VLOOKUP(A1070,Planilha2!$A$2:$D$5566,4,0)</f>
        <v>MG</v>
      </c>
    </row>
    <row r="1071" spans="1:3" x14ac:dyDescent="0.35">
      <c r="A1071">
        <v>310050</v>
      </c>
      <c r="B1071" t="str">
        <f>VLOOKUP(A1071,Planilha2!$A$2:$C$5566,3,0)</f>
        <v>AÇUCENA</v>
      </c>
      <c r="C1071" t="str">
        <f>VLOOKUP(A1071,Planilha2!$A$2:$D$5566,4,0)</f>
        <v>MG</v>
      </c>
    </row>
    <row r="1072" spans="1:3" x14ac:dyDescent="0.35">
      <c r="A1072">
        <v>311940</v>
      </c>
      <c r="B1072" t="str">
        <f>VLOOKUP(A1072,Planilha2!$A$2:$C$5566,3,0)</f>
        <v>CORONEL FABRICIANO</v>
      </c>
      <c r="C1072" t="str">
        <f>VLOOKUP(A1072,Planilha2!$A$2:$D$5566,4,0)</f>
        <v>MG</v>
      </c>
    </row>
    <row r="1073" spans="1:3" x14ac:dyDescent="0.35">
      <c r="A1073">
        <v>313130</v>
      </c>
      <c r="B1073" t="str">
        <f>VLOOKUP(A1073,Planilha2!$A$2:$C$5566,3,0)</f>
        <v>IPATINGA</v>
      </c>
      <c r="C1073" t="str">
        <f>VLOOKUP(A1073,Planilha2!$A$2:$D$5566,4,0)</f>
        <v>MG</v>
      </c>
    </row>
    <row r="1074" spans="1:3" x14ac:dyDescent="0.35">
      <c r="A1074">
        <v>310150</v>
      </c>
      <c r="B1074" t="str">
        <f>VLOOKUP(A1074,Planilha2!$A$2:$C$5566,3,0)</f>
        <v>ALÉM PARAÍBA</v>
      </c>
      <c r="C1074" t="str">
        <f>VLOOKUP(A1074,Planilha2!$A$2:$D$5566,4,0)</f>
        <v>MG</v>
      </c>
    </row>
    <row r="1075" spans="1:3" x14ac:dyDescent="0.35">
      <c r="A1075">
        <v>311530</v>
      </c>
      <c r="B1075" t="str">
        <f>VLOOKUP(A1075,Planilha2!$A$2:$C$5566,3,0)</f>
        <v>CATAGUASES</v>
      </c>
      <c r="C1075" t="str">
        <f>VLOOKUP(A1075,Planilha2!$A$2:$D$5566,4,0)</f>
        <v>MG</v>
      </c>
    </row>
    <row r="1076" spans="1:3" x14ac:dyDescent="0.35">
      <c r="A1076">
        <v>310460</v>
      </c>
      <c r="B1076" t="str">
        <f>VLOOKUP(A1076,Planilha2!$A$2:$C$5566,3,0)</f>
        <v>ASTOLFO DUTRA</v>
      </c>
      <c r="C1076" t="str">
        <f>VLOOKUP(A1076,Planilha2!$A$2:$D$5566,4,0)</f>
        <v>MG</v>
      </c>
    </row>
    <row r="1077" spans="1:3" x14ac:dyDescent="0.35">
      <c r="A1077">
        <v>313800</v>
      </c>
      <c r="B1077" t="str">
        <f>VLOOKUP(A1077,Planilha2!$A$2:$C$5566,3,0)</f>
        <v>LARANJAL</v>
      </c>
      <c r="C1077" t="str">
        <f>VLOOKUP(A1077,Planilha2!$A$2:$D$5566,4,0)</f>
        <v>MG</v>
      </c>
    </row>
    <row r="1078" spans="1:3" x14ac:dyDescent="0.35">
      <c r="A1078">
        <v>313840</v>
      </c>
      <c r="B1078" t="str">
        <f>VLOOKUP(A1078,Planilha2!$A$2:$C$5566,3,0)</f>
        <v>LEOPOLDINA</v>
      </c>
      <c r="C1078" t="str">
        <f>VLOOKUP(A1078,Planilha2!$A$2:$D$5566,4,0)</f>
        <v>MG</v>
      </c>
    </row>
    <row r="1079" spans="1:3" x14ac:dyDescent="0.35">
      <c r="A1079">
        <v>316110</v>
      </c>
      <c r="B1079" t="str">
        <f>VLOOKUP(A1079,Planilha2!$A$2:$C$5566,3,0)</f>
        <v>SÃO FRANCISCO</v>
      </c>
      <c r="C1079" t="str">
        <f>VLOOKUP(A1079,Planilha2!$A$2:$D$5566,4,0)</f>
        <v>MG</v>
      </c>
    </row>
    <row r="1080" spans="1:3" x14ac:dyDescent="0.35">
      <c r="A1080">
        <v>313520</v>
      </c>
      <c r="B1080" t="str">
        <f>VLOOKUP(A1080,Planilha2!$A$2:$C$5566,3,0)</f>
        <v>JANUÁRIA</v>
      </c>
      <c r="C1080" t="str">
        <f>VLOOKUP(A1080,Planilha2!$A$2:$D$5566,4,0)</f>
        <v>MG</v>
      </c>
    </row>
    <row r="1081" spans="1:3" x14ac:dyDescent="0.35">
      <c r="A1081">
        <v>316240</v>
      </c>
      <c r="B1081" t="str">
        <f>VLOOKUP(A1081,Planilha2!$A$2:$C$5566,3,0)</f>
        <v>SÃO JOÃO DA PONTE</v>
      </c>
      <c r="C1081" t="str">
        <f>VLOOKUP(A1081,Planilha2!$A$2:$D$5566,4,0)</f>
        <v>MG</v>
      </c>
    </row>
    <row r="1082" spans="1:3" x14ac:dyDescent="0.35">
      <c r="A1082">
        <v>315780</v>
      </c>
      <c r="B1082" t="str">
        <f>VLOOKUP(A1082,Planilha2!$A$2:$C$5566,3,0)</f>
        <v>SANTA LUZIA</v>
      </c>
      <c r="C1082" t="str">
        <f>VLOOKUP(A1082,Planilha2!$A$2:$D$5566,4,0)</f>
        <v>MG</v>
      </c>
    </row>
    <row r="1083" spans="1:3" x14ac:dyDescent="0.35">
      <c r="A1083">
        <v>312980</v>
      </c>
      <c r="B1083" t="str">
        <f>VLOOKUP(A1083,Planilha2!$A$2:$C$5566,3,0)</f>
        <v>IBIRITÉ</v>
      </c>
      <c r="C1083" t="str">
        <f>VLOOKUP(A1083,Planilha2!$A$2:$D$5566,4,0)</f>
        <v>MG</v>
      </c>
    </row>
    <row r="1084" spans="1:3" x14ac:dyDescent="0.35">
      <c r="A1084">
        <v>314930</v>
      </c>
      <c r="B1084" t="str">
        <f>VLOOKUP(A1084,Planilha2!$A$2:$C$5566,3,0)</f>
        <v>PEDRO LEOPOLDO</v>
      </c>
      <c r="C1084" t="str">
        <f>VLOOKUP(A1084,Planilha2!$A$2:$D$5566,4,0)</f>
        <v>MG</v>
      </c>
    </row>
    <row r="1085" spans="1:3" x14ac:dyDescent="0.35">
      <c r="A1085">
        <v>313665</v>
      </c>
      <c r="B1085" t="str">
        <f>VLOOKUP(A1085,Planilha2!$A$2:$C$5566,3,0)</f>
        <v>JUATUBA</v>
      </c>
      <c r="C1085" t="str">
        <f>VLOOKUP(A1085,Planilha2!$A$2:$D$5566,4,0)</f>
        <v>MG</v>
      </c>
    </row>
    <row r="1086" spans="1:3" x14ac:dyDescent="0.35">
      <c r="A1086">
        <v>312060</v>
      </c>
      <c r="B1086" t="str">
        <f>VLOOKUP(A1086,Planilha2!$A$2:$C$5566,3,0)</f>
        <v>CRUCILÂNDIA</v>
      </c>
      <c r="C1086" t="str">
        <f>VLOOKUP(A1086,Planilha2!$A$2:$D$5566,4,0)</f>
        <v>MG</v>
      </c>
    </row>
    <row r="1087" spans="1:3" x14ac:dyDescent="0.35">
      <c r="A1087">
        <v>314480</v>
      </c>
      <c r="B1087" t="str">
        <f>VLOOKUP(A1087,Planilha2!$A$2:$C$5566,3,0)</f>
        <v>NOVA LIMA</v>
      </c>
      <c r="C1087" t="str">
        <f>VLOOKUP(A1087,Planilha2!$A$2:$D$5566,4,0)</f>
        <v>MG</v>
      </c>
    </row>
    <row r="1088" spans="1:3" x14ac:dyDescent="0.35">
      <c r="A1088">
        <v>315720</v>
      </c>
      <c r="B1088" t="str">
        <f>VLOOKUP(A1088,Planilha2!$A$2:$C$5566,3,0)</f>
        <v>SANTA BÁRBARA</v>
      </c>
      <c r="C1088" t="str">
        <f>VLOOKUP(A1088,Planilha2!$A$2:$D$5566,4,0)</f>
        <v>MG</v>
      </c>
    </row>
    <row r="1089" spans="1:3" x14ac:dyDescent="0.35">
      <c r="A1089">
        <v>315480</v>
      </c>
      <c r="B1089" t="str">
        <f>VLOOKUP(A1089,Planilha2!$A$2:$C$5566,3,0)</f>
        <v>RIO ACIMA</v>
      </c>
      <c r="C1089" t="str">
        <f>VLOOKUP(A1089,Planilha2!$A$2:$D$5566,4,0)</f>
        <v>MG</v>
      </c>
    </row>
    <row r="1090" spans="1:3" x14ac:dyDescent="0.35">
      <c r="A1090">
        <v>313460</v>
      </c>
      <c r="B1090" t="str">
        <f>VLOOKUP(A1090,Planilha2!$A$2:$C$5566,3,0)</f>
        <v>JABOTICATUBAS</v>
      </c>
      <c r="C1090" t="str">
        <f>VLOOKUP(A1090,Planilha2!$A$2:$D$5566,4,0)</f>
        <v>MG</v>
      </c>
    </row>
    <row r="1091" spans="1:3" x14ac:dyDescent="0.35">
      <c r="A1091">
        <v>316553</v>
      </c>
      <c r="B1091" t="str">
        <f>VLOOKUP(A1091,Planilha2!$A$2:$C$5566,3,0)</f>
        <v>SARZEDO</v>
      </c>
      <c r="C1091" t="str">
        <f>VLOOKUP(A1091,Planilha2!$A$2:$D$5566,4,0)</f>
        <v>MG</v>
      </c>
    </row>
    <row r="1092" spans="1:3" x14ac:dyDescent="0.35">
      <c r="A1092">
        <v>315670</v>
      </c>
      <c r="B1092" t="str">
        <f>VLOOKUP(A1092,Planilha2!$A$2:$C$5566,3,0)</f>
        <v>SABARÁ</v>
      </c>
      <c r="C1092" t="str">
        <f>VLOOKUP(A1092,Planilha2!$A$2:$D$5566,4,0)</f>
        <v>MG</v>
      </c>
    </row>
    <row r="1093" spans="1:3" x14ac:dyDescent="0.35">
      <c r="A1093">
        <v>314650</v>
      </c>
      <c r="B1093" t="str">
        <f>VLOOKUP(A1093,Planilha2!$A$2:$C$5566,3,0)</f>
        <v>PAINS</v>
      </c>
      <c r="C1093" t="str">
        <f>VLOOKUP(A1093,Planilha2!$A$2:$D$5566,4,0)</f>
        <v>MG</v>
      </c>
    </row>
    <row r="1094" spans="1:3" x14ac:dyDescent="0.35">
      <c r="A1094">
        <v>310810</v>
      </c>
      <c r="B1094" t="str">
        <f>VLOOKUP(A1094,Planilha2!$A$2:$C$5566,3,0)</f>
        <v>BONFIM</v>
      </c>
      <c r="C1094" t="str">
        <f>VLOOKUP(A1094,Planilha2!$A$2:$D$5566,4,0)</f>
        <v>MG</v>
      </c>
    </row>
    <row r="1095" spans="1:3" x14ac:dyDescent="0.35">
      <c r="A1095">
        <v>313470</v>
      </c>
      <c r="B1095" t="str">
        <f>VLOOKUP(A1095,Planilha2!$A$2:$C$5566,3,0)</f>
        <v>JACINTO</v>
      </c>
      <c r="C1095" t="str">
        <f>VLOOKUP(A1095,Planilha2!$A$2:$D$5566,4,0)</f>
        <v>MG</v>
      </c>
    </row>
    <row r="1096" spans="1:3" x14ac:dyDescent="0.35">
      <c r="A1096">
        <v>314140</v>
      </c>
      <c r="B1096" t="str">
        <f>VLOOKUP(A1096,Planilha2!$A$2:$C$5566,3,0)</f>
        <v>MEDINA</v>
      </c>
      <c r="C1096" t="str">
        <f>VLOOKUP(A1096,Planilha2!$A$2:$D$5566,4,0)</f>
        <v>MG</v>
      </c>
    </row>
    <row r="1097" spans="1:3" x14ac:dyDescent="0.35">
      <c r="A1097">
        <v>315217</v>
      </c>
      <c r="B1097" t="str">
        <f>VLOOKUP(A1097,Planilha2!$A$2:$C$5566,3,0)</f>
        <v>PONTO DOS VOLANTES</v>
      </c>
      <c r="C1097" t="str">
        <f>VLOOKUP(A1097,Planilha2!$A$2:$D$5566,4,0)</f>
        <v>MG</v>
      </c>
    </row>
    <row r="1098" spans="1:3" x14ac:dyDescent="0.35">
      <c r="A1098">
        <v>311060</v>
      </c>
      <c r="B1098" t="str">
        <f>VLOOKUP(A1098,Planilha2!$A$2:$C$5566,3,0)</f>
        <v>CAMBUÍ</v>
      </c>
      <c r="C1098" t="str">
        <f>VLOOKUP(A1098,Planilha2!$A$2:$D$5566,4,0)</f>
        <v>MG</v>
      </c>
    </row>
    <row r="1099" spans="1:3" x14ac:dyDescent="0.35">
      <c r="A1099">
        <v>310890</v>
      </c>
      <c r="B1099" t="str">
        <f>VLOOKUP(A1099,Planilha2!$A$2:$C$5566,3,0)</f>
        <v>BRASÓPOLIS</v>
      </c>
      <c r="C1099" t="str">
        <f>VLOOKUP(A1099,Planilha2!$A$2:$D$5566,4,0)</f>
        <v>MG</v>
      </c>
    </row>
    <row r="1100" spans="1:3" x14ac:dyDescent="0.35">
      <c r="A1100">
        <v>316320</v>
      </c>
      <c r="B1100" t="str">
        <f>VLOOKUP(A1100,Planilha2!$A$2:$C$5566,3,0)</f>
        <v>SÃO JOSÉ DO ALEGRE</v>
      </c>
      <c r="C1100" t="str">
        <f>VLOOKUP(A1100,Planilha2!$A$2:$D$5566,4,0)</f>
        <v>MG</v>
      </c>
    </row>
    <row r="1101" spans="1:3" x14ac:dyDescent="0.35">
      <c r="A1101">
        <v>315100</v>
      </c>
      <c r="B1101" t="str">
        <f>VLOOKUP(A1101,Planilha2!$A$2:$C$5566,3,0)</f>
        <v>PIRANGUINHO</v>
      </c>
      <c r="C1101" t="str">
        <f>VLOOKUP(A1101,Planilha2!$A$2:$D$5566,4,0)</f>
        <v>MG</v>
      </c>
    </row>
    <row r="1102" spans="1:3" x14ac:dyDescent="0.35">
      <c r="A1102">
        <v>313490</v>
      </c>
      <c r="B1102" t="str">
        <f>VLOOKUP(A1102,Planilha2!$A$2:$C$5566,3,0)</f>
        <v>JACUTINGA</v>
      </c>
      <c r="C1102" t="str">
        <f>VLOOKUP(A1102,Planilha2!$A$2:$D$5566,4,0)</f>
        <v>MG</v>
      </c>
    </row>
    <row r="1103" spans="1:3" x14ac:dyDescent="0.35">
      <c r="A1103">
        <v>312990</v>
      </c>
      <c r="B1103" t="str">
        <f>VLOOKUP(A1103,Planilha2!$A$2:$C$5566,3,0)</f>
        <v>IBITIÚRA DE MINAS</v>
      </c>
      <c r="C1103" t="str">
        <f>VLOOKUP(A1103,Planilha2!$A$2:$D$5566,4,0)</f>
        <v>MG</v>
      </c>
    </row>
    <row r="1104" spans="1:3" x14ac:dyDescent="0.35">
      <c r="A1104">
        <v>310260</v>
      </c>
      <c r="B1104" t="str">
        <f>VLOOKUP(A1104,Planilha2!$A$2:$C$5566,3,0)</f>
        <v>ANDRADAS</v>
      </c>
      <c r="C1104" t="str">
        <f>VLOOKUP(A1104,Planilha2!$A$2:$D$5566,4,0)</f>
        <v>MG</v>
      </c>
    </row>
    <row r="1105" spans="1:3" x14ac:dyDescent="0.35">
      <c r="A1105">
        <v>311030</v>
      </c>
      <c r="B1105" t="str">
        <f>VLOOKUP(A1105,Planilha2!$A$2:$C$5566,3,0)</f>
        <v>CALDAS</v>
      </c>
      <c r="C1105" t="str">
        <f>VLOOKUP(A1105,Planilha2!$A$2:$D$5566,4,0)</f>
        <v>MG</v>
      </c>
    </row>
    <row r="1106" spans="1:3" x14ac:dyDescent="0.35">
      <c r="A1106">
        <v>315250</v>
      </c>
      <c r="B1106" t="str">
        <f>VLOOKUP(A1106,Planilha2!$A$2:$C$5566,3,0)</f>
        <v>POUSO ALEGRE</v>
      </c>
      <c r="C1106" t="str">
        <f>VLOOKUP(A1106,Planilha2!$A$2:$D$5566,4,0)</f>
        <v>MG</v>
      </c>
    </row>
    <row r="1107" spans="1:3" x14ac:dyDescent="0.35">
      <c r="A1107">
        <v>314340</v>
      </c>
      <c r="B1107" t="str">
        <f>VLOOKUP(A1107,Planilha2!$A$2:$C$5566,3,0)</f>
        <v>MONTE SIÃO</v>
      </c>
      <c r="C1107" t="str">
        <f>VLOOKUP(A1107,Planilha2!$A$2:$D$5566,4,0)</f>
        <v>MG</v>
      </c>
    </row>
    <row r="1108" spans="1:3" x14ac:dyDescent="0.35">
      <c r="A1108">
        <v>311050</v>
      </c>
      <c r="B1108" t="str">
        <f>VLOOKUP(A1108,Planilha2!$A$2:$C$5566,3,0)</f>
        <v>CAMANDUCAIA</v>
      </c>
      <c r="C1108" t="str">
        <f>VLOOKUP(A1108,Planilha2!$A$2:$D$5566,4,0)</f>
        <v>MG</v>
      </c>
    </row>
    <row r="1109" spans="1:3" x14ac:dyDescent="0.35">
      <c r="A1109">
        <v>310790</v>
      </c>
      <c r="B1109" t="str">
        <f>VLOOKUP(A1109,Planilha2!$A$2:$C$5566,3,0)</f>
        <v>BOM REPOUSO</v>
      </c>
      <c r="C1109" t="str">
        <f>VLOOKUP(A1109,Planilha2!$A$2:$D$5566,4,0)</f>
        <v>MG</v>
      </c>
    </row>
    <row r="1110" spans="1:3" x14ac:dyDescent="0.35">
      <c r="A1110">
        <v>312510</v>
      </c>
      <c r="B1110" t="str">
        <f>VLOOKUP(A1110,Planilha2!$A$2:$C$5566,3,0)</f>
        <v>EXTREMA</v>
      </c>
      <c r="C1110" t="str">
        <f>VLOOKUP(A1110,Planilha2!$A$2:$D$5566,4,0)</f>
        <v>MG</v>
      </c>
    </row>
    <row r="1111" spans="1:3" x14ac:dyDescent="0.35">
      <c r="A1111">
        <v>312920</v>
      </c>
      <c r="B1111" t="str">
        <f>VLOOKUP(A1111,Planilha2!$A$2:$C$5566,3,0)</f>
        <v>HELIODORA</v>
      </c>
      <c r="C1111" t="str">
        <f>VLOOKUP(A1111,Planilha2!$A$2:$D$5566,4,0)</f>
        <v>MG</v>
      </c>
    </row>
    <row r="1112" spans="1:3" x14ac:dyDescent="0.35">
      <c r="A1112">
        <v>314910</v>
      </c>
      <c r="B1112" t="str">
        <f>VLOOKUP(A1112,Planilha2!$A$2:$C$5566,3,0)</f>
        <v>PEDRALVA</v>
      </c>
      <c r="C1112" t="str">
        <f>VLOOKUP(A1112,Planilha2!$A$2:$D$5566,4,0)</f>
        <v>MG</v>
      </c>
    </row>
    <row r="1113" spans="1:3" x14ac:dyDescent="0.35">
      <c r="A1113">
        <v>313050</v>
      </c>
      <c r="B1113" t="str">
        <f>VLOOKUP(A1113,Planilha2!$A$2:$C$5566,3,0)</f>
        <v>ILICÍNEA</v>
      </c>
      <c r="C1113" t="str">
        <f>VLOOKUP(A1113,Planilha2!$A$2:$D$5566,4,0)</f>
        <v>MG</v>
      </c>
    </row>
    <row r="1114" spans="1:3" x14ac:dyDescent="0.35">
      <c r="A1114">
        <v>310710</v>
      </c>
      <c r="B1114" t="str">
        <f>VLOOKUP(A1114,Planilha2!$A$2:$C$5566,3,0)</f>
        <v>BOA ESPERANÇA</v>
      </c>
      <c r="C1114" t="str">
        <f>VLOOKUP(A1114,Planilha2!$A$2:$D$5566,4,0)</f>
        <v>MG</v>
      </c>
    </row>
    <row r="1115" spans="1:3" x14ac:dyDescent="0.35">
      <c r="A1115">
        <v>311390</v>
      </c>
      <c r="B1115" t="str">
        <f>VLOOKUP(A1115,Planilha2!$A$2:$C$5566,3,0)</f>
        <v>CARMO DA CACHOEIRA</v>
      </c>
      <c r="C1115" t="str">
        <f>VLOOKUP(A1115,Planilha2!$A$2:$D$5566,4,0)</f>
        <v>MG</v>
      </c>
    </row>
    <row r="1116" spans="1:3" x14ac:dyDescent="0.35">
      <c r="A1116">
        <v>313820</v>
      </c>
      <c r="B1116" t="str">
        <f>VLOOKUP(A1116,Planilha2!$A$2:$C$5566,3,0)</f>
        <v>LAVRAS</v>
      </c>
      <c r="C1116" t="str">
        <f>VLOOKUP(A1116,Planilha2!$A$2:$D$5566,4,0)</f>
        <v>MG</v>
      </c>
    </row>
    <row r="1117" spans="1:3" x14ac:dyDescent="0.35">
      <c r="A1117">
        <v>314990</v>
      </c>
      <c r="B1117" t="str">
        <f>VLOOKUP(A1117,Planilha2!$A$2:$C$5566,3,0)</f>
        <v>PERDÕES</v>
      </c>
      <c r="C1117" t="str">
        <f>VLOOKUP(A1117,Planilha2!$A$2:$D$5566,4,0)</f>
        <v>MG</v>
      </c>
    </row>
    <row r="1118" spans="1:3" x14ac:dyDescent="0.35">
      <c r="A1118">
        <v>312080</v>
      </c>
      <c r="B1118" t="str">
        <f>VLOOKUP(A1118,Planilha2!$A$2:$C$5566,3,0)</f>
        <v>CRUZÍLIA</v>
      </c>
      <c r="C1118" t="str">
        <f>VLOOKUP(A1118,Planilha2!$A$2:$D$5566,4,0)</f>
        <v>MG</v>
      </c>
    </row>
    <row r="1119" spans="1:3" x14ac:dyDescent="0.35">
      <c r="A1119">
        <v>316370</v>
      </c>
      <c r="B1119" t="str">
        <f>VLOOKUP(A1119,Planilha2!$A$2:$C$5566,3,0)</f>
        <v>SÃO LOURENÇO</v>
      </c>
      <c r="C1119" t="str">
        <f>VLOOKUP(A1119,Planilha2!$A$2:$D$5566,4,0)</f>
        <v>MG</v>
      </c>
    </row>
    <row r="1120" spans="1:3" x14ac:dyDescent="0.35">
      <c r="A1120">
        <v>351340</v>
      </c>
      <c r="B1120" t="str">
        <f>VLOOKUP(A1120,Planilha2!$A$2:$C$5566,3,0)</f>
        <v>CRUZEIRO</v>
      </c>
      <c r="C1120" t="str">
        <f>VLOOKUP(A1120,Planilha2!$A$2:$D$5566,4,0)</f>
        <v>SP</v>
      </c>
    </row>
    <row r="1121" spans="1:3" x14ac:dyDescent="0.35">
      <c r="A1121">
        <v>317070</v>
      </c>
      <c r="B1121" t="str">
        <f>VLOOKUP(A1121,Planilha2!$A$2:$C$5566,3,0)</f>
        <v>VARGINHA</v>
      </c>
      <c r="C1121" t="str">
        <f>VLOOKUP(A1121,Planilha2!$A$2:$D$5566,4,0)</f>
        <v>MG</v>
      </c>
    </row>
    <row r="1122" spans="1:3" x14ac:dyDescent="0.35">
      <c r="A1122">
        <v>316940</v>
      </c>
      <c r="B1122" t="str">
        <f>VLOOKUP(A1122,Planilha2!$A$2:$C$5566,3,0)</f>
        <v>TRÊS PONTAS</v>
      </c>
      <c r="C1122" t="str">
        <f>VLOOKUP(A1122,Planilha2!$A$2:$D$5566,4,0)</f>
        <v>MG</v>
      </c>
    </row>
    <row r="1123" spans="1:3" x14ac:dyDescent="0.35">
      <c r="A1123">
        <v>316550</v>
      </c>
      <c r="B1123" t="str">
        <f>VLOOKUP(A1123,Planilha2!$A$2:$C$5566,3,0)</f>
        <v>SARDOÁ</v>
      </c>
      <c r="C1123" t="str">
        <f>VLOOKUP(A1123,Planilha2!$A$2:$D$5566,4,0)</f>
        <v>MG</v>
      </c>
    </row>
    <row r="1124" spans="1:3" x14ac:dyDescent="0.35">
      <c r="A1124">
        <v>316840</v>
      </c>
      <c r="B1124" t="str">
        <f>VLOOKUP(A1124,Planilha2!$A$2:$C$5566,3,0)</f>
        <v>TARUMIRIM</v>
      </c>
      <c r="C1124" t="str">
        <f>VLOOKUP(A1124,Planilha2!$A$2:$D$5566,4,0)</f>
        <v>MG</v>
      </c>
    </row>
    <row r="1125" spans="1:3" x14ac:dyDescent="0.35">
      <c r="A1125">
        <v>311760</v>
      </c>
      <c r="B1125" t="str">
        <f>VLOOKUP(A1125,Planilha2!$A$2:$C$5566,3,0)</f>
        <v>CONCEIÇÃO DO PARÁ</v>
      </c>
      <c r="C1125" t="str">
        <f>VLOOKUP(A1125,Planilha2!$A$2:$D$5566,4,0)</f>
        <v>MG</v>
      </c>
    </row>
    <row r="1126" spans="1:3" x14ac:dyDescent="0.35">
      <c r="A1126">
        <v>316040</v>
      </c>
      <c r="B1126" t="str">
        <f>VLOOKUP(A1126,Planilha2!$A$2:$C$5566,3,0)</f>
        <v>SANTO ANTÔNIO DO MONTE</v>
      </c>
      <c r="C1126" t="str">
        <f>VLOOKUP(A1126,Planilha2!$A$2:$D$5566,4,0)</f>
        <v>MG</v>
      </c>
    </row>
    <row r="1127" spans="1:3" x14ac:dyDescent="0.35">
      <c r="A1127">
        <v>241230</v>
      </c>
      <c r="B1127" t="str">
        <f>VLOOKUP(A1127,Planilha2!$A$2:$C$5566,3,0)</f>
        <v>SÃO JOSÉ DO CAMPESTRE</v>
      </c>
      <c r="C1127" t="str">
        <f>VLOOKUP(A1127,Planilha2!$A$2:$D$5566,4,0)</f>
        <v>RN</v>
      </c>
    </row>
    <row r="1128" spans="1:3" x14ac:dyDescent="0.35">
      <c r="A1128">
        <v>312230</v>
      </c>
      <c r="B1128" t="str">
        <f>VLOOKUP(A1128,Planilha2!$A$2:$C$5566,3,0)</f>
        <v>DIVINÓPOLIS</v>
      </c>
      <c r="C1128" t="str">
        <f>VLOOKUP(A1128,Planilha2!$A$2:$D$5566,4,0)</f>
        <v>MG</v>
      </c>
    </row>
    <row r="1129" spans="1:3" x14ac:dyDescent="0.35">
      <c r="A1129">
        <v>314710</v>
      </c>
      <c r="B1129" t="str">
        <f>VLOOKUP(A1129,Planilha2!$A$2:$C$5566,3,0)</f>
        <v>PARÁ DE MINAS</v>
      </c>
      <c r="C1129" t="str">
        <f>VLOOKUP(A1129,Planilha2!$A$2:$D$5566,4,0)</f>
        <v>MG</v>
      </c>
    </row>
    <row r="1130" spans="1:3" x14ac:dyDescent="0.35">
      <c r="A1130">
        <v>310390</v>
      </c>
      <c r="B1130" t="str">
        <f>VLOOKUP(A1130,Planilha2!$A$2:$C$5566,3,0)</f>
        <v>ARAÚJOS</v>
      </c>
      <c r="C1130" t="str">
        <f>VLOOKUP(A1130,Planilha2!$A$2:$D$5566,4,0)</f>
        <v>MG</v>
      </c>
    </row>
    <row r="1131" spans="1:3" x14ac:dyDescent="0.35">
      <c r="A1131">
        <v>311450</v>
      </c>
      <c r="B1131" t="str">
        <f>VLOOKUP(A1131,Planilha2!$A$2:$C$5566,3,0)</f>
        <v>CARMÓPOLIS DE MINAS</v>
      </c>
      <c r="C1131" t="str">
        <f>VLOOKUP(A1131,Planilha2!$A$2:$D$5566,4,0)</f>
        <v>MG</v>
      </c>
    </row>
    <row r="1132" spans="1:3" x14ac:dyDescent="0.35">
      <c r="A1132">
        <v>313380</v>
      </c>
      <c r="B1132" t="str">
        <f>VLOOKUP(A1132,Planilha2!$A$2:$C$5566,3,0)</f>
        <v>ITAÚNA</v>
      </c>
      <c r="C1132" t="str">
        <f>VLOOKUP(A1132,Planilha2!$A$2:$D$5566,4,0)</f>
        <v>MG</v>
      </c>
    </row>
    <row r="1133" spans="1:3" x14ac:dyDescent="0.35">
      <c r="A1133">
        <v>313350</v>
      </c>
      <c r="B1133" t="str">
        <f>VLOOKUP(A1133,Planilha2!$A$2:$C$5566,3,0)</f>
        <v>ITAPECERICA</v>
      </c>
      <c r="C1133" t="str">
        <f>VLOOKUP(A1133,Planilha2!$A$2:$D$5566,4,0)</f>
        <v>MG</v>
      </c>
    </row>
    <row r="1134" spans="1:3" x14ac:dyDescent="0.35">
      <c r="A1134">
        <v>312320</v>
      </c>
      <c r="B1134" t="str">
        <f>VLOOKUP(A1134,Planilha2!$A$2:$C$5566,3,0)</f>
        <v>DORES DO INDAIÁ</v>
      </c>
      <c r="C1134" t="str">
        <f>VLOOKUP(A1134,Planilha2!$A$2:$D$5566,4,0)</f>
        <v>MG</v>
      </c>
    </row>
    <row r="1135" spans="1:3" x14ac:dyDescent="0.35">
      <c r="A1135">
        <v>310740</v>
      </c>
      <c r="B1135" t="str">
        <f>VLOOKUP(A1135,Planilha2!$A$2:$C$5566,3,0)</f>
        <v>BOM DESPACHO</v>
      </c>
      <c r="C1135" t="str">
        <f>VLOOKUP(A1135,Planilha2!$A$2:$D$5566,4,0)</f>
        <v>MG</v>
      </c>
    </row>
    <row r="1136" spans="1:3" x14ac:dyDescent="0.35">
      <c r="A1136">
        <v>315050</v>
      </c>
      <c r="B1136" t="str">
        <f>VLOOKUP(A1136,Planilha2!$A$2:$C$5566,3,0)</f>
        <v>PIMENTA</v>
      </c>
      <c r="C1136" t="str">
        <f>VLOOKUP(A1136,Planilha2!$A$2:$D$5566,4,0)</f>
        <v>MG</v>
      </c>
    </row>
    <row r="1137" spans="1:3" x14ac:dyDescent="0.35">
      <c r="A1137">
        <v>312610</v>
      </c>
      <c r="B1137" t="str">
        <f>VLOOKUP(A1137,Planilha2!$A$2:$C$5566,3,0)</f>
        <v>FORMIGA</v>
      </c>
      <c r="C1137" t="str">
        <f>VLOOKUP(A1137,Planilha2!$A$2:$D$5566,4,0)</f>
        <v>MG</v>
      </c>
    </row>
    <row r="1138" spans="1:3" x14ac:dyDescent="0.35">
      <c r="A1138">
        <v>311420</v>
      </c>
      <c r="B1138" t="str">
        <f>VLOOKUP(A1138,Planilha2!$A$2:$C$5566,3,0)</f>
        <v>CARMO DO CAJURU</v>
      </c>
      <c r="C1138" t="str">
        <f>VLOOKUP(A1138,Planilha2!$A$2:$D$5566,4,0)</f>
        <v>MG</v>
      </c>
    </row>
    <row r="1139" spans="1:3" x14ac:dyDescent="0.35">
      <c r="A1139">
        <v>313370</v>
      </c>
      <c r="B1139" t="str">
        <f>VLOOKUP(A1139,Planilha2!$A$2:$C$5566,3,0)</f>
        <v>ITATIAIUÇU</v>
      </c>
      <c r="C1139" t="str">
        <f>VLOOKUP(A1139,Planilha2!$A$2:$D$5566,4,0)</f>
        <v>MG</v>
      </c>
    </row>
    <row r="1140" spans="1:3" x14ac:dyDescent="0.35">
      <c r="A1140">
        <v>313720</v>
      </c>
      <c r="B1140" t="str">
        <f>VLOOKUP(A1140,Planilha2!$A$2:$C$5566,3,0)</f>
        <v>LAGOA DA PRATA</v>
      </c>
      <c r="C1140" t="str">
        <f>VLOOKUP(A1140,Planilha2!$A$2:$D$5566,4,0)</f>
        <v>MG</v>
      </c>
    </row>
    <row r="1141" spans="1:3" x14ac:dyDescent="0.35">
      <c r="A1141">
        <v>313530</v>
      </c>
      <c r="B1141" t="str">
        <f>VLOOKUP(A1141,Planilha2!$A$2:$C$5566,3,0)</f>
        <v>JAPARAÍBA</v>
      </c>
      <c r="C1141" t="str">
        <f>VLOOKUP(A1141,Planilha2!$A$2:$D$5566,4,0)</f>
        <v>MG</v>
      </c>
    </row>
    <row r="1142" spans="1:3" x14ac:dyDescent="0.35">
      <c r="A1142">
        <v>314280</v>
      </c>
      <c r="B1142" t="str">
        <f>VLOOKUP(A1142,Planilha2!$A$2:$C$5566,3,0)</f>
        <v>MONTE ALEGRE DE MINAS</v>
      </c>
      <c r="C1142" t="str">
        <f>VLOOKUP(A1142,Planilha2!$A$2:$D$5566,4,0)</f>
        <v>MG</v>
      </c>
    </row>
    <row r="1143" spans="1:3" x14ac:dyDescent="0.35">
      <c r="A1143">
        <v>315640</v>
      </c>
      <c r="B1143" t="str">
        <f>VLOOKUP(A1143,Planilha2!$A$2:$C$5566,3,0)</f>
        <v>ROMARIA</v>
      </c>
      <c r="C1143" t="str">
        <f>VLOOKUP(A1143,Planilha2!$A$2:$D$5566,4,0)</f>
        <v>MG</v>
      </c>
    </row>
    <row r="1144" spans="1:3" x14ac:dyDescent="0.35">
      <c r="A1144">
        <v>311455</v>
      </c>
      <c r="B1144" t="str">
        <f>VLOOKUP(A1144,Planilha2!$A$2:$C$5566,3,0)</f>
        <v>CARNEIRINHO</v>
      </c>
      <c r="C1144" t="str">
        <f>VLOOKUP(A1144,Planilha2!$A$2:$D$5566,4,0)</f>
        <v>MG</v>
      </c>
    </row>
    <row r="1145" spans="1:3" x14ac:dyDescent="0.35">
      <c r="A1145">
        <v>315980</v>
      </c>
      <c r="B1145" t="str">
        <f>VLOOKUP(A1145,Planilha2!$A$2:$C$5566,3,0)</f>
        <v>SANTA VITÓRIA</v>
      </c>
      <c r="C1145" t="str">
        <f>VLOOKUP(A1145,Planilha2!$A$2:$D$5566,4,0)</f>
        <v>MG</v>
      </c>
    </row>
    <row r="1146" spans="1:3" x14ac:dyDescent="0.35">
      <c r="A1146">
        <v>314800</v>
      </c>
      <c r="B1146" t="str">
        <f>VLOOKUP(A1146,Planilha2!$A$2:$C$5566,3,0)</f>
        <v>PATOS DE MINAS</v>
      </c>
      <c r="C1146" t="str">
        <f>VLOOKUP(A1146,Planilha2!$A$2:$D$5566,4,0)</f>
        <v>MG</v>
      </c>
    </row>
    <row r="1147" spans="1:3" x14ac:dyDescent="0.35">
      <c r="A1147">
        <v>311430</v>
      </c>
      <c r="B1147" t="str">
        <f>VLOOKUP(A1147,Planilha2!$A$2:$C$5566,3,0)</f>
        <v>CARMO DO PARANAÍBA</v>
      </c>
      <c r="C1147" t="str">
        <f>VLOOKUP(A1147,Planilha2!$A$2:$D$5566,4,0)</f>
        <v>MG</v>
      </c>
    </row>
    <row r="1148" spans="1:3" x14ac:dyDescent="0.35">
      <c r="A1148">
        <v>311800</v>
      </c>
      <c r="B1148" t="str">
        <f>VLOOKUP(A1148,Planilha2!$A$2:$C$5566,3,0)</f>
        <v>CONGONHAS</v>
      </c>
      <c r="C1148" t="str">
        <f>VLOOKUP(A1148,Planilha2!$A$2:$D$5566,4,0)</f>
        <v>MG</v>
      </c>
    </row>
    <row r="1149" spans="1:3" x14ac:dyDescent="0.35">
      <c r="A1149">
        <v>314590</v>
      </c>
      <c r="B1149" t="str">
        <f>VLOOKUP(A1149,Planilha2!$A$2:$C$5566,3,0)</f>
        <v>OURO BRANCO</v>
      </c>
      <c r="C1149" t="str">
        <f>VLOOKUP(A1149,Planilha2!$A$2:$D$5566,4,0)</f>
        <v>MG</v>
      </c>
    </row>
    <row r="1150" spans="1:3" x14ac:dyDescent="0.35">
      <c r="A1150">
        <v>313540</v>
      </c>
      <c r="B1150" t="str">
        <f>VLOOKUP(A1150,Planilha2!$A$2:$C$5566,3,0)</f>
        <v>JECEABA</v>
      </c>
      <c r="C1150" t="str">
        <f>VLOOKUP(A1150,Planilha2!$A$2:$D$5566,4,0)</f>
        <v>MG</v>
      </c>
    </row>
    <row r="1151" spans="1:3" x14ac:dyDescent="0.35">
      <c r="A1151">
        <v>311830</v>
      </c>
      <c r="B1151" t="str">
        <f>VLOOKUP(A1151,Planilha2!$A$2:$C$5566,3,0)</f>
        <v>CONSELHEIRO LAFAIETE</v>
      </c>
      <c r="C1151" t="str">
        <f>VLOOKUP(A1151,Planilha2!$A$2:$D$5566,4,0)</f>
        <v>MG</v>
      </c>
    </row>
    <row r="1152" spans="1:3" x14ac:dyDescent="0.35">
      <c r="A1152">
        <v>310560</v>
      </c>
      <c r="B1152" t="str">
        <f>VLOOKUP(A1152,Planilha2!$A$2:$C$5566,3,0)</f>
        <v>BARBACENA</v>
      </c>
      <c r="C1152" t="str">
        <f>VLOOKUP(A1152,Planilha2!$A$2:$D$5566,4,0)</f>
        <v>MG</v>
      </c>
    </row>
    <row r="1153" spans="1:3" x14ac:dyDescent="0.35">
      <c r="A1153">
        <v>316500</v>
      </c>
      <c r="B1153" t="str">
        <f>VLOOKUP(A1153,Planilha2!$A$2:$C$5566,3,0)</f>
        <v>SÃO TIAGO</v>
      </c>
      <c r="C1153" t="str">
        <f>VLOOKUP(A1153,Planilha2!$A$2:$D$5566,4,0)</f>
        <v>MG</v>
      </c>
    </row>
    <row r="1154" spans="1:3" x14ac:dyDescent="0.35">
      <c r="A1154">
        <v>315210</v>
      </c>
      <c r="B1154" t="str">
        <f>VLOOKUP(A1154,Planilha2!$A$2:$C$5566,3,0)</f>
        <v>PONTE NOVA</v>
      </c>
      <c r="C1154" t="str">
        <f>VLOOKUP(A1154,Planilha2!$A$2:$D$5566,4,0)</f>
        <v>MG</v>
      </c>
    </row>
    <row r="1155" spans="1:3" x14ac:dyDescent="0.35">
      <c r="A1155">
        <v>310570</v>
      </c>
      <c r="B1155" t="str">
        <f>VLOOKUP(A1155,Planilha2!$A$2:$C$5566,3,0)</f>
        <v>BARRA LONGA</v>
      </c>
      <c r="C1155" t="str">
        <f>VLOOKUP(A1155,Planilha2!$A$2:$D$5566,4,0)</f>
        <v>MG</v>
      </c>
    </row>
    <row r="1156" spans="1:3" x14ac:dyDescent="0.35">
      <c r="A1156">
        <v>312820</v>
      </c>
      <c r="B1156" t="str">
        <f>VLOOKUP(A1156,Planilha2!$A$2:$C$5566,3,0)</f>
        <v>GUARACIABA</v>
      </c>
      <c r="C1156" t="str">
        <f>VLOOKUP(A1156,Planilha2!$A$2:$D$5566,4,0)</f>
        <v>MG</v>
      </c>
    </row>
    <row r="1157" spans="1:3" x14ac:dyDescent="0.35">
      <c r="A1157">
        <v>313170</v>
      </c>
      <c r="B1157" t="str">
        <f>VLOOKUP(A1157,Planilha2!$A$2:$C$5566,3,0)</f>
        <v>ITABIRA</v>
      </c>
      <c r="C1157" t="str">
        <f>VLOOKUP(A1157,Planilha2!$A$2:$D$5566,4,0)</f>
        <v>MG</v>
      </c>
    </row>
    <row r="1158" spans="1:3" x14ac:dyDescent="0.35">
      <c r="A1158">
        <v>310600</v>
      </c>
      <c r="B1158" t="str">
        <f>VLOOKUP(A1158,Planilha2!$A$2:$C$5566,3,0)</f>
        <v>BELA VISTA DE MINAS</v>
      </c>
      <c r="C1158" t="str">
        <f>VLOOKUP(A1158,Planilha2!$A$2:$D$5566,4,0)</f>
        <v>MG</v>
      </c>
    </row>
    <row r="1159" spans="1:3" x14ac:dyDescent="0.35">
      <c r="A1159">
        <v>312800</v>
      </c>
      <c r="B1159" t="str">
        <f>VLOOKUP(A1159,Planilha2!$A$2:$C$5566,3,0)</f>
        <v>GUANHÃES</v>
      </c>
      <c r="C1159" t="str">
        <f>VLOOKUP(A1159,Planilha2!$A$2:$D$5566,4,0)</f>
        <v>MG</v>
      </c>
    </row>
    <row r="1160" spans="1:3" x14ac:dyDescent="0.35">
      <c r="A1160">
        <v>311910</v>
      </c>
      <c r="B1160" t="str">
        <f>VLOOKUP(A1160,Planilha2!$A$2:$C$5566,3,0)</f>
        <v>CORINTO</v>
      </c>
      <c r="C1160" t="str">
        <f>VLOOKUP(A1160,Planilha2!$A$2:$D$5566,4,0)</f>
        <v>MG</v>
      </c>
    </row>
    <row r="1161" spans="1:3" x14ac:dyDescent="0.35">
      <c r="A1161">
        <v>312830</v>
      </c>
      <c r="B1161" t="str">
        <f>VLOOKUP(A1161,Planilha2!$A$2:$C$5566,3,0)</f>
        <v>GUARANÉSIA</v>
      </c>
      <c r="C1161" t="str">
        <f>VLOOKUP(A1161,Planilha2!$A$2:$D$5566,4,0)</f>
        <v>MG</v>
      </c>
    </row>
    <row r="1162" spans="1:3" x14ac:dyDescent="0.35">
      <c r="A1162">
        <v>315170</v>
      </c>
      <c r="B1162" t="str">
        <f>VLOOKUP(A1162,Planilha2!$A$2:$C$5566,3,0)</f>
        <v>POÇO FUNDO</v>
      </c>
      <c r="C1162" t="str">
        <f>VLOOKUP(A1162,Planilha2!$A$2:$D$5566,4,0)</f>
        <v>MG</v>
      </c>
    </row>
    <row r="1163" spans="1:3" x14ac:dyDescent="0.35">
      <c r="A1163">
        <v>310160</v>
      </c>
      <c r="B1163" t="str">
        <f>VLOOKUP(A1163,Planilha2!$A$2:$C$5566,3,0)</f>
        <v>ALFENAS</v>
      </c>
      <c r="C1163" t="str">
        <f>VLOOKUP(A1163,Planilha2!$A$2:$D$5566,4,0)</f>
        <v>MG</v>
      </c>
    </row>
    <row r="1164" spans="1:3" x14ac:dyDescent="0.35">
      <c r="A1164">
        <v>311130</v>
      </c>
      <c r="B1164" t="str">
        <f>VLOOKUP(A1164,Planilha2!$A$2:$C$5566,3,0)</f>
        <v>CAMPO DO MEIO</v>
      </c>
      <c r="C1164" t="str">
        <f>VLOOKUP(A1164,Planilha2!$A$2:$D$5566,4,0)</f>
        <v>MG</v>
      </c>
    </row>
    <row r="1165" spans="1:3" x14ac:dyDescent="0.35">
      <c r="A1165">
        <v>310430</v>
      </c>
      <c r="B1165" t="str">
        <f>VLOOKUP(A1165,Planilha2!$A$2:$C$5566,3,0)</f>
        <v>AREADO</v>
      </c>
      <c r="C1165" t="str">
        <f>VLOOKUP(A1165,Planilha2!$A$2:$D$5566,4,0)</f>
        <v>MG</v>
      </c>
    </row>
    <row r="1166" spans="1:3" x14ac:dyDescent="0.35">
      <c r="A1166">
        <v>311340</v>
      </c>
      <c r="B1166" t="str">
        <f>VLOOKUP(A1166,Planilha2!$A$2:$C$5566,3,0)</f>
        <v>CARATINGA</v>
      </c>
      <c r="C1166" t="str">
        <f>VLOOKUP(A1166,Planilha2!$A$2:$D$5566,4,0)</f>
        <v>MG</v>
      </c>
    </row>
    <row r="1167" spans="1:3" x14ac:dyDescent="0.35">
      <c r="A1167">
        <v>316870</v>
      </c>
      <c r="B1167" t="str">
        <f>VLOOKUP(A1167,Planilha2!$A$2:$C$5566,3,0)</f>
        <v>TIMÓTEO</v>
      </c>
      <c r="C1167" t="str">
        <f>VLOOKUP(A1167,Planilha2!$A$2:$D$5566,4,0)</f>
        <v>MG</v>
      </c>
    </row>
    <row r="1168" spans="1:3" x14ac:dyDescent="0.35">
      <c r="A1168">
        <v>315895</v>
      </c>
      <c r="B1168" t="str">
        <f>VLOOKUP(A1168,Planilha2!$A$2:$C$5566,3,0)</f>
        <v>SANTANA DO PARAÍSO</v>
      </c>
      <c r="C1168" t="str">
        <f>VLOOKUP(A1168,Planilha2!$A$2:$D$5566,4,0)</f>
        <v>MG</v>
      </c>
    </row>
    <row r="1169" spans="1:3" x14ac:dyDescent="0.35">
      <c r="A1169">
        <v>313330</v>
      </c>
      <c r="B1169" t="str">
        <f>VLOOKUP(A1169,Planilha2!$A$2:$C$5566,3,0)</f>
        <v>ITAOBIM</v>
      </c>
      <c r="C1169" t="str">
        <f>VLOOKUP(A1169,Planilha2!$A$2:$D$5566,4,0)</f>
        <v>MG</v>
      </c>
    </row>
    <row r="1170" spans="1:3" x14ac:dyDescent="0.35">
      <c r="A1170">
        <v>313115</v>
      </c>
      <c r="B1170" t="str">
        <f>VLOOKUP(A1170,Planilha2!$A$2:$C$5566,3,0)</f>
        <v>IPABA</v>
      </c>
      <c r="C1170" t="str">
        <f>VLOOKUP(A1170,Planilha2!$A$2:$D$5566,4,0)</f>
        <v>MG</v>
      </c>
    </row>
    <row r="1171" spans="1:3" x14ac:dyDescent="0.35">
      <c r="A1171">
        <v>310925</v>
      </c>
      <c r="B1171" t="str">
        <f>VLOOKUP(A1171,Planilha2!$A$2:$C$5566,3,0)</f>
        <v>BUGRE</v>
      </c>
      <c r="C1171" t="str">
        <f>VLOOKUP(A1171,Planilha2!$A$2:$D$5566,4,0)</f>
        <v>MG</v>
      </c>
    </row>
    <row r="1172" spans="1:3" x14ac:dyDescent="0.35">
      <c r="A1172">
        <v>317040</v>
      </c>
      <c r="B1172" t="str">
        <f>VLOOKUP(A1172,Planilha2!$A$2:$C$5566,3,0)</f>
        <v>UNAÍ</v>
      </c>
      <c r="C1172" t="str">
        <f>VLOOKUP(A1172,Planilha2!$A$2:$D$5566,4,0)</f>
        <v>MG</v>
      </c>
    </row>
    <row r="1173" spans="1:3" x14ac:dyDescent="0.35">
      <c r="A1173">
        <v>353440</v>
      </c>
      <c r="B1173" t="str">
        <f>VLOOKUP(A1173,Planilha2!$A$2:$C$5566,3,0)</f>
        <v>OSASCO</v>
      </c>
      <c r="C1173" t="str">
        <f>VLOOKUP(A1173,Planilha2!$A$2:$D$5566,4,0)</f>
        <v>SP</v>
      </c>
    </row>
    <row r="1174" spans="1:3" x14ac:dyDescent="0.35">
      <c r="A1174">
        <v>317200</v>
      </c>
      <c r="B1174" t="str">
        <f>VLOOKUP(A1174,Planilha2!$A$2:$C$5566,3,0)</f>
        <v>VISCONDE DO RIO BRANCO</v>
      </c>
      <c r="C1174" t="str">
        <f>VLOOKUP(A1174,Planilha2!$A$2:$D$5566,4,0)</f>
        <v>MG</v>
      </c>
    </row>
    <row r="1175" spans="1:3" x14ac:dyDescent="0.35">
      <c r="A1175">
        <v>312880</v>
      </c>
      <c r="B1175" t="str">
        <f>VLOOKUP(A1175,Planilha2!$A$2:$C$5566,3,0)</f>
        <v>GUIDOVAL</v>
      </c>
      <c r="C1175" t="str">
        <f>VLOOKUP(A1175,Planilha2!$A$2:$D$5566,4,0)</f>
        <v>MG</v>
      </c>
    </row>
    <row r="1176" spans="1:3" x14ac:dyDescent="0.35">
      <c r="A1176">
        <v>316150</v>
      </c>
      <c r="B1176" t="str">
        <f>VLOOKUP(A1176,Planilha2!$A$2:$C$5566,3,0)</f>
        <v>SÃO GERALDO</v>
      </c>
      <c r="C1176" t="str">
        <f>VLOOKUP(A1176,Planilha2!$A$2:$D$5566,4,0)</f>
        <v>MG</v>
      </c>
    </row>
    <row r="1177" spans="1:3" x14ac:dyDescent="0.35">
      <c r="A1177">
        <v>312970</v>
      </c>
      <c r="B1177" t="str">
        <f>VLOOKUP(A1177,Planilha2!$A$2:$C$5566,3,0)</f>
        <v>IBIRACI</v>
      </c>
      <c r="C1177" t="str">
        <f>VLOOKUP(A1177,Planilha2!$A$2:$D$5566,4,0)</f>
        <v>MG</v>
      </c>
    </row>
    <row r="1178" spans="1:3" x14ac:dyDescent="0.35">
      <c r="A1178">
        <v>314510</v>
      </c>
      <c r="B1178" t="str">
        <f>VLOOKUP(A1178,Planilha2!$A$2:$C$5566,3,0)</f>
        <v>NOVA RESENDE</v>
      </c>
      <c r="C1178" t="str">
        <f>VLOOKUP(A1178,Planilha2!$A$2:$D$5566,4,0)</f>
        <v>MG</v>
      </c>
    </row>
    <row r="1179" spans="1:3" x14ac:dyDescent="0.35">
      <c r="A1179">
        <v>314790</v>
      </c>
      <c r="B1179" t="str">
        <f>VLOOKUP(A1179,Planilha2!$A$2:$C$5566,3,0)</f>
        <v>PASSOS</v>
      </c>
      <c r="C1179" t="str">
        <f>VLOOKUP(A1179,Planilha2!$A$2:$D$5566,4,0)</f>
        <v>MG</v>
      </c>
    </row>
    <row r="1180" spans="1:3" x14ac:dyDescent="0.35">
      <c r="A1180">
        <v>316470</v>
      </c>
      <c r="B1180" t="str">
        <f>VLOOKUP(A1180,Planilha2!$A$2:$C$5566,3,0)</f>
        <v>SÃO SEBASTIÃO DO PARAÍSO</v>
      </c>
      <c r="C1180" t="str">
        <f>VLOOKUP(A1180,Planilha2!$A$2:$D$5566,4,0)</f>
        <v>MG</v>
      </c>
    </row>
    <row r="1181" spans="1:3" x14ac:dyDescent="0.35">
      <c r="A1181">
        <v>316510</v>
      </c>
      <c r="B1181" t="str">
        <f>VLOOKUP(A1181,Planilha2!$A$2:$C$5566,3,0)</f>
        <v>SÃO TOMÁS DE AQUINO</v>
      </c>
      <c r="C1181" t="str">
        <f>VLOOKUP(A1181,Planilha2!$A$2:$D$5566,4,0)</f>
        <v>MG</v>
      </c>
    </row>
    <row r="1182" spans="1:3" x14ac:dyDescent="0.35">
      <c r="A1182">
        <v>310800</v>
      </c>
      <c r="B1182" t="str">
        <f>VLOOKUP(A1182,Planilha2!$A$2:$C$5566,3,0)</f>
        <v>BOM SUCESSO</v>
      </c>
      <c r="C1182" t="str">
        <f>VLOOKUP(A1182,Planilha2!$A$2:$D$5566,4,0)</f>
        <v>MG</v>
      </c>
    </row>
    <row r="1183" spans="1:3" x14ac:dyDescent="0.35">
      <c r="A1183">
        <v>316250</v>
      </c>
      <c r="B1183" t="str">
        <f>VLOOKUP(A1183,Planilha2!$A$2:$C$5566,3,0)</f>
        <v>SÃO JOÃO DEL REI</v>
      </c>
      <c r="C1183" t="str">
        <f>VLOOKUP(A1183,Planilha2!$A$2:$D$5566,4,0)</f>
        <v>MG</v>
      </c>
    </row>
    <row r="1184" spans="1:3" x14ac:dyDescent="0.35">
      <c r="A1184">
        <v>315270</v>
      </c>
      <c r="B1184" t="str">
        <f>VLOOKUP(A1184,Planilha2!$A$2:$C$5566,3,0)</f>
        <v>PRADOS</v>
      </c>
      <c r="C1184" t="str">
        <f>VLOOKUP(A1184,Planilha2!$A$2:$D$5566,4,0)</f>
        <v>MG</v>
      </c>
    </row>
    <row r="1185" spans="1:3" x14ac:dyDescent="0.35">
      <c r="A1185">
        <v>316720</v>
      </c>
      <c r="B1185" t="str">
        <f>VLOOKUP(A1185,Planilha2!$A$2:$C$5566,3,0)</f>
        <v>SETE LAGOAS</v>
      </c>
      <c r="C1185" t="str">
        <f>VLOOKUP(A1185,Planilha2!$A$2:$D$5566,4,0)</f>
        <v>MG</v>
      </c>
    </row>
    <row r="1186" spans="1:3" x14ac:dyDescent="0.35">
      <c r="A1186">
        <v>312090</v>
      </c>
      <c r="B1186" t="str">
        <f>VLOOKUP(A1186,Planilha2!$A$2:$C$5566,3,0)</f>
        <v>CURVELO</v>
      </c>
      <c r="C1186" t="str">
        <f>VLOOKUP(A1186,Planilha2!$A$2:$D$5566,4,0)</f>
        <v>MG</v>
      </c>
    </row>
    <row r="1187" spans="1:3" x14ac:dyDescent="0.35">
      <c r="A1187">
        <v>320090</v>
      </c>
      <c r="B1187" t="str">
        <f>VLOOKUP(A1187,Planilha2!$A$2:$C$5566,3,0)</f>
        <v>BARRA DE SÃO FRANCISCO</v>
      </c>
      <c r="C1187" t="str">
        <f>VLOOKUP(A1187,Planilha2!$A$2:$D$5566,4,0)</f>
        <v>ES</v>
      </c>
    </row>
    <row r="1188" spans="1:3" x14ac:dyDescent="0.35">
      <c r="A1188">
        <v>320510</v>
      </c>
      <c r="B1188" t="str">
        <f>VLOOKUP(A1188,Planilha2!$A$2:$C$5566,3,0)</f>
        <v>VIANA</v>
      </c>
      <c r="C1188" t="str">
        <f>VLOOKUP(A1188,Planilha2!$A$2:$D$5566,4,0)</f>
        <v>ES</v>
      </c>
    </row>
    <row r="1189" spans="1:3" x14ac:dyDescent="0.35">
      <c r="A1189">
        <v>320460</v>
      </c>
      <c r="B1189" t="str">
        <f>VLOOKUP(A1189,Planilha2!$A$2:$C$5566,3,0)</f>
        <v>SANTA TERESA</v>
      </c>
      <c r="C1189" t="str">
        <f>VLOOKUP(A1189,Planilha2!$A$2:$D$5566,4,0)</f>
        <v>ES</v>
      </c>
    </row>
    <row r="1190" spans="1:3" x14ac:dyDescent="0.35">
      <c r="A1190">
        <v>320332</v>
      </c>
      <c r="B1190" t="str">
        <f>VLOOKUP(A1190,Planilha2!$A$2:$C$5566,3,0)</f>
        <v>MARATAÍZES</v>
      </c>
      <c r="C1190" t="str">
        <f>VLOOKUP(A1190,Planilha2!$A$2:$D$5566,4,0)</f>
        <v>ES</v>
      </c>
    </row>
    <row r="1191" spans="1:3" x14ac:dyDescent="0.35">
      <c r="A1191">
        <v>320390</v>
      </c>
      <c r="B1191" t="str">
        <f>VLOOKUP(A1191,Planilha2!$A$2:$C$5566,3,0)</f>
        <v>NOVA VENÉCIA</v>
      </c>
      <c r="C1191" t="str">
        <f>VLOOKUP(A1191,Planilha2!$A$2:$D$5566,4,0)</f>
        <v>ES</v>
      </c>
    </row>
    <row r="1192" spans="1:3" x14ac:dyDescent="0.35">
      <c r="A1192">
        <v>320160</v>
      </c>
      <c r="B1192" t="str">
        <f>VLOOKUP(A1192,Planilha2!$A$2:$C$5566,3,0)</f>
        <v>CONCEIÇÃO DA BARRA</v>
      </c>
      <c r="C1192" t="str">
        <f>VLOOKUP(A1192,Planilha2!$A$2:$D$5566,4,0)</f>
        <v>ES</v>
      </c>
    </row>
    <row r="1193" spans="1:3" x14ac:dyDescent="0.35">
      <c r="A1193">
        <v>320490</v>
      </c>
      <c r="B1193" t="str">
        <f>VLOOKUP(A1193,Planilha2!$A$2:$C$5566,3,0)</f>
        <v>SÃO MATEUS</v>
      </c>
      <c r="C1193" t="str">
        <f>VLOOKUP(A1193,Planilha2!$A$2:$D$5566,4,0)</f>
        <v>ES</v>
      </c>
    </row>
    <row r="1194" spans="1:3" x14ac:dyDescent="0.35">
      <c r="A1194">
        <v>320350</v>
      </c>
      <c r="B1194" t="str">
        <f>VLOOKUP(A1194,Planilha2!$A$2:$C$5566,3,0)</f>
        <v>MONTANHA</v>
      </c>
      <c r="C1194" t="str">
        <f>VLOOKUP(A1194,Planilha2!$A$2:$D$5566,4,0)</f>
        <v>ES</v>
      </c>
    </row>
    <row r="1195" spans="1:3" x14ac:dyDescent="0.35">
      <c r="A1195">
        <v>320150</v>
      </c>
      <c r="B1195" t="str">
        <f>VLOOKUP(A1195,Planilha2!$A$2:$C$5566,3,0)</f>
        <v>COLATINA</v>
      </c>
      <c r="C1195" t="str">
        <f>VLOOKUP(A1195,Planilha2!$A$2:$D$5566,4,0)</f>
        <v>ES</v>
      </c>
    </row>
    <row r="1196" spans="1:3" x14ac:dyDescent="0.35">
      <c r="A1196">
        <v>320335</v>
      </c>
      <c r="B1196" t="str">
        <f>VLOOKUP(A1196,Planilha2!$A$2:$C$5566,3,0)</f>
        <v>MARILÂNDIA</v>
      </c>
      <c r="C1196" t="str">
        <f>VLOOKUP(A1196,Planilha2!$A$2:$D$5566,4,0)</f>
        <v>ES</v>
      </c>
    </row>
    <row r="1197" spans="1:3" x14ac:dyDescent="0.35">
      <c r="A1197">
        <v>320465</v>
      </c>
      <c r="B1197" t="str">
        <f>VLOOKUP(A1197,Planilha2!$A$2:$C$5566,3,0)</f>
        <v>SÃO DOMINGOS DO NORTE</v>
      </c>
      <c r="C1197" t="str">
        <f>VLOOKUP(A1197,Planilha2!$A$2:$D$5566,4,0)</f>
        <v>ES</v>
      </c>
    </row>
    <row r="1198" spans="1:3" x14ac:dyDescent="0.35">
      <c r="A1198">
        <v>320480</v>
      </c>
      <c r="B1198" t="str">
        <f>VLOOKUP(A1198,Planilha2!$A$2:$C$5566,3,0)</f>
        <v>SÃO JOSÉ DO CALÇADO</v>
      </c>
      <c r="C1198" t="str">
        <f>VLOOKUP(A1198,Planilha2!$A$2:$D$5566,4,0)</f>
        <v>ES</v>
      </c>
    </row>
    <row r="1199" spans="1:3" x14ac:dyDescent="0.35">
      <c r="A1199">
        <v>320420</v>
      </c>
      <c r="B1199" t="str">
        <f>VLOOKUP(A1199,Planilha2!$A$2:$C$5566,3,0)</f>
        <v>PIÚMA</v>
      </c>
      <c r="C1199" t="str">
        <f>VLOOKUP(A1199,Planilha2!$A$2:$D$5566,4,0)</f>
        <v>ES</v>
      </c>
    </row>
    <row r="1200" spans="1:3" x14ac:dyDescent="0.35">
      <c r="A1200">
        <v>320340</v>
      </c>
      <c r="B1200" t="str">
        <f>VLOOKUP(A1200,Planilha2!$A$2:$C$5566,3,0)</f>
        <v>MIMOSO DO SUL</v>
      </c>
      <c r="C1200" t="str">
        <f>VLOOKUP(A1200,Planilha2!$A$2:$D$5566,4,0)</f>
        <v>ES</v>
      </c>
    </row>
    <row r="1201" spans="1:3" x14ac:dyDescent="0.35">
      <c r="A1201">
        <v>320030</v>
      </c>
      <c r="B1201" t="str">
        <f>VLOOKUP(A1201,Planilha2!$A$2:$C$5566,3,0)</f>
        <v>ALFREDO CHAVES</v>
      </c>
      <c r="C1201" t="str">
        <f>VLOOKUP(A1201,Planilha2!$A$2:$D$5566,4,0)</f>
        <v>ES</v>
      </c>
    </row>
    <row r="1202" spans="1:3" x14ac:dyDescent="0.35">
      <c r="A1202">
        <v>320010</v>
      </c>
      <c r="B1202" t="str">
        <f>VLOOKUP(A1202,Planilha2!$A$2:$C$5566,3,0)</f>
        <v>AFONSO CLÁUDIO</v>
      </c>
      <c r="C1202" t="str">
        <f>VLOOKUP(A1202,Planilha2!$A$2:$D$5566,4,0)</f>
        <v>ES</v>
      </c>
    </row>
    <row r="1203" spans="1:3" x14ac:dyDescent="0.35">
      <c r="A1203">
        <v>320320</v>
      </c>
      <c r="B1203" t="str">
        <f>VLOOKUP(A1203,Planilha2!$A$2:$C$5566,3,0)</f>
        <v>LINHARES</v>
      </c>
      <c r="C1203" t="str">
        <f>VLOOKUP(A1203,Planilha2!$A$2:$D$5566,4,0)</f>
        <v>ES</v>
      </c>
    </row>
    <row r="1204" spans="1:3" x14ac:dyDescent="0.35">
      <c r="A1204">
        <v>320013</v>
      </c>
      <c r="B1204" t="str">
        <f>VLOOKUP(A1204,Planilha2!$A$2:$C$5566,3,0)</f>
        <v>ÁGUIA BRANCA</v>
      </c>
      <c r="C1204" t="str">
        <f>VLOOKUP(A1204,Planilha2!$A$2:$D$5566,4,0)</f>
        <v>ES</v>
      </c>
    </row>
    <row r="1205" spans="1:3" x14ac:dyDescent="0.35">
      <c r="A1205" s="2">
        <v>320000</v>
      </c>
      <c r="B1205" t="str">
        <f>VLOOKUP(A1205,[1]IBGE!A$2:B$27,2,0)</f>
        <v>-</v>
      </c>
      <c r="C1205" t="str">
        <f>VLOOKUP(A1205,[1]IBGE!A$2:C$27,3,0)</f>
        <v>ES</v>
      </c>
    </row>
    <row r="1206" spans="1:3" x14ac:dyDescent="0.35">
      <c r="A1206">
        <v>320313</v>
      </c>
      <c r="B1206" t="str">
        <f>VLOOKUP(A1206,Planilha2!$A$2:$C$5566,3,0)</f>
        <v>JOÃO NEIVA</v>
      </c>
      <c r="C1206" t="str">
        <f>VLOOKUP(A1206,Planilha2!$A$2:$D$5566,4,0)</f>
        <v>ES</v>
      </c>
    </row>
    <row r="1207" spans="1:3" x14ac:dyDescent="0.35">
      <c r="A1207">
        <v>320455</v>
      </c>
      <c r="B1207" t="str">
        <f>VLOOKUP(A1207,Planilha2!$A$2:$C$5566,3,0)</f>
        <v>SANTA MARIA DE JETIBÁ</v>
      </c>
      <c r="C1207" t="str">
        <f>VLOOKUP(A1207,Planilha2!$A$2:$D$5566,4,0)</f>
        <v>ES</v>
      </c>
    </row>
    <row r="1208" spans="1:3" x14ac:dyDescent="0.35">
      <c r="A1208">
        <v>320270</v>
      </c>
      <c r="B1208" t="str">
        <f>VLOOKUP(A1208,Planilha2!$A$2:$C$5566,3,0)</f>
        <v>ITAGUAÇU</v>
      </c>
      <c r="C1208" t="str">
        <f>VLOOKUP(A1208,Planilha2!$A$2:$D$5566,4,0)</f>
        <v>ES</v>
      </c>
    </row>
    <row r="1209" spans="1:3" x14ac:dyDescent="0.35">
      <c r="A1209" s="2">
        <v>310000</v>
      </c>
      <c r="B1209" t="str">
        <f>VLOOKUP(A1209,[1]IBGE!A$2:B$27,2,0)</f>
        <v>-</v>
      </c>
      <c r="C1209" t="str">
        <f>VLOOKUP(A1209,[1]IBGE!A$2:C$27,3,0)</f>
        <v>MG</v>
      </c>
    </row>
    <row r="1210" spans="1:3" x14ac:dyDescent="0.35">
      <c r="A1210">
        <v>330285</v>
      </c>
      <c r="B1210" t="str">
        <f>VLOOKUP(A1210,Planilha2!$A$2:$C$5566,3,0)</f>
        <v>MESQUITA</v>
      </c>
      <c r="C1210" t="str">
        <f>VLOOKUP(A1210,Planilha2!$A$2:$D$5566,4,0)</f>
        <v>RJ</v>
      </c>
    </row>
    <row r="1211" spans="1:3" x14ac:dyDescent="0.35">
      <c r="A1211">
        <v>330320</v>
      </c>
      <c r="B1211" t="str">
        <f>VLOOKUP(A1211,Planilha2!$A$2:$C$5566,3,0)</f>
        <v>NILÓPOLIS</v>
      </c>
      <c r="C1211" t="str">
        <f>VLOOKUP(A1211,Planilha2!$A$2:$D$5566,4,0)</f>
        <v>RJ</v>
      </c>
    </row>
    <row r="1212" spans="1:3" x14ac:dyDescent="0.35">
      <c r="A1212">
        <v>330615</v>
      </c>
      <c r="B1212" t="str">
        <f>VLOOKUP(A1212,Planilha2!$A$2:$C$5566,3,0)</f>
        <v>VARRE-SAI</v>
      </c>
      <c r="C1212" t="str">
        <f>VLOOKUP(A1212,Planilha2!$A$2:$D$5566,4,0)</f>
        <v>RJ</v>
      </c>
    </row>
    <row r="1213" spans="1:3" x14ac:dyDescent="0.35">
      <c r="A1213">
        <v>330200</v>
      </c>
      <c r="B1213" t="str">
        <f>VLOOKUP(A1213,Planilha2!$A$2:$C$5566,3,0)</f>
        <v>ITAGUAÍ</v>
      </c>
      <c r="C1213" t="str">
        <f>VLOOKUP(A1213,Planilha2!$A$2:$D$5566,4,0)</f>
        <v>RJ</v>
      </c>
    </row>
    <row r="1214" spans="1:3" x14ac:dyDescent="0.35">
      <c r="A1214">
        <v>330620</v>
      </c>
      <c r="B1214" t="str">
        <f>VLOOKUP(A1214,Planilha2!$A$2:$C$5566,3,0)</f>
        <v>VASSOURAS</v>
      </c>
      <c r="C1214" t="str">
        <f>VLOOKUP(A1214,Planilha2!$A$2:$D$5566,4,0)</f>
        <v>RJ</v>
      </c>
    </row>
    <row r="1215" spans="1:3" x14ac:dyDescent="0.35">
      <c r="A1215">
        <v>330470</v>
      </c>
      <c r="B1215" t="str">
        <f>VLOOKUP(A1215,Planilha2!$A$2:$C$5566,3,0)</f>
        <v>SANTO ANTÔNIO DE PÁDUA</v>
      </c>
      <c r="C1215" t="str">
        <f>VLOOKUP(A1215,Planilha2!$A$2:$D$5566,4,0)</f>
        <v>RJ</v>
      </c>
    </row>
    <row r="1216" spans="1:3" x14ac:dyDescent="0.35">
      <c r="A1216">
        <v>330540</v>
      </c>
      <c r="B1216" t="str">
        <f>VLOOKUP(A1216,Planilha2!$A$2:$C$5566,3,0)</f>
        <v>SAPUCAIA</v>
      </c>
      <c r="C1216" t="str">
        <f>VLOOKUP(A1216,Planilha2!$A$2:$D$5566,4,0)</f>
        <v>RJ</v>
      </c>
    </row>
    <row r="1217" spans="1:3" x14ac:dyDescent="0.35">
      <c r="A1217">
        <v>330550</v>
      </c>
      <c r="B1217" t="str">
        <f>VLOOKUP(A1217,Planilha2!$A$2:$C$5566,3,0)</f>
        <v>SAQUAREMA</v>
      </c>
      <c r="C1217" t="str">
        <f>VLOOKUP(A1217,Planilha2!$A$2:$D$5566,4,0)</f>
        <v>RJ</v>
      </c>
    </row>
    <row r="1218" spans="1:3" x14ac:dyDescent="0.35">
      <c r="A1218">
        <v>330030</v>
      </c>
      <c r="B1218" t="str">
        <f>VLOOKUP(A1218,Planilha2!$A$2:$C$5566,3,0)</f>
        <v>BARRA DO PIRAÍ</v>
      </c>
      <c r="C1218" t="str">
        <f>VLOOKUP(A1218,Planilha2!$A$2:$D$5566,4,0)</f>
        <v>RJ</v>
      </c>
    </row>
    <row r="1219" spans="1:3" x14ac:dyDescent="0.35">
      <c r="A1219">
        <v>330520</v>
      </c>
      <c r="B1219" t="str">
        <f>VLOOKUP(A1219,Planilha2!$A$2:$C$5566,3,0)</f>
        <v>SÃO PEDRO DA ALDEIA</v>
      </c>
      <c r="C1219" t="str">
        <f>VLOOKUP(A1219,Planilha2!$A$2:$D$5566,4,0)</f>
        <v>RJ</v>
      </c>
    </row>
    <row r="1220" spans="1:3" x14ac:dyDescent="0.35">
      <c r="A1220">
        <v>330070</v>
      </c>
      <c r="B1220" t="str">
        <f>VLOOKUP(A1220,Planilha2!$A$2:$C$5566,3,0)</f>
        <v>CABO FRIO</v>
      </c>
      <c r="C1220" t="str">
        <f>VLOOKUP(A1220,Planilha2!$A$2:$D$5566,4,0)</f>
        <v>RJ</v>
      </c>
    </row>
    <row r="1221" spans="1:3" x14ac:dyDescent="0.35">
      <c r="A1221">
        <v>330460</v>
      </c>
      <c r="B1221" t="str">
        <f>VLOOKUP(A1221,Planilha2!$A$2:$C$5566,3,0)</f>
        <v>SANTA MARIA MADALENA</v>
      </c>
      <c r="C1221" t="str">
        <f>VLOOKUP(A1221,Planilha2!$A$2:$D$5566,4,0)</f>
        <v>RJ</v>
      </c>
    </row>
    <row r="1222" spans="1:3" x14ac:dyDescent="0.35">
      <c r="A1222">
        <v>330270</v>
      </c>
      <c r="B1222" t="str">
        <f>VLOOKUP(A1222,Planilha2!$A$2:$C$5566,3,0)</f>
        <v>MARICÁ</v>
      </c>
      <c r="C1222" t="str">
        <f>VLOOKUP(A1222,Planilha2!$A$2:$D$5566,4,0)</f>
        <v>RJ</v>
      </c>
    </row>
    <row r="1223" spans="1:3" x14ac:dyDescent="0.35">
      <c r="A1223" s="2">
        <v>330000</v>
      </c>
      <c r="B1223" t="str">
        <f>VLOOKUP(A1223,[1]IBGE!A$2:B$27,2,0)</f>
        <v>-</v>
      </c>
      <c r="C1223" t="str">
        <f>VLOOKUP(A1223,[1]IBGE!A$2:C$27,3,0)</f>
        <v>RJ</v>
      </c>
    </row>
    <row r="1224" spans="1:3" x14ac:dyDescent="0.35">
      <c r="A1224">
        <v>330330</v>
      </c>
      <c r="B1224" t="str">
        <f>VLOOKUP(A1224,Planilha2!$A$2:$C$5566,3,0)</f>
        <v>NITERÓI</v>
      </c>
      <c r="C1224" t="str">
        <f>VLOOKUP(A1224,Planilha2!$A$2:$D$5566,4,0)</f>
        <v>RJ</v>
      </c>
    </row>
    <row r="1225" spans="1:3" x14ac:dyDescent="0.35">
      <c r="A1225">
        <v>330555</v>
      </c>
      <c r="B1225" t="str">
        <f>VLOOKUP(A1225,Planilha2!$A$2:$C$5566,3,0)</f>
        <v>SEROPÉDICA</v>
      </c>
      <c r="C1225" t="str">
        <f>VLOOKUP(A1225,Planilha2!$A$2:$D$5566,4,0)</f>
        <v>RJ</v>
      </c>
    </row>
    <row r="1226" spans="1:3" x14ac:dyDescent="0.35">
      <c r="A1226">
        <v>330010</v>
      </c>
      <c r="B1226" t="str">
        <f>VLOOKUP(A1226,Planilha2!$A$2:$C$5566,3,0)</f>
        <v>ANGRA DOS REIS</v>
      </c>
      <c r="C1226" t="str">
        <f>VLOOKUP(A1226,Planilha2!$A$2:$D$5566,4,0)</f>
        <v>RJ</v>
      </c>
    </row>
    <row r="1227" spans="1:3" x14ac:dyDescent="0.35">
      <c r="A1227">
        <v>330240</v>
      </c>
      <c r="B1227" t="str">
        <f>VLOOKUP(A1227,Planilha2!$A$2:$C$5566,3,0)</f>
        <v>MACAÉ</v>
      </c>
      <c r="C1227" t="str">
        <f>VLOOKUP(A1227,Planilha2!$A$2:$D$5566,4,0)</f>
        <v>RJ</v>
      </c>
    </row>
    <row r="1228" spans="1:3" x14ac:dyDescent="0.35">
      <c r="A1228">
        <v>330452</v>
      </c>
      <c r="B1228" t="str">
        <f>VLOOKUP(A1228,Planilha2!$A$2:$C$5566,3,0)</f>
        <v>RIO DAS OSTRAS</v>
      </c>
      <c r="C1228" t="str">
        <f>VLOOKUP(A1228,Planilha2!$A$2:$D$5566,4,0)</f>
        <v>RJ</v>
      </c>
    </row>
    <row r="1229" spans="1:3" x14ac:dyDescent="0.35">
      <c r="A1229">
        <v>330480</v>
      </c>
      <c r="B1229" t="str">
        <f>VLOOKUP(A1229,Planilha2!$A$2:$C$5566,3,0)</f>
        <v>SÃO FIDÉLIS</v>
      </c>
      <c r="C1229" t="str">
        <f>VLOOKUP(A1229,Planilha2!$A$2:$D$5566,4,0)</f>
        <v>RJ</v>
      </c>
    </row>
    <row r="1230" spans="1:3" x14ac:dyDescent="0.35">
      <c r="A1230">
        <v>330225</v>
      </c>
      <c r="B1230" t="str">
        <f>VLOOKUP(A1230,Planilha2!$A$2:$C$5566,3,0)</f>
        <v>ITATIAIA</v>
      </c>
      <c r="C1230" t="str">
        <f>VLOOKUP(A1230,Planilha2!$A$2:$D$5566,4,0)</f>
        <v>RJ</v>
      </c>
    </row>
    <row r="1231" spans="1:3" x14ac:dyDescent="0.35">
      <c r="A1231">
        <v>330420</v>
      </c>
      <c r="B1231" t="str">
        <f>VLOOKUP(A1231,Planilha2!$A$2:$C$5566,3,0)</f>
        <v>RESENDE</v>
      </c>
      <c r="C1231" t="str">
        <f>VLOOKUP(A1231,Planilha2!$A$2:$D$5566,4,0)</f>
        <v>RJ</v>
      </c>
    </row>
    <row r="1232" spans="1:3" x14ac:dyDescent="0.35">
      <c r="A1232">
        <v>330187</v>
      </c>
      <c r="B1232" t="str">
        <f>VLOOKUP(A1232,Planilha2!$A$2:$C$5566,3,0)</f>
        <v>IGUABA GRANDE</v>
      </c>
      <c r="C1232" t="str">
        <f>VLOOKUP(A1232,Planilha2!$A$2:$D$5566,4,0)</f>
        <v>RJ</v>
      </c>
    </row>
    <row r="1233" spans="1:3" x14ac:dyDescent="0.35">
      <c r="A1233">
        <v>330115</v>
      </c>
      <c r="B1233" t="str">
        <f>VLOOKUP(A1233,Planilha2!$A$2:$C$5566,3,0)</f>
        <v>CARDOSO MOREIRA</v>
      </c>
      <c r="C1233" t="str">
        <f>VLOOKUP(A1233,Planilha2!$A$2:$D$5566,4,0)</f>
        <v>RJ</v>
      </c>
    </row>
    <row r="1234" spans="1:3" x14ac:dyDescent="0.35">
      <c r="A1234">
        <v>330580</v>
      </c>
      <c r="B1234" t="str">
        <f>VLOOKUP(A1234,Planilha2!$A$2:$C$5566,3,0)</f>
        <v>TERESÓPOLIS</v>
      </c>
      <c r="C1234" t="str">
        <f>VLOOKUP(A1234,Planilha2!$A$2:$D$5566,4,0)</f>
        <v>RJ</v>
      </c>
    </row>
    <row r="1235" spans="1:3" x14ac:dyDescent="0.35">
      <c r="A1235">
        <v>330100</v>
      </c>
      <c r="B1235" t="str">
        <f>VLOOKUP(A1235,Planilha2!$A$2:$C$5566,3,0)</f>
        <v>CAMPOS DOS GOYTACAZES</v>
      </c>
      <c r="C1235" t="str">
        <f>VLOOKUP(A1235,Planilha2!$A$2:$D$5566,4,0)</f>
        <v>RJ</v>
      </c>
    </row>
    <row r="1236" spans="1:3" x14ac:dyDescent="0.35">
      <c r="A1236">
        <v>330227</v>
      </c>
      <c r="B1236" t="str">
        <f>VLOOKUP(A1236,Planilha2!$A$2:$C$5566,3,0)</f>
        <v>JAPERI</v>
      </c>
      <c r="C1236" t="str">
        <f>VLOOKUP(A1236,Planilha2!$A$2:$D$5566,4,0)</f>
        <v>RJ</v>
      </c>
    </row>
    <row r="1237" spans="1:3" x14ac:dyDescent="0.35">
      <c r="A1237">
        <v>330023</v>
      </c>
      <c r="B1237" t="str">
        <f>VLOOKUP(A1237,Planilha2!$A$2:$C$5566,3,0)</f>
        <v>ARMAÇÃO DOS BÚZIOS</v>
      </c>
      <c r="C1237" t="str">
        <f>VLOOKUP(A1237,Planilha2!$A$2:$D$5566,4,0)</f>
        <v>RJ</v>
      </c>
    </row>
    <row r="1238" spans="1:3" x14ac:dyDescent="0.35">
      <c r="A1238">
        <v>330020</v>
      </c>
      <c r="B1238" t="str">
        <f>VLOOKUP(A1238,Planilha2!$A$2:$C$5566,3,0)</f>
        <v>ARARUAMA</v>
      </c>
      <c r="C1238" t="str">
        <f>VLOOKUP(A1238,Planilha2!$A$2:$D$5566,4,0)</f>
        <v>RJ</v>
      </c>
    </row>
    <row r="1239" spans="1:3" x14ac:dyDescent="0.35">
      <c r="A1239">
        <v>330220</v>
      </c>
      <c r="B1239" t="str">
        <f>VLOOKUP(A1239,Planilha2!$A$2:$C$5566,3,0)</f>
        <v>ITAPERUNA</v>
      </c>
      <c r="C1239" t="str">
        <f>VLOOKUP(A1239,Planilha2!$A$2:$D$5566,4,0)</f>
        <v>RJ</v>
      </c>
    </row>
    <row r="1240" spans="1:3" x14ac:dyDescent="0.35">
      <c r="A1240">
        <v>330560</v>
      </c>
      <c r="B1240" t="str">
        <f>VLOOKUP(A1240,Planilha2!$A$2:$C$5566,3,0)</f>
        <v>SILVA JARDIM</v>
      </c>
      <c r="C1240" t="str">
        <f>VLOOKUP(A1240,Planilha2!$A$2:$D$5566,4,0)</f>
        <v>RJ</v>
      </c>
    </row>
    <row r="1241" spans="1:3" x14ac:dyDescent="0.35">
      <c r="A1241">
        <v>330310</v>
      </c>
      <c r="B1241" t="str">
        <f>VLOOKUP(A1241,Planilha2!$A$2:$C$5566,3,0)</f>
        <v>NATIVIDADE</v>
      </c>
      <c r="C1241" t="str">
        <f>VLOOKUP(A1241,Planilha2!$A$2:$D$5566,4,0)</f>
        <v>RJ</v>
      </c>
    </row>
    <row r="1242" spans="1:3" x14ac:dyDescent="0.35">
      <c r="A1242">
        <v>330060</v>
      </c>
      <c r="B1242" t="str">
        <f>VLOOKUP(A1242,Planilha2!$A$2:$C$5566,3,0)</f>
        <v>BOM JESUS DO ITABAPOANA</v>
      </c>
      <c r="C1242" t="str">
        <f>VLOOKUP(A1242,Planilha2!$A$2:$D$5566,4,0)</f>
        <v>RJ</v>
      </c>
    </row>
    <row r="1243" spans="1:3" x14ac:dyDescent="0.35">
      <c r="A1243">
        <v>330475</v>
      </c>
      <c r="B1243" t="str">
        <f>VLOOKUP(A1243,Planilha2!$A$2:$C$5566,3,0)</f>
        <v>SÃO FRANCISCO DE ITABAPOANA</v>
      </c>
      <c r="C1243" t="str">
        <f>VLOOKUP(A1243,Planilha2!$A$2:$D$5566,4,0)</f>
        <v>RJ</v>
      </c>
    </row>
    <row r="1244" spans="1:3" x14ac:dyDescent="0.35">
      <c r="A1244">
        <v>330360</v>
      </c>
      <c r="B1244" t="str">
        <f>VLOOKUP(A1244,Planilha2!$A$2:$C$5566,3,0)</f>
        <v>PARACAMBI</v>
      </c>
      <c r="C1244" t="str">
        <f>VLOOKUP(A1244,Planilha2!$A$2:$D$5566,4,0)</f>
        <v>RJ</v>
      </c>
    </row>
    <row r="1245" spans="1:3" x14ac:dyDescent="0.35">
      <c r="A1245">
        <v>330080</v>
      </c>
      <c r="B1245" t="str">
        <f>VLOOKUP(A1245,Planilha2!$A$2:$C$5566,3,0)</f>
        <v>CACHOEIRAS DE MACACU</v>
      </c>
      <c r="C1245" t="str">
        <f>VLOOKUP(A1245,Planilha2!$A$2:$D$5566,4,0)</f>
        <v>RJ</v>
      </c>
    </row>
    <row r="1246" spans="1:3" x14ac:dyDescent="0.35">
      <c r="A1246">
        <v>330025</v>
      </c>
      <c r="B1246" t="str">
        <f>VLOOKUP(A1246,Planilha2!$A$2:$C$5566,3,0)</f>
        <v>ARRAIAL DO CABO</v>
      </c>
      <c r="C1246" t="str">
        <f>VLOOKUP(A1246,Planilha2!$A$2:$D$5566,4,0)</f>
        <v>RJ</v>
      </c>
    </row>
    <row r="1247" spans="1:3" x14ac:dyDescent="0.35">
      <c r="A1247">
        <v>354880</v>
      </c>
      <c r="B1247" t="str">
        <f>VLOOKUP(A1247,Planilha2!$A$2:$C$5566,3,0)</f>
        <v>SÃO CAETANO DO SUL</v>
      </c>
      <c r="C1247" t="str">
        <f>VLOOKUP(A1247,Planilha2!$A$2:$D$5566,4,0)</f>
        <v>SP</v>
      </c>
    </row>
    <row r="1248" spans="1:3" x14ac:dyDescent="0.35">
      <c r="A1248">
        <v>355410</v>
      </c>
      <c r="B1248" t="str">
        <f>VLOOKUP(A1248,Planilha2!$A$2:$C$5566,3,0)</f>
        <v>TAUBATÉ</v>
      </c>
      <c r="C1248" t="str">
        <f>VLOOKUP(A1248,Planilha2!$A$2:$D$5566,4,0)</f>
        <v>SP</v>
      </c>
    </row>
    <row r="1249" spans="1:3" x14ac:dyDescent="0.35">
      <c r="A1249">
        <v>355000</v>
      </c>
      <c r="B1249" t="str">
        <f>VLOOKUP(A1249,Planilha2!$A$2:$C$5566,3,0)</f>
        <v>SÃO LUÍS DO PARAITINGA</v>
      </c>
      <c r="C1249" t="str">
        <f>VLOOKUP(A1249,Planilha2!$A$2:$D$5566,4,0)</f>
        <v>SP</v>
      </c>
    </row>
    <row r="1250" spans="1:3" x14ac:dyDescent="0.35">
      <c r="A1250">
        <v>355480</v>
      </c>
      <c r="B1250" t="str">
        <f>VLOOKUP(A1250,Planilha2!$A$2:$C$5566,3,0)</f>
        <v>TREMEMBÉ</v>
      </c>
      <c r="C1250" t="str">
        <f>VLOOKUP(A1250,Planilha2!$A$2:$D$5566,4,0)</f>
        <v>SP</v>
      </c>
    </row>
    <row r="1251" spans="1:3" x14ac:dyDescent="0.35">
      <c r="A1251">
        <v>354820</v>
      </c>
      <c r="B1251" t="str">
        <f>VLOOKUP(A1251,Planilha2!$A$2:$C$5566,3,0)</f>
        <v>SANTO ANTÔNIO DO PINHAL</v>
      </c>
      <c r="C1251" t="str">
        <f>VLOOKUP(A1251,Planilha2!$A$2:$D$5566,4,0)</f>
        <v>SP</v>
      </c>
    </row>
    <row r="1252" spans="1:3" x14ac:dyDescent="0.35">
      <c r="A1252">
        <v>352720</v>
      </c>
      <c r="B1252" t="str">
        <f>VLOOKUP(A1252,Planilha2!$A$2:$C$5566,3,0)</f>
        <v>LORENA</v>
      </c>
      <c r="C1252" t="str">
        <f>VLOOKUP(A1252,Planilha2!$A$2:$D$5566,4,0)</f>
        <v>SP</v>
      </c>
    </row>
    <row r="1253" spans="1:3" x14ac:dyDescent="0.35">
      <c r="A1253">
        <v>351840</v>
      </c>
      <c r="B1253" t="str">
        <f>VLOOKUP(A1253,Planilha2!$A$2:$C$5566,3,0)</f>
        <v>GUARATINGUETÁ</v>
      </c>
      <c r="C1253" t="str">
        <f>VLOOKUP(A1253,Planilha2!$A$2:$D$5566,4,0)</f>
        <v>SP</v>
      </c>
    </row>
    <row r="1254" spans="1:3" x14ac:dyDescent="0.35">
      <c r="A1254">
        <v>353800</v>
      </c>
      <c r="B1254" t="str">
        <f>VLOOKUP(A1254,Planilha2!$A$2:$C$5566,3,0)</f>
        <v>PINDAMONHANGABA</v>
      </c>
      <c r="C1254" t="str">
        <f>VLOOKUP(A1254,Planilha2!$A$2:$D$5566,4,0)</f>
        <v>SP</v>
      </c>
    </row>
    <row r="1255" spans="1:3" x14ac:dyDescent="0.35">
      <c r="A1255">
        <v>350850</v>
      </c>
      <c r="B1255" t="str">
        <f>VLOOKUP(A1255,Planilha2!$A$2:$C$5566,3,0)</f>
        <v>CAÇAPAVA</v>
      </c>
      <c r="C1255" t="str">
        <f>VLOOKUP(A1255,Planilha2!$A$2:$D$5566,4,0)</f>
        <v>SP</v>
      </c>
    </row>
    <row r="1256" spans="1:3" x14ac:dyDescent="0.35">
      <c r="A1256">
        <v>350250</v>
      </c>
      <c r="B1256" t="str">
        <f>VLOOKUP(A1256,Planilha2!$A$2:$C$5566,3,0)</f>
        <v>APARECIDA</v>
      </c>
      <c r="C1256" t="str">
        <f>VLOOKUP(A1256,Planilha2!$A$2:$D$5566,4,0)</f>
        <v>SP</v>
      </c>
    </row>
    <row r="1257" spans="1:3" x14ac:dyDescent="0.35">
      <c r="A1257">
        <v>351360</v>
      </c>
      <c r="B1257" t="str">
        <f>VLOOKUP(A1257,Planilha2!$A$2:$C$5566,3,0)</f>
        <v>CUNHA</v>
      </c>
      <c r="C1257" t="str">
        <f>VLOOKUP(A1257,Planilha2!$A$2:$D$5566,4,0)</f>
        <v>SP</v>
      </c>
    </row>
    <row r="1258" spans="1:3" x14ac:dyDescent="0.35">
      <c r="A1258">
        <v>352220</v>
      </c>
      <c r="B1258" t="str">
        <f>VLOOKUP(A1258,Planilha2!$A$2:$C$5566,3,0)</f>
        <v>ITAPECERICA DA SERRA</v>
      </c>
      <c r="C1258" t="str">
        <f>VLOOKUP(A1258,Planilha2!$A$2:$D$5566,4,0)</f>
        <v>SP</v>
      </c>
    </row>
    <row r="1259" spans="1:3" x14ac:dyDescent="0.35">
      <c r="A1259">
        <v>355280</v>
      </c>
      <c r="B1259" t="str">
        <f>VLOOKUP(A1259,Planilha2!$A$2:$C$5566,3,0)</f>
        <v>TABOÃO DA SERRA</v>
      </c>
      <c r="C1259" t="str">
        <f>VLOOKUP(A1259,Planilha2!$A$2:$D$5566,4,0)</f>
        <v>SP</v>
      </c>
    </row>
    <row r="1260" spans="1:3" x14ac:dyDescent="0.35">
      <c r="A1260">
        <v>355360</v>
      </c>
      <c r="B1260" t="str">
        <f>VLOOKUP(A1260,Planilha2!$A$2:$C$5566,3,0)</f>
        <v>TAPIRATIBA</v>
      </c>
      <c r="C1260" t="str">
        <f>VLOOKUP(A1260,Planilha2!$A$2:$D$5566,4,0)</f>
        <v>SP</v>
      </c>
    </row>
    <row r="1261" spans="1:3" x14ac:dyDescent="0.35">
      <c r="A1261">
        <v>355640</v>
      </c>
      <c r="B1261" t="str">
        <f>VLOOKUP(A1261,Planilha2!$A$2:$C$5566,3,0)</f>
        <v>VARGEM GRANDE DO SUL</v>
      </c>
      <c r="C1261" t="str">
        <f>VLOOKUP(A1261,Planilha2!$A$2:$D$5566,4,0)</f>
        <v>SP</v>
      </c>
    </row>
    <row r="1262" spans="1:3" x14ac:dyDescent="0.35">
      <c r="A1262">
        <v>353070</v>
      </c>
      <c r="B1262" t="str">
        <f>VLOOKUP(A1262,Planilha2!$A$2:$C$5566,3,0)</f>
        <v>MOGI GUAÇU</v>
      </c>
      <c r="C1262" t="str">
        <f>VLOOKUP(A1262,Planilha2!$A$2:$D$5566,4,0)</f>
        <v>SP</v>
      </c>
    </row>
    <row r="1263" spans="1:3" x14ac:dyDescent="0.35">
      <c r="A1263">
        <v>353080</v>
      </c>
      <c r="B1263" t="str">
        <f>VLOOKUP(A1263,Planilha2!$A$2:$C$5566,3,0)</f>
        <v>MOJI MIRIM</v>
      </c>
      <c r="C1263" t="str">
        <f>VLOOKUP(A1263,Planilha2!$A$2:$D$5566,4,0)</f>
        <v>SP</v>
      </c>
    </row>
    <row r="1264" spans="1:3" x14ac:dyDescent="0.35">
      <c r="A1264">
        <v>351518</v>
      </c>
      <c r="B1264" t="str">
        <f>VLOOKUP(A1264,Planilha2!$A$2:$C$5566,3,0)</f>
        <v>ESPÍRITO SANTO DO PINHAL</v>
      </c>
      <c r="C1264" t="str">
        <f>VLOOKUP(A1264,Planilha2!$A$2:$D$5566,4,0)</f>
        <v>SP</v>
      </c>
    </row>
    <row r="1265" spans="1:3" x14ac:dyDescent="0.35">
      <c r="A1265">
        <v>352260</v>
      </c>
      <c r="B1265" t="str">
        <f>VLOOKUP(A1265,Planilha2!$A$2:$C$5566,3,0)</f>
        <v>ITAPIRA</v>
      </c>
      <c r="C1265" t="str">
        <f>VLOOKUP(A1265,Planilha2!$A$2:$D$5566,4,0)</f>
        <v>SP</v>
      </c>
    </row>
    <row r="1266" spans="1:3" x14ac:dyDescent="0.35">
      <c r="A1266">
        <v>353050</v>
      </c>
      <c r="B1266" t="str">
        <f>VLOOKUP(A1266,Planilha2!$A$2:$C$5566,3,0)</f>
        <v>MOCOCA</v>
      </c>
      <c r="C1266" t="str">
        <f>VLOOKUP(A1266,Planilha2!$A$2:$D$5566,4,0)</f>
        <v>SP</v>
      </c>
    </row>
    <row r="1267" spans="1:3" x14ac:dyDescent="0.35">
      <c r="A1267">
        <v>350870</v>
      </c>
      <c r="B1267" t="str">
        <f>VLOOKUP(A1267,Planilha2!$A$2:$C$5566,3,0)</f>
        <v>CACONDE</v>
      </c>
      <c r="C1267" t="str">
        <f>VLOOKUP(A1267,Planilha2!$A$2:$D$5566,4,0)</f>
        <v>SP</v>
      </c>
    </row>
    <row r="1268" spans="1:3" x14ac:dyDescent="0.35">
      <c r="A1268">
        <v>351080</v>
      </c>
      <c r="B1268" t="str">
        <f>VLOOKUP(A1268,Planilha2!$A$2:$C$5566,3,0)</f>
        <v>CASA BRANCA</v>
      </c>
      <c r="C1268" t="str">
        <f>VLOOKUP(A1268,Planilha2!$A$2:$D$5566,4,0)</f>
        <v>SP</v>
      </c>
    </row>
    <row r="1269" spans="1:3" x14ac:dyDescent="0.35">
      <c r="A1269">
        <v>351390</v>
      </c>
      <c r="B1269" t="str">
        <f>VLOOKUP(A1269,Planilha2!$A$2:$C$5566,3,0)</f>
        <v>DIVINOLÂNDIA</v>
      </c>
      <c r="C1269" t="str">
        <f>VLOOKUP(A1269,Planilha2!$A$2:$D$5566,4,0)</f>
        <v>SP</v>
      </c>
    </row>
    <row r="1270" spans="1:3" x14ac:dyDescent="0.35">
      <c r="A1270">
        <v>354910</v>
      </c>
      <c r="B1270" t="str">
        <f>VLOOKUP(A1270,Planilha2!$A$2:$C$5566,3,0)</f>
        <v>SÃO JOÃO DA BOA VISTA</v>
      </c>
      <c r="C1270" t="str">
        <f>VLOOKUP(A1270,Planilha2!$A$2:$D$5566,4,0)</f>
        <v>SP</v>
      </c>
    </row>
    <row r="1271" spans="1:3" x14ac:dyDescent="0.35">
      <c r="A1271">
        <v>354970</v>
      </c>
      <c r="B1271" t="str">
        <f>VLOOKUP(A1271,Planilha2!$A$2:$C$5566,3,0)</f>
        <v>SÃO JOSÉ DO RIO PARDO</v>
      </c>
      <c r="C1271" t="str">
        <f>VLOOKUP(A1271,Planilha2!$A$2:$D$5566,4,0)</f>
        <v>SP</v>
      </c>
    </row>
    <row r="1272" spans="1:3" x14ac:dyDescent="0.35">
      <c r="A1272">
        <v>354330</v>
      </c>
      <c r="B1272" t="str">
        <f>VLOOKUP(A1272,Planilha2!$A$2:$C$5566,3,0)</f>
        <v>RIBEIRÃO PIRES</v>
      </c>
      <c r="C1272" t="str">
        <f>VLOOKUP(A1272,Planilha2!$A$2:$D$5566,4,0)</f>
        <v>SP</v>
      </c>
    </row>
    <row r="1273" spans="1:3" x14ac:dyDescent="0.35">
      <c r="A1273">
        <v>352940</v>
      </c>
      <c r="B1273" t="str">
        <f>VLOOKUP(A1273,Planilha2!$A$2:$C$5566,3,0)</f>
        <v>MAUÁ</v>
      </c>
      <c r="C1273" t="str">
        <f>VLOOKUP(A1273,Planilha2!$A$2:$D$5566,4,0)</f>
        <v>SP</v>
      </c>
    </row>
    <row r="1274" spans="1:3" x14ac:dyDescent="0.35">
      <c r="A1274">
        <v>353760</v>
      </c>
      <c r="B1274" t="str">
        <f>VLOOKUP(A1274,Planilha2!$A$2:$C$5566,3,0)</f>
        <v>PERUÍBE</v>
      </c>
      <c r="C1274" t="str">
        <f>VLOOKUP(A1274,Planilha2!$A$2:$D$5566,4,0)</f>
        <v>SP</v>
      </c>
    </row>
    <row r="1275" spans="1:3" x14ac:dyDescent="0.35">
      <c r="A1275">
        <v>351350</v>
      </c>
      <c r="B1275" t="str">
        <f>VLOOKUP(A1275,Planilha2!$A$2:$C$5566,3,0)</f>
        <v>CUBATÃO</v>
      </c>
      <c r="C1275" t="str">
        <f>VLOOKUP(A1275,Planilha2!$A$2:$D$5566,4,0)</f>
        <v>SP</v>
      </c>
    </row>
    <row r="1276" spans="1:3" x14ac:dyDescent="0.35">
      <c r="A1276">
        <v>354870</v>
      </c>
      <c r="B1276" t="str">
        <f>VLOOKUP(A1276,Planilha2!$A$2:$C$5566,3,0)</f>
        <v>SÃO BERNARDO DO CAMPO</v>
      </c>
      <c r="C1276" t="str">
        <f>VLOOKUP(A1276,Planilha2!$A$2:$D$5566,4,0)</f>
        <v>SP</v>
      </c>
    </row>
    <row r="1277" spans="1:3" x14ac:dyDescent="0.35">
      <c r="A1277">
        <v>354780</v>
      </c>
      <c r="B1277" t="str">
        <f>VLOOKUP(A1277,Planilha2!$A$2:$C$5566,3,0)</f>
        <v>SANTO ANDRÉ</v>
      </c>
      <c r="C1277" t="str">
        <f>VLOOKUP(A1277,Planilha2!$A$2:$D$5566,4,0)</f>
        <v>SP</v>
      </c>
    </row>
    <row r="1278" spans="1:3" x14ac:dyDescent="0.35">
      <c r="A1278">
        <v>351380</v>
      </c>
      <c r="B1278" t="str">
        <f>VLOOKUP(A1278,Planilha2!$A$2:$C$5566,3,0)</f>
        <v>DIADEMA</v>
      </c>
      <c r="C1278" t="str">
        <f>VLOOKUP(A1278,Planilha2!$A$2:$D$5566,4,0)</f>
        <v>SP</v>
      </c>
    </row>
    <row r="1279" spans="1:3" x14ac:dyDescent="0.35">
      <c r="A1279">
        <v>351060</v>
      </c>
      <c r="B1279" t="str">
        <f>VLOOKUP(A1279,Planilha2!$A$2:$C$5566,3,0)</f>
        <v>CARAPICUÍBA</v>
      </c>
      <c r="C1279" t="str">
        <f>VLOOKUP(A1279,Planilha2!$A$2:$D$5566,4,0)</f>
        <v>SP</v>
      </c>
    </row>
    <row r="1280" spans="1:3" x14ac:dyDescent="0.35">
      <c r="A1280">
        <v>352500</v>
      </c>
      <c r="B1280" t="str">
        <f>VLOOKUP(A1280,Planilha2!$A$2:$C$5566,3,0)</f>
        <v>JANDIRA</v>
      </c>
      <c r="C1280" t="str">
        <f>VLOOKUP(A1280,Planilha2!$A$2:$D$5566,4,0)</f>
        <v>SP</v>
      </c>
    </row>
    <row r="1281" spans="1:3" x14ac:dyDescent="0.35">
      <c r="A1281">
        <v>350570</v>
      </c>
      <c r="B1281" t="str">
        <f>VLOOKUP(A1281,Planilha2!$A$2:$C$5566,3,0)</f>
        <v>BARUERI</v>
      </c>
      <c r="C1281" t="str">
        <f>VLOOKUP(A1281,Planilha2!$A$2:$D$5566,4,0)</f>
        <v>SP</v>
      </c>
    </row>
    <row r="1282" spans="1:3" x14ac:dyDescent="0.35">
      <c r="A1282">
        <v>352250</v>
      </c>
      <c r="B1282" t="str">
        <f>VLOOKUP(A1282,Planilha2!$A$2:$C$5566,3,0)</f>
        <v>ITAPEVI</v>
      </c>
      <c r="C1282" t="str">
        <f>VLOOKUP(A1282,Planilha2!$A$2:$D$5566,4,0)</f>
        <v>SP</v>
      </c>
    </row>
    <row r="1283" spans="1:3" x14ac:dyDescent="0.35">
      <c r="A1283">
        <v>350410</v>
      </c>
      <c r="B1283" t="str">
        <f>VLOOKUP(A1283,Planilha2!$A$2:$C$5566,3,0)</f>
        <v>ATIBAIA</v>
      </c>
      <c r="C1283" t="str">
        <f>VLOOKUP(A1283,Planilha2!$A$2:$D$5566,4,0)</f>
        <v>SP</v>
      </c>
    </row>
    <row r="1284" spans="1:3" x14ac:dyDescent="0.35">
      <c r="A1284">
        <v>350950</v>
      </c>
      <c r="B1284" t="str">
        <f>VLOOKUP(A1284,Planilha2!$A$2:$C$5566,3,0)</f>
        <v>CAMPINAS</v>
      </c>
      <c r="C1284" t="str">
        <f>VLOOKUP(A1284,Planilha2!$A$2:$D$5566,4,0)</f>
        <v>SP</v>
      </c>
    </row>
    <row r="1285" spans="1:3" x14ac:dyDescent="0.35">
      <c r="A1285">
        <v>355620</v>
      </c>
      <c r="B1285" t="str">
        <f>VLOOKUP(A1285,Planilha2!$A$2:$C$5566,3,0)</f>
        <v>VALINHOS</v>
      </c>
      <c r="C1285" t="str">
        <f>VLOOKUP(A1285,Planilha2!$A$2:$D$5566,4,0)</f>
        <v>SP</v>
      </c>
    </row>
    <row r="1286" spans="1:3" x14ac:dyDescent="0.35">
      <c r="A1286">
        <v>352730</v>
      </c>
      <c r="B1286" t="str">
        <f>VLOOKUP(A1286,Planilha2!$A$2:$C$5566,3,0)</f>
        <v>LOUVEIRA</v>
      </c>
      <c r="C1286" t="str">
        <f>VLOOKUP(A1286,Planilha2!$A$2:$D$5566,4,0)</f>
        <v>SP</v>
      </c>
    </row>
    <row r="1287" spans="1:3" x14ac:dyDescent="0.35">
      <c r="A1287">
        <v>351907</v>
      </c>
      <c r="B1287" t="str">
        <f>VLOOKUP(A1287,Planilha2!$A$2:$C$5566,3,0)</f>
        <v>HORTOLÂNDIA</v>
      </c>
      <c r="C1287" t="str">
        <f>VLOOKUP(A1287,Planilha2!$A$2:$D$5566,4,0)</f>
        <v>SP</v>
      </c>
    </row>
    <row r="1288" spans="1:3" x14ac:dyDescent="0.35">
      <c r="A1288">
        <v>350190</v>
      </c>
      <c r="B1288" t="str">
        <f>VLOOKUP(A1288,Planilha2!$A$2:$C$5566,3,0)</f>
        <v>AMPARO</v>
      </c>
      <c r="C1288" t="str">
        <f>VLOOKUP(A1288,Planilha2!$A$2:$D$5566,4,0)</f>
        <v>SP</v>
      </c>
    </row>
    <row r="1289" spans="1:3" x14ac:dyDescent="0.35">
      <c r="A1289">
        <v>352340</v>
      </c>
      <c r="B1289" t="str">
        <f>VLOOKUP(A1289,Planilha2!$A$2:$C$5566,3,0)</f>
        <v>ITATIBA</v>
      </c>
      <c r="C1289" t="str">
        <f>VLOOKUP(A1289,Planilha2!$A$2:$D$5566,4,0)</f>
        <v>SP</v>
      </c>
    </row>
    <row r="1290" spans="1:3" x14ac:dyDescent="0.35">
      <c r="A1290">
        <v>353180</v>
      </c>
      <c r="B1290" t="str">
        <f>VLOOKUP(A1290,Planilha2!$A$2:$C$5566,3,0)</f>
        <v>MONTE MOR</v>
      </c>
      <c r="C1290" t="str">
        <f>VLOOKUP(A1290,Planilha2!$A$2:$D$5566,4,0)</f>
        <v>SP</v>
      </c>
    </row>
    <row r="1291" spans="1:3" x14ac:dyDescent="0.35">
      <c r="A1291">
        <v>352590</v>
      </c>
      <c r="B1291" t="str">
        <f>VLOOKUP(A1291,Planilha2!$A$2:$C$5566,3,0)</f>
        <v>JUNDIAÍ</v>
      </c>
      <c r="C1291" t="str">
        <f>VLOOKUP(A1291,Planilha2!$A$2:$D$5566,4,0)</f>
        <v>SP</v>
      </c>
    </row>
    <row r="1292" spans="1:3" x14ac:dyDescent="0.35">
      <c r="A1292">
        <v>355650</v>
      </c>
      <c r="B1292" t="str">
        <f>VLOOKUP(A1292,Planilha2!$A$2:$C$5566,3,0)</f>
        <v>VÁRZEA PAULISTA</v>
      </c>
      <c r="C1292" t="str">
        <f>VLOOKUP(A1292,Planilha2!$A$2:$D$5566,4,0)</f>
        <v>SP</v>
      </c>
    </row>
    <row r="1293" spans="1:3" x14ac:dyDescent="0.35">
      <c r="A1293">
        <v>352400</v>
      </c>
      <c r="B1293" t="str">
        <f>VLOOKUP(A1293,Planilha2!$A$2:$C$5566,3,0)</f>
        <v>ITUPEVA</v>
      </c>
      <c r="C1293" t="str">
        <f>VLOOKUP(A1293,Planilha2!$A$2:$D$5566,4,0)</f>
        <v>SP</v>
      </c>
    </row>
    <row r="1294" spans="1:3" x14ac:dyDescent="0.35">
      <c r="A1294">
        <v>352550</v>
      </c>
      <c r="B1294" t="str">
        <f>VLOOKUP(A1294,Planilha2!$A$2:$C$5566,3,0)</f>
        <v>JOANÓPOLIS</v>
      </c>
      <c r="C1294" t="str">
        <f>VLOOKUP(A1294,Planilha2!$A$2:$D$5566,4,0)</f>
        <v>SP</v>
      </c>
    </row>
    <row r="1295" spans="1:3" x14ac:dyDescent="0.35">
      <c r="A1295">
        <v>355495</v>
      </c>
      <c r="B1295" t="str">
        <f>VLOOKUP(A1295,Planilha2!$A$2:$C$5566,3,0)</f>
        <v>TUIUTI</v>
      </c>
      <c r="C1295" t="str">
        <f>VLOOKUP(A1295,Planilha2!$A$2:$D$5566,4,0)</f>
        <v>SP</v>
      </c>
    </row>
    <row r="1296" spans="1:3" x14ac:dyDescent="0.35">
      <c r="A1296">
        <v>350710</v>
      </c>
      <c r="B1296" t="str">
        <f>VLOOKUP(A1296,Planilha2!$A$2:$C$5566,3,0)</f>
        <v>BOM JESUS DOS PERDÕES</v>
      </c>
      <c r="C1296" t="str">
        <f>VLOOKUP(A1296,Planilha2!$A$2:$D$5566,4,0)</f>
        <v>SP</v>
      </c>
    </row>
    <row r="1297" spans="1:3" x14ac:dyDescent="0.35">
      <c r="A1297">
        <v>350760</v>
      </c>
      <c r="B1297" t="str">
        <f>VLOOKUP(A1297,Planilha2!$A$2:$C$5566,3,0)</f>
        <v>BRAGANÇA PAULISTA</v>
      </c>
      <c r="C1297" t="str">
        <f>VLOOKUP(A1297,Planilha2!$A$2:$D$5566,4,0)</f>
        <v>SP</v>
      </c>
    </row>
    <row r="1298" spans="1:3" x14ac:dyDescent="0.35">
      <c r="A1298">
        <v>352050</v>
      </c>
      <c r="B1298" t="str">
        <f>VLOOKUP(A1298,Planilha2!$A$2:$C$5566,3,0)</f>
        <v>INDAIATUBA</v>
      </c>
      <c r="C1298" t="str">
        <f>VLOOKUP(A1298,Planilha2!$A$2:$D$5566,4,0)</f>
        <v>SP</v>
      </c>
    </row>
    <row r="1299" spans="1:3" x14ac:dyDescent="0.35">
      <c r="A1299">
        <v>353650</v>
      </c>
      <c r="B1299" t="str">
        <f>VLOOKUP(A1299,Planilha2!$A$2:$C$5566,3,0)</f>
        <v>PAULÍNIA</v>
      </c>
      <c r="C1299" t="str">
        <f>VLOOKUP(A1299,Planilha2!$A$2:$D$5566,4,0)</f>
        <v>SP</v>
      </c>
    </row>
    <row r="1300" spans="1:3" x14ac:dyDescent="0.35">
      <c r="A1300">
        <v>354580</v>
      </c>
      <c r="B1300" t="str">
        <f>VLOOKUP(A1300,Planilha2!$A$2:$C$5566,3,0)</f>
        <v>SANTA BÁRBARA D`OESTE</v>
      </c>
      <c r="C1300" t="str">
        <f>VLOOKUP(A1300,Planilha2!$A$2:$D$5566,4,0)</f>
        <v>SP</v>
      </c>
    </row>
    <row r="1301" spans="1:3" x14ac:dyDescent="0.35">
      <c r="A1301">
        <v>355240</v>
      </c>
      <c r="B1301" t="str">
        <f>VLOOKUP(A1301,Planilha2!$A$2:$C$5566,3,0)</f>
        <v>SUMARÉ</v>
      </c>
      <c r="C1301" t="str">
        <f>VLOOKUP(A1301,Planilha2!$A$2:$D$5566,4,0)</f>
        <v>SP</v>
      </c>
    </row>
    <row r="1302" spans="1:3" x14ac:dyDescent="0.35">
      <c r="A1302">
        <v>355670</v>
      </c>
      <c r="B1302" t="str">
        <f>VLOOKUP(A1302,Planilha2!$A$2:$C$5566,3,0)</f>
        <v>VINHEDO</v>
      </c>
      <c r="C1302" t="str">
        <f>VLOOKUP(A1302,Planilha2!$A$2:$D$5566,4,0)</f>
        <v>SP</v>
      </c>
    </row>
    <row r="1303" spans="1:3" x14ac:dyDescent="0.35">
      <c r="A1303">
        <v>353510</v>
      </c>
      <c r="B1303" t="str">
        <f>VLOOKUP(A1303,Planilha2!$A$2:$C$5566,3,0)</f>
        <v>PALMARES PAULISTA</v>
      </c>
      <c r="C1303" t="str">
        <f>VLOOKUP(A1303,Planilha2!$A$2:$D$5566,4,0)</f>
        <v>SP</v>
      </c>
    </row>
    <row r="1304" spans="1:3" x14ac:dyDescent="0.35">
      <c r="A1304">
        <v>354080</v>
      </c>
      <c r="B1304" t="str">
        <f>VLOOKUP(A1304,Planilha2!$A$2:$C$5566,3,0)</f>
        <v>POTIRENDABA</v>
      </c>
      <c r="C1304" t="str">
        <f>VLOOKUP(A1304,Planilha2!$A$2:$D$5566,4,0)</f>
        <v>SP</v>
      </c>
    </row>
    <row r="1305" spans="1:3" x14ac:dyDescent="0.35">
      <c r="A1305">
        <v>354980</v>
      </c>
      <c r="B1305" t="str">
        <f>VLOOKUP(A1305,Planilha2!$A$2:$C$5566,3,0)</f>
        <v>SÃO JOSÉ DO RIO PRETO</v>
      </c>
      <c r="C1305" t="str">
        <f>VLOOKUP(A1305,Planilha2!$A$2:$D$5566,4,0)</f>
        <v>SP</v>
      </c>
    </row>
    <row r="1306" spans="1:3" x14ac:dyDescent="0.35">
      <c r="A1306">
        <v>355340</v>
      </c>
      <c r="B1306" t="str">
        <f>VLOOKUP(A1306,Planilha2!$A$2:$C$5566,3,0)</f>
        <v>TANABI</v>
      </c>
      <c r="C1306" t="str">
        <f>VLOOKUP(A1306,Planilha2!$A$2:$D$5566,4,0)</f>
        <v>SP</v>
      </c>
    </row>
    <row r="1307" spans="1:3" x14ac:dyDescent="0.35">
      <c r="A1307">
        <v>350460</v>
      </c>
      <c r="B1307" t="str">
        <f>VLOOKUP(A1307,Planilha2!$A$2:$C$5566,3,0)</f>
        <v>BADY BASSITT</v>
      </c>
      <c r="C1307" t="str">
        <f>VLOOKUP(A1307,Planilha2!$A$2:$D$5566,4,0)</f>
        <v>SP</v>
      </c>
    </row>
    <row r="1308" spans="1:3" x14ac:dyDescent="0.35">
      <c r="A1308">
        <v>353030</v>
      </c>
      <c r="B1308" t="str">
        <f>VLOOKUP(A1308,Planilha2!$A$2:$C$5566,3,0)</f>
        <v>MIRASSOL</v>
      </c>
      <c r="C1308" t="str">
        <f>VLOOKUP(A1308,Planilha2!$A$2:$D$5566,4,0)</f>
        <v>SP</v>
      </c>
    </row>
    <row r="1309" spans="1:3" x14ac:dyDescent="0.35">
      <c r="A1309">
        <v>352570</v>
      </c>
      <c r="B1309" t="str">
        <f>VLOOKUP(A1309,Planilha2!$A$2:$C$5566,3,0)</f>
        <v>JOSÉ BONIFÁCIO</v>
      </c>
      <c r="C1309" t="str">
        <f>VLOOKUP(A1309,Planilha2!$A$2:$D$5566,4,0)</f>
        <v>SP</v>
      </c>
    </row>
    <row r="1310" spans="1:3" x14ac:dyDescent="0.35">
      <c r="A1310">
        <v>351110</v>
      </c>
      <c r="B1310" t="str">
        <f>VLOOKUP(A1310,Planilha2!$A$2:$C$5566,3,0)</f>
        <v>CATANDUVA</v>
      </c>
      <c r="C1310" t="str">
        <f>VLOOKUP(A1310,Planilha2!$A$2:$D$5566,4,0)</f>
        <v>SP</v>
      </c>
    </row>
    <row r="1311" spans="1:3" x14ac:dyDescent="0.35">
      <c r="A1311">
        <v>353350</v>
      </c>
      <c r="B1311" t="str">
        <f>VLOOKUP(A1311,Planilha2!$A$2:$C$5566,3,0)</f>
        <v>NOVO HORIZONTE</v>
      </c>
      <c r="C1311" t="str">
        <f>VLOOKUP(A1311,Planilha2!$A$2:$D$5566,4,0)</f>
        <v>SP</v>
      </c>
    </row>
    <row r="1312" spans="1:3" x14ac:dyDescent="0.35">
      <c r="A1312">
        <v>353900</v>
      </c>
      <c r="B1312" t="str">
        <f>VLOOKUP(A1312,Planilha2!$A$2:$C$5566,3,0)</f>
        <v>PIRANGI</v>
      </c>
      <c r="C1312" t="str">
        <f>VLOOKUP(A1312,Planilha2!$A$2:$D$5566,4,0)</f>
        <v>SP</v>
      </c>
    </row>
    <row r="1313" spans="1:3" x14ac:dyDescent="0.35">
      <c r="A1313">
        <v>354560</v>
      </c>
      <c r="B1313" t="str">
        <f>VLOOKUP(A1313,Planilha2!$A$2:$C$5566,3,0)</f>
        <v>SANTA ADÉLIA</v>
      </c>
      <c r="C1313" t="str">
        <f>VLOOKUP(A1313,Planilha2!$A$2:$D$5566,4,0)</f>
        <v>SP</v>
      </c>
    </row>
    <row r="1314" spans="1:3" x14ac:dyDescent="0.35">
      <c r="A1314">
        <v>355710</v>
      </c>
      <c r="B1314" t="str">
        <f>VLOOKUP(A1314,Planilha2!$A$2:$C$5566,3,0)</f>
        <v>VOTUPORANGA</v>
      </c>
      <c r="C1314" t="str">
        <f>VLOOKUP(A1314,Planilha2!$A$2:$D$5566,4,0)</f>
        <v>SP</v>
      </c>
    </row>
    <row r="1315" spans="1:3" x14ac:dyDescent="0.35">
      <c r="A1315">
        <v>352810</v>
      </c>
      <c r="B1315" t="str">
        <f>VLOOKUP(A1315,Planilha2!$A$2:$C$5566,3,0)</f>
        <v>MACAUBAL</v>
      </c>
      <c r="C1315" t="str">
        <f>VLOOKUP(A1315,Planilha2!$A$2:$D$5566,4,0)</f>
        <v>SP</v>
      </c>
    </row>
    <row r="1316" spans="1:3" x14ac:dyDescent="0.35">
      <c r="A1316">
        <v>351120</v>
      </c>
      <c r="B1316" t="str">
        <f>VLOOKUP(A1316,Planilha2!$A$2:$C$5566,3,0)</f>
        <v>CATIGUÁ</v>
      </c>
      <c r="C1316" t="str">
        <f>VLOOKUP(A1316,Planilha2!$A$2:$D$5566,4,0)</f>
        <v>SP</v>
      </c>
    </row>
    <row r="1317" spans="1:3" x14ac:dyDescent="0.35">
      <c r="A1317">
        <v>350390</v>
      </c>
      <c r="B1317" t="str">
        <f>VLOOKUP(A1317,Planilha2!$A$2:$C$5566,3,0)</f>
        <v>ARUJÁ</v>
      </c>
      <c r="C1317" t="str">
        <f>VLOOKUP(A1317,Planilha2!$A$2:$D$5566,4,0)</f>
        <v>SP</v>
      </c>
    </row>
    <row r="1318" spans="1:3" x14ac:dyDescent="0.35">
      <c r="A1318">
        <v>354680</v>
      </c>
      <c r="B1318" t="str">
        <f>VLOOKUP(A1318,Planilha2!$A$2:$C$5566,3,0)</f>
        <v>SANTA ISABEL</v>
      </c>
      <c r="C1318" t="str">
        <f>VLOOKUP(A1318,Planilha2!$A$2:$D$5566,4,0)</f>
        <v>SP</v>
      </c>
    </row>
    <row r="1319" spans="1:3" x14ac:dyDescent="0.35">
      <c r="A1319">
        <v>352310</v>
      </c>
      <c r="B1319" t="str">
        <f>VLOOKUP(A1319,Planilha2!$A$2:$C$5566,3,0)</f>
        <v>ITAQUAQUECETUBA</v>
      </c>
      <c r="C1319" t="str">
        <f>VLOOKUP(A1319,Planilha2!$A$2:$D$5566,4,0)</f>
        <v>SP</v>
      </c>
    </row>
    <row r="1320" spans="1:3" x14ac:dyDescent="0.35">
      <c r="A1320">
        <v>351190</v>
      </c>
      <c r="B1320" t="str">
        <f>VLOOKUP(A1320,Planilha2!$A$2:$C$5566,3,0)</f>
        <v>CLEMENTINA</v>
      </c>
      <c r="C1320" t="str">
        <f>VLOOKUP(A1320,Planilha2!$A$2:$D$5566,4,0)</f>
        <v>SP</v>
      </c>
    </row>
    <row r="1321" spans="1:3" x14ac:dyDescent="0.35">
      <c r="A1321">
        <v>353730</v>
      </c>
      <c r="B1321" t="str">
        <f>VLOOKUP(A1321,Planilha2!$A$2:$C$5566,3,0)</f>
        <v>PENÁPOLIS</v>
      </c>
      <c r="C1321" t="str">
        <f>VLOOKUP(A1321,Planilha2!$A$2:$D$5566,4,0)</f>
        <v>SP</v>
      </c>
    </row>
    <row r="1322" spans="1:3" x14ac:dyDescent="0.35">
      <c r="A1322">
        <v>350280</v>
      </c>
      <c r="B1322" t="str">
        <f>VLOOKUP(A1322,Planilha2!$A$2:$C$5566,3,0)</f>
        <v>ARAÇATUBA</v>
      </c>
      <c r="C1322" t="str">
        <f>VLOOKUP(A1322,Planilha2!$A$2:$D$5566,4,0)</f>
        <v>SP</v>
      </c>
    </row>
    <row r="1323" spans="1:3" x14ac:dyDescent="0.35">
      <c r="A1323">
        <v>350650</v>
      </c>
      <c r="B1323" t="str">
        <f>VLOOKUP(A1323,Planilha2!$A$2:$C$5566,3,0)</f>
        <v>BIRIGUI</v>
      </c>
      <c r="C1323" t="str">
        <f>VLOOKUP(A1323,Planilha2!$A$2:$D$5566,4,0)</f>
        <v>SP</v>
      </c>
    </row>
    <row r="1324" spans="1:3" x14ac:dyDescent="0.35">
      <c r="A1324">
        <v>350420</v>
      </c>
      <c r="B1324" t="str">
        <f>VLOOKUP(A1324,Planilha2!$A$2:$C$5566,3,0)</f>
        <v>AURIFLAMA</v>
      </c>
      <c r="C1324" t="str">
        <f>VLOOKUP(A1324,Planilha2!$A$2:$D$5566,4,0)</f>
        <v>SP</v>
      </c>
    </row>
    <row r="1325" spans="1:3" x14ac:dyDescent="0.35">
      <c r="A1325">
        <v>355070</v>
      </c>
      <c r="B1325" t="str">
        <f>VLOOKUP(A1325,Planilha2!$A$2:$C$5566,3,0)</f>
        <v>SÃO SEBASTIÃO</v>
      </c>
      <c r="C1325" t="str">
        <f>VLOOKUP(A1325,Planilha2!$A$2:$D$5566,4,0)</f>
        <v>SP</v>
      </c>
    </row>
    <row r="1326" spans="1:3" x14ac:dyDescent="0.35">
      <c r="A1326">
        <v>351050</v>
      </c>
      <c r="B1326" t="str">
        <f>VLOOKUP(A1326,Planilha2!$A$2:$C$5566,3,0)</f>
        <v>CARAGUATATUBA</v>
      </c>
      <c r="C1326" t="str">
        <f>VLOOKUP(A1326,Planilha2!$A$2:$D$5566,4,0)</f>
        <v>SP</v>
      </c>
    </row>
    <row r="1327" spans="1:3" x14ac:dyDescent="0.35">
      <c r="A1327">
        <v>355540</v>
      </c>
      <c r="B1327" t="str">
        <f>VLOOKUP(A1327,Planilha2!$A$2:$C$5566,3,0)</f>
        <v>UBATUBA</v>
      </c>
      <c r="C1327" t="str">
        <f>VLOOKUP(A1327,Planilha2!$A$2:$D$5566,4,0)</f>
        <v>SP</v>
      </c>
    </row>
    <row r="1328" spans="1:3" x14ac:dyDescent="0.35">
      <c r="A1328">
        <v>354340</v>
      </c>
      <c r="B1328" t="str">
        <f>VLOOKUP(A1328,Planilha2!$A$2:$C$5566,3,0)</f>
        <v>RIBEIRÃO PRETO</v>
      </c>
      <c r="C1328" t="str">
        <f>VLOOKUP(A1328,Planilha2!$A$2:$D$5566,4,0)</f>
        <v>SP</v>
      </c>
    </row>
    <row r="1329" spans="1:3" x14ac:dyDescent="0.35">
      <c r="A1329">
        <v>353060</v>
      </c>
      <c r="B1329" t="str">
        <f>VLOOKUP(A1329,Planilha2!$A$2:$C$5566,3,0)</f>
        <v>MOGI DAS CRUZES</v>
      </c>
      <c r="C1329" t="str">
        <f>VLOOKUP(A1329,Planilha2!$A$2:$D$5566,4,0)</f>
        <v>SP</v>
      </c>
    </row>
    <row r="1330" spans="1:3" x14ac:dyDescent="0.35">
      <c r="A1330">
        <v>355450</v>
      </c>
      <c r="B1330" t="str">
        <f>VLOOKUP(A1330,Planilha2!$A$2:$C$5566,3,0)</f>
        <v>TIETÊ</v>
      </c>
      <c r="C1330" t="str">
        <f>VLOOKUP(A1330,Planilha2!$A$2:$D$5566,4,0)</f>
        <v>SP</v>
      </c>
    </row>
    <row r="1331" spans="1:3" x14ac:dyDescent="0.35">
      <c r="A1331">
        <v>351040</v>
      </c>
      <c r="B1331" t="str">
        <f>VLOOKUP(A1331,Planilha2!$A$2:$C$5566,3,0)</f>
        <v>CAPIVARI</v>
      </c>
      <c r="C1331" t="str">
        <f>VLOOKUP(A1331,Planilha2!$A$2:$D$5566,4,0)</f>
        <v>SP</v>
      </c>
    </row>
    <row r="1332" spans="1:3" x14ac:dyDescent="0.35">
      <c r="A1332">
        <v>355040</v>
      </c>
      <c r="B1332" t="str">
        <f>VLOOKUP(A1332,Planilha2!$A$2:$C$5566,3,0)</f>
        <v>SÃO PEDRO</v>
      </c>
      <c r="C1332" t="str">
        <f>VLOOKUP(A1332,Planilha2!$A$2:$D$5566,4,0)</f>
        <v>SP</v>
      </c>
    </row>
    <row r="1333" spans="1:3" x14ac:dyDescent="0.35">
      <c r="A1333">
        <v>352140</v>
      </c>
      <c r="B1333" t="str">
        <f>VLOOKUP(A1333,Planilha2!$A$2:$C$5566,3,0)</f>
        <v>IRACEMÁPOLIS</v>
      </c>
      <c r="C1333" t="str">
        <f>VLOOKUP(A1333,Planilha2!$A$2:$D$5566,4,0)</f>
        <v>SP</v>
      </c>
    </row>
    <row r="1334" spans="1:3" x14ac:dyDescent="0.35">
      <c r="A1334">
        <v>354390</v>
      </c>
      <c r="B1334" t="str">
        <f>VLOOKUP(A1334,Planilha2!$A$2:$C$5566,3,0)</f>
        <v>RIO CLARO</v>
      </c>
      <c r="C1334" t="str">
        <f>VLOOKUP(A1334,Planilha2!$A$2:$D$5566,4,0)</f>
        <v>SP</v>
      </c>
    </row>
    <row r="1335" spans="1:3" x14ac:dyDescent="0.35">
      <c r="A1335">
        <v>352280</v>
      </c>
      <c r="B1335" t="str">
        <f>VLOOKUP(A1335,Planilha2!$A$2:$C$5566,3,0)</f>
        <v>ITAPORANGA</v>
      </c>
      <c r="C1335" t="str">
        <f>VLOOKUP(A1335,Planilha2!$A$2:$D$5566,4,0)</f>
        <v>SP</v>
      </c>
    </row>
    <row r="1336" spans="1:3" x14ac:dyDescent="0.35">
      <c r="A1336">
        <v>351300</v>
      </c>
      <c r="B1336" t="str">
        <f>VLOOKUP(A1336,Planilha2!$A$2:$C$5566,3,0)</f>
        <v>COTIA</v>
      </c>
      <c r="C1336" t="str">
        <f>VLOOKUP(A1336,Planilha2!$A$2:$D$5566,4,0)</f>
        <v>SP</v>
      </c>
    </row>
    <row r="1337" spans="1:3" x14ac:dyDescent="0.35">
      <c r="A1337">
        <v>352390</v>
      </c>
      <c r="B1337" t="str">
        <f>VLOOKUP(A1337,Planilha2!$A$2:$C$5566,3,0)</f>
        <v>ITU</v>
      </c>
      <c r="C1337" t="str">
        <f>VLOOKUP(A1337,Planilha2!$A$2:$D$5566,4,0)</f>
        <v>SP</v>
      </c>
    </row>
    <row r="1338" spans="1:3" x14ac:dyDescent="0.35">
      <c r="A1338">
        <v>355700</v>
      </c>
      <c r="B1338" t="str">
        <f>VLOOKUP(A1338,Planilha2!$A$2:$C$5566,3,0)</f>
        <v>VOTORANTIM</v>
      </c>
      <c r="C1338" t="str">
        <f>VLOOKUP(A1338,Planilha2!$A$2:$D$5566,4,0)</f>
        <v>SP</v>
      </c>
    </row>
    <row r="1339" spans="1:3" x14ac:dyDescent="0.35">
      <c r="A1339">
        <v>355220</v>
      </c>
      <c r="B1339" t="str">
        <f>VLOOKUP(A1339,Planilha2!$A$2:$C$5566,3,0)</f>
        <v>SOROCABA</v>
      </c>
      <c r="C1339" t="str">
        <f>VLOOKUP(A1339,Planilha2!$A$2:$D$5566,4,0)</f>
        <v>SP</v>
      </c>
    </row>
    <row r="1340" spans="1:3" x14ac:dyDescent="0.35">
      <c r="A1340">
        <v>353780</v>
      </c>
      <c r="B1340" t="str">
        <f>VLOOKUP(A1340,Planilha2!$A$2:$C$5566,3,0)</f>
        <v>PIEDADE</v>
      </c>
      <c r="C1340" t="str">
        <f>VLOOKUP(A1340,Planilha2!$A$2:$D$5566,4,0)</f>
        <v>SP</v>
      </c>
    </row>
    <row r="1341" spans="1:3" x14ac:dyDescent="0.35">
      <c r="A1341">
        <v>350075</v>
      </c>
      <c r="B1341" t="str">
        <f>VLOOKUP(A1341,Planilha2!$A$2:$C$5566,3,0)</f>
        <v>ALAMBARI</v>
      </c>
      <c r="C1341" t="str">
        <f>VLOOKUP(A1341,Planilha2!$A$2:$D$5566,4,0)</f>
        <v>SP</v>
      </c>
    </row>
    <row r="1342" spans="1:3" x14ac:dyDescent="0.35">
      <c r="A1342">
        <v>352230</v>
      </c>
      <c r="B1342" t="str">
        <f>VLOOKUP(A1342,Planilha2!$A$2:$C$5566,3,0)</f>
        <v>ITAPETININGA</v>
      </c>
      <c r="C1342" t="str">
        <f>VLOOKUP(A1342,Planilha2!$A$2:$D$5566,4,0)</f>
        <v>SP</v>
      </c>
    </row>
    <row r="1343" spans="1:3" x14ac:dyDescent="0.35">
      <c r="A1343">
        <v>352840</v>
      </c>
      <c r="B1343" t="str">
        <f>VLOOKUP(A1343,Planilha2!$A$2:$C$5566,3,0)</f>
        <v>MAIRINQUE</v>
      </c>
      <c r="C1343" t="str">
        <f>VLOOKUP(A1343,Planilha2!$A$2:$D$5566,4,0)</f>
        <v>SP</v>
      </c>
    </row>
    <row r="1344" spans="1:3" x14ac:dyDescent="0.35">
      <c r="A1344">
        <v>353230</v>
      </c>
      <c r="B1344" t="str">
        <f>VLOOKUP(A1344,Planilha2!$A$2:$C$5566,3,0)</f>
        <v>NATIVIDADE DA SERRA</v>
      </c>
      <c r="C1344" t="str">
        <f>VLOOKUP(A1344,Planilha2!$A$2:$D$5566,4,0)</f>
        <v>SP</v>
      </c>
    </row>
    <row r="1345" spans="1:3" x14ac:dyDescent="0.35">
      <c r="A1345">
        <v>350490</v>
      </c>
      <c r="B1345" t="str">
        <f>VLOOKUP(A1345,Planilha2!$A$2:$C$5566,3,0)</f>
        <v>BANANAL</v>
      </c>
      <c r="C1345" t="str">
        <f>VLOOKUP(A1345,Planilha2!$A$2:$D$5566,4,0)</f>
        <v>SP</v>
      </c>
    </row>
    <row r="1346" spans="1:3" x14ac:dyDescent="0.35">
      <c r="A1346">
        <v>353110</v>
      </c>
      <c r="B1346" t="str">
        <f>VLOOKUP(A1346,Planilha2!$A$2:$C$5566,3,0)</f>
        <v>MONGAGUÁ</v>
      </c>
      <c r="C1346" t="str">
        <f>VLOOKUP(A1346,Planilha2!$A$2:$D$5566,4,0)</f>
        <v>SP</v>
      </c>
    </row>
    <row r="1347" spans="1:3" x14ac:dyDescent="0.35">
      <c r="A1347">
        <v>351870</v>
      </c>
      <c r="B1347" t="str">
        <f>VLOOKUP(A1347,Planilha2!$A$2:$C$5566,3,0)</f>
        <v>GUARUJÁ</v>
      </c>
      <c r="C1347" t="str">
        <f>VLOOKUP(A1347,Planilha2!$A$2:$D$5566,4,0)</f>
        <v>SP</v>
      </c>
    </row>
    <row r="1348" spans="1:3" x14ac:dyDescent="0.35">
      <c r="A1348">
        <v>355100</v>
      </c>
      <c r="B1348" t="str">
        <f>VLOOKUP(A1348,Planilha2!$A$2:$C$5566,3,0)</f>
        <v>SÃO VICENTE</v>
      </c>
      <c r="C1348" t="str">
        <f>VLOOKUP(A1348,Planilha2!$A$2:$D$5566,4,0)</f>
        <v>SP</v>
      </c>
    </row>
    <row r="1349" spans="1:3" x14ac:dyDescent="0.35">
      <c r="A1349">
        <v>352210</v>
      </c>
      <c r="B1349" t="str">
        <f>VLOOKUP(A1349,Planilha2!$A$2:$C$5566,3,0)</f>
        <v>ITANHAÉM</v>
      </c>
      <c r="C1349" t="str">
        <f>VLOOKUP(A1349,Planilha2!$A$2:$D$5566,4,0)</f>
        <v>SP</v>
      </c>
    </row>
    <row r="1350" spans="1:3" x14ac:dyDescent="0.35">
      <c r="A1350">
        <v>354100</v>
      </c>
      <c r="B1350" t="str">
        <f>VLOOKUP(A1350,Planilha2!$A$2:$C$5566,3,0)</f>
        <v>PRAIA GRANDE</v>
      </c>
      <c r="C1350" t="str">
        <f>VLOOKUP(A1350,Planilha2!$A$2:$D$5566,4,0)</f>
        <v>SP</v>
      </c>
    </row>
    <row r="1351" spans="1:3" x14ac:dyDescent="0.35">
      <c r="A1351" s="2">
        <v>350000</v>
      </c>
      <c r="B1351" t="str">
        <f>VLOOKUP(A1351,[1]IBGE!A$2:B$27,2,0)</f>
        <v>-</v>
      </c>
      <c r="C1351" t="str">
        <f>VLOOKUP(A1351,[1]IBGE!A$2:C$27,3,0)</f>
        <v>SP</v>
      </c>
    </row>
    <row r="1352" spans="1:3" x14ac:dyDescent="0.35">
      <c r="A1352">
        <v>350750</v>
      </c>
      <c r="B1352" t="str">
        <f>VLOOKUP(A1352,Planilha2!$A$2:$C$5566,3,0)</f>
        <v>BOTUCATU</v>
      </c>
      <c r="C1352" t="str">
        <f>VLOOKUP(A1352,Planilha2!$A$2:$D$5566,4,0)</f>
        <v>SP</v>
      </c>
    </row>
    <row r="1353" spans="1:3" x14ac:dyDescent="0.35">
      <c r="A1353">
        <v>350450</v>
      </c>
      <c r="B1353" t="str">
        <f>VLOOKUP(A1353,Planilha2!$A$2:$C$5566,3,0)</f>
        <v>AVARÉ</v>
      </c>
      <c r="C1353" t="str">
        <f>VLOOKUP(A1353,Planilha2!$A$2:$D$5566,4,0)</f>
        <v>SP</v>
      </c>
    </row>
    <row r="1354" spans="1:3" x14ac:dyDescent="0.35">
      <c r="A1354">
        <v>350360</v>
      </c>
      <c r="B1354" t="str">
        <f>VLOOKUP(A1354,Planilha2!$A$2:$C$5566,3,0)</f>
        <v>AREIÓPOLIS</v>
      </c>
      <c r="C1354" t="str">
        <f>VLOOKUP(A1354,Planilha2!$A$2:$D$5566,4,0)</f>
        <v>SP</v>
      </c>
    </row>
    <row r="1355" spans="1:3" x14ac:dyDescent="0.35">
      <c r="A1355">
        <v>350170</v>
      </c>
      <c r="B1355" t="str">
        <f>VLOOKUP(A1355,Planilha2!$A$2:$C$5566,3,0)</f>
        <v>AMÉRICO BRASILIENSE</v>
      </c>
      <c r="C1355" t="str">
        <f>VLOOKUP(A1355,Planilha2!$A$2:$D$5566,4,0)</f>
        <v>SP</v>
      </c>
    </row>
    <row r="1356" spans="1:3" x14ac:dyDescent="0.35">
      <c r="A1356">
        <v>354890</v>
      </c>
      <c r="B1356" t="str">
        <f>VLOOKUP(A1356,Planilha2!$A$2:$C$5566,3,0)</f>
        <v>SÃO CARLOS</v>
      </c>
      <c r="C1356" t="str">
        <f>VLOOKUP(A1356,Planilha2!$A$2:$D$5566,4,0)</f>
        <v>SP</v>
      </c>
    </row>
    <row r="1357" spans="1:3" x14ac:dyDescent="0.35">
      <c r="A1357">
        <v>355370</v>
      </c>
      <c r="B1357" t="str">
        <f>VLOOKUP(A1357,Planilha2!$A$2:$C$5566,3,0)</f>
        <v>TAQUARITINGA</v>
      </c>
      <c r="C1357" t="str">
        <f>VLOOKUP(A1357,Planilha2!$A$2:$D$5566,4,0)</f>
        <v>SP</v>
      </c>
    </row>
    <row r="1358" spans="1:3" x14ac:dyDescent="0.35">
      <c r="A1358">
        <v>351370</v>
      </c>
      <c r="B1358" t="str">
        <f>VLOOKUP(A1358,Planilha2!$A$2:$C$5566,3,0)</f>
        <v>DESCALVADO</v>
      </c>
      <c r="C1358" t="str">
        <f>VLOOKUP(A1358,Planilha2!$A$2:$D$5566,4,0)</f>
        <v>SP</v>
      </c>
    </row>
    <row r="1359" spans="1:3" x14ac:dyDescent="0.35">
      <c r="A1359">
        <v>354070</v>
      </c>
      <c r="B1359" t="str">
        <f>VLOOKUP(A1359,Planilha2!$A$2:$C$5566,3,0)</f>
        <v>PORTO FERREIRA</v>
      </c>
      <c r="C1359" t="str">
        <f>VLOOKUP(A1359,Planilha2!$A$2:$D$5566,4,0)</f>
        <v>SP</v>
      </c>
    </row>
    <row r="1360" spans="1:3" x14ac:dyDescent="0.35">
      <c r="A1360">
        <v>355270</v>
      </c>
      <c r="B1360" t="str">
        <f>VLOOKUP(A1360,Planilha2!$A$2:$C$5566,3,0)</f>
        <v>TABATINGA</v>
      </c>
      <c r="C1360" t="str">
        <f>VLOOKUP(A1360,Planilha2!$A$2:$D$5566,4,0)</f>
        <v>SP</v>
      </c>
    </row>
    <row r="1361" spans="1:3" x14ac:dyDescent="0.35">
      <c r="A1361">
        <v>351960</v>
      </c>
      <c r="B1361" t="str">
        <f>VLOOKUP(A1361,Planilha2!$A$2:$C$5566,3,0)</f>
        <v>IBITINGA</v>
      </c>
      <c r="C1361" t="str">
        <f>VLOOKUP(A1361,Planilha2!$A$2:$D$5566,4,0)</f>
        <v>SP</v>
      </c>
    </row>
    <row r="1362" spans="1:3" x14ac:dyDescent="0.35">
      <c r="A1362">
        <v>354850</v>
      </c>
      <c r="B1362" t="str">
        <f>VLOOKUP(A1362,Planilha2!$A$2:$C$5566,3,0)</f>
        <v>SANTOS</v>
      </c>
      <c r="C1362" t="str">
        <f>VLOOKUP(A1362,Planilha2!$A$2:$D$5566,4,0)</f>
        <v>SP</v>
      </c>
    </row>
    <row r="1363" spans="1:3" x14ac:dyDescent="0.35">
      <c r="A1363">
        <v>350960</v>
      </c>
      <c r="B1363" t="str">
        <f>VLOOKUP(A1363,Planilha2!$A$2:$C$5566,3,0)</f>
        <v>CAMPO LIMPO PAULISTA</v>
      </c>
      <c r="C1363" t="str">
        <f>VLOOKUP(A1363,Planilha2!$A$2:$D$5566,4,0)</f>
        <v>SP</v>
      </c>
    </row>
    <row r="1364" spans="1:3" x14ac:dyDescent="0.35">
      <c r="A1364">
        <v>350380</v>
      </c>
      <c r="B1364" t="str">
        <f>VLOOKUP(A1364,Planilha2!$A$2:$C$5566,3,0)</f>
        <v>ARTUR NOGUEIRA</v>
      </c>
      <c r="C1364" t="str">
        <f>VLOOKUP(A1364,Planilha2!$A$2:$D$5566,4,0)</f>
        <v>SP</v>
      </c>
    </row>
    <row r="1365" spans="1:3" x14ac:dyDescent="0.35">
      <c r="A1365">
        <v>352710</v>
      </c>
      <c r="B1365" t="str">
        <f>VLOOKUP(A1365,Planilha2!$A$2:$C$5566,3,0)</f>
        <v>LINS</v>
      </c>
      <c r="C1365" t="str">
        <f>VLOOKUP(A1365,Planilha2!$A$2:$D$5566,4,0)</f>
        <v>SP</v>
      </c>
    </row>
    <row r="1366" spans="1:3" x14ac:dyDescent="0.35">
      <c r="A1366">
        <v>353870</v>
      </c>
      <c r="B1366" t="str">
        <f>VLOOKUP(A1366,Planilha2!$A$2:$C$5566,3,0)</f>
        <v>PIRACICABA</v>
      </c>
      <c r="C1366" t="str">
        <f>VLOOKUP(A1366,Planilha2!$A$2:$D$5566,4,0)</f>
        <v>SP</v>
      </c>
    </row>
    <row r="1367" spans="1:3" x14ac:dyDescent="0.35">
      <c r="A1367">
        <v>350630</v>
      </c>
      <c r="B1367" t="str">
        <f>VLOOKUP(A1367,Planilha2!$A$2:$C$5566,3,0)</f>
        <v>BERNARDINO DE CAMPOS</v>
      </c>
      <c r="C1367" t="str">
        <f>VLOOKUP(A1367,Planilha2!$A$2:$D$5566,4,0)</f>
        <v>SP</v>
      </c>
    </row>
    <row r="1368" spans="1:3" x14ac:dyDescent="0.35">
      <c r="A1368">
        <v>351000</v>
      </c>
      <c r="B1368" t="str">
        <f>VLOOKUP(A1368,Planilha2!$A$2:$C$5566,3,0)</f>
        <v>CÂNDIDO MOTA</v>
      </c>
      <c r="C1368" t="str">
        <f>VLOOKUP(A1368,Planilha2!$A$2:$D$5566,4,0)</f>
        <v>SP</v>
      </c>
    </row>
    <row r="1369" spans="1:3" x14ac:dyDescent="0.35">
      <c r="A1369">
        <v>353470</v>
      </c>
      <c r="B1369" t="str">
        <f>VLOOKUP(A1369,Planilha2!$A$2:$C$5566,3,0)</f>
        <v>OURINHOS</v>
      </c>
      <c r="C1369" t="str">
        <f>VLOOKUP(A1369,Planilha2!$A$2:$D$5566,4,0)</f>
        <v>SP</v>
      </c>
    </row>
    <row r="1370" spans="1:3" x14ac:dyDescent="0.35">
      <c r="A1370">
        <v>354640</v>
      </c>
      <c r="B1370" t="str">
        <f>VLOOKUP(A1370,Planilha2!$A$2:$C$5566,3,0)</f>
        <v>SANTA CRUZ DO RIO PARDO</v>
      </c>
      <c r="C1370" t="str">
        <f>VLOOKUP(A1370,Planilha2!$A$2:$D$5566,4,0)</f>
        <v>SP</v>
      </c>
    </row>
    <row r="1371" spans="1:3" x14ac:dyDescent="0.35">
      <c r="A1371">
        <v>354540</v>
      </c>
      <c r="B1371" t="str">
        <f>VLOOKUP(A1371,Planilha2!$A$2:$C$5566,3,0)</f>
        <v>SALTO GRANDE</v>
      </c>
      <c r="C1371" t="str">
        <f>VLOOKUP(A1371,Planilha2!$A$2:$D$5566,4,0)</f>
        <v>SP</v>
      </c>
    </row>
    <row r="1372" spans="1:3" x14ac:dyDescent="0.35">
      <c r="A1372">
        <v>352470</v>
      </c>
      <c r="B1372" t="str">
        <f>VLOOKUP(A1372,Planilha2!$A$2:$C$5566,3,0)</f>
        <v>JAGUARIÚNA</v>
      </c>
      <c r="C1372" t="str">
        <f>VLOOKUP(A1372,Planilha2!$A$2:$D$5566,4,0)</f>
        <v>SP</v>
      </c>
    </row>
    <row r="1373" spans="1:3" x14ac:dyDescent="0.35">
      <c r="A1373">
        <v>353710</v>
      </c>
      <c r="B1373" t="str">
        <f>VLOOKUP(A1373,Planilha2!$A$2:$C$5566,3,0)</f>
        <v>PEDREIRA</v>
      </c>
      <c r="C1373" t="str">
        <f>VLOOKUP(A1373,Planilha2!$A$2:$D$5566,4,0)</f>
        <v>SP</v>
      </c>
    </row>
    <row r="1374" spans="1:3" x14ac:dyDescent="0.35">
      <c r="A1374">
        <v>355210</v>
      </c>
      <c r="B1374" t="str">
        <f>VLOOKUP(A1374,Planilha2!$A$2:$C$5566,3,0)</f>
        <v>SOCORRO</v>
      </c>
      <c r="C1374" t="str">
        <f>VLOOKUP(A1374,Planilha2!$A$2:$D$5566,4,0)</f>
        <v>SP</v>
      </c>
    </row>
    <row r="1375" spans="1:3" x14ac:dyDescent="0.35">
      <c r="A1375">
        <v>352320</v>
      </c>
      <c r="B1375" t="str">
        <f>VLOOKUP(A1375,Planilha2!$A$2:$C$5566,3,0)</f>
        <v>ITARARÉ</v>
      </c>
      <c r="C1375" t="str">
        <f>VLOOKUP(A1375,Planilha2!$A$2:$D$5566,4,0)</f>
        <v>SP</v>
      </c>
    </row>
    <row r="1376" spans="1:3" x14ac:dyDescent="0.35">
      <c r="A1376">
        <v>352330</v>
      </c>
      <c r="B1376" t="str">
        <f>VLOOKUP(A1376,Planilha2!$A$2:$C$5566,3,0)</f>
        <v>ITARIRI</v>
      </c>
      <c r="C1376" t="str">
        <f>VLOOKUP(A1376,Planilha2!$A$2:$D$5566,4,0)</f>
        <v>SP</v>
      </c>
    </row>
    <row r="1377" spans="1:3" x14ac:dyDescent="0.35">
      <c r="A1377">
        <v>351570</v>
      </c>
      <c r="B1377" t="str">
        <f>VLOOKUP(A1377,Planilha2!$A$2:$C$5566,3,0)</f>
        <v>FERRAZ DE VASCONCELOS</v>
      </c>
      <c r="C1377" t="str">
        <f>VLOOKUP(A1377,Planilha2!$A$2:$D$5566,4,0)</f>
        <v>SP</v>
      </c>
    </row>
    <row r="1378" spans="1:3" x14ac:dyDescent="0.35">
      <c r="A1378">
        <v>355680</v>
      </c>
      <c r="B1378" t="str">
        <f>VLOOKUP(A1378,Planilha2!$A$2:$C$5566,3,0)</f>
        <v>VIRADOURO</v>
      </c>
      <c r="C1378" t="str">
        <f>VLOOKUP(A1378,Planilha2!$A$2:$D$5566,4,0)</f>
        <v>SP</v>
      </c>
    </row>
    <row r="1379" spans="1:3" x14ac:dyDescent="0.35">
      <c r="A1379">
        <v>353670</v>
      </c>
      <c r="B1379" t="str">
        <f>VLOOKUP(A1379,Planilha2!$A$2:$C$5566,3,0)</f>
        <v>PEDERNEIRAS</v>
      </c>
      <c r="C1379" t="str">
        <f>VLOOKUP(A1379,Planilha2!$A$2:$D$5566,4,0)</f>
        <v>SP</v>
      </c>
    </row>
    <row r="1380" spans="1:3" x14ac:dyDescent="0.35">
      <c r="A1380">
        <v>350600</v>
      </c>
      <c r="B1380" t="str">
        <f>VLOOKUP(A1380,Planilha2!$A$2:$C$5566,3,0)</f>
        <v>BAURU</v>
      </c>
      <c r="C1380" t="str">
        <f>VLOOKUP(A1380,Planilha2!$A$2:$D$5566,4,0)</f>
        <v>SP</v>
      </c>
    </row>
    <row r="1381" spans="1:3" x14ac:dyDescent="0.35">
      <c r="A1381">
        <v>350070</v>
      </c>
      <c r="B1381" t="str">
        <f>VLOOKUP(A1381,Planilha2!$A$2:$C$5566,3,0)</f>
        <v>AGUDOS</v>
      </c>
      <c r="C1381" t="str">
        <f>VLOOKUP(A1381,Planilha2!$A$2:$D$5566,4,0)</f>
        <v>SP</v>
      </c>
    </row>
    <row r="1382" spans="1:3" x14ac:dyDescent="0.35">
      <c r="A1382">
        <v>352530</v>
      </c>
      <c r="B1382" t="str">
        <f>VLOOKUP(A1382,Planilha2!$A$2:$C$5566,3,0)</f>
        <v>JAÚ</v>
      </c>
      <c r="C1382" t="str">
        <f>VLOOKUP(A1382,Planilha2!$A$2:$D$5566,4,0)</f>
        <v>SP</v>
      </c>
    </row>
    <row r="1383" spans="1:3" x14ac:dyDescent="0.35">
      <c r="A1383">
        <v>353460</v>
      </c>
      <c r="B1383" t="str">
        <f>VLOOKUP(A1383,Planilha2!$A$2:$C$5566,3,0)</f>
        <v>OSVALDO CRUZ</v>
      </c>
      <c r="C1383" t="str">
        <f>VLOOKUP(A1383,Planilha2!$A$2:$D$5566,4,0)</f>
        <v>SP</v>
      </c>
    </row>
    <row r="1384" spans="1:3" x14ac:dyDescent="0.35">
      <c r="A1384">
        <v>351550</v>
      </c>
      <c r="B1384" t="str">
        <f>VLOOKUP(A1384,Planilha2!$A$2:$C$5566,3,0)</f>
        <v>FERNANDÓPOLIS</v>
      </c>
      <c r="C1384" t="str">
        <f>VLOOKUP(A1384,Planilha2!$A$2:$D$5566,4,0)</f>
        <v>SP</v>
      </c>
    </row>
    <row r="1385" spans="1:3" x14ac:dyDescent="0.35">
      <c r="A1385">
        <v>351670</v>
      </c>
      <c r="B1385" t="str">
        <f>VLOOKUP(A1385,Planilha2!$A$2:$C$5566,3,0)</f>
        <v>GARÇA</v>
      </c>
      <c r="C1385" t="str">
        <f>VLOOKUP(A1385,Planilha2!$A$2:$D$5566,4,0)</f>
        <v>SP</v>
      </c>
    </row>
    <row r="1386" spans="1:3" x14ac:dyDescent="0.35">
      <c r="A1386">
        <v>355500</v>
      </c>
      <c r="B1386" t="str">
        <f>VLOOKUP(A1386,Planilha2!$A$2:$C$5566,3,0)</f>
        <v>TUPÃ</v>
      </c>
      <c r="C1386" t="str">
        <f>VLOOKUP(A1386,Planilha2!$A$2:$D$5566,4,0)</f>
        <v>SP</v>
      </c>
    </row>
    <row r="1387" spans="1:3" x14ac:dyDescent="0.35">
      <c r="A1387">
        <v>352900</v>
      </c>
      <c r="B1387" t="str">
        <f>VLOOKUP(A1387,Planilha2!$A$2:$C$5566,3,0)</f>
        <v>MARÍLIA</v>
      </c>
      <c r="C1387" t="str">
        <f>VLOOKUP(A1387,Planilha2!$A$2:$D$5566,4,0)</f>
        <v>SP</v>
      </c>
    </row>
    <row r="1388" spans="1:3" x14ac:dyDescent="0.35">
      <c r="A1388">
        <v>350150</v>
      </c>
      <c r="B1388" t="str">
        <f>VLOOKUP(A1388,Planilha2!$A$2:$C$5566,3,0)</f>
        <v>ALVINLÂNDIA</v>
      </c>
      <c r="C1388" t="str">
        <f>VLOOKUP(A1388,Planilha2!$A$2:$D$5566,4,0)</f>
        <v>SP</v>
      </c>
    </row>
    <row r="1389" spans="1:3" x14ac:dyDescent="0.35">
      <c r="A1389">
        <v>352080</v>
      </c>
      <c r="B1389" t="str">
        <f>VLOOKUP(A1389,Planilha2!$A$2:$C$5566,3,0)</f>
        <v>INÚBIA PAULISTA</v>
      </c>
      <c r="C1389" t="str">
        <f>VLOOKUP(A1389,Planilha2!$A$2:$D$5566,4,0)</f>
        <v>SP</v>
      </c>
    </row>
    <row r="1390" spans="1:3" x14ac:dyDescent="0.35">
      <c r="A1390">
        <v>350010</v>
      </c>
      <c r="B1390" t="str">
        <f>VLOOKUP(A1390,Planilha2!$A$2:$C$5566,3,0)</f>
        <v>ADAMANTINA</v>
      </c>
      <c r="C1390" t="str">
        <f>VLOOKUP(A1390,Planilha2!$A$2:$D$5566,4,0)</f>
        <v>SP</v>
      </c>
    </row>
    <row r="1391" spans="1:3" x14ac:dyDescent="0.35">
      <c r="A1391">
        <v>353600</v>
      </c>
      <c r="B1391" t="str">
        <f>VLOOKUP(A1391,Planilha2!$A$2:$C$5566,3,0)</f>
        <v>PARAPUÃ</v>
      </c>
      <c r="C1391" t="str">
        <f>VLOOKUP(A1391,Planilha2!$A$2:$D$5566,4,0)</f>
        <v>SP</v>
      </c>
    </row>
    <row r="1392" spans="1:3" x14ac:dyDescent="0.35">
      <c r="A1392">
        <v>355350</v>
      </c>
      <c r="B1392" t="str">
        <f>VLOOKUP(A1392,Planilha2!$A$2:$C$5566,3,0)</f>
        <v>TAPIRAÍ</v>
      </c>
      <c r="C1392" t="str">
        <f>VLOOKUP(A1392,Planilha2!$A$2:$D$5566,4,0)</f>
        <v>SP</v>
      </c>
    </row>
    <row r="1393" spans="1:3" x14ac:dyDescent="0.35">
      <c r="A1393">
        <v>351500</v>
      </c>
      <c r="B1393" t="str">
        <f>VLOOKUP(A1393,Planilha2!$A$2:$C$5566,3,0)</f>
        <v>EMBU</v>
      </c>
      <c r="C1393" t="str">
        <f>VLOOKUP(A1393,Planilha2!$A$2:$D$5566,4,0)</f>
        <v>SP</v>
      </c>
    </row>
    <row r="1394" spans="1:3" x14ac:dyDescent="0.35">
      <c r="A1394">
        <v>353630</v>
      </c>
      <c r="B1394" t="str">
        <f>VLOOKUP(A1394,Planilha2!$A$2:$C$5566,3,0)</f>
        <v>PATROCÍNIO PAULISTA</v>
      </c>
      <c r="C1394" t="str">
        <f>VLOOKUP(A1394,Planilha2!$A$2:$D$5566,4,0)</f>
        <v>SP</v>
      </c>
    </row>
    <row r="1395" spans="1:3" x14ac:dyDescent="0.35">
      <c r="A1395">
        <v>354940</v>
      </c>
      <c r="B1395" t="str">
        <f>VLOOKUP(A1395,Planilha2!$A$2:$C$5566,3,0)</f>
        <v>SÃO JOAQUIM DA BARRA</v>
      </c>
      <c r="C1395" t="str">
        <f>VLOOKUP(A1395,Planilha2!$A$2:$D$5566,4,0)</f>
        <v>SP</v>
      </c>
    </row>
    <row r="1396" spans="1:3" x14ac:dyDescent="0.35">
      <c r="A1396">
        <v>353360</v>
      </c>
      <c r="B1396" t="str">
        <f>VLOOKUP(A1396,Planilha2!$A$2:$C$5566,3,0)</f>
        <v>NUPORANGA</v>
      </c>
      <c r="C1396" t="str">
        <f>VLOOKUP(A1396,Planilha2!$A$2:$D$5566,4,0)</f>
        <v>SP</v>
      </c>
    </row>
    <row r="1397" spans="1:3" x14ac:dyDescent="0.35">
      <c r="A1397">
        <v>351620</v>
      </c>
      <c r="B1397" t="str">
        <f>VLOOKUP(A1397,Planilha2!$A$2:$C$5566,3,0)</f>
        <v>FRANCA</v>
      </c>
      <c r="C1397" t="str">
        <f>VLOOKUP(A1397,Planilha2!$A$2:$D$5566,4,0)</f>
        <v>SP</v>
      </c>
    </row>
    <row r="1398" spans="1:3" x14ac:dyDescent="0.35">
      <c r="A1398">
        <v>352010</v>
      </c>
      <c r="B1398" t="str">
        <f>VLOOKUP(A1398,Planilha2!$A$2:$C$5566,3,0)</f>
        <v>IGARAPAVA</v>
      </c>
      <c r="C1398" t="str">
        <f>VLOOKUP(A1398,Planilha2!$A$2:$D$5566,4,0)</f>
        <v>SP</v>
      </c>
    </row>
    <row r="1399" spans="1:3" x14ac:dyDescent="0.35">
      <c r="A1399">
        <v>351320</v>
      </c>
      <c r="B1399" t="str">
        <f>VLOOKUP(A1399,Planilha2!$A$2:$C$5566,3,0)</f>
        <v>CRISTAIS PAULISTA</v>
      </c>
      <c r="C1399" t="str">
        <f>VLOOKUP(A1399,Planilha2!$A$2:$D$5566,4,0)</f>
        <v>SP</v>
      </c>
    </row>
    <row r="1400" spans="1:3" x14ac:dyDescent="0.35">
      <c r="A1400">
        <v>355645</v>
      </c>
      <c r="B1400" t="str">
        <f>VLOOKUP(A1400,Planilha2!$A$2:$C$5566,3,0)</f>
        <v>VARGEM GRANDE PAULISTA</v>
      </c>
      <c r="C1400" t="str">
        <f>VLOOKUP(A1400,Planilha2!$A$2:$D$5566,4,0)</f>
        <v>SP</v>
      </c>
    </row>
    <row r="1401" spans="1:3" x14ac:dyDescent="0.35">
      <c r="A1401">
        <v>352270</v>
      </c>
      <c r="B1401" t="str">
        <f>VLOOKUP(A1401,Planilha2!$A$2:$C$5566,3,0)</f>
        <v>ITÁPOLIS</v>
      </c>
      <c r="C1401" t="str">
        <f>VLOOKUP(A1401,Planilha2!$A$2:$D$5566,4,0)</f>
        <v>SP</v>
      </c>
    </row>
    <row r="1402" spans="1:3" x14ac:dyDescent="0.35">
      <c r="A1402">
        <v>350320</v>
      </c>
      <c r="B1402" t="str">
        <f>VLOOKUP(A1402,Planilha2!$A$2:$C$5566,3,0)</f>
        <v>ARARAQUARA</v>
      </c>
      <c r="C1402" t="str">
        <f>VLOOKUP(A1402,Planilha2!$A$2:$D$5566,4,0)</f>
        <v>SP</v>
      </c>
    </row>
    <row r="1403" spans="1:3" x14ac:dyDescent="0.35">
      <c r="A1403">
        <v>353130</v>
      </c>
      <c r="B1403" t="str">
        <f>VLOOKUP(A1403,Planilha2!$A$2:$C$5566,3,0)</f>
        <v>MONTE ALTO</v>
      </c>
      <c r="C1403" t="str">
        <f>VLOOKUP(A1403,Planilha2!$A$2:$D$5566,4,0)</f>
        <v>SP</v>
      </c>
    </row>
    <row r="1404" spans="1:3" x14ac:dyDescent="0.35">
      <c r="A1404">
        <v>352930</v>
      </c>
      <c r="B1404" t="str">
        <f>VLOOKUP(A1404,Planilha2!$A$2:$C$5566,3,0)</f>
        <v>MATÃO</v>
      </c>
      <c r="C1404" t="str">
        <f>VLOOKUP(A1404,Planilha2!$A$2:$D$5566,4,0)</f>
        <v>SP</v>
      </c>
    </row>
    <row r="1405" spans="1:3" x14ac:dyDescent="0.35">
      <c r="A1405">
        <v>354650</v>
      </c>
      <c r="B1405" t="str">
        <f>VLOOKUP(A1405,Planilha2!$A$2:$C$5566,3,0)</f>
        <v>SANTA ERNESTINA</v>
      </c>
      <c r="C1405" t="str">
        <f>VLOOKUP(A1405,Planilha2!$A$2:$D$5566,4,0)</f>
        <v>SP</v>
      </c>
    </row>
    <row r="1406" spans="1:3" x14ac:dyDescent="0.35">
      <c r="A1406">
        <v>354370</v>
      </c>
      <c r="B1406" t="str">
        <f>VLOOKUP(A1406,Planilha2!$A$2:$C$5566,3,0)</f>
        <v>RINCÃO</v>
      </c>
      <c r="C1406" t="str">
        <f>VLOOKUP(A1406,Planilha2!$A$2:$D$5566,4,0)</f>
        <v>SP</v>
      </c>
    </row>
    <row r="1407" spans="1:3" x14ac:dyDescent="0.35">
      <c r="A1407">
        <v>352440</v>
      </c>
      <c r="B1407" t="str">
        <f>VLOOKUP(A1407,Planilha2!$A$2:$C$5566,3,0)</f>
        <v>JACAREÍ</v>
      </c>
      <c r="C1407" t="str">
        <f>VLOOKUP(A1407,Planilha2!$A$2:$D$5566,4,0)</f>
        <v>SP</v>
      </c>
    </row>
    <row r="1408" spans="1:3" x14ac:dyDescent="0.35">
      <c r="A1408">
        <v>353910</v>
      </c>
      <c r="B1408" t="str">
        <f>VLOOKUP(A1408,Planilha2!$A$2:$C$5566,3,0)</f>
        <v>PIRAPORA DO BOM JESUS</v>
      </c>
      <c r="C1408" t="str">
        <f>VLOOKUP(A1408,Planilha2!$A$2:$D$5566,4,0)</f>
        <v>SP</v>
      </c>
    </row>
    <row r="1409" spans="1:3" x14ac:dyDescent="0.35">
      <c r="A1409">
        <v>352920</v>
      </c>
      <c r="B1409" t="str">
        <f>VLOOKUP(A1409,Planilha2!$A$2:$C$5566,3,0)</f>
        <v>MARTINÓPOLIS</v>
      </c>
      <c r="C1409" t="str">
        <f>VLOOKUP(A1409,Planilha2!$A$2:$D$5566,4,0)</f>
        <v>SP</v>
      </c>
    </row>
    <row r="1410" spans="1:3" x14ac:dyDescent="0.35">
      <c r="A1410">
        <v>352690</v>
      </c>
      <c r="B1410" t="str">
        <f>VLOOKUP(A1410,Planilha2!$A$2:$C$5566,3,0)</f>
        <v>LIMEIRA</v>
      </c>
      <c r="C1410" t="str">
        <f>VLOOKUP(A1410,Planilha2!$A$2:$D$5566,4,0)</f>
        <v>SP</v>
      </c>
    </row>
    <row r="1411" spans="1:3" x14ac:dyDescent="0.35">
      <c r="A1411">
        <v>352670</v>
      </c>
      <c r="B1411" t="str">
        <f>VLOOKUP(A1411,Planilha2!$A$2:$C$5566,3,0)</f>
        <v>LEME</v>
      </c>
      <c r="C1411" t="str">
        <f>VLOOKUP(A1411,Planilha2!$A$2:$D$5566,4,0)</f>
        <v>SP</v>
      </c>
    </row>
    <row r="1412" spans="1:3" x14ac:dyDescent="0.35">
      <c r="A1412">
        <v>351515</v>
      </c>
      <c r="B1412" t="str">
        <f>VLOOKUP(A1412,Planilha2!$A$2:$C$5566,3,0)</f>
        <v>ENGENHEIRO COELHO</v>
      </c>
      <c r="C1412" t="str">
        <f>VLOOKUP(A1412,Planilha2!$A$2:$D$5566,4,0)</f>
        <v>SP</v>
      </c>
    </row>
    <row r="1413" spans="1:3" x14ac:dyDescent="0.35">
      <c r="A1413">
        <v>353930</v>
      </c>
      <c r="B1413" t="str">
        <f>VLOOKUP(A1413,Planilha2!$A$2:$C$5566,3,0)</f>
        <v>PIRASSUNUNGA</v>
      </c>
      <c r="C1413" t="str">
        <f>VLOOKUP(A1413,Planilha2!$A$2:$D$5566,4,0)</f>
        <v>SP</v>
      </c>
    </row>
    <row r="1414" spans="1:3" x14ac:dyDescent="0.35">
      <c r="A1414">
        <v>354260</v>
      </c>
      <c r="B1414" t="str">
        <f>VLOOKUP(A1414,Planilha2!$A$2:$C$5566,3,0)</f>
        <v>REGISTRO</v>
      </c>
      <c r="C1414" t="str">
        <f>VLOOKUP(A1414,Planilha2!$A$2:$D$5566,4,0)</f>
        <v>SP</v>
      </c>
    </row>
    <row r="1415" spans="1:3" x14ac:dyDescent="0.35">
      <c r="A1415">
        <v>353620</v>
      </c>
      <c r="B1415" t="str">
        <f>VLOOKUP(A1415,Planilha2!$A$2:$C$5566,3,0)</f>
        <v>PARIQUERA-AÇU</v>
      </c>
      <c r="C1415" t="str">
        <f>VLOOKUP(A1415,Planilha2!$A$2:$D$5566,4,0)</f>
        <v>SP</v>
      </c>
    </row>
    <row r="1416" spans="1:3" x14ac:dyDescent="0.35">
      <c r="A1416">
        <v>352042</v>
      </c>
      <c r="B1416" t="str">
        <f>VLOOKUP(A1416,Planilha2!$A$2:$C$5566,3,0)</f>
        <v>ILHA COMPRIDA</v>
      </c>
      <c r="C1416" t="str">
        <f>VLOOKUP(A1416,Planilha2!$A$2:$D$5566,4,0)</f>
        <v>SP</v>
      </c>
    </row>
    <row r="1417" spans="1:3" x14ac:dyDescent="0.35">
      <c r="A1417">
        <v>350560</v>
      </c>
      <c r="B1417" t="str">
        <f>VLOOKUP(A1417,Planilha2!$A$2:$C$5566,3,0)</f>
        <v>BARRINHA</v>
      </c>
      <c r="C1417" t="str">
        <f>VLOOKUP(A1417,Planilha2!$A$2:$D$5566,4,0)</f>
        <v>SP</v>
      </c>
    </row>
    <row r="1418" spans="1:3" x14ac:dyDescent="0.35">
      <c r="A1418">
        <v>355170</v>
      </c>
      <c r="B1418" t="str">
        <f>VLOOKUP(A1418,Planilha2!$A$2:$C$5566,3,0)</f>
        <v>SERTÃOZINHO</v>
      </c>
      <c r="C1418" t="str">
        <f>VLOOKUP(A1418,Planilha2!$A$2:$D$5566,4,0)</f>
        <v>SP</v>
      </c>
    </row>
    <row r="1419" spans="1:3" x14ac:dyDescent="0.35">
      <c r="A1419">
        <v>350940</v>
      </c>
      <c r="B1419" t="str">
        <f>VLOOKUP(A1419,Planilha2!$A$2:$C$5566,3,0)</f>
        <v>CAJURU</v>
      </c>
      <c r="C1419" t="str">
        <f>VLOOKUP(A1419,Planilha2!$A$2:$D$5566,4,0)</f>
        <v>SP</v>
      </c>
    </row>
    <row r="1420" spans="1:3" x14ac:dyDescent="0.35">
      <c r="A1420">
        <v>350590</v>
      </c>
      <c r="B1420" t="str">
        <f>VLOOKUP(A1420,Planilha2!$A$2:$C$5566,3,0)</f>
        <v>BATATAIS</v>
      </c>
      <c r="C1420" t="str">
        <f>VLOOKUP(A1420,Planilha2!$A$2:$D$5566,4,0)</f>
        <v>SP</v>
      </c>
    </row>
    <row r="1421" spans="1:3" x14ac:dyDescent="0.35">
      <c r="A1421">
        <v>350100</v>
      </c>
      <c r="B1421" t="str">
        <f>VLOOKUP(A1421,Planilha2!$A$2:$C$5566,3,0)</f>
        <v>ALTINÓPOLIS</v>
      </c>
      <c r="C1421" t="str">
        <f>VLOOKUP(A1421,Planilha2!$A$2:$D$5566,4,0)</f>
        <v>SP</v>
      </c>
    </row>
    <row r="1422" spans="1:3" x14ac:dyDescent="0.35">
      <c r="A1422">
        <v>352430</v>
      </c>
      <c r="B1422" t="str">
        <f>VLOOKUP(A1422,Planilha2!$A$2:$C$5566,3,0)</f>
        <v>JABOTICABAL</v>
      </c>
      <c r="C1422" t="str">
        <f>VLOOKUP(A1422,Planilha2!$A$2:$D$5566,4,0)</f>
        <v>SP</v>
      </c>
    </row>
    <row r="1423" spans="1:3" x14ac:dyDescent="0.35">
      <c r="A1423">
        <v>351310</v>
      </c>
      <c r="B1423" t="str">
        <f>VLOOKUP(A1423,Planilha2!$A$2:$C$5566,3,0)</f>
        <v>CRAVINHOS</v>
      </c>
      <c r="C1423" t="str">
        <f>VLOOKUP(A1423,Planilha2!$A$2:$D$5566,4,0)</f>
        <v>SP</v>
      </c>
    </row>
    <row r="1424" spans="1:3" x14ac:dyDescent="0.35">
      <c r="A1424">
        <v>350210</v>
      </c>
      <c r="B1424" t="str">
        <f>VLOOKUP(A1424,Planilha2!$A$2:$C$5566,3,0)</f>
        <v>ANDRADINA</v>
      </c>
      <c r="C1424" t="str">
        <f>VLOOKUP(A1424,Planilha2!$A$2:$D$5566,4,0)</f>
        <v>SP</v>
      </c>
    </row>
    <row r="1425" spans="1:3" x14ac:dyDescent="0.35">
      <c r="A1425">
        <v>354440</v>
      </c>
      <c r="B1425" t="str">
        <f>VLOOKUP(A1425,Planilha2!$A$2:$C$5566,3,0)</f>
        <v>RUBIÁCEA</v>
      </c>
      <c r="C1425" t="str">
        <f>VLOOKUP(A1425,Planilha2!$A$2:$D$5566,4,0)</f>
        <v>SP</v>
      </c>
    </row>
    <row r="1426" spans="1:3" x14ac:dyDescent="0.35">
      <c r="A1426">
        <v>350770</v>
      </c>
      <c r="B1426" t="str">
        <f>VLOOKUP(A1426,Planilha2!$A$2:$C$5566,3,0)</f>
        <v>BRAÚNA</v>
      </c>
      <c r="C1426" t="str">
        <f>VLOOKUP(A1426,Planilha2!$A$2:$D$5566,4,0)</f>
        <v>SP</v>
      </c>
    </row>
    <row r="1427" spans="1:3" x14ac:dyDescent="0.35">
      <c r="A1427">
        <v>350300</v>
      </c>
      <c r="B1427" t="str">
        <f>VLOOKUP(A1427,Planilha2!$A$2:$C$5566,3,0)</f>
        <v>ARAMINA</v>
      </c>
      <c r="C1427" t="str">
        <f>VLOOKUP(A1427,Planilha2!$A$2:$D$5566,4,0)</f>
        <v>SP</v>
      </c>
    </row>
    <row r="1428" spans="1:3" x14ac:dyDescent="0.35">
      <c r="A1428">
        <v>354310</v>
      </c>
      <c r="B1428" t="str">
        <f>VLOOKUP(A1428,Planilha2!$A$2:$C$5566,3,0)</f>
        <v>RIBEIRÃO CORRENTE</v>
      </c>
      <c r="C1428" t="str">
        <f>VLOOKUP(A1428,Planilha2!$A$2:$D$5566,4,0)</f>
        <v>SP</v>
      </c>
    </row>
    <row r="1429" spans="1:3" x14ac:dyDescent="0.35">
      <c r="A1429">
        <v>351200</v>
      </c>
      <c r="B1429" t="str">
        <f>VLOOKUP(A1429,Planilha2!$A$2:$C$5566,3,0)</f>
        <v>COLINA</v>
      </c>
      <c r="C1429" t="str">
        <f>VLOOKUP(A1429,Planilha2!$A$2:$D$5566,4,0)</f>
        <v>SP</v>
      </c>
    </row>
    <row r="1430" spans="1:3" x14ac:dyDescent="0.35">
      <c r="A1430">
        <v>350550</v>
      </c>
      <c r="B1430" t="str">
        <f>VLOOKUP(A1430,Planilha2!$A$2:$C$5566,3,0)</f>
        <v>BARRETOS</v>
      </c>
      <c r="C1430" t="str">
        <f>VLOOKUP(A1430,Planilha2!$A$2:$D$5566,4,0)</f>
        <v>SP</v>
      </c>
    </row>
    <row r="1431" spans="1:3" x14ac:dyDescent="0.35">
      <c r="A1431">
        <v>354530</v>
      </c>
      <c r="B1431" t="str">
        <f>VLOOKUP(A1431,Planilha2!$A$2:$C$5566,3,0)</f>
        <v>SALTO DE PIRAPORA</v>
      </c>
      <c r="C1431" t="str">
        <f>VLOOKUP(A1431,Planilha2!$A$2:$D$5566,4,0)</f>
        <v>SP</v>
      </c>
    </row>
    <row r="1432" spans="1:3" x14ac:dyDescent="0.35">
      <c r="A1432">
        <v>351160</v>
      </c>
      <c r="B1432" t="str">
        <f>VLOOKUP(A1432,Planilha2!$A$2:$C$5566,3,0)</f>
        <v>CESÁRIO LANGE</v>
      </c>
      <c r="C1432" t="str">
        <f>VLOOKUP(A1432,Planilha2!$A$2:$D$5566,4,0)</f>
        <v>SP</v>
      </c>
    </row>
    <row r="1433" spans="1:3" x14ac:dyDescent="0.35">
      <c r="A1433">
        <v>351020</v>
      </c>
      <c r="B1433" t="str">
        <f>VLOOKUP(A1433,Planilha2!$A$2:$C$5566,3,0)</f>
        <v>CAPÃO BONITO</v>
      </c>
      <c r="C1433" t="str">
        <f>VLOOKUP(A1433,Planilha2!$A$2:$D$5566,4,0)</f>
        <v>SP</v>
      </c>
    </row>
    <row r="1434" spans="1:3" x14ac:dyDescent="0.35">
      <c r="A1434">
        <v>355110</v>
      </c>
      <c r="B1434" t="str">
        <f>VLOOKUP(A1434,Planilha2!$A$2:$C$5566,3,0)</f>
        <v>SARAPUÍ</v>
      </c>
      <c r="C1434" t="str">
        <f>VLOOKUP(A1434,Planilha2!$A$2:$D$5566,4,0)</f>
        <v>SP</v>
      </c>
    </row>
    <row r="1435" spans="1:3" x14ac:dyDescent="0.35">
      <c r="A1435">
        <v>350900</v>
      </c>
      <c r="B1435" t="str">
        <f>VLOOKUP(A1435,Planilha2!$A$2:$C$5566,3,0)</f>
        <v>CAIEIRAS</v>
      </c>
      <c r="C1435" t="str">
        <f>VLOOKUP(A1435,Planilha2!$A$2:$D$5566,4,0)</f>
        <v>SP</v>
      </c>
    </row>
    <row r="1436" spans="1:3" x14ac:dyDescent="0.35">
      <c r="A1436">
        <v>352850</v>
      </c>
      <c r="B1436" t="str">
        <f>VLOOKUP(A1436,Planilha2!$A$2:$C$5566,3,0)</f>
        <v>MAIRIPORÃ</v>
      </c>
      <c r="C1436" t="str">
        <f>VLOOKUP(A1436,Planilha2!$A$2:$D$5566,4,0)</f>
        <v>SP</v>
      </c>
    </row>
    <row r="1437" spans="1:3" x14ac:dyDescent="0.35">
      <c r="A1437">
        <v>351640</v>
      </c>
      <c r="B1437" t="str">
        <f>VLOOKUP(A1437,Planilha2!$A$2:$C$5566,3,0)</f>
        <v>FRANCO DA ROCHA</v>
      </c>
      <c r="C1437" t="str">
        <f>VLOOKUP(A1437,Planilha2!$A$2:$D$5566,4,0)</f>
        <v>SP</v>
      </c>
    </row>
    <row r="1438" spans="1:3" x14ac:dyDescent="0.35">
      <c r="A1438">
        <v>350920</v>
      </c>
      <c r="B1438" t="str">
        <f>VLOOKUP(A1438,Planilha2!$A$2:$C$5566,3,0)</f>
        <v>CAJAMAR</v>
      </c>
      <c r="C1438" t="str">
        <f>VLOOKUP(A1438,Planilha2!$A$2:$D$5566,4,0)</f>
        <v>SP</v>
      </c>
    </row>
    <row r="1439" spans="1:3" x14ac:dyDescent="0.35">
      <c r="A1439">
        <v>351220</v>
      </c>
      <c r="B1439" t="str">
        <f>VLOOKUP(A1439,Planilha2!$A$2:$C$5566,3,0)</f>
        <v>CONCHAL</v>
      </c>
      <c r="C1439" t="str">
        <f>VLOOKUP(A1439,Planilha2!$A$2:$D$5566,4,0)</f>
        <v>SP</v>
      </c>
    </row>
    <row r="1440" spans="1:3" x14ac:dyDescent="0.35">
      <c r="A1440">
        <v>352360</v>
      </c>
      <c r="B1440" t="str">
        <f>VLOOKUP(A1440,Planilha2!$A$2:$C$5566,3,0)</f>
        <v>ITIRAPINA</v>
      </c>
      <c r="C1440" t="str">
        <f>VLOOKUP(A1440,Planilha2!$A$2:$D$5566,4,0)</f>
        <v>SP</v>
      </c>
    </row>
    <row r="1441" spans="1:3" x14ac:dyDescent="0.35">
      <c r="A1441">
        <v>351850</v>
      </c>
      <c r="B1441" t="str">
        <f>VLOOKUP(A1441,Planilha2!$A$2:$C$5566,3,0)</f>
        <v>GUAREÍ</v>
      </c>
      <c r="C1441" t="str">
        <f>VLOOKUP(A1441,Planilha2!$A$2:$D$5566,4,0)</f>
        <v>SP</v>
      </c>
    </row>
    <row r="1442" spans="1:3" x14ac:dyDescent="0.35">
      <c r="A1442">
        <v>355060</v>
      </c>
      <c r="B1442" t="str">
        <f>VLOOKUP(A1442,Planilha2!$A$2:$C$5566,3,0)</f>
        <v>SÃO ROQUE</v>
      </c>
      <c r="C1442" t="str">
        <f>VLOOKUP(A1442,Planilha2!$A$2:$D$5566,4,0)</f>
        <v>SP</v>
      </c>
    </row>
    <row r="1443" spans="1:3" x14ac:dyDescent="0.35">
      <c r="A1443">
        <v>352510</v>
      </c>
      <c r="B1443" t="str">
        <f>VLOOKUP(A1443,Planilha2!$A$2:$C$5566,3,0)</f>
        <v>JARDINÓPOLIS</v>
      </c>
      <c r="C1443" t="str">
        <f>VLOOKUP(A1443,Planilha2!$A$2:$D$5566,4,0)</f>
        <v>SP</v>
      </c>
    </row>
    <row r="1444" spans="1:3" x14ac:dyDescent="0.35">
      <c r="A1444">
        <v>351885</v>
      </c>
      <c r="B1444" t="str">
        <f>VLOOKUP(A1444,Planilha2!$A$2:$C$5566,3,0)</f>
        <v>GUATAPARÁ</v>
      </c>
      <c r="C1444" t="str">
        <f>VLOOKUP(A1444,Planilha2!$A$2:$D$5566,4,0)</f>
        <v>SP</v>
      </c>
    </row>
    <row r="1445" spans="1:3" x14ac:dyDescent="0.35">
      <c r="A1445">
        <v>353950</v>
      </c>
      <c r="B1445" t="str">
        <f>VLOOKUP(A1445,Planilha2!$A$2:$C$5566,3,0)</f>
        <v>PITANGUEIRAS</v>
      </c>
      <c r="C1445" t="str">
        <f>VLOOKUP(A1445,Planilha2!$A$2:$D$5566,4,0)</f>
        <v>SP</v>
      </c>
    </row>
    <row r="1446" spans="1:3" x14ac:dyDescent="0.35">
      <c r="A1446">
        <v>351770</v>
      </c>
      <c r="B1446" t="str">
        <f>VLOOKUP(A1446,Planilha2!$A$2:$C$5566,3,0)</f>
        <v>GUARÁ</v>
      </c>
      <c r="C1446" t="str">
        <f>VLOOKUP(A1446,Planilha2!$A$2:$D$5566,4,0)</f>
        <v>SP</v>
      </c>
    </row>
    <row r="1447" spans="1:3" x14ac:dyDescent="0.35">
      <c r="A1447">
        <v>500325</v>
      </c>
      <c r="B1447" t="str">
        <f>VLOOKUP(A1447,Planilha2!$A$2:$C$5566,3,0)</f>
        <v>COSTA RICA</v>
      </c>
      <c r="C1447" t="str">
        <f>VLOOKUP(A1447,Planilha2!$A$2:$D$5566,4,0)</f>
        <v>MS</v>
      </c>
    </row>
    <row r="1448" spans="1:3" x14ac:dyDescent="0.35">
      <c r="A1448">
        <v>353430</v>
      </c>
      <c r="B1448" t="str">
        <f>VLOOKUP(A1448,Planilha2!$A$2:$C$5566,3,0)</f>
        <v>ORLÂNDIA</v>
      </c>
      <c r="C1448" t="str">
        <f>VLOOKUP(A1448,Planilha2!$A$2:$D$5566,4,0)</f>
        <v>SP</v>
      </c>
    </row>
    <row r="1449" spans="1:3" x14ac:dyDescent="0.35">
      <c r="A1449">
        <v>351030</v>
      </c>
      <c r="B1449" t="str">
        <f>VLOOKUP(A1449,Planilha2!$A$2:$C$5566,3,0)</f>
        <v>CAPELA DO ALTO</v>
      </c>
      <c r="C1449" t="str">
        <f>VLOOKUP(A1449,Planilha2!$A$2:$D$5566,4,0)</f>
        <v>SP</v>
      </c>
    </row>
    <row r="1450" spans="1:3" x14ac:dyDescent="0.35">
      <c r="A1450">
        <v>354520</v>
      </c>
      <c r="B1450" t="str">
        <f>VLOOKUP(A1450,Planilha2!$A$2:$C$5566,3,0)</f>
        <v>SALTO</v>
      </c>
      <c r="C1450" t="str">
        <f>VLOOKUP(A1450,Planilha2!$A$2:$D$5566,4,0)</f>
        <v>SP</v>
      </c>
    </row>
    <row r="1451" spans="1:3" x14ac:dyDescent="0.35">
      <c r="A1451">
        <v>352100</v>
      </c>
      <c r="B1451" t="str">
        <f>VLOOKUP(A1451,Planilha2!$A$2:$C$5566,3,0)</f>
        <v>IPERÓ</v>
      </c>
      <c r="C1451" t="str">
        <f>VLOOKUP(A1451,Planilha2!$A$2:$D$5566,4,0)</f>
        <v>SP</v>
      </c>
    </row>
    <row r="1452" spans="1:3" x14ac:dyDescent="0.35">
      <c r="A1452">
        <v>351970</v>
      </c>
      <c r="B1452" t="str">
        <f>VLOOKUP(A1452,Planilha2!$A$2:$C$5566,3,0)</f>
        <v>IBIÚNA</v>
      </c>
      <c r="C1452" t="str">
        <f>VLOOKUP(A1452,Planilha2!$A$2:$D$5566,4,0)</f>
        <v>SP</v>
      </c>
    </row>
    <row r="1453" spans="1:3" x14ac:dyDescent="0.35">
      <c r="A1453">
        <v>353170</v>
      </c>
      <c r="B1453" t="str">
        <f>VLOOKUP(A1453,Planilha2!$A$2:$C$5566,3,0)</f>
        <v>MONTEIRO LOBATO</v>
      </c>
      <c r="C1453" t="str">
        <f>VLOOKUP(A1453,Planilha2!$A$2:$D$5566,4,0)</f>
        <v>SP</v>
      </c>
    </row>
    <row r="1454" spans="1:3" x14ac:dyDescent="0.35">
      <c r="A1454">
        <v>352044</v>
      </c>
      <c r="B1454" t="str">
        <f>VLOOKUP(A1454,Planilha2!$A$2:$C$5566,3,0)</f>
        <v>ILHA SOLTEIRA</v>
      </c>
      <c r="C1454" t="str">
        <f>VLOOKUP(A1454,Planilha2!$A$2:$D$5566,4,0)</f>
        <v>SP</v>
      </c>
    </row>
    <row r="1455" spans="1:3" x14ac:dyDescent="0.35">
      <c r="A1455">
        <v>351470</v>
      </c>
      <c r="B1455" t="str">
        <f>VLOOKUP(A1455,Planilha2!$A$2:$C$5566,3,0)</f>
        <v>ECHAPORÃ</v>
      </c>
      <c r="C1455" t="str">
        <f>VLOOKUP(A1455,Planilha2!$A$2:$D$5566,4,0)</f>
        <v>SP</v>
      </c>
    </row>
    <row r="1456" spans="1:3" x14ac:dyDescent="0.35">
      <c r="A1456">
        <v>351930</v>
      </c>
      <c r="B1456" t="str">
        <f>VLOOKUP(A1456,Planilha2!$A$2:$C$5566,3,0)</f>
        <v>IBATÉ</v>
      </c>
      <c r="C1456" t="str">
        <f>VLOOKUP(A1456,Planilha2!$A$2:$D$5566,4,0)</f>
        <v>SP</v>
      </c>
    </row>
    <row r="1457" spans="1:3" x14ac:dyDescent="0.35">
      <c r="A1457">
        <v>354140</v>
      </c>
      <c r="B1457" t="str">
        <f>VLOOKUP(A1457,Planilha2!$A$2:$C$5566,3,0)</f>
        <v>PRESIDENTE PRUDENTE</v>
      </c>
      <c r="C1457" t="str">
        <f>VLOOKUP(A1457,Planilha2!$A$2:$D$5566,4,0)</f>
        <v>SP</v>
      </c>
    </row>
    <row r="1458" spans="1:3" x14ac:dyDescent="0.35">
      <c r="A1458">
        <v>352060</v>
      </c>
      <c r="B1458" t="str">
        <f>VLOOKUP(A1458,Planilha2!$A$2:$C$5566,3,0)</f>
        <v>INDIANA</v>
      </c>
      <c r="C1458" t="str">
        <f>VLOOKUP(A1458,Planilha2!$A$2:$D$5566,4,0)</f>
        <v>SP</v>
      </c>
    </row>
    <row r="1459" spans="1:3" x14ac:dyDescent="0.35">
      <c r="A1459">
        <v>354170</v>
      </c>
      <c r="B1459" t="str">
        <f>VLOOKUP(A1459,Planilha2!$A$2:$C$5566,3,0)</f>
        <v>QUATÁ</v>
      </c>
      <c r="C1459" t="str">
        <f>VLOOKUP(A1459,Planilha2!$A$2:$D$5566,4,0)</f>
        <v>SP</v>
      </c>
    </row>
    <row r="1460" spans="1:3" x14ac:dyDescent="0.35">
      <c r="A1460">
        <v>351512</v>
      </c>
      <c r="B1460" t="str">
        <f>VLOOKUP(A1460,Planilha2!$A$2:$C$5566,3,0)</f>
        <v>EMILIANÓPOLIS</v>
      </c>
      <c r="C1460" t="str">
        <f>VLOOKUP(A1460,Planilha2!$A$2:$D$5566,4,0)</f>
        <v>SP</v>
      </c>
    </row>
    <row r="1461" spans="1:3" x14ac:dyDescent="0.35">
      <c r="A1461">
        <v>354120</v>
      </c>
      <c r="B1461" t="str">
        <f>VLOOKUP(A1461,Planilha2!$A$2:$C$5566,3,0)</f>
        <v>PRESIDENTE BERNARDES</v>
      </c>
      <c r="C1461" t="str">
        <f>VLOOKUP(A1461,Planilha2!$A$2:$D$5566,4,0)</f>
        <v>SP</v>
      </c>
    </row>
    <row r="1462" spans="1:3" x14ac:dyDescent="0.35">
      <c r="A1462">
        <v>500020</v>
      </c>
      <c r="B1462" t="str">
        <f>VLOOKUP(A1462,Planilha2!$A$2:$C$5566,3,0)</f>
        <v>ÁGUA CLARA</v>
      </c>
      <c r="C1462" t="str">
        <f>VLOOKUP(A1462,Planilha2!$A$2:$D$5566,4,0)</f>
        <v>MS</v>
      </c>
    </row>
    <row r="1463" spans="1:3" x14ac:dyDescent="0.35">
      <c r="A1463">
        <v>350580</v>
      </c>
      <c r="B1463" t="str">
        <f>VLOOKUP(A1463,Planilha2!$A$2:$C$5566,3,0)</f>
        <v>BASTOS</v>
      </c>
      <c r="C1463" t="str">
        <f>VLOOKUP(A1463,Planilha2!$A$2:$D$5566,4,0)</f>
        <v>SP</v>
      </c>
    </row>
    <row r="1464" spans="1:3" x14ac:dyDescent="0.35">
      <c r="A1464">
        <v>354000</v>
      </c>
      <c r="B1464" t="str">
        <f>VLOOKUP(A1464,Planilha2!$A$2:$C$5566,3,0)</f>
        <v>POMPÉIA</v>
      </c>
      <c r="C1464" t="str">
        <f>VLOOKUP(A1464,Planilha2!$A$2:$D$5566,4,0)</f>
        <v>SP</v>
      </c>
    </row>
    <row r="1465" spans="1:3" x14ac:dyDescent="0.35">
      <c r="A1465">
        <v>312700</v>
      </c>
      <c r="B1465" t="str">
        <f>VLOOKUP(A1465,Planilha2!$A$2:$C$5566,3,0)</f>
        <v>FRONTEIRA</v>
      </c>
      <c r="C1465" t="str">
        <f>VLOOKUP(A1465,Planilha2!$A$2:$D$5566,4,0)</f>
        <v>MG</v>
      </c>
    </row>
    <row r="1466" spans="1:3" x14ac:dyDescent="0.35">
      <c r="A1466">
        <v>350610</v>
      </c>
      <c r="B1466" t="str">
        <f>VLOOKUP(A1466,Planilha2!$A$2:$C$5566,3,0)</f>
        <v>BEBEDOURO</v>
      </c>
      <c r="C1466" t="str">
        <f>VLOOKUP(A1466,Planilha2!$A$2:$D$5566,4,0)</f>
        <v>SP</v>
      </c>
    </row>
    <row r="1467" spans="1:3" x14ac:dyDescent="0.35">
      <c r="A1467">
        <v>355310</v>
      </c>
      <c r="B1467" t="str">
        <f>VLOOKUP(A1467,Planilha2!$A$2:$C$5566,3,0)</f>
        <v>TAIAÇU</v>
      </c>
      <c r="C1467" t="str">
        <f>VLOOKUP(A1467,Planilha2!$A$2:$D$5566,4,0)</f>
        <v>SP</v>
      </c>
    </row>
    <row r="1468" spans="1:3" x14ac:dyDescent="0.35">
      <c r="A1468">
        <v>351700</v>
      </c>
      <c r="B1468" t="str">
        <f>VLOOKUP(A1468,Planilha2!$A$2:$C$5566,3,0)</f>
        <v>GETULINA</v>
      </c>
      <c r="C1468" t="str">
        <f>VLOOKUP(A1468,Planilha2!$A$2:$D$5566,4,0)</f>
        <v>SP</v>
      </c>
    </row>
    <row r="1469" spans="1:3" x14ac:dyDescent="0.35">
      <c r="A1469">
        <v>411570</v>
      </c>
      <c r="B1469" t="str">
        <f>VLOOKUP(A1469,Planilha2!$A$2:$C$5566,3,0)</f>
        <v>MATINHOS</v>
      </c>
      <c r="C1469" t="str">
        <f>VLOOKUP(A1469,Planilha2!$A$2:$D$5566,4,0)</f>
        <v>PR</v>
      </c>
    </row>
    <row r="1470" spans="1:3" x14ac:dyDescent="0.35">
      <c r="A1470">
        <v>410940</v>
      </c>
      <c r="B1470" t="str">
        <f>VLOOKUP(A1470,Planilha2!$A$2:$C$5566,3,0)</f>
        <v>GUARAPUAVA</v>
      </c>
      <c r="C1470" t="str">
        <f>VLOOKUP(A1470,Planilha2!$A$2:$D$5566,4,0)</f>
        <v>PR</v>
      </c>
    </row>
    <row r="1471" spans="1:3" x14ac:dyDescent="0.35">
      <c r="A1471">
        <v>411820</v>
      </c>
      <c r="B1471" t="str">
        <f>VLOOKUP(A1471,Planilha2!$A$2:$C$5566,3,0)</f>
        <v>PARANAGUÁ</v>
      </c>
      <c r="C1471" t="str">
        <f>VLOOKUP(A1471,Planilha2!$A$2:$D$5566,4,0)</f>
        <v>PR</v>
      </c>
    </row>
    <row r="1472" spans="1:3" x14ac:dyDescent="0.35">
      <c r="A1472">
        <v>412630</v>
      </c>
      <c r="B1472" t="str">
        <f>VLOOKUP(A1472,Planilha2!$A$2:$C$5566,3,0)</f>
        <v>SENGÉS</v>
      </c>
      <c r="C1472" t="str">
        <f>VLOOKUP(A1472,Planilha2!$A$2:$D$5566,4,0)</f>
        <v>PR</v>
      </c>
    </row>
    <row r="1473" spans="1:3" x14ac:dyDescent="0.35">
      <c r="A1473">
        <v>411990</v>
      </c>
      <c r="B1473" t="str">
        <f>VLOOKUP(A1473,Planilha2!$A$2:$C$5566,3,0)</f>
        <v>PONTA GROSSA</v>
      </c>
      <c r="C1473" t="str">
        <f>VLOOKUP(A1473,Planilha2!$A$2:$D$5566,4,0)</f>
        <v>PR</v>
      </c>
    </row>
    <row r="1474" spans="1:3" x14ac:dyDescent="0.35">
      <c r="A1474">
        <v>411200</v>
      </c>
      <c r="B1474" t="str">
        <f>VLOOKUP(A1474,Planilha2!$A$2:$C$5566,3,0)</f>
        <v>JAGUARIAÍVA</v>
      </c>
      <c r="C1474" t="str">
        <f>VLOOKUP(A1474,Planilha2!$A$2:$D$5566,4,0)</f>
        <v>PR</v>
      </c>
    </row>
    <row r="1475" spans="1:3" x14ac:dyDescent="0.35">
      <c r="A1475">
        <v>410490</v>
      </c>
      <c r="B1475" t="str">
        <f>VLOOKUP(A1475,Planilha2!$A$2:$C$5566,3,0)</f>
        <v>CASTRO</v>
      </c>
      <c r="C1475" t="str">
        <f>VLOOKUP(A1475,Planilha2!$A$2:$D$5566,4,0)</f>
        <v>PR</v>
      </c>
    </row>
    <row r="1476" spans="1:3" x14ac:dyDescent="0.35">
      <c r="A1476">
        <v>411870</v>
      </c>
      <c r="B1476" t="str">
        <f>VLOOKUP(A1476,Planilha2!$A$2:$C$5566,3,0)</f>
        <v>PAULO FRONTIN</v>
      </c>
      <c r="C1476" t="str">
        <f>VLOOKUP(A1476,Planilha2!$A$2:$D$5566,4,0)</f>
        <v>PR</v>
      </c>
    </row>
    <row r="1477" spans="1:3" x14ac:dyDescent="0.35">
      <c r="A1477">
        <v>411330</v>
      </c>
      <c r="B1477" t="str">
        <f>VLOOKUP(A1477,Planilha2!$A$2:$C$5566,3,0)</f>
        <v>LARANJEIRAS DO SUL</v>
      </c>
      <c r="C1477" t="str">
        <f>VLOOKUP(A1477,Planilha2!$A$2:$D$5566,4,0)</f>
        <v>PR</v>
      </c>
    </row>
    <row r="1478" spans="1:3" x14ac:dyDescent="0.35">
      <c r="A1478">
        <v>410445</v>
      </c>
      <c r="B1478" t="str">
        <f>VLOOKUP(A1478,Planilha2!$A$2:$C$5566,3,0)</f>
        <v>CANTAGALO</v>
      </c>
      <c r="C1478" t="str">
        <f>VLOOKUP(A1478,Planilha2!$A$2:$D$5566,4,0)</f>
        <v>PR</v>
      </c>
    </row>
    <row r="1479" spans="1:3" x14ac:dyDescent="0.35">
      <c r="A1479">
        <v>412215</v>
      </c>
      <c r="B1479" t="str">
        <f>VLOOKUP(A1479,Planilha2!$A$2:$C$5566,3,0)</f>
        <v>RIO BONITO DO IGUAÇU</v>
      </c>
      <c r="C1479" t="str">
        <f>VLOOKUP(A1479,Planilha2!$A$2:$D$5566,4,0)</f>
        <v>PR</v>
      </c>
    </row>
    <row r="1480" spans="1:3" x14ac:dyDescent="0.35">
      <c r="A1480">
        <v>411760</v>
      </c>
      <c r="B1480" t="str">
        <f>VLOOKUP(A1480,Planilha2!$A$2:$C$5566,3,0)</f>
        <v>PALMAS</v>
      </c>
      <c r="C1480" t="str">
        <f>VLOOKUP(A1480,Planilha2!$A$2:$D$5566,4,0)</f>
        <v>PR</v>
      </c>
    </row>
    <row r="1481" spans="1:3" x14ac:dyDescent="0.35">
      <c r="A1481">
        <v>411440</v>
      </c>
      <c r="B1481" t="str">
        <f>VLOOKUP(A1481,Planilha2!$A$2:$C$5566,3,0)</f>
        <v>MANGUEIRINHA</v>
      </c>
      <c r="C1481" t="str">
        <f>VLOOKUP(A1481,Planilha2!$A$2:$D$5566,4,0)</f>
        <v>PR</v>
      </c>
    </row>
    <row r="1482" spans="1:3" x14ac:dyDescent="0.35">
      <c r="A1482">
        <v>412140</v>
      </c>
      <c r="B1482" t="str">
        <f>VLOOKUP(A1482,Planilha2!$A$2:$C$5566,3,0)</f>
        <v>REALEZA</v>
      </c>
      <c r="C1482" t="str">
        <f>VLOOKUP(A1482,Planilha2!$A$2:$D$5566,4,0)</f>
        <v>PR</v>
      </c>
    </row>
    <row r="1483" spans="1:3" x14ac:dyDescent="0.35">
      <c r="A1483">
        <v>410570</v>
      </c>
      <c r="B1483" t="str">
        <f>VLOOKUP(A1483,Planilha2!$A$2:$C$5566,3,0)</f>
        <v>CLEVELÂNDIA</v>
      </c>
      <c r="C1483" t="str">
        <f>VLOOKUP(A1483,Planilha2!$A$2:$D$5566,4,0)</f>
        <v>PR</v>
      </c>
    </row>
    <row r="1484" spans="1:3" x14ac:dyDescent="0.35">
      <c r="A1484">
        <v>411460</v>
      </c>
      <c r="B1484" t="str">
        <f>VLOOKUP(A1484,Planilha2!$A$2:$C$5566,3,0)</f>
        <v>MARECHAL CÂNDIDO RONDON</v>
      </c>
      <c r="C1484" t="str">
        <f>VLOOKUP(A1484,Planilha2!$A$2:$D$5566,4,0)</f>
        <v>PR</v>
      </c>
    </row>
    <row r="1485" spans="1:3" x14ac:dyDescent="0.35">
      <c r="A1485">
        <v>412770</v>
      </c>
      <c r="B1485" t="str">
        <f>VLOOKUP(A1485,Planilha2!$A$2:$C$5566,3,0)</f>
        <v>TOLEDO</v>
      </c>
      <c r="C1485" t="str">
        <f>VLOOKUP(A1485,Planilha2!$A$2:$D$5566,4,0)</f>
        <v>PR</v>
      </c>
    </row>
    <row r="1486" spans="1:3" x14ac:dyDescent="0.35">
      <c r="A1486">
        <v>410105</v>
      </c>
      <c r="B1486" t="str">
        <f>VLOOKUP(A1486,Planilha2!$A$2:$C$5566,3,0)</f>
        <v>ANAHY</v>
      </c>
      <c r="C1486" t="str">
        <f>VLOOKUP(A1486,Planilha2!$A$2:$D$5566,4,0)</f>
        <v>PR</v>
      </c>
    </row>
    <row r="1487" spans="1:3" x14ac:dyDescent="0.35">
      <c r="A1487">
        <v>410840</v>
      </c>
      <c r="B1487" t="str">
        <f>VLOOKUP(A1487,Planilha2!$A$2:$C$5566,3,0)</f>
        <v>FRANCISCO BELTRÃO</v>
      </c>
      <c r="C1487" t="str">
        <f>VLOOKUP(A1487,Planilha2!$A$2:$D$5566,4,0)</f>
        <v>PR</v>
      </c>
    </row>
    <row r="1488" spans="1:3" x14ac:dyDescent="0.35">
      <c r="A1488">
        <v>411725</v>
      </c>
      <c r="B1488" t="str">
        <f>VLOOKUP(A1488,Planilha2!$A$2:$C$5566,3,0)</f>
        <v>NOVA PRATA DO IGUAÇU</v>
      </c>
      <c r="C1488" t="str">
        <f>VLOOKUP(A1488,Planilha2!$A$2:$D$5566,4,0)</f>
        <v>PR</v>
      </c>
    </row>
    <row r="1489" spans="1:3" x14ac:dyDescent="0.35">
      <c r="A1489">
        <v>410450</v>
      </c>
      <c r="B1489" t="str">
        <f>VLOOKUP(A1489,Planilha2!$A$2:$C$5566,3,0)</f>
        <v>CAPANEMA</v>
      </c>
      <c r="C1489" t="str">
        <f>VLOOKUP(A1489,Planilha2!$A$2:$D$5566,4,0)</f>
        <v>PR</v>
      </c>
    </row>
    <row r="1490" spans="1:3" x14ac:dyDescent="0.35">
      <c r="A1490">
        <v>412570</v>
      </c>
      <c r="B1490" t="str">
        <f>VLOOKUP(A1490,Planilha2!$A$2:$C$5566,3,0)</f>
        <v>SÃO MIGUEL DO IGUAÇU</v>
      </c>
      <c r="C1490" t="str">
        <f>VLOOKUP(A1490,Planilha2!$A$2:$D$5566,4,0)</f>
        <v>PR</v>
      </c>
    </row>
    <row r="1491" spans="1:3" x14ac:dyDescent="0.35">
      <c r="A1491">
        <v>411750</v>
      </c>
      <c r="B1491" t="str">
        <f>VLOOKUP(A1491,Planilha2!$A$2:$C$5566,3,0)</f>
        <v>PAIÇANDU</v>
      </c>
      <c r="C1491" t="str">
        <f>VLOOKUP(A1491,Planilha2!$A$2:$D$5566,4,0)</f>
        <v>PR</v>
      </c>
    </row>
    <row r="1492" spans="1:3" x14ac:dyDescent="0.35">
      <c r="A1492">
        <v>411520</v>
      </c>
      <c r="B1492" t="str">
        <f>VLOOKUP(A1492,Planilha2!$A$2:$C$5566,3,0)</f>
        <v>MARINGÁ</v>
      </c>
      <c r="C1492" t="str">
        <f>VLOOKUP(A1492,Planilha2!$A$2:$D$5566,4,0)</f>
        <v>PR</v>
      </c>
    </row>
    <row r="1493" spans="1:3" x14ac:dyDescent="0.35">
      <c r="A1493">
        <v>411940</v>
      </c>
      <c r="B1493" t="str">
        <f>VLOOKUP(A1493,Planilha2!$A$2:$C$5566,3,0)</f>
        <v>PIRAÍ DO SUL</v>
      </c>
      <c r="C1493" t="str">
        <f>VLOOKUP(A1493,Planilha2!$A$2:$D$5566,4,0)</f>
        <v>PR</v>
      </c>
    </row>
    <row r="1494" spans="1:3" x14ac:dyDescent="0.35">
      <c r="A1494">
        <v>412590</v>
      </c>
      <c r="B1494" t="str">
        <f>VLOOKUP(A1494,Planilha2!$A$2:$C$5566,3,0)</f>
        <v>SÃO PEDRO DO PARANÁ</v>
      </c>
      <c r="C1494" t="str">
        <f>VLOOKUP(A1494,Planilha2!$A$2:$D$5566,4,0)</f>
        <v>PR</v>
      </c>
    </row>
    <row r="1495" spans="1:3" x14ac:dyDescent="0.35">
      <c r="A1495">
        <v>410430</v>
      </c>
      <c r="B1495" t="str">
        <f>VLOOKUP(A1495,Planilha2!$A$2:$C$5566,3,0)</f>
        <v>CAMPO MOURÃO</v>
      </c>
      <c r="C1495" t="str">
        <f>VLOOKUP(A1495,Planilha2!$A$2:$D$5566,4,0)</f>
        <v>PR</v>
      </c>
    </row>
    <row r="1496" spans="1:3" x14ac:dyDescent="0.35">
      <c r="A1496">
        <v>412090</v>
      </c>
      <c r="B1496" t="str">
        <f>VLOOKUP(A1496,Planilha2!$A$2:$C$5566,3,0)</f>
        <v>QUEDAS DO IGUAÇU</v>
      </c>
      <c r="C1496" t="str">
        <f>VLOOKUP(A1496,Planilha2!$A$2:$D$5566,4,0)</f>
        <v>PR</v>
      </c>
    </row>
    <row r="1497" spans="1:3" x14ac:dyDescent="0.35">
      <c r="A1497">
        <v>410345</v>
      </c>
      <c r="B1497" t="str">
        <f>VLOOKUP(A1497,Planilha2!$A$2:$C$5566,3,0)</f>
        <v>CAFELÂNDIA</v>
      </c>
      <c r="C1497" t="str">
        <f>VLOOKUP(A1497,Planilha2!$A$2:$D$5566,4,0)</f>
        <v>PR</v>
      </c>
    </row>
    <row r="1498" spans="1:3" x14ac:dyDescent="0.35">
      <c r="A1498">
        <v>410480</v>
      </c>
      <c r="B1498" t="str">
        <f>VLOOKUP(A1498,Planilha2!$A$2:$C$5566,3,0)</f>
        <v>CASCAVEL</v>
      </c>
      <c r="C1498" t="str">
        <f>VLOOKUP(A1498,Planilha2!$A$2:$D$5566,4,0)</f>
        <v>PR</v>
      </c>
    </row>
    <row r="1499" spans="1:3" x14ac:dyDescent="0.35">
      <c r="A1499">
        <v>411005</v>
      </c>
      <c r="B1499" t="str">
        <f>VLOOKUP(A1499,Planilha2!$A$2:$C$5566,3,0)</f>
        <v>IGUATU</v>
      </c>
      <c r="C1499" t="str">
        <f>VLOOKUP(A1499,Planilha2!$A$2:$D$5566,4,0)</f>
        <v>PR</v>
      </c>
    </row>
    <row r="1500" spans="1:3" x14ac:dyDescent="0.35">
      <c r="A1500">
        <v>412125</v>
      </c>
      <c r="B1500" t="str">
        <f>VLOOKUP(A1500,Planilha2!$A$2:$C$5566,3,0)</f>
        <v>RAMILÂNDIA</v>
      </c>
      <c r="C1500" t="str">
        <f>VLOOKUP(A1500,Planilha2!$A$2:$D$5566,4,0)</f>
        <v>PR</v>
      </c>
    </row>
    <row r="1501" spans="1:3" x14ac:dyDescent="0.35">
      <c r="A1501">
        <v>411670</v>
      </c>
      <c r="B1501" t="str">
        <f>VLOOKUP(A1501,Planilha2!$A$2:$C$5566,3,0)</f>
        <v>NOVA AURORA</v>
      </c>
      <c r="C1501" t="str">
        <f>VLOOKUP(A1501,Planilha2!$A$2:$D$5566,4,0)</f>
        <v>PR</v>
      </c>
    </row>
    <row r="1502" spans="1:3" x14ac:dyDescent="0.35">
      <c r="A1502">
        <v>412382</v>
      </c>
      <c r="B1502" t="str">
        <f>VLOOKUP(A1502,Planilha2!$A$2:$C$5566,3,0)</f>
        <v>SANTA LÚCIA</v>
      </c>
      <c r="C1502" t="str">
        <f>VLOOKUP(A1502,Planilha2!$A$2:$D$5566,4,0)</f>
        <v>PR</v>
      </c>
    </row>
    <row r="1503" spans="1:3" x14ac:dyDescent="0.35">
      <c r="A1503">
        <v>411885</v>
      </c>
      <c r="B1503" t="str">
        <f>VLOOKUP(A1503,Planilha2!$A$2:$C$5566,3,0)</f>
        <v>PEROBAL</v>
      </c>
      <c r="C1503" t="str">
        <f>VLOOKUP(A1503,Planilha2!$A$2:$D$5566,4,0)</f>
        <v>PR</v>
      </c>
    </row>
    <row r="1504" spans="1:3" x14ac:dyDescent="0.35">
      <c r="A1504">
        <v>411300</v>
      </c>
      <c r="B1504" t="str">
        <f>VLOOKUP(A1504,Planilha2!$A$2:$C$5566,3,0)</f>
        <v>JUSSARA</v>
      </c>
      <c r="C1504" t="str">
        <f>VLOOKUP(A1504,Planilha2!$A$2:$D$5566,4,0)</f>
        <v>PR</v>
      </c>
    </row>
    <row r="1505" spans="1:3" x14ac:dyDescent="0.35">
      <c r="A1505">
        <v>410140</v>
      </c>
      <c r="B1505" t="str">
        <f>VLOOKUP(A1505,Planilha2!$A$2:$C$5566,3,0)</f>
        <v>APUCARANA</v>
      </c>
      <c r="C1505" t="str">
        <f>VLOOKUP(A1505,Planilha2!$A$2:$D$5566,4,0)</f>
        <v>PR</v>
      </c>
    </row>
    <row r="1506" spans="1:3" x14ac:dyDescent="0.35">
      <c r="A1506">
        <v>410150</v>
      </c>
      <c r="B1506" t="str">
        <f>VLOOKUP(A1506,Planilha2!$A$2:$C$5566,3,0)</f>
        <v>ARAPONGAS</v>
      </c>
      <c r="C1506" t="str">
        <f>VLOOKUP(A1506,Planilha2!$A$2:$D$5566,4,0)</f>
        <v>PR</v>
      </c>
    </row>
    <row r="1507" spans="1:3" x14ac:dyDescent="0.35">
      <c r="A1507">
        <v>412580</v>
      </c>
      <c r="B1507" t="str">
        <f>VLOOKUP(A1507,Planilha2!$A$2:$C$5566,3,0)</f>
        <v>SÃO PEDRO DO IVAÍ</v>
      </c>
      <c r="C1507" t="str">
        <f>VLOOKUP(A1507,Planilha2!$A$2:$D$5566,4,0)</f>
        <v>PR</v>
      </c>
    </row>
    <row r="1508" spans="1:3" x14ac:dyDescent="0.35">
      <c r="A1508">
        <v>411250</v>
      </c>
      <c r="B1508" t="str">
        <f>VLOOKUP(A1508,Planilha2!$A$2:$C$5566,3,0)</f>
        <v>JARDIM ALEGRE</v>
      </c>
      <c r="C1508" t="str">
        <f>VLOOKUP(A1508,Planilha2!$A$2:$D$5566,4,0)</f>
        <v>PR</v>
      </c>
    </row>
    <row r="1509" spans="1:3" x14ac:dyDescent="0.35">
      <c r="A1509">
        <v>410425</v>
      </c>
      <c r="B1509" t="str">
        <f>VLOOKUP(A1509,Planilha2!$A$2:$C$5566,3,0)</f>
        <v>CAMPO MAGRO</v>
      </c>
      <c r="C1509" t="str">
        <f>VLOOKUP(A1509,Planilha2!$A$2:$D$5566,4,0)</f>
        <v>PR</v>
      </c>
    </row>
    <row r="1510" spans="1:3" x14ac:dyDescent="0.35">
      <c r="A1510">
        <v>410420</v>
      </c>
      <c r="B1510" t="str">
        <f>VLOOKUP(A1510,Planilha2!$A$2:$C$5566,3,0)</f>
        <v>CAMPO LARGO</v>
      </c>
      <c r="C1510" t="str">
        <f>VLOOKUP(A1510,Planilha2!$A$2:$D$5566,4,0)</f>
        <v>PR</v>
      </c>
    </row>
    <row r="1511" spans="1:3" x14ac:dyDescent="0.35">
      <c r="A1511">
        <v>411890</v>
      </c>
      <c r="B1511" t="str">
        <f>VLOOKUP(A1511,Planilha2!$A$2:$C$5566,3,0)</f>
        <v>PÉROLA</v>
      </c>
      <c r="C1511" t="str">
        <f>VLOOKUP(A1511,Planilha2!$A$2:$D$5566,4,0)</f>
        <v>PR</v>
      </c>
    </row>
    <row r="1512" spans="1:3" x14ac:dyDescent="0.35">
      <c r="A1512">
        <v>411430</v>
      </c>
      <c r="B1512" t="str">
        <f>VLOOKUP(A1512,Planilha2!$A$2:$C$5566,3,0)</f>
        <v>MANDIRITUBA</v>
      </c>
      <c r="C1512" t="str">
        <f>VLOOKUP(A1512,Planilha2!$A$2:$D$5566,4,0)</f>
        <v>PR</v>
      </c>
    </row>
    <row r="1513" spans="1:3" x14ac:dyDescent="0.35">
      <c r="A1513">
        <v>411950</v>
      </c>
      <c r="B1513" t="str">
        <f>VLOOKUP(A1513,Planilha2!$A$2:$C$5566,3,0)</f>
        <v>PIRAQUARA</v>
      </c>
      <c r="C1513" t="str">
        <f>VLOOKUP(A1513,Planilha2!$A$2:$D$5566,4,0)</f>
        <v>PR</v>
      </c>
    </row>
    <row r="1514" spans="1:3" x14ac:dyDescent="0.35">
      <c r="A1514">
        <v>410520</v>
      </c>
      <c r="B1514" t="str">
        <f>VLOOKUP(A1514,Planilha2!$A$2:$C$5566,3,0)</f>
        <v>CERRO AZUL</v>
      </c>
      <c r="C1514" t="str">
        <f>VLOOKUP(A1514,Planilha2!$A$2:$D$5566,4,0)</f>
        <v>PR</v>
      </c>
    </row>
    <row r="1515" spans="1:3" x14ac:dyDescent="0.35">
      <c r="A1515">
        <v>412220</v>
      </c>
      <c r="B1515" t="str">
        <f>VLOOKUP(A1515,Planilha2!$A$2:$C$5566,3,0)</f>
        <v>RIO BRANCO DO SUL</v>
      </c>
      <c r="C1515" t="str">
        <f>VLOOKUP(A1515,Planilha2!$A$2:$D$5566,4,0)</f>
        <v>PR</v>
      </c>
    </row>
    <row r="1516" spans="1:3" x14ac:dyDescent="0.35">
      <c r="A1516">
        <v>412080</v>
      </c>
      <c r="B1516" t="str">
        <f>VLOOKUP(A1516,Planilha2!$A$2:$C$5566,3,0)</f>
        <v>QUATRO BARRAS</v>
      </c>
      <c r="C1516" t="str">
        <f>VLOOKUP(A1516,Planilha2!$A$2:$D$5566,4,0)</f>
        <v>PR</v>
      </c>
    </row>
    <row r="1517" spans="1:3" x14ac:dyDescent="0.35">
      <c r="A1517">
        <v>410230</v>
      </c>
      <c r="B1517" t="str">
        <f>VLOOKUP(A1517,Planilha2!$A$2:$C$5566,3,0)</f>
        <v>BALSA NOVA</v>
      </c>
      <c r="C1517" t="str">
        <f>VLOOKUP(A1517,Planilha2!$A$2:$D$5566,4,0)</f>
        <v>PR</v>
      </c>
    </row>
    <row r="1518" spans="1:3" x14ac:dyDescent="0.35">
      <c r="A1518">
        <v>411370</v>
      </c>
      <c r="B1518" t="str">
        <f>VLOOKUP(A1518,Planilha2!$A$2:$C$5566,3,0)</f>
        <v>LONDRINA</v>
      </c>
      <c r="C1518" t="str">
        <f>VLOOKUP(A1518,Planilha2!$A$2:$D$5566,4,0)</f>
        <v>PR</v>
      </c>
    </row>
    <row r="1519" spans="1:3" x14ac:dyDescent="0.35">
      <c r="A1519">
        <v>412660</v>
      </c>
      <c r="B1519" t="str">
        <f>VLOOKUP(A1519,Planilha2!$A$2:$C$5566,3,0)</f>
        <v>SIQUEIRA CAMPOS</v>
      </c>
      <c r="C1519" t="str">
        <f>VLOOKUP(A1519,Planilha2!$A$2:$D$5566,4,0)</f>
        <v>PR</v>
      </c>
    </row>
    <row r="1520" spans="1:3" x14ac:dyDescent="0.35">
      <c r="A1520">
        <v>412400</v>
      </c>
      <c r="B1520" t="str">
        <f>VLOOKUP(A1520,Planilha2!$A$2:$C$5566,3,0)</f>
        <v>SANTANA DO ITARARÉ</v>
      </c>
      <c r="C1520" t="str">
        <f>VLOOKUP(A1520,Planilha2!$A$2:$D$5566,4,0)</f>
        <v>PR</v>
      </c>
    </row>
    <row r="1521" spans="1:3" x14ac:dyDescent="0.35">
      <c r="A1521">
        <v>410970</v>
      </c>
      <c r="B1521" t="str">
        <f>VLOOKUP(A1521,Planilha2!$A$2:$C$5566,3,0)</f>
        <v>IBAITI</v>
      </c>
      <c r="C1521" t="str">
        <f>VLOOKUP(A1521,Planilha2!$A$2:$D$5566,4,0)</f>
        <v>PR</v>
      </c>
    </row>
    <row r="1522" spans="1:3" x14ac:dyDescent="0.35">
      <c r="A1522">
        <v>412730</v>
      </c>
      <c r="B1522" t="str">
        <f>VLOOKUP(A1522,Planilha2!$A$2:$C$5566,3,0)</f>
        <v>TERRA RICA</v>
      </c>
      <c r="C1522" t="str">
        <f>VLOOKUP(A1522,Planilha2!$A$2:$D$5566,4,0)</f>
        <v>PR</v>
      </c>
    </row>
    <row r="1523" spans="1:3" x14ac:dyDescent="0.35">
      <c r="A1523">
        <v>411070</v>
      </c>
      <c r="B1523" t="str">
        <f>VLOOKUP(A1523,Planilha2!$A$2:$C$5566,3,0)</f>
        <v>IRATI</v>
      </c>
      <c r="C1523" t="str">
        <f>VLOOKUP(A1523,Planilha2!$A$2:$D$5566,4,0)</f>
        <v>PR</v>
      </c>
    </row>
    <row r="1524" spans="1:3" x14ac:dyDescent="0.35">
      <c r="A1524">
        <v>410845</v>
      </c>
      <c r="B1524" t="str">
        <f>VLOOKUP(A1524,Planilha2!$A$2:$C$5566,3,0)</f>
        <v>FOZ DO JORDÃO</v>
      </c>
      <c r="C1524" t="str">
        <f>VLOOKUP(A1524,Planilha2!$A$2:$D$5566,4,0)</f>
        <v>PR</v>
      </c>
    </row>
    <row r="1525" spans="1:3" x14ac:dyDescent="0.35">
      <c r="A1525">
        <v>412480</v>
      </c>
      <c r="B1525" t="str">
        <f>VLOOKUP(A1525,Planilha2!$A$2:$C$5566,3,0)</f>
        <v>SÃO JOÃO</v>
      </c>
      <c r="C1525" t="str">
        <f>VLOOKUP(A1525,Planilha2!$A$2:$D$5566,4,0)</f>
        <v>PR</v>
      </c>
    </row>
    <row r="1526" spans="1:3" x14ac:dyDescent="0.35">
      <c r="A1526">
        <v>410250</v>
      </c>
      <c r="B1526" t="str">
        <f>VLOOKUP(A1526,Planilha2!$A$2:$C$5566,3,0)</f>
        <v>BARBOSA FERRAZ</v>
      </c>
      <c r="C1526" t="str">
        <f>VLOOKUP(A1526,Planilha2!$A$2:$D$5566,4,0)</f>
        <v>PR</v>
      </c>
    </row>
    <row r="1527" spans="1:3" x14ac:dyDescent="0.35">
      <c r="A1527">
        <v>412625</v>
      </c>
      <c r="B1527" t="str">
        <f>VLOOKUP(A1527,Planilha2!$A$2:$C$5566,3,0)</f>
        <v>SARANDI</v>
      </c>
      <c r="C1527" t="str">
        <f>VLOOKUP(A1527,Planilha2!$A$2:$D$5566,4,0)</f>
        <v>PR</v>
      </c>
    </row>
    <row r="1528" spans="1:3" x14ac:dyDescent="0.35">
      <c r="A1528">
        <v>410590</v>
      </c>
      <c r="B1528" t="str">
        <f>VLOOKUP(A1528,Planilha2!$A$2:$C$5566,3,0)</f>
        <v>COLORADO</v>
      </c>
      <c r="C1528" t="str">
        <f>VLOOKUP(A1528,Planilha2!$A$2:$D$5566,4,0)</f>
        <v>PR</v>
      </c>
    </row>
    <row r="1529" spans="1:3" x14ac:dyDescent="0.35">
      <c r="A1529">
        <v>411060</v>
      </c>
      <c r="B1529" t="str">
        <f>VLOOKUP(A1529,Planilha2!$A$2:$C$5566,3,0)</f>
        <v>IPORÃ</v>
      </c>
      <c r="C1529" t="str">
        <f>VLOOKUP(A1529,Planilha2!$A$2:$D$5566,4,0)</f>
        <v>PR</v>
      </c>
    </row>
    <row r="1530" spans="1:3" x14ac:dyDescent="0.35">
      <c r="A1530">
        <v>411840</v>
      </c>
      <c r="B1530" t="str">
        <f>VLOOKUP(A1530,Planilha2!$A$2:$C$5566,3,0)</f>
        <v>PARANAVAÍ</v>
      </c>
      <c r="C1530" t="str">
        <f>VLOOKUP(A1530,Planilha2!$A$2:$D$5566,4,0)</f>
        <v>PR</v>
      </c>
    </row>
    <row r="1531" spans="1:3" x14ac:dyDescent="0.35">
      <c r="A1531">
        <v>410380</v>
      </c>
      <c r="B1531" t="str">
        <f>VLOOKUP(A1531,Planilha2!$A$2:$C$5566,3,0)</f>
        <v>CAMBIRA</v>
      </c>
      <c r="C1531" t="str">
        <f>VLOOKUP(A1531,Planilha2!$A$2:$D$5566,4,0)</f>
        <v>PR</v>
      </c>
    </row>
    <row r="1532" spans="1:3" x14ac:dyDescent="0.35">
      <c r="A1532">
        <v>410370</v>
      </c>
      <c r="B1532" t="str">
        <f>VLOOKUP(A1532,Planilha2!$A$2:$C$5566,3,0)</f>
        <v>CAMBÉ</v>
      </c>
      <c r="C1532" t="str">
        <f>VLOOKUP(A1532,Planilha2!$A$2:$D$5566,4,0)</f>
        <v>PR</v>
      </c>
    </row>
    <row r="1533" spans="1:3" x14ac:dyDescent="0.35">
      <c r="A1533">
        <v>412760</v>
      </c>
      <c r="B1533" t="str">
        <f>VLOOKUP(A1533,Planilha2!$A$2:$C$5566,3,0)</f>
        <v>TIJUCAS DO SUL</v>
      </c>
      <c r="C1533" t="str">
        <f>VLOOKUP(A1533,Planilha2!$A$2:$D$5566,4,0)</f>
        <v>PR</v>
      </c>
    </row>
    <row r="1534" spans="1:3" x14ac:dyDescent="0.35">
      <c r="A1534">
        <v>420820</v>
      </c>
      <c r="B1534" t="str">
        <f>VLOOKUP(A1534,Planilha2!$A$2:$C$5566,3,0)</f>
        <v>ITAJAÍ</v>
      </c>
      <c r="C1534" t="str">
        <f>VLOOKUP(A1534,Planilha2!$A$2:$D$5566,4,0)</f>
        <v>SC</v>
      </c>
    </row>
    <row r="1535" spans="1:3" x14ac:dyDescent="0.35">
      <c r="A1535">
        <v>421120</v>
      </c>
      <c r="B1535" t="str">
        <f>VLOOKUP(A1535,Planilha2!$A$2:$C$5566,3,0)</f>
        <v>MORRO DA FUMAÇA</v>
      </c>
      <c r="C1535" t="str">
        <f>VLOOKUP(A1535,Planilha2!$A$2:$D$5566,4,0)</f>
        <v>SC</v>
      </c>
    </row>
    <row r="1536" spans="1:3" x14ac:dyDescent="0.35">
      <c r="A1536">
        <v>420850</v>
      </c>
      <c r="B1536" t="str">
        <f>VLOOKUP(A1536,Planilha2!$A$2:$C$5566,3,0)</f>
        <v>ITUPORANGA</v>
      </c>
      <c r="C1536" t="str">
        <f>VLOOKUP(A1536,Planilha2!$A$2:$D$5566,4,0)</f>
        <v>SC</v>
      </c>
    </row>
    <row r="1537" spans="1:3" x14ac:dyDescent="0.35">
      <c r="A1537">
        <v>421460</v>
      </c>
      <c r="B1537" t="str">
        <f>VLOOKUP(A1537,Planilha2!$A$2:$C$5566,3,0)</f>
        <v>RIO DO OESTE</v>
      </c>
      <c r="C1537" t="str">
        <f>VLOOKUP(A1537,Planilha2!$A$2:$D$5566,4,0)</f>
        <v>SC</v>
      </c>
    </row>
    <row r="1538" spans="1:3" x14ac:dyDescent="0.35">
      <c r="A1538">
        <v>420990</v>
      </c>
      <c r="B1538" t="str">
        <f>VLOOKUP(A1538,Planilha2!$A$2:$C$5566,3,0)</f>
        <v>LONTRAS</v>
      </c>
      <c r="C1538" t="str">
        <f>VLOOKUP(A1538,Planilha2!$A$2:$D$5566,4,0)</f>
        <v>SC</v>
      </c>
    </row>
    <row r="1539" spans="1:3" x14ac:dyDescent="0.35">
      <c r="A1539">
        <v>421110</v>
      </c>
      <c r="B1539" t="str">
        <f>VLOOKUP(A1539,Planilha2!$A$2:$C$5566,3,0)</f>
        <v>MONTE CASTELO</v>
      </c>
      <c r="C1539" t="str">
        <f>VLOOKUP(A1539,Planilha2!$A$2:$D$5566,4,0)</f>
        <v>SC</v>
      </c>
    </row>
    <row r="1540" spans="1:3" x14ac:dyDescent="0.35">
      <c r="A1540">
        <v>420810</v>
      </c>
      <c r="B1540" t="str">
        <f>VLOOKUP(A1540,Planilha2!$A$2:$C$5566,3,0)</f>
        <v>ITAIÓPOLIS</v>
      </c>
      <c r="C1540" t="str">
        <f>VLOOKUP(A1540,Planilha2!$A$2:$D$5566,4,0)</f>
        <v>SC</v>
      </c>
    </row>
    <row r="1541" spans="1:3" x14ac:dyDescent="0.35">
      <c r="A1541">
        <v>421010</v>
      </c>
      <c r="B1541" t="str">
        <f>VLOOKUP(A1541,Planilha2!$A$2:$C$5566,3,0)</f>
        <v>MAFRA</v>
      </c>
      <c r="C1541" t="str">
        <f>VLOOKUP(A1541,Planilha2!$A$2:$D$5566,4,0)</f>
        <v>SC</v>
      </c>
    </row>
    <row r="1542" spans="1:3" x14ac:dyDescent="0.35">
      <c r="A1542">
        <v>420230</v>
      </c>
      <c r="B1542" t="str">
        <f>VLOOKUP(A1542,Planilha2!$A$2:$C$5566,3,0)</f>
        <v>BIGUAÇU</v>
      </c>
      <c r="C1542" t="str">
        <f>VLOOKUP(A1542,Planilha2!$A$2:$D$5566,4,0)</f>
        <v>SC</v>
      </c>
    </row>
    <row r="1543" spans="1:3" x14ac:dyDescent="0.35">
      <c r="A1543">
        <v>421190</v>
      </c>
      <c r="B1543" t="str">
        <f>VLOOKUP(A1543,Planilha2!$A$2:$C$5566,3,0)</f>
        <v>PALHOÇA</v>
      </c>
      <c r="C1543" t="str">
        <f>VLOOKUP(A1543,Planilha2!$A$2:$D$5566,4,0)</f>
        <v>SC</v>
      </c>
    </row>
    <row r="1544" spans="1:3" x14ac:dyDescent="0.35">
      <c r="A1544">
        <v>420050</v>
      </c>
      <c r="B1544" t="str">
        <f>VLOOKUP(A1544,Planilha2!$A$2:$C$5566,3,0)</f>
        <v>ÁGUAS DE CHAPECÓ</v>
      </c>
      <c r="C1544" t="str">
        <f>VLOOKUP(A1544,Planilha2!$A$2:$D$5566,4,0)</f>
        <v>SC</v>
      </c>
    </row>
    <row r="1545" spans="1:3" x14ac:dyDescent="0.35">
      <c r="A1545">
        <v>421720</v>
      </c>
      <c r="B1545" t="str">
        <f>VLOOKUP(A1545,Planilha2!$A$2:$C$5566,3,0)</f>
        <v>SÃO MIGUEL DO OESTE</v>
      </c>
      <c r="C1545" t="str">
        <f>VLOOKUP(A1545,Planilha2!$A$2:$D$5566,4,0)</f>
        <v>SC</v>
      </c>
    </row>
    <row r="1546" spans="1:3" x14ac:dyDescent="0.35">
      <c r="A1546">
        <v>421570</v>
      </c>
      <c r="B1546" t="str">
        <f>VLOOKUP(A1546,Planilha2!$A$2:$C$5566,3,0)</f>
        <v>SANTO AMARO DA IMPERATRIZ</v>
      </c>
      <c r="C1546" t="str">
        <f>VLOOKUP(A1546,Planilha2!$A$2:$D$5566,4,0)</f>
        <v>SC</v>
      </c>
    </row>
    <row r="1547" spans="1:3" x14ac:dyDescent="0.35">
      <c r="A1547">
        <v>420670</v>
      </c>
      <c r="B1547" t="str">
        <f>VLOOKUP(A1547,Planilha2!$A$2:$C$5566,3,0)</f>
        <v>HERVAL D`OESTE</v>
      </c>
      <c r="C1547" t="str">
        <f>VLOOKUP(A1547,Planilha2!$A$2:$D$5566,4,0)</f>
        <v>SC</v>
      </c>
    </row>
    <row r="1548" spans="1:3" x14ac:dyDescent="0.35">
      <c r="A1548">
        <v>420420</v>
      </c>
      <c r="B1548" t="str">
        <f>VLOOKUP(A1548,Planilha2!$A$2:$C$5566,3,0)</f>
        <v>CHAPECÓ</v>
      </c>
      <c r="C1548" t="str">
        <f>VLOOKUP(A1548,Planilha2!$A$2:$D$5566,4,0)</f>
        <v>SC</v>
      </c>
    </row>
    <row r="1549" spans="1:3" x14ac:dyDescent="0.35">
      <c r="A1549">
        <v>421100</v>
      </c>
      <c r="B1549" t="str">
        <f>VLOOKUP(A1549,Planilha2!$A$2:$C$5566,3,0)</f>
        <v>MONDAÍ</v>
      </c>
      <c r="C1549" t="str">
        <f>VLOOKUP(A1549,Planilha2!$A$2:$D$5566,4,0)</f>
        <v>SC</v>
      </c>
    </row>
    <row r="1550" spans="1:3" x14ac:dyDescent="0.35">
      <c r="A1550">
        <v>421750</v>
      </c>
      <c r="B1550" t="str">
        <f>VLOOKUP(A1550,Planilha2!$A$2:$C$5566,3,0)</f>
        <v>SEARA</v>
      </c>
      <c r="C1550" t="str">
        <f>VLOOKUP(A1550,Planilha2!$A$2:$D$5566,4,0)</f>
        <v>SC</v>
      </c>
    </row>
    <row r="1551" spans="1:3" x14ac:dyDescent="0.35">
      <c r="A1551">
        <v>420195</v>
      </c>
      <c r="B1551" t="str">
        <f>VLOOKUP(A1551,Planilha2!$A$2:$C$5566,3,0)</f>
        <v>BALNEÁRIO ARROIO DO SILVA</v>
      </c>
      <c r="C1551" t="str">
        <f>VLOOKUP(A1551,Planilha2!$A$2:$D$5566,4,0)</f>
        <v>SC</v>
      </c>
    </row>
    <row r="1552" spans="1:3" x14ac:dyDescent="0.35">
      <c r="A1552">
        <v>420940</v>
      </c>
      <c r="B1552" t="str">
        <f>VLOOKUP(A1552,Planilha2!$A$2:$C$5566,3,0)</f>
        <v>LAGUNA</v>
      </c>
      <c r="C1552" t="str">
        <f>VLOOKUP(A1552,Planilha2!$A$2:$D$5566,4,0)</f>
        <v>SC</v>
      </c>
    </row>
    <row r="1553" spans="1:3" x14ac:dyDescent="0.35">
      <c r="A1553">
        <v>420280</v>
      </c>
      <c r="B1553" t="str">
        <f>VLOOKUP(A1553,Planilha2!$A$2:$C$5566,3,0)</f>
        <v>BRAÇO DO NORTE</v>
      </c>
      <c r="C1553" t="str">
        <f>VLOOKUP(A1553,Planilha2!$A$2:$D$5566,4,0)</f>
        <v>SC</v>
      </c>
    </row>
    <row r="1554" spans="1:3" x14ac:dyDescent="0.35">
      <c r="A1554">
        <v>421550</v>
      </c>
      <c r="B1554" t="str">
        <f>VLOOKUP(A1554,Planilha2!$A$2:$C$5566,3,0)</f>
        <v>SANTA CECÍLIA</v>
      </c>
      <c r="C1554" t="str">
        <f>VLOOKUP(A1554,Planilha2!$A$2:$D$5566,4,0)</f>
        <v>SC</v>
      </c>
    </row>
    <row r="1555" spans="1:3" x14ac:dyDescent="0.35">
      <c r="A1555">
        <v>420300</v>
      </c>
      <c r="B1555" t="str">
        <f>VLOOKUP(A1555,Planilha2!$A$2:$C$5566,3,0)</f>
        <v>CAÇADOR</v>
      </c>
      <c r="C1555" t="str">
        <f>VLOOKUP(A1555,Planilha2!$A$2:$D$5566,4,0)</f>
        <v>SC</v>
      </c>
    </row>
    <row r="1556" spans="1:3" x14ac:dyDescent="0.35">
      <c r="A1556">
        <v>421930</v>
      </c>
      <c r="B1556" t="str">
        <f>VLOOKUP(A1556,Planilha2!$A$2:$C$5566,3,0)</f>
        <v>VIDEIRA</v>
      </c>
      <c r="C1556" t="str">
        <f>VLOOKUP(A1556,Planilha2!$A$2:$D$5566,4,0)</f>
        <v>SC</v>
      </c>
    </row>
    <row r="1557" spans="1:3" x14ac:dyDescent="0.35">
      <c r="A1557">
        <v>420480</v>
      </c>
      <c r="B1557" t="str">
        <f>VLOOKUP(A1557,Planilha2!$A$2:$C$5566,3,0)</f>
        <v>CURITIBANOS</v>
      </c>
      <c r="C1557" t="str">
        <f>VLOOKUP(A1557,Planilha2!$A$2:$D$5566,4,0)</f>
        <v>SC</v>
      </c>
    </row>
    <row r="1558" spans="1:3" x14ac:dyDescent="0.35">
      <c r="A1558">
        <v>421950</v>
      </c>
      <c r="B1558" t="str">
        <f>VLOOKUP(A1558,Planilha2!$A$2:$C$5566,3,0)</f>
        <v>XANXERÊ</v>
      </c>
      <c r="C1558" t="str">
        <f>VLOOKUP(A1558,Planilha2!$A$2:$D$5566,4,0)</f>
        <v>SC</v>
      </c>
    </row>
    <row r="1559" spans="1:3" x14ac:dyDescent="0.35">
      <c r="A1559">
        <v>420768</v>
      </c>
      <c r="B1559" t="str">
        <f>VLOOKUP(A1559,Planilha2!$A$2:$C$5566,3,0)</f>
        <v>IPUAÇU</v>
      </c>
      <c r="C1559" t="str">
        <f>VLOOKUP(A1559,Planilha2!$A$2:$D$5566,4,0)</f>
        <v>SC</v>
      </c>
    </row>
    <row r="1560" spans="1:3" x14ac:dyDescent="0.35">
      <c r="A1560">
        <v>421205</v>
      </c>
      <c r="B1560" t="str">
        <f>VLOOKUP(A1560,Planilha2!$A$2:$C$5566,3,0)</f>
        <v>PALMEIRA</v>
      </c>
      <c r="C1560" t="str">
        <f>VLOOKUP(A1560,Planilha2!$A$2:$D$5566,4,0)</f>
        <v>SC</v>
      </c>
    </row>
    <row r="1561" spans="1:3" x14ac:dyDescent="0.35">
      <c r="A1561">
        <v>421740</v>
      </c>
      <c r="B1561" t="str">
        <f>VLOOKUP(A1561,Planilha2!$A$2:$C$5566,3,0)</f>
        <v>SCHROEDER</v>
      </c>
      <c r="C1561" t="str">
        <f>VLOOKUP(A1561,Planilha2!$A$2:$D$5566,4,0)</f>
        <v>SC</v>
      </c>
    </row>
    <row r="1562" spans="1:3" x14ac:dyDescent="0.35">
      <c r="A1562">
        <v>420330</v>
      </c>
      <c r="B1562" t="str">
        <f>VLOOKUP(A1562,Planilha2!$A$2:$C$5566,3,0)</f>
        <v>CAMPO ALEGRE</v>
      </c>
      <c r="C1562" t="str">
        <f>VLOOKUP(A1562,Planilha2!$A$2:$D$5566,4,0)</f>
        <v>SC</v>
      </c>
    </row>
    <row r="1563" spans="1:3" x14ac:dyDescent="0.35">
      <c r="A1563">
        <v>421580</v>
      </c>
      <c r="B1563" t="str">
        <f>VLOOKUP(A1563,Planilha2!$A$2:$C$5566,3,0)</f>
        <v>SÃO BENTO DO SUL</v>
      </c>
      <c r="C1563" t="str">
        <f>VLOOKUP(A1563,Planilha2!$A$2:$D$5566,4,0)</f>
        <v>SC</v>
      </c>
    </row>
    <row r="1564" spans="1:3" x14ac:dyDescent="0.35">
      <c r="A1564">
        <v>421400</v>
      </c>
      <c r="B1564" t="str">
        <f>VLOOKUP(A1564,Planilha2!$A$2:$C$5566,3,0)</f>
        <v>PRESIDENTE GETÚLIO</v>
      </c>
      <c r="C1564" t="str">
        <f>VLOOKUP(A1564,Planilha2!$A$2:$D$5566,4,0)</f>
        <v>SC</v>
      </c>
    </row>
    <row r="1565" spans="1:3" x14ac:dyDescent="0.35">
      <c r="A1565">
        <v>421860</v>
      </c>
      <c r="B1565" t="str">
        <f>VLOOKUP(A1565,Planilha2!$A$2:$C$5566,3,0)</f>
        <v>TROMBUDO CENTRAL</v>
      </c>
      <c r="C1565" t="str">
        <f>VLOOKUP(A1565,Planilha2!$A$2:$D$5566,4,0)</f>
        <v>SC</v>
      </c>
    </row>
    <row r="1566" spans="1:3" x14ac:dyDescent="0.35">
      <c r="A1566">
        <v>421780</v>
      </c>
      <c r="B1566" t="str">
        <f>VLOOKUP(A1566,Planilha2!$A$2:$C$5566,3,0)</f>
        <v>TAIÓ</v>
      </c>
      <c r="C1566" t="str">
        <f>VLOOKUP(A1566,Planilha2!$A$2:$D$5566,4,0)</f>
        <v>SC</v>
      </c>
    </row>
    <row r="1567" spans="1:3" x14ac:dyDescent="0.35">
      <c r="A1567">
        <v>421180</v>
      </c>
      <c r="B1567" t="str">
        <f>VLOOKUP(A1567,Planilha2!$A$2:$C$5566,3,0)</f>
        <v>OURO</v>
      </c>
      <c r="C1567" t="str">
        <f>VLOOKUP(A1567,Planilha2!$A$2:$D$5566,4,0)</f>
        <v>SC</v>
      </c>
    </row>
    <row r="1568" spans="1:3" x14ac:dyDescent="0.35">
      <c r="A1568">
        <v>421310</v>
      </c>
      <c r="B1568" t="str">
        <f>VLOOKUP(A1568,Planilha2!$A$2:$C$5566,3,0)</f>
        <v>PIRATUBA</v>
      </c>
      <c r="C1568" t="str">
        <f>VLOOKUP(A1568,Planilha2!$A$2:$D$5566,4,0)</f>
        <v>SC</v>
      </c>
    </row>
    <row r="1569" spans="1:3" x14ac:dyDescent="0.35">
      <c r="A1569">
        <v>420920</v>
      </c>
      <c r="B1569" t="str">
        <f>VLOOKUP(A1569,Planilha2!$A$2:$C$5566,3,0)</f>
        <v>LACERDÓPOLIS</v>
      </c>
      <c r="C1569" t="str">
        <f>VLOOKUP(A1569,Planilha2!$A$2:$D$5566,4,0)</f>
        <v>SC</v>
      </c>
    </row>
    <row r="1570" spans="1:3" x14ac:dyDescent="0.35">
      <c r="A1570">
        <v>420360</v>
      </c>
      <c r="B1570" t="str">
        <f>VLOOKUP(A1570,Planilha2!$A$2:$C$5566,3,0)</f>
        <v>CAMPOS NOVOS</v>
      </c>
      <c r="C1570" t="str">
        <f>VLOOKUP(A1570,Planilha2!$A$2:$D$5566,4,0)</f>
        <v>SC</v>
      </c>
    </row>
    <row r="1571" spans="1:3" x14ac:dyDescent="0.35">
      <c r="A1571">
        <v>420215</v>
      </c>
      <c r="B1571" t="str">
        <f>VLOOKUP(A1571,Planilha2!$A$2:$C$5566,3,0)</f>
        <v>BELMONTE</v>
      </c>
      <c r="C1571" t="str">
        <f>VLOOKUP(A1571,Planilha2!$A$2:$D$5566,4,0)</f>
        <v>SC</v>
      </c>
    </row>
    <row r="1572" spans="1:3" x14ac:dyDescent="0.35">
      <c r="A1572">
        <v>420290</v>
      </c>
      <c r="B1572" t="str">
        <f>VLOOKUP(A1572,Planilha2!$A$2:$C$5566,3,0)</f>
        <v>BRUSQUE</v>
      </c>
      <c r="C1572" t="str">
        <f>VLOOKUP(A1572,Planilha2!$A$2:$D$5566,4,0)</f>
        <v>SC</v>
      </c>
    </row>
    <row r="1573" spans="1:3" x14ac:dyDescent="0.35">
      <c r="A1573">
        <v>421630</v>
      </c>
      <c r="B1573" t="str">
        <f>VLOOKUP(A1573,Planilha2!$A$2:$C$5566,3,0)</f>
        <v>SÃO JOÃO BATISTA</v>
      </c>
      <c r="C1573" t="str">
        <f>VLOOKUP(A1573,Planilha2!$A$2:$D$5566,4,0)</f>
        <v>SC</v>
      </c>
    </row>
    <row r="1574" spans="1:3" x14ac:dyDescent="0.35">
      <c r="A1574">
        <v>421820</v>
      </c>
      <c r="B1574" t="str">
        <f>VLOOKUP(A1574,Planilha2!$A$2:$C$5566,3,0)</f>
        <v>TIMBÓ</v>
      </c>
      <c r="C1574" t="str">
        <f>VLOOKUP(A1574,Planilha2!$A$2:$D$5566,4,0)</f>
        <v>SC</v>
      </c>
    </row>
    <row r="1575" spans="1:3" x14ac:dyDescent="0.35">
      <c r="A1575">
        <v>421320</v>
      </c>
      <c r="B1575" t="str">
        <f>VLOOKUP(A1575,Planilha2!$A$2:$C$5566,3,0)</f>
        <v>POMERODE</v>
      </c>
      <c r="C1575" t="str">
        <f>VLOOKUP(A1575,Planilha2!$A$2:$D$5566,4,0)</f>
        <v>SC</v>
      </c>
    </row>
    <row r="1576" spans="1:3" x14ac:dyDescent="0.35">
      <c r="A1576">
        <v>420240</v>
      </c>
      <c r="B1576" t="str">
        <f>VLOOKUP(A1576,Planilha2!$A$2:$C$5566,3,0)</f>
        <v>BLUMENAU</v>
      </c>
      <c r="C1576" t="str">
        <f>VLOOKUP(A1576,Planilha2!$A$2:$D$5566,4,0)</f>
        <v>SC</v>
      </c>
    </row>
    <row r="1577" spans="1:3" x14ac:dyDescent="0.35">
      <c r="A1577">
        <v>420190</v>
      </c>
      <c r="B1577" t="str">
        <f>VLOOKUP(A1577,Planilha2!$A$2:$C$5566,3,0)</f>
        <v>AURORA</v>
      </c>
      <c r="C1577" t="str">
        <f>VLOOKUP(A1577,Planilha2!$A$2:$D$5566,4,0)</f>
        <v>SC</v>
      </c>
    </row>
    <row r="1578" spans="1:3" x14ac:dyDescent="0.35">
      <c r="A1578">
        <v>420700</v>
      </c>
      <c r="B1578" t="str">
        <f>VLOOKUP(A1578,Planilha2!$A$2:$C$5566,3,0)</f>
        <v>IÇARA</v>
      </c>
      <c r="C1578" t="str">
        <f>VLOOKUP(A1578,Planilha2!$A$2:$D$5566,4,0)</f>
        <v>SC</v>
      </c>
    </row>
    <row r="1579" spans="1:3" x14ac:dyDescent="0.35">
      <c r="A1579">
        <v>420460</v>
      </c>
      <c r="B1579" t="str">
        <f>VLOOKUP(A1579,Planilha2!$A$2:$C$5566,3,0)</f>
        <v>CRICIUMA</v>
      </c>
      <c r="C1579" t="str">
        <f>VLOOKUP(A1579,Planilha2!$A$2:$D$5566,4,0)</f>
        <v>SC</v>
      </c>
    </row>
    <row r="1580" spans="1:3" x14ac:dyDescent="0.35">
      <c r="A1580">
        <v>420545</v>
      </c>
      <c r="B1580" t="str">
        <f>VLOOKUP(A1580,Planilha2!$A$2:$C$5566,3,0)</f>
        <v>FORQUILHINHA</v>
      </c>
      <c r="C1580" t="str">
        <f>VLOOKUP(A1580,Planilha2!$A$2:$D$5566,4,0)</f>
        <v>SC</v>
      </c>
    </row>
    <row r="1581" spans="1:3" x14ac:dyDescent="0.35">
      <c r="A1581">
        <v>420207</v>
      </c>
      <c r="B1581" t="str">
        <f>VLOOKUP(A1581,Planilha2!$A$2:$C$5566,3,0)</f>
        <v>BALNEÁRIO GAIVOTA</v>
      </c>
      <c r="C1581" t="str">
        <f>VLOOKUP(A1581,Planilha2!$A$2:$D$5566,4,0)</f>
        <v>SC</v>
      </c>
    </row>
    <row r="1582" spans="1:3" x14ac:dyDescent="0.35">
      <c r="A1582">
        <v>421770</v>
      </c>
      <c r="B1582" t="str">
        <f>VLOOKUP(A1582,Planilha2!$A$2:$C$5566,3,0)</f>
        <v>SOMBRIO</v>
      </c>
      <c r="C1582" t="str">
        <f>VLOOKUP(A1582,Planilha2!$A$2:$D$5566,4,0)</f>
        <v>SC</v>
      </c>
    </row>
    <row r="1583" spans="1:3" x14ac:dyDescent="0.35">
      <c r="A1583">
        <v>420720</v>
      </c>
      <c r="B1583" t="str">
        <f>VLOOKUP(A1583,Planilha2!$A$2:$C$5566,3,0)</f>
        <v>IMARUÍ</v>
      </c>
      <c r="C1583" t="str">
        <f>VLOOKUP(A1583,Planilha2!$A$2:$D$5566,4,0)</f>
        <v>SC</v>
      </c>
    </row>
    <row r="1584" spans="1:3" x14ac:dyDescent="0.35">
      <c r="A1584">
        <v>421870</v>
      </c>
      <c r="B1584" t="str">
        <f>VLOOKUP(A1584,Planilha2!$A$2:$C$5566,3,0)</f>
        <v>TUBARÃO</v>
      </c>
      <c r="C1584" t="str">
        <f>VLOOKUP(A1584,Planilha2!$A$2:$D$5566,4,0)</f>
        <v>SC</v>
      </c>
    </row>
    <row r="1585" spans="1:3" x14ac:dyDescent="0.35">
      <c r="A1585">
        <v>420730</v>
      </c>
      <c r="B1585" t="str">
        <f>VLOOKUP(A1585,Planilha2!$A$2:$C$5566,3,0)</f>
        <v>IMBITUBA</v>
      </c>
      <c r="C1585" t="str">
        <f>VLOOKUP(A1585,Planilha2!$A$2:$D$5566,4,0)</f>
        <v>SC</v>
      </c>
    </row>
    <row r="1586" spans="1:3" x14ac:dyDescent="0.35">
      <c r="A1586">
        <v>420890</v>
      </c>
      <c r="B1586" t="str">
        <f>VLOOKUP(A1586,Planilha2!$A$2:$C$5566,3,0)</f>
        <v>JARAGUÁ DO SUL</v>
      </c>
      <c r="C1586" t="str">
        <f>VLOOKUP(A1586,Planilha2!$A$2:$D$5566,4,0)</f>
        <v>SC</v>
      </c>
    </row>
    <row r="1587" spans="1:3" x14ac:dyDescent="0.35">
      <c r="A1587">
        <v>420650</v>
      </c>
      <c r="B1587" t="str">
        <f>VLOOKUP(A1587,Planilha2!$A$2:$C$5566,3,0)</f>
        <v>GUARAMIRIM</v>
      </c>
      <c r="C1587" t="str">
        <f>VLOOKUP(A1587,Planilha2!$A$2:$D$5566,4,0)</f>
        <v>SC</v>
      </c>
    </row>
    <row r="1588" spans="1:3" x14ac:dyDescent="0.35">
      <c r="A1588">
        <v>421690</v>
      </c>
      <c r="B1588" t="str">
        <f>VLOOKUP(A1588,Planilha2!$A$2:$C$5566,3,0)</f>
        <v>SÃO LOURENÇO DO OESTE</v>
      </c>
      <c r="C1588" t="str">
        <f>VLOOKUP(A1588,Planilha2!$A$2:$D$5566,4,0)</f>
        <v>SC</v>
      </c>
    </row>
    <row r="1589" spans="1:3" x14ac:dyDescent="0.35">
      <c r="A1589">
        <v>420130</v>
      </c>
      <c r="B1589" t="str">
        <f>VLOOKUP(A1589,Planilha2!$A$2:$C$5566,3,0)</f>
        <v>ARAQUARI</v>
      </c>
      <c r="C1589" t="str">
        <f>VLOOKUP(A1589,Planilha2!$A$2:$D$5566,4,0)</f>
        <v>SC</v>
      </c>
    </row>
    <row r="1590" spans="1:3" x14ac:dyDescent="0.35">
      <c r="A1590">
        <v>420830</v>
      </c>
      <c r="B1590" t="str">
        <f>VLOOKUP(A1590,Planilha2!$A$2:$C$5566,3,0)</f>
        <v>ITAPEMA</v>
      </c>
      <c r="C1590" t="str">
        <f>VLOOKUP(A1590,Planilha2!$A$2:$D$5566,4,0)</f>
        <v>SC</v>
      </c>
    </row>
    <row r="1591" spans="1:3" x14ac:dyDescent="0.35">
      <c r="A1591">
        <v>421130</v>
      </c>
      <c r="B1591" t="str">
        <f>VLOOKUP(A1591,Planilha2!$A$2:$C$5566,3,0)</f>
        <v>NAVEGANTES</v>
      </c>
      <c r="C1591" t="str">
        <f>VLOOKUP(A1591,Planilha2!$A$2:$D$5566,4,0)</f>
        <v>SC</v>
      </c>
    </row>
    <row r="1592" spans="1:3" x14ac:dyDescent="0.35">
      <c r="A1592">
        <v>430940</v>
      </c>
      <c r="B1592" t="str">
        <f>VLOOKUP(A1592,Planilha2!$A$2:$C$5566,3,0)</f>
        <v>GUAPORÉ</v>
      </c>
      <c r="C1592" t="str">
        <f>VLOOKUP(A1592,Planilha2!$A$2:$D$5566,4,0)</f>
        <v>RS</v>
      </c>
    </row>
    <row r="1593" spans="1:3" x14ac:dyDescent="0.35">
      <c r="A1593">
        <v>430230</v>
      </c>
      <c r="B1593" t="str">
        <f>VLOOKUP(A1593,Planilha2!$A$2:$C$5566,3,0)</f>
        <v>BOM JESUS</v>
      </c>
      <c r="C1593" t="str">
        <f>VLOOKUP(A1593,Planilha2!$A$2:$D$5566,4,0)</f>
        <v>RS</v>
      </c>
    </row>
    <row r="1594" spans="1:3" x14ac:dyDescent="0.35">
      <c r="A1594">
        <v>431320</v>
      </c>
      <c r="B1594" t="str">
        <f>VLOOKUP(A1594,Planilha2!$A$2:$C$5566,3,0)</f>
        <v>NOVA PETRÓPOLIS</v>
      </c>
      <c r="C1594" t="str">
        <f>VLOOKUP(A1594,Planilha2!$A$2:$D$5566,4,0)</f>
        <v>RS</v>
      </c>
    </row>
    <row r="1595" spans="1:3" x14ac:dyDescent="0.35">
      <c r="A1595">
        <v>430790</v>
      </c>
      <c r="B1595" t="str">
        <f>VLOOKUP(A1595,Planilha2!$A$2:$C$5566,3,0)</f>
        <v>FARROUPILHA</v>
      </c>
      <c r="C1595" t="str">
        <f>VLOOKUP(A1595,Planilha2!$A$2:$D$5566,4,0)</f>
        <v>RS</v>
      </c>
    </row>
    <row r="1596" spans="1:3" x14ac:dyDescent="0.35">
      <c r="A1596">
        <v>430480</v>
      </c>
      <c r="B1596" t="str">
        <f>VLOOKUP(A1596,Planilha2!$A$2:$C$5566,3,0)</f>
        <v>CARLOS BARBOSA</v>
      </c>
      <c r="C1596" t="str">
        <f>VLOOKUP(A1596,Planilha2!$A$2:$D$5566,4,0)</f>
        <v>RS</v>
      </c>
    </row>
    <row r="1597" spans="1:3" x14ac:dyDescent="0.35">
      <c r="A1597">
        <v>431290</v>
      </c>
      <c r="B1597" t="str">
        <f>VLOOKUP(A1597,Planilha2!$A$2:$C$5566,3,0)</f>
        <v>NOVA BASSANO</v>
      </c>
      <c r="C1597" t="str">
        <f>VLOOKUP(A1597,Planilha2!$A$2:$D$5566,4,0)</f>
        <v>RS</v>
      </c>
    </row>
    <row r="1598" spans="1:3" x14ac:dyDescent="0.35">
      <c r="A1598">
        <v>430860</v>
      </c>
      <c r="B1598" t="str">
        <f>VLOOKUP(A1598,Planilha2!$A$2:$C$5566,3,0)</f>
        <v>GARIBALDI</v>
      </c>
      <c r="C1598" t="str">
        <f>VLOOKUP(A1598,Planilha2!$A$2:$D$5566,4,0)</f>
        <v>RS</v>
      </c>
    </row>
    <row r="1599" spans="1:3" x14ac:dyDescent="0.35">
      <c r="A1599">
        <v>431900</v>
      </c>
      <c r="B1599" t="str">
        <f>VLOOKUP(A1599,Planilha2!$A$2:$C$5566,3,0)</f>
        <v>SÃO MARCOS</v>
      </c>
      <c r="C1599" t="str">
        <f>VLOOKUP(A1599,Planilha2!$A$2:$D$5566,4,0)</f>
        <v>RS</v>
      </c>
    </row>
    <row r="1600" spans="1:3" x14ac:dyDescent="0.35">
      <c r="A1600">
        <v>430830</v>
      </c>
      <c r="B1600" t="str">
        <f>VLOOKUP(A1600,Planilha2!$A$2:$C$5566,3,0)</f>
        <v>FONTOURA XAVIER</v>
      </c>
      <c r="C1600" t="str">
        <f>VLOOKUP(A1600,Planilha2!$A$2:$D$5566,4,0)</f>
        <v>RS</v>
      </c>
    </row>
    <row r="1601" spans="1:3" x14ac:dyDescent="0.35">
      <c r="A1601">
        <v>431125</v>
      </c>
      <c r="B1601" t="str">
        <f>VLOOKUP(A1601,Planilha2!$A$2:$C$5566,3,0)</f>
        <v>LAGOÃO</v>
      </c>
      <c r="C1601" t="str">
        <f>VLOOKUP(A1601,Planilha2!$A$2:$D$5566,4,0)</f>
        <v>RS</v>
      </c>
    </row>
    <row r="1602" spans="1:3" x14ac:dyDescent="0.35">
      <c r="A1602">
        <v>430470</v>
      </c>
      <c r="B1602" t="str">
        <f>VLOOKUP(A1602,Planilha2!$A$2:$C$5566,3,0)</f>
        <v>CARAZINHO</v>
      </c>
      <c r="C1602" t="str">
        <f>VLOOKUP(A1602,Planilha2!$A$2:$D$5566,4,0)</f>
        <v>RS</v>
      </c>
    </row>
    <row r="1603" spans="1:3" x14ac:dyDescent="0.35">
      <c r="A1603">
        <v>431180</v>
      </c>
      <c r="B1603" t="str">
        <f>VLOOKUP(A1603,Planilha2!$A$2:$C$5566,3,0)</f>
        <v>MARAU</v>
      </c>
      <c r="C1603" t="str">
        <f>VLOOKUP(A1603,Planilha2!$A$2:$D$5566,4,0)</f>
        <v>RS</v>
      </c>
    </row>
    <row r="1604" spans="1:3" x14ac:dyDescent="0.35">
      <c r="A1604">
        <v>431730</v>
      </c>
      <c r="B1604" t="str">
        <f>VLOOKUP(A1604,Planilha2!$A$2:$C$5566,3,0)</f>
        <v>SANTA VITÓRIA DO PALMAR</v>
      </c>
      <c r="C1604" t="str">
        <f>VLOOKUP(A1604,Planilha2!$A$2:$D$5566,4,0)</f>
        <v>RS</v>
      </c>
    </row>
    <row r="1605" spans="1:3" x14ac:dyDescent="0.35">
      <c r="A1605">
        <v>431100</v>
      </c>
      <c r="B1605" t="str">
        <f>VLOOKUP(A1605,Planilha2!$A$2:$C$5566,3,0)</f>
        <v>JAGUARÃO</v>
      </c>
      <c r="C1605" t="str">
        <f>VLOOKUP(A1605,Planilha2!$A$2:$D$5566,4,0)</f>
        <v>RS</v>
      </c>
    </row>
    <row r="1606" spans="1:3" x14ac:dyDescent="0.35">
      <c r="A1606">
        <v>430450</v>
      </c>
      <c r="B1606" t="str">
        <f>VLOOKUP(A1606,Planilha2!$A$2:$C$5566,3,0)</f>
        <v>CANGUÇU</v>
      </c>
      <c r="C1606" t="str">
        <f>VLOOKUP(A1606,Planilha2!$A$2:$D$5566,4,0)</f>
        <v>RS</v>
      </c>
    </row>
    <row r="1607" spans="1:3" x14ac:dyDescent="0.35">
      <c r="A1607">
        <v>431560</v>
      </c>
      <c r="B1607" t="str">
        <f>VLOOKUP(A1607,Planilha2!$A$2:$C$5566,3,0)</f>
        <v>RIO GRANDE</v>
      </c>
      <c r="C1607" t="str">
        <f>VLOOKUP(A1607,Planilha2!$A$2:$D$5566,4,0)</f>
        <v>RS</v>
      </c>
    </row>
    <row r="1608" spans="1:3" x14ac:dyDescent="0.35">
      <c r="A1608">
        <v>430660</v>
      </c>
      <c r="B1608" t="str">
        <f>VLOOKUP(A1608,Planilha2!$A$2:$C$5566,3,0)</f>
        <v>DOM PEDRITO</v>
      </c>
      <c r="C1608" t="str">
        <f>VLOOKUP(A1608,Planilha2!$A$2:$D$5566,4,0)</f>
        <v>RS</v>
      </c>
    </row>
    <row r="1609" spans="1:3" x14ac:dyDescent="0.35">
      <c r="A1609">
        <v>430510</v>
      </c>
      <c r="B1609" t="str">
        <f>VLOOKUP(A1609,Planilha2!$A$2:$C$5566,3,0)</f>
        <v>CAXIAS DO SUL</v>
      </c>
      <c r="C1609" t="str">
        <f>VLOOKUP(A1609,Planilha2!$A$2:$D$5566,4,0)</f>
        <v>RS</v>
      </c>
    </row>
    <row r="1610" spans="1:3" x14ac:dyDescent="0.35">
      <c r="A1610">
        <v>431680</v>
      </c>
      <c r="B1610" t="str">
        <f>VLOOKUP(A1610,Planilha2!$A$2:$C$5566,3,0)</f>
        <v>SANTA CRUZ DO SUL</v>
      </c>
      <c r="C1610" t="str">
        <f>VLOOKUP(A1610,Planilha2!$A$2:$D$5566,4,0)</f>
        <v>RS</v>
      </c>
    </row>
    <row r="1611" spans="1:3" x14ac:dyDescent="0.35">
      <c r="A1611">
        <v>431445</v>
      </c>
      <c r="B1611" t="str">
        <f>VLOOKUP(A1611,Planilha2!$A$2:$C$5566,3,0)</f>
        <v>PINHAL</v>
      </c>
      <c r="C1611" t="str">
        <f>VLOOKUP(A1611,Planilha2!$A$2:$D$5566,4,0)</f>
        <v>RS</v>
      </c>
    </row>
    <row r="1612" spans="1:3" x14ac:dyDescent="0.35">
      <c r="A1612">
        <v>431240</v>
      </c>
      <c r="B1612" t="str">
        <f>VLOOKUP(A1612,Planilha2!$A$2:$C$5566,3,0)</f>
        <v>MONTENEGRO</v>
      </c>
      <c r="C1612" t="str">
        <f>VLOOKUP(A1612,Planilha2!$A$2:$D$5566,4,0)</f>
        <v>RS</v>
      </c>
    </row>
    <row r="1613" spans="1:3" x14ac:dyDescent="0.35">
      <c r="A1613">
        <v>430190</v>
      </c>
      <c r="B1613" t="str">
        <f>VLOOKUP(A1613,Planilha2!$A$2:$C$5566,3,0)</f>
        <v>BARRA DO RIBEIRO</v>
      </c>
      <c r="C1613" t="str">
        <f>VLOOKUP(A1613,Planilha2!$A$2:$D$5566,4,0)</f>
        <v>RS</v>
      </c>
    </row>
    <row r="1614" spans="1:3" x14ac:dyDescent="0.35">
      <c r="A1614">
        <v>431645</v>
      </c>
      <c r="B1614" t="str">
        <f>VLOOKUP(A1614,Planilha2!$A$2:$C$5566,3,0)</f>
        <v>SALTO DO JACUÍ</v>
      </c>
      <c r="C1614" t="str">
        <f>VLOOKUP(A1614,Planilha2!$A$2:$D$5566,4,0)</f>
        <v>RS</v>
      </c>
    </row>
    <row r="1615" spans="1:3" x14ac:dyDescent="0.35">
      <c r="A1615">
        <v>431350</v>
      </c>
      <c r="B1615" t="str">
        <f>VLOOKUP(A1615,Planilha2!$A$2:$C$5566,3,0)</f>
        <v>OSÓRIO</v>
      </c>
      <c r="C1615" t="str">
        <f>VLOOKUP(A1615,Planilha2!$A$2:$D$5566,4,0)</f>
        <v>RS</v>
      </c>
    </row>
    <row r="1616" spans="1:3" x14ac:dyDescent="0.35">
      <c r="A1616">
        <v>431120</v>
      </c>
      <c r="B1616" t="str">
        <f>VLOOKUP(A1616,Planilha2!$A$2:$C$5566,3,0)</f>
        <v>JÚLIO DE CASTILHOS</v>
      </c>
      <c r="C1616" t="str">
        <f>VLOOKUP(A1616,Planilha2!$A$2:$D$5566,4,0)</f>
        <v>RS</v>
      </c>
    </row>
    <row r="1617" spans="1:3" x14ac:dyDescent="0.35">
      <c r="A1617">
        <v>432220</v>
      </c>
      <c r="B1617" t="str">
        <f>VLOOKUP(A1617,Planilha2!$A$2:$C$5566,3,0)</f>
        <v>TUPANCIRETÃ</v>
      </c>
      <c r="C1617" t="str">
        <f>VLOOKUP(A1617,Planilha2!$A$2:$D$5566,4,0)</f>
        <v>RS</v>
      </c>
    </row>
    <row r="1618" spans="1:3" x14ac:dyDescent="0.35">
      <c r="A1618">
        <v>431075</v>
      </c>
      <c r="B1618" t="str">
        <f>VLOOKUP(A1618,Planilha2!$A$2:$C$5566,3,0)</f>
        <v>IVORÁ</v>
      </c>
      <c r="C1618" t="str">
        <f>VLOOKUP(A1618,Planilha2!$A$2:$D$5566,4,0)</f>
        <v>RS</v>
      </c>
    </row>
    <row r="1619" spans="1:3" x14ac:dyDescent="0.35">
      <c r="A1619">
        <v>500430</v>
      </c>
      <c r="B1619" t="str">
        <f>VLOOKUP(A1619,Planilha2!$A$2:$C$5566,3,0)</f>
        <v>IGUATEMI</v>
      </c>
      <c r="C1619" t="str">
        <f>VLOOKUP(A1619,Planilha2!$A$2:$D$5566,4,0)</f>
        <v>MS</v>
      </c>
    </row>
    <row r="1620" spans="1:3" x14ac:dyDescent="0.35">
      <c r="A1620">
        <v>500240</v>
      </c>
      <c r="B1620" t="str">
        <f>VLOOKUP(A1620,Planilha2!$A$2:$C$5566,3,0)</f>
        <v>CAARAPÓ</v>
      </c>
      <c r="C1620" t="str">
        <f>VLOOKUP(A1620,Planilha2!$A$2:$D$5566,4,0)</f>
        <v>MS</v>
      </c>
    </row>
    <row r="1621" spans="1:3" x14ac:dyDescent="0.35">
      <c r="A1621">
        <v>500215</v>
      </c>
      <c r="B1621" t="str">
        <f>VLOOKUP(A1621,Planilha2!$A$2:$C$5566,3,0)</f>
        <v>BODOQUENA</v>
      </c>
      <c r="C1621" t="str">
        <f>VLOOKUP(A1621,Planilha2!$A$2:$D$5566,4,0)</f>
        <v>MS</v>
      </c>
    </row>
    <row r="1622" spans="1:3" x14ac:dyDescent="0.35">
      <c r="A1622">
        <v>500320</v>
      </c>
      <c r="B1622" t="str">
        <f>VLOOKUP(A1622,Planilha2!$A$2:$C$5566,3,0)</f>
        <v>CORUMBÁ</v>
      </c>
      <c r="C1622" t="str">
        <f>VLOOKUP(A1622,Planilha2!$A$2:$D$5566,4,0)</f>
        <v>MS</v>
      </c>
    </row>
    <row r="1623" spans="1:3" x14ac:dyDescent="0.35">
      <c r="A1623">
        <v>500570</v>
      </c>
      <c r="B1623" t="str">
        <f>VLOOKUP(A1623,Planilha2!$A$2:$C$5566,3,0)</f>
        <v>NAVIRAÍ</v>
      </c>
      <c r="C1623" t="str">
        <f>VLOOKUP(A1623,Planilha2!$A$2:$D$5566,4,0)</f>
        <v>MS</v>
      </c>
    </row>
    <row r="1624" spans="1:3" x14ac:dyDescent="0.35">
      <c r="A1624">
        <v>500100</v>
      </c>
      <c r="B1624" t="str">
        <f>VLOOKUP(A1624,Planilha2!$A$2:$C$5566,3,0)</f>
        <v>APARECIDA DO TABOADO</v>
      </c>
      <c r="C1624" t="str">
        <f>VLOOKUP(A1624,Planilha2!$A$2:$D$5566,4,0)</f>
        <v>MS</v>
      </c>
    </row>
    <row r="1625" spans="1:3" x14ac:dyDescent="0.35">
      <c r="A1625">
        <v>500830</v>
      </c>
      <c r="B1625" t="str">
        <f>VLOOKUP(A1625,Planilha2!$A$2:$C$5566,3,0)</f>
        <v>TRÊS LAGOAS</v>
      </c>
      <c r="C1625" t="str">
        <f>VLOOKUP(A1625,Planilha2!$A$2:$D$5566,4,0)</f>
        <v>MS</v>
      </c>
    </row>
    <row r="1626" spans="1:3" x14ac:dyDescent="0.35">
      <c r="A1626">
        <v>500370</v>
      </c>
      <c r="B1626" t="str">
        <f>VLOOKUP(A1626,Planilha2!$A$2:$C$5566,3,0)</f>
        <v>DOURADOS</v>
      </c>
      <c r="C1626" t="str">
        <f>VLOOKUP(A1626,Planilha2!$A$2:$D$5566,4,0)</f>
        <v>MS</v>
      </c>
    </row>
    <row r="1627" spans="1:3" x14ac:dyDescent="0.35">
      <c r="A1627">
        <v>500840</v>
      </c>
      <c r="B1627" t="str">
        <f>VLOOKUP(A1627,Planilha2!$A$2:$C$5566,3,0)</f>
        <v>VICENTINA</v>
      </c>
      <c r="C1627" t="str">
        <f>VLOOKUP(A1627,Planilha2!$A$2:$D$5566,4,0)</f>
        <v>MS</v>
      </c>
    </row>
    <row r="1628" spans="1:3" x14ac:dyDescent="0.35">
      <c r="A1628">
        <v>500525</v>
      </c>
      <c r="B1628" t="str">
        <f>VLOOKUP(A1628,Planilha2!$A$2:$C$5566,3,0)</f>
        <v>LAGUNA CARAPÃ</v>
      </c>
      <c r="C1628" t="str">
        <f>VLOOKUP(A1628,Planilha2!$A$2:$D$5566,4,0)</f>
        <v>MS</v>
      </c>
    </row>
    <row r="1629" spans="1:3" x14ac:dyDescent="0.35">
      <c r="A1629">
        <v>500660</v>
      </c>
      <c r="B1629" t="str">
        <f>VLOOKUP(A1629,Planilha2!$A$2:$C$5566,3,0)</f>
        <v>PONTA PORÃ</v>
      </c>
      <c r="C1629" t="str">
        <f>VLOOKUP(A1629,Planilha2!$A$2:$D$5566,4,0)</f>
        <v>MS</v>
      </c>
    </row>
    <row r="1630" spans="1:3" x14ac:dyDescent="0.35">
      <c r="A1630">
        <v>500770</v>
      </c>
      <c r="B1630" t="str">
        <f>VLOOKUP(A1630,Planilha2!$A$2:$C$5566,3,0)</f>
        <v>SETE QUEDAS</v>
      </c>
      <c r="C1630" t="str">
        <f>VLOOKUP(A1630,Planilha2!$A$2:$D$5566,4,0)</f>
        <v>MS</v>
      </c>
    </row>
    <row r="1631" spans="1:3" x14ac:dyDescent="0.35">
      <c r="A1631">
        <v>500620</v>
      </c>
      <c r="B1631" t="str">
        <f>VLOOKUP(A1631,Planilha2!$A$2:$C$5566,3,0)</f>
        <v>NOVA ANDRADINA</v>
      </c>
      <c r="C1631" t="str">
        <f>VLOOKUP(A1631,Planilha2!$A$2:$D$5566,4,0)</f>
        <v>MS</v>
      </c>
    </row>
    <row r="1632" spans="1:3" x14ac:dyDescent="0.35">
      <c r="A1632">
        <v>500330</v>
      </c>
      <c r="B1632" t="str">
        <f>VLOOKUP(A1632,Planilha2!$A$2:$C$5566,3,0)</f>
        <v>COXIM</v>
      </c>
      <c r="C1632" t="str">
        <f>VLOOKUP(A1632,Planilha2!$A$2:$D$5566,4,0)</f>
        <v>MS</v>
      </c>
    </row>
    <row r="1633" spans="1:3" x14ac:dyDescent="0.35">
      <c r="A1633">
        <v>510560</v>
      </c>
      <c r="B1633" t="str">
        <f>VLOOKUP(A1633,Planilha2!$A$2:$C$5566,3,0)</f>
        <v>MATUPÁ</v>
      </c>
      <c r="C1633" t="str">
        <f>VLOOKUP(A1633,Planilha2!$A$2:$D$5566,4,0)</f>
        <v>MT</v>
      </c>
    </row>
    <row r="1634" spans="1:3" x14ac:dyDescent="0.35">
      <c r="A1634">
        <v>510410</v>
      </c>
      <c r="B1634" t="str">
        <f>VLOOKUP(A1634,Planilha2!$A$2:$C$5566,3,0)</f>
        <v>GUARANTÃ DO NORTE</v>
      </c>
      <c r="C1634" t="str">
        <f>VLOOKUP(A1634,Planilha2!$A$2:$D$5566,4,0)</f>
        <v>MT</v>
      </c>
    </row>
    <row r="1635" spans="1:3" x14ac:dyDescent="0.35">
      <c r="A1635">
        <v>510642</v>
      </c>
      <c r="B1635" t="str">
        <f>VLOOKUP(A1635,Planilha2!$A$2:$C$5566,3,0)</f>
        <v>PEIXOTO DE AZEVEDO</v>
      </c>
      <c r="C1635" t="str">
        <f>VLOOKUP(A1635,Planilha2!$A$2:$D$5566,4,0)</f>
        <v>MT</v>
      </c>
    </row>
    <row r="1636" spans="1:3" x14ac:dyDescent="0.35">
      <c r="A1636">
        <v>510627</v>
      </c>
      <c r="B1636" t="str">
        <f>VLOOKUP(A1636,Planilha2!$A$2:$C$5566,3,0)</f>
        <v>NOVO HORIZONTE DO NORTE</v>
      </c>
      <c r="C1636" t="str">
        <f>VLOOKUP(A1636,Planilha2!$A$2:$D$5566,4,0)</f>
        <v>MT</v>
      </c>
    </row>
    <row r="1637" spans="1:3" x14ac:dyDescent="0.35">
      <c r="A1637">
        <v>510020</v>
      </c>
      <c r="B1637" t="str">
        <f>VLOOKUP(A1637,Planilha2!$A$2:$C$5566,3,0)</f>
        <v>ÁGUA BOA</v>
      </c>
      <c r="C1637" t="str">
        <f>VLOOKUP(A1637,Planilha2!$A$2:$D$5566,4,0)</f>
        <v>MT</v>
      </c>
    </row>
    <row r="1638" spans="1:3" x14ac:dyDescent="0.35">
      <c r="A1638">
        <v>510180</v>
      </c>
      <c r="B1638" t="str">
        <f>VLOOKUP(A1638,Planilha2!$A$2:$C$5566,3,0)</f>
        <v>BARRA DO GARÇAS</v>
      </c>
      <c r="C1638" t="str">
        <f>VLOOKUP(A1638,Planilha2!$A$2:$D$5566,4,0)</f>
        <v>MT</v>
      </c>
    </row>
    <row r="1639" spans="1:3" x14ac:dyDescent="0.35">
      <c r="A1639">
        <v>510795</v>
      </c>
      <c r="B1639" t="str">
        <f>VLOOKUP(A1639,Planilha2!$A$2:$C$5566,3,0)</f>
        <v>TANGARÁ DA SERRA</v>
      </c>
      <c r="C1639" t="str">
        <f>VLOOKUP(A1639,Planilha2!$A$2:$D$5566,4,0)</f>
        <v>MT</v>
      </c>
    </row>
    <row r="1640" spans="1:3" x14ac:dyDescent="0.35">
      <c r="A1640">
        <v>510700</v>
      </c>
      <c r="B1640" t="str">
        <f>VLOOKUP(A1640,Planilha2!$A$2:$C$5566,3,0)</f>
        <v>POXORÉO</v>
      </c>
      <c r="C1640" t="str">
        <f>VLOOKUP(A1640,Planilha2!$A$2:$D$5566,4,0)</f>
        <v>MT</v>
      </c>
    </row>
    <row r="1641" spans="1:3" x14ac:dyDescent="0.35">
      <c r="A1641">
        <v>510610</v>
      </c>
      <c r="B1641" t="str">
        <f>VLOOKUP(A1641,Planilha2!$A$2:$C$5566,3,0)</f>
        <v>NOSSA SENHORA DO LIVRAMENTO</v>
      </c>
      <c r="C1641" t="str">
        <f>VLOOKUP(A1641,Planilha2!$A$2:$D$5566,4,0)</f>
        <v>MT</v>
      </c>
    </row>
    <row r="1642" spans="1:3" x14ac:dyDescent="0.35">
      <c r="A1642">
        <v>510790</v>
      </c>
      <c r="B1642" t="str">
        <f>VLOOKUP(A1642,Planilha2!$A$2:$C$5566,3,0)</f>
        <v>SINOP</v>
      </c>
      <c r="C1642" t="str">
        <f>VLOOKUP(A1642,Planilha2!$A$2:$D$5566,4,0)</f>
        <v>MT</v>
      </c>
    </row>
    <row r="1643" spans="1:3" x14ac:dyDescent="0.35">
      <c r="A1643">
        <v>510370</v>
      </c>
      <c r="B1643" t="str">
        <f>VLOOKUP(A1643,Planilha2!$A$2:$C$5566,3,0)</f>
        <v>FELIZ NATAL</v>
      </c>
      <c r="C1643" t="str">
        <f>VLOOKUP(A1643,Planilha2!$A$2:$D$5566,4,0)</f>
        <v>MT</v>
      </c>
    </row>
    <row r="1644" spans="1:3" x14ac:dyDescent="0.35">
      <c r="A1644">
        <v>510704</v>
      </c>
      <c r="B1644" t="str">
        <f>VLOOKUP(A1644,Planilha2!$A$2:$C$5566,3,0)</f>
        <v>PRIMAVERA DO LESTE</v>
      </c>
      <c r="C1644" t="str">
        <f>VLOOKUP(A1644,Planilha2!$A$2:$D$5566,4,0)</f>
        <v>MT</v>
      </c>
    </row>
    <row r="1645" spans="1:3" x14ac:dyDescent="0.35">
      <c r="A1645">
        <v>510630</v>
      </c>
      <c r="B1645" t="str">
        <f>VLOOKUP(A1645,Planilha2!$A$2:$C$5566,3,0)</f>
        <v>PARANATINGA</v>
      </c>
      <c r="C1645" t="str">
        <f>VLOOKUP(A1645,Planilha2!$A$2:$D$5566,4,0)</f>
        <v>MT</v>
      </c>
    </row>
    <row r="1646" spans="1:3" x14ac:dyDescent="0.35">
      <c r="A1646">
        <v>510760</v>
      </c>
      <c r="B1646" t="str">
        <f>VLOOKUP(A1646,Planilha2!$A$2:$C$5566,3,0)</f>
        <v>RONDONÓPOLIS</v>
      </c>
      <c r="C1646" t="str">
        <f>VLOOKUP(A1646,Planilha2!$A$2:$D$5566,4,0)</f>
        <v>MT</v>
      </c>
    </row>
    <row r="1647" spans="1:3" x14ac:dyDescent="0.35">
      <c r="A1647">
        <v>510360</v>
      </c>
      <c r="B1647" t="str">
        <f>VLOOKUP(A1647,Planilha2!$A$2:$C$5566,3,0)</f>
        <v>DOM AQUINO</v>
      </c>
      <c r="C1647" t="str">
        <f>VLOOKUP(A1647,Planilha2!$A$2:$D$5566,4,0)</f>
        <v>MT</v>
      </c>
    </row>
    <row r="1648" spans="1:3" x14ac:dyDescent="0.35">
      <c r="A1648">
        <v>510637</v>
      </c>
      <c r="B1648" t="str">
        <f>VLOOKUP(A1648,Planilha2!$A$2:$C$5566,3,0)</f>
        <v>PEDRA PRETA</v>
      </c>
      <c r="C1648" t="str">
        <f>VLOOKUP(A1648,Planilha2!$A$2:$D$5566,4,0)</f>
        <v>MT</v>
      </c>
    </row>
    <row r="1649" spans="1:3" x14ac:dyDescent="0.35">
      <c r="A1649">
        <v>510250</v>
      </c>
      <c r="B1649" t="str">
        <f>VLOOKUP(A1649,Planilha2!$A$2:$C$5566,3,0)</f>
        <v>CÁCERES</v>
      </c>
      <c r="C1649" t="str">
        <f>VLOOKUP(A1649,Planilha2!$A$2:$D$5566,4,0)</f>
        <v>MT</v>
      </c>
    </row>
    <row r="1650" spans="1:3" x14ac:dyDescent="0.35">
      <c r="A1650">
        <v>510710</v>
      </c>
      <c r="B1650" t="str">
        <f>VLOOKUP(A1650,Planilha2!$A$2:$C$5566,3,0)</f>
        <v>SÃO JOSÉ DOS QUATRO MARCOS</v>
      </c>
      <c r="C1650" t="str">
        <f>VLOOKUP(A1650,Planilha2!$A$2:$D$5566,4,0)</f>
        <v>MT</v>
      </c>
    </row>
    <row r="1651" spans="1:3" x14ac:dyDescent="0.35">
      <c r="A1651">
        <v>510125</v>
      </c>
      <c r="B1651" t="str">
        <f>VLOOKUP(A1651,Planilha2!$A$2:$C$5566,3,0)</f>
        <v>ARAPUTANGA</v>
      </c>
      <c r="C1651" t="str">
        <f>VLOOKUP(A1651,Planilha2!$A$2:$D$5566,4,0)</f>
        <v>MT</v>
      </c>
    </row>
    <row r="1652" spans="1:3" x14ac:dyDescent="0.35">
      <c r="A1652">
        <v>510645</v>
      </c>
      <c r="B1652" t="str">
        <f>VLOOKUP(A1652,Planilha2!$A$2:$C$5566,3,0)</f>
        <v>PLANALTO DA SERRA</v>
      </c>
      <c r="C1652" t="str">
        <f>VLOOKUP(A1652,Planilha2!$A$2:$D$5566,4,0)</f>
        <v>MT</v>
      </c>
    </row>
    <row r="1653" spans="1:3" x14ac:dyDescent="0.35">
      <c r="A1653">
        <v>510840</v>
      </c>
      <c r="B1653" t="str">
        <f>VLOOKUP(A1653,Planilha2!$A$2:$C$5566,3,0)</f>
        <v>VÁRZEA GRANDE</v>
      </c>
      <c r="C1653" t="str">
        <f>VLOOKUP(A1653,Planilha2!$A$2:$D$5566,4,0)</f>
        <v>MT</v>
      </c>
    </row>
    <row r="1654" spans="1:3" x14ac:dyDescent="0.35">
      <c r="A1654">
        <v>510345</v>
      </c>
      <c r="B1654" t="str">
        <f>VLOOKUP(A1654,Planilha2!$A$2:$C$5566,3,0)</f>
        <v>DENISE</v>
      </c>
      <c r="C1654" t="str">
        <f>VLOOKUP(A1654,Planilha2!$A$2:$D$5566,4,0)</f>
        <v>MT</v>
      </c>
    </row>
    <row r="1655" spans="1:3" x14ac:dyDescent="0.35">
      <c r="A1655">
        <v>510650</v>
      </c>
      <c r="B1655" t="str">
        <f>VLOOKUP(A1655,Planilha2!$A$2:$C$5566,3,0)</f>
        <v>POCONÉ</v>
      </c>
      <c r="C1655" t="str">
        <f>VLOOKUP(A1655,Planilha2!$A$2:$D$5566,4,0)</f>
        <v>MT</v>
      </c>
    </row>
    <row r="1656" spans="1:3" x14ac:dyDescent="0.35">
      <c r="A1656">
        <v>510490</v>
      </c>
      <c r="B1656" t="str">
        <f>VLOOKUP(A1656,Planilha2!$A$2:$C$5566,3,0)</f>
        <v>JANGADA</v>
      </c>
      <c r="C1656" t="str">
        <f>VLOOKUP(A1656,Planilha2!$A$2:$D$5566,4,0)</f>
        <v>MT</v>
      </c>
    </row>
    <row r="1657" spans="1:3" x14ac:dyDescent="0.35">
      <c r="A1657">
        <v>510263</v>
      </c>
      <c r="B1657" t="str">
        <f>VLOOKUP(A1657,Planilha2!$A$2:$C$5566,3,0)</f>
        <v>CAMPO NOVO DO PARECIS</v>
      </c>
      <c r="C1657" t="str">
        <f>VLOOKUP(A1657,Planilha2!$A$2:$D$5566,4,0)</f>
        <v>MT</v>
      </c>
    </row>
    <row r="1658" spans="1:3" x14ac:dyDescent="0.35">
      <c r="A1658">
        <v>521890</v>
      </c>
      <c r="B1658" t="str">
        <f>VLOOKUP(A1658,Planilha2!$A$2:$C$5566,3,0)</f>
        <v>RUBIATABA</v>
      </c>
      <c r="C1658" t="str">
        <f>VLOOKUP(A1658,Planilha2!$A$2:$D$5566,4,0)</f>
        <v>GO</v>
      </c>
    </row>
    <row r="1659" spans="1:3" x14ac:dyDescent="0.35">
      <c r="A1659">
        <v>521090</v>
      </c>
      <c r="B1659" t="str">
        <f>VLOOKUP(A1659,Planilha2!$A$2:$C$5566,3,0)</f>
        <v>ITAPACI</v>
      </c>
      <c r="C1659" t="str">
        <f>VLOOKUP(A1659,Planilha2!$A$2:$D$5566,4,0)</f>
        <v>GO</v>
      </c>
    </row>
    <row r="1660" spans="1:3" x14ac:dyDescent="0.35">
      <c r="A1660">
        <v>520860</v>
      </c>
      <c r="B1660" t="str">
        <f>VLOOKUP(A1660,Planilha2!$A$2:$C$5566,3,0)</f>
        <v>GOIANÉSIA</v>
      </c>
      <c r="C1660" t="str">
        <f>VLOOKUP(A1660,Planilha2!$A$2:$D$5566,4,0)</f>
        <v>GO</v>
      </c>
    </row>
    <row r="1661" spans="1:3" x14ac:dyDescent="0.35">
      <c r="A1661">
        <v>521305</v>
      </c>
      <c r="B1661" t="str">
        <f>VLOOKUP(A1661,Planilha2!$A$2:$C$5566,3,0)</f>
        <v>MIMOSO DE GOIÁS</v>
      </c>
      <c r="C1661" t="str">
        <f>VLOOKUP(A1661,Planilha2!$A$2:$D$5566,4,0)</f>
        <v>GO</v>
      </c>
    </row>
    <row r="1662" spans="1:3" x14ac:dyDescent="0.35">
      <c r="A1662">
        <v>521220</v>
      </c>
      <c r="B1662" t="str">
        <f>VLOOKUP(A1662,Planilha2!$A$2:$C$5566,3,0)</f>
        <v>JUSSARA</v>
      </c>
      <c r="C1662" t="str">
        <f>VLOOKUP(A1662,Planilha2!$A$2:$D$5566,4,0)</f>
        <v>GO</v>
      </c>
    </row>
    <row r="1663" spans="1:3" x14ac:dyDescent="0.35">
      <c r="A1663">
        <v>521040</v>
      </c>
      <c r="B1663" t="str">
        <f>VLOOKUP(A1663,Planilha2!$A$2:$C$5566,3,0)</f>
        <v>ITABERAÍ</v>
      </c>
      <c r="C1663" t="str">
        <f>VLOOKUP(A1663,Planilha2!$A$2:$D$5566,4,0)</f>
        <v>GO</v>
      </c>
    </row>
    <row r="1664" spans="1:3" x14ac:dyDescent="0.35">
      <c r="A1664">
        <v>520780</v>
      </c>
      <c r="B1664" t="str">
        <f>VLOOKUP(A1664,Planilha2!$A$2:$C$5566,3,0)</f>
        <v>FIRMINÓPOLIS</v>
      </c>
      <c r="C1664" t="str">
        <f>VLOOKUP(A1664,Planilha2!$A$2:$D$5566,4,0)</f>
        <v>GO</v>
      </c>
    </row>
    <row r="1665" spans="1:3" x14ac:dyDescent="0.35">
      <c r="A1665">
        <v>521570</v>
      </c>
      <c r="B1665" t="str">
        <f>VLOOKUP(A1665,Planilha2!$A$2:$C$5566,3,0)</f>
        <v>PALMEIRAS DE GOIÁS</v>
      </c>
      <c r="C1665" t="str">
        <f>VLOOKUP(A1665,Planilha2!$A$2:$D$5566,4,0)</f>
        <v>GO</v>
      </c>
    </row>
    <row r="1666" spans="1:3" x14ac:dyDescent="0.35">
      <c r="A1666">
        <v>522010</v>
      </c>
      <c r="B1666" t="str">
        <f>VLOOKUP(A1666,Planilha2!$A$2:$C$5566,3,0)</f>
        <v>SÃO LUÍS DE MONTES BELOS</v>
      </c>
      <c r="C1666" t="str">
        <f>VLOOKUP(A1666,Planilha2!$A$2:$D$5566,4,0)</f>
        <v>GO</v>
      </c>
    </row>
    <row r="1667" spans="1:3" x14ac:dyDescent="0.35">
      <c r="A1667">
        <v>520890</v>
      </c>
      <c r="B1667" t="str">
        <f>VLOOKUP(A1667,Planilha2!$A$2:$C$5566,3,0)</f>
        <v>GOIÁS</v>
      </c>
      <c r="C1667" t="str">
        <f>VLOOKUP(A1667,Planilha2!$A$2:$D$5566,4,0)</f>
        <v>GO</v>
      </c>
    </row>
    <row r="1668" spans="1:3" x14ac:dyDescent="0.35">
      <c r="A1668">
        <v>521308</v>
      </c>
      <c r="B1668" t="str">
        <f>VLOOKUP(A1668,Planilha2!$A$2:$C$5566,3,0)</f>
        <v>MINAÇU</v>
      </c>
      <c r="C1668" t="str">
        <f>VLOOKUP(A1668,Planilha2!$A$2:$D$5566,4,0)</f>
        <v>GO</v>
      </c>
    </row>
    <row r="1669" spans="1:3" x14ac:dyDescent="0.35">
      <c r="A1669">
        <v>520552</v>
      </c>
      <c r="B1669" t="str">
        <f>VLOOKUP(A1669,Planilha2!$A$2:$C$5566,3,0)</f>
        <v>COLINAS DO SUL</v>
      </c>
      <c r="C1669" t="str">
        <f>VLOOKUP(A1669,Planilha2!$A$2:$D$5566,4,0)</f>
        <v>GO</v>
      </c>
    </row>
    <row r="1670" spans="1:3" x14ac:dyDescent="0.35">
      <c r="A1670">
        <v>520750</v>
      </c>
      <c r="B1670" t="str">
        <f>VLOOKUP(A1670,Planilha2!$A$2:$C$5566,3,0)</f>
        <v>ESTRELA DO NORTE</v>
      </c>
      <c r="C1670" t="str">
        <f>VLOOKUP(A1670,Planilha2!$A$2:$D$5566,4,0)</f>
        <v>GO</v>
      </c>
    </row>
    <row r="1671" spans="1:3" x14ac:dyDescent="0.35">
      <c r="A1671">
        <v>522160</v>
      </c>
      <c r="B1671" t="str">
        <f>VLOOKUP(A1671,Planilha2!$A$2:$C$5566,3,0)</f>
        <v>URUAÇU</v>
      </c>
      <c r="C1671" t="str">
        <f>VLOOKUP(A1671,Planilha2!$A$2:$D$5566,4,0)</f>
        <v>GO</v>
      </c>
    </row>
    <row r="1672" spans="1:3" x14ac:dyDescent="0.35">
      <c r="A1672">
        <v>522100</v>
      </c>
      <c r="B1672" t="str">
        <f>VLOOKUP(A1672,Planilha2!$A$2:$C$5566,3,0)</f>
        <v>TAQUARAL DE GOIÁS</v>
      </c>
      <c r="C1672" t="str">
        <f>VLOOKUP(A1672,Planilha2!$A$2:$D$5566,4,0)</f>
        <v>GO</v>
      </c>
    </row>
    <row r="1673" spans="1:3" x14ac:dyDescent="0.35">
      <c r="A1673">
        <v>520320</v>
      </c>
      <c r="B1673" t="str">
        <f>VLOOKUP(A1673,Planilha2!$A$2:$C$5566,3,0)</f>
        <v>BARRO ALTO</v>
      </c>
      <c r="C1673" t="str">
        <f>VLOOKUP(A1673,Planilha2!$A$2:$D$5566,4,0)</f>
        <v>GO</v>
      </c>
    </row>
    <row r="1674" spans="1:3" x14ac:dyDescent="0.35">
      <c r="A1674">
        <v>521000</v>
      </c>
      <c r="B1674" t="str">
        <f>VLOOKUP(A1674,Planilha2!$A$2:$C$5566,3,0)</f>
        <v>INHUMAS</v>
      </c>
      <c r="C1674" t="str">
        <f>VLOOKUP(A1674,Planilha2!$A$2:$D$5566,4,0)</f>
        <v>GO</v>
      </c>
    </row>
    <row r="1675" spans="1:3" x14ac:dyDescent="0.35">
      <c r="A1675">
        <v>520005</v>
      </c>
      <c r="B1675" t="str">
        <f>VLOOKUP(A1675,Planilha2!$A$2:$C$5566,3,0)</f>
        <v>ABADIA DE GOIÁS</v>
      </c>
      <c r="C1675" t="str">
        <f>VLOOKUP(A1675,Planilha2!$A$2:$D$5566,4,0)</f>
        <v>GO</v>
      </c>
    </row>
    <row r="1676" spans="1:3" x14ac:dyDescent="0.35">
      <c r="A1676">
        <v>520180</v>
      </c>
      <c r="B1676" t="str">
        <f>VLOOKUP(A1676,Planilha2!$A$2:$C$5566,3,0)</f>
        <v>ARAGOIÂNIA</v>
      </c>
      <c r="C1676" t="str">
        <f>VLOOKUP(A1676,Planilha2!$A$2:$D$5566,4,0)</f>
        <v>GO</v>
      </c>
    </row>
    <row r="1677" spans="1:3" x14ac:dyDescent="0.35">
      <c r="A1677">
        <v>520880</v>
      </c>
      <c r="B1677" t="str">
        <f>VLOOKUP(A1677,Planilha2!$A$2:$C$5566,3,0)</f>
        <v>GOIANIRA</v>
      </c>
      <c r="C1677" t="str">
        <f>VLOOKUP(A1677,Planilha2!$A$2:$D$5566,4,0)</f>
        <v>GO</v>
      </c>
    </row>
    <row r="1678" spans="1:3" x14ac:dyDescent="0.35">
      <c r="A1678">
        <v>521910</v>
      </c>
      <c r="B1678" t="str">
        <f>VLOOKUP(A1678,Planilha2!$A$2:$C$5566,3,0)</f>
        <v>SANTA BÁRBARA DE GOIÁS</v>
      </c>
      <c r="C1678" t="str">
        <f>VLOOKUP(A1678,Planilha2!$A$2:$D$5566,4,0)</f>
        <v>GO</v>
      </c>
    </row>
    <row r="1679" spans="1:3" x14ac:dyDescent="0.35">
      <c r="A1679">
        <v>520995</v>
      </c>
      <c r="B1679" t="str">
        <f>VLOOKUP(A1679,Planilha2!$A$2:$C$5566,3,0)</f>
        <v>INDIARA</v>
      </c>
      <c r="C1679" t="str">
        <f>VLOOKUP(A1679,Planilha2!$A$2:$D$5566,4,0)</f>
        <v>GO</v>
      </c>
    </row>
    <row r="1680" spans="1:3" x14ac:dyDescent="0.35">
      <c r="A1680">
        <v>521250</v>
      </c>
      <c r="B1680" t="str">
        <f>VLOOKUP(A1680,Planilha2!$A$2:$C$5566,3,0)</f>
        <v>LUZIÂNIA</v>
      </c>
      <c r="C1680" t="str">
        <f>VLOOKUP(A1680,Planilha2!$A$2:$D$5566,4,0)</f>
        <v>GO</v>
      </c>
    </row>
    <row r="1681" spans="1:3" x14ac:dyDescent="0.35">
      <c r="A1681">
        <v>230710</v>
      </c>
      <c r="B1681" t="str">
        <f>VLOOKUP(A1681,Planilha2!$A$2:$C$5566,3,0)</f>
        <v>JARDIM</v>
      </c>
      <c r="C1681" t="str">
        <f>VLOOKUP(A1681,Planilha2!$A$2:$D$5566,4,0)</f>
        <v>CE</v>
      </c>
    </row>
    <row r="1682" spans="1:3" x14ac:dyDescent="0.35">
      <c r="A1682">
        <v>310930</v>
      </c>
      <c r="B1682" t="str">
        <f>VLOOKUP(A1682,Planilha2!$A$2:$C$5566,3,0)</f>
        <v>BURITIS</v>
      </c>
      <c r="C1682" t="str">
        <f>VLOOKUP(A1682,Planilha2!$A$2:$D$5566,4,0)</f>
        <v>MG</v>
      </c>
    </row>
    <row r="1683" spans="1:3" x14ac:dyDescent="0.35">
      <c r="A1683">
        <v>520549</v>
      </c>
      <c r="B1683" t="str">
        <f>VLOOKUP(A1683,Planilha2!$A$2:$C$5566,3,0)</f>
        <v>CIDADE OCIDENTAL</v>
      </c>
      <c r="C1683" t="str">
        <f>VLOOKUP(A1683,Planilha2!$A$2:$D$5566,4,0)</f>
        <v>GO</v>
      </c>
    </row>
    <row r="1684" spans="1:3" x14ac:dyDescent="0.35">
      <c r="A1684">
        <v>520640</v>
      </c>
      <c r="B1684" t="str">
        <f>VLOOKUP(A1684,Planilha2!$A$2:$C$5566,3,0)</f>
        <v>CRIXÁS</v>
      </c>
      <c r="C1684" t="str">
        <f>VLOOKUP(A1684,Planilha2!$A$2:$D$5566,4,0)</f>
        <v>GO</v>
      </c>
    </row>
    <row r="1685" spans="1:3" x14ac:dyDescent="0.35">
      <c r="A1685">
        <v>520485</v>
      </c>
      <c r="B1685" t="str">
        <f>VLOOKUP(A1685,Planilha2!$A$2:$C$5566,3,0)</f>
        <v>CAMPO LIMPO DE GOIÁS</v>
      </c>
      <c r="C1685" t="str">
        <f>VLOOKUP(A1685,Planilha2!$A$2:$D$5566,4,0)</f>
        <v>GO</v>
      </c>
    </row>
    <row r="1686" spans="1:3" x14ac:dyDescent="0.35">
      <c r="A1686">
        <v>521730</v>
      </c>
      <c r="B1686" t="str">
        <f>VLOOKUP(A1686,Planilha2!$A$2:$C$5566,3,0)</f>
        <v>PIRENÓPOLIS</v>
      </c>
      <c r="C1686" t="str">
        <f>VLOOKUP(A1686,Planilha2!$A$2:$D$5566,4,0)</f>
        <v>GO</v>
      </c>
    </row>
    <row r="1687" spans="1:3" x14ac:dyDescent="0.35">
      <c r="A1687">
        <v>520110</v>
      </c>
      <c r="B1687" t="str">
        <f>VLOOKUP(A1687,Planilha2!$A$2:$C$5566,3,0)</f>
        <v>ANÁPOLIS</v>
      </c>
      <c r="C1687" t="str">
        <f>VLOOKUP(A1687,Planilha2!$A$2:$D$5566,4,0)</f>
        <v>GO</v>
      </c>
    </row>
    <row r="1688" spans="1:3" x14ac:dyDescent="0.35">
      <c r="A1688">
        <v>230220</v>
      </c>
      <c r="B1688" t="str">
        <f>VLOOKUP(A1688,Planilha2!$A$2:$C$5566,3,0)</f>
        <v>BEBERIBE</v>
      </c>
      <c r="C1688" t="str">
        <f>VLOOKUP(A1688,Planilha2!$A$2:$D$5566,4,0)</f>
        <v>CE</v>
      </c>
    </row>
    <row r="1689" spans="1:3" x14ac:dyDescent="0.35">
      <c r="A1689">
        <v>140040</v>
      </c>
      <c r="B1689" t="str">
        <f>VLOOKUP(A1689,Planilha2!$A$2:$C$5566,3,0)</f>
        <v>NORMANDIA</v>
      </c>
      <c r="C1689" t="str">
        <f>VLOOKUP(A1689,Planilha2!$A$2:$D$5566,4,0)</f>
        <v>RR</v>
      </c>
    </row>
    <row r="1690" spans="1:3" x14ac:dyDescent="0.35">
      <c r="A1690">
        <v>420430</v>
      </c>
      <c r="B1690" t="str">
        <f>VLOOKUP(A1690,Planilha2!$A$2:$C$5566,3,0)</f>
        <v>CONCÓRDIA</v>
      </c>
      <c r="C1690" t="str">
        <f>VLOOKUP(A1690,Planilha2!$A$2:$D$5566,4,0)</f>
        <v>SC</v>
      </c>
    </row>
    <row r="1691" spans="1:3" x14ac:dyDescent="0.35">
      <c r="A1691">
        <v>230110</v>
      </c>
      <c r="B1691" t="str">
        <f>VLOOKUP(A1691,Planilha2!$A$2:$C$5566,3,0)</f>
        <v>ARACATI</v>
      </c>
      <c r="C1691" t="str">
        <f>VLOOKUP(A1691,Planilha2!$A$2:$D$5566,4,0)</f>
        <v>CE</v>
      </c>
    </row>
    <row r="1692" spans="1:3" x14ac:dyDescent="0.35">
      <c r="A1692">
        <v>320020</v>
      </c>
      <c r="B1692" t="str">
        <f>VLOOKUP(A1692,Planilha2!$A$2:$C$5566,3,0)</f>
        <v>ALEGRE</v>
      </c>
      <c r="C1692" t="str">
        <f>VLOOKUP(A1692,Planilha2!$A$2:$D$5566,4,0)</f>
        <v>ES</v>
      </c>
    </row>
    <row r="1693" spans="1:3" x14ac:dyDescent="0.35">
      <c r="A1693">
        <v>250600</v>
      </c>
      <c r="B1693" t="str">
        <f>VLOOKUP(A1693,Planilha2!$A$2:$C$5566,3,0)</f>
        <v>ESPERANÇA</v>
      </c>
      <c r="C1693" t="str">
        <f>VLOOKUP(A1693,Planilha2!$A$2:$D$5566,4,0)</f>
        <v>PB</v>
      </c>
    </row>
    <row r="1694" spans="1:3" x14ac:dyDescent="0.35">
      <c r="A1694">
        <v>330205</v>
      </c>
      <c r="B1694" t="str">
        <f>VLOOKUP(A1694,Planilha2!$A$2:$C$5566,3,0)</f>
        <v>ITALVA</v>
      </c>
      <c r="C1694" t="str">
        <f>VLOOKUP(A1694,Planilha2!$A$2:$D$5566,4,0)</f>
        <v>RJ</v>
      </c>
    </row>
    <row r="1695" spans="1:3" x14ac:dyDescent="0.35">
      <c r="A1695">
        <v>411630</v>
      </c>
      <c r="B1695" t="str">
        <f>VLOOKUP(A1695,Planilha2!$A$2:$C$5566,3,0)</f>
        <v>MUNHOZ DE MELO</v>
      </c>
      <c r="C1695" t="str">
        <f>VLOOKUP(A1695,Planilha2!$A$2:$D$5566,4,0)</f>
        <v>PR</v>
      </c>
    </row>
    <row r="1696" spans="1:3" x14ac:dyDescent="0.35">
      <c r="A1696">
        <v>432010</v>
      </c>
      <c r="B1696" t="str">
        <f>VLOOKUP(A1696,Planilha2!$A$2:$C$5566,3,0)</f>
        <v>SARANDI</v>
      </c>
      <c r="C1696" t="str">
        <f>VLOOKUP(A1696,Planilha2!$A$2:$D$5566,4,0)</f>
        <v>RS</v>
      </c>
    </row>
    <row r="1697" spans="1:3" x14ac:dyDescent="0.35">
      <c r="A1697">
        <v>430590</v>
      </c>
      <c r="B1697" t="str">
        <f>VLOOKUP(A1697,Planilha2!$A$2:$C$5566,3,0)</f>
        <v>CORONEL BICACO</v>
      </c>
      <c r="C1697" t="str">
        <f>VLOOKUP(A1697,Planilha2!$A$2:$D$5566,4,0)</f>
        <v>RS</v>
      </c>
    </row>
    <row r="1698" spans="1:3" x14ac:dyDescent="0.35">
      <c r="A1698">
        <v>521530</v>
      </c>
      <c r="B1698" t="str">
        <f>VLOOKUP(A1698,Planilha2!$A$2:$C$5566,3,0)</f>
        <v>ORIZONA</v>
      </c>
      <c r="C1698" t="str">
        <f>VLOOKUP(A1698,Planilha2!$A$2:$D$5566,4,0)</f>
        <v>GO</v>
      </c>
    </row>
    <row r="1699" spans="1:3" x14ac:dyDescent="0.35">
      <c r="A1699">
        <v>522200</v>
      </c>
      <c r="B1699" t="str">
        <f>VLOOKUP(A1699,Planilha2!$A$2:$C$5566,3,0)</f>
        <v>VIANÓPOLIS</v>
      </c>
      <c r="C1699" t="str">
        <f>VLOOKUP(A1699,Planilha2!$A$2:$D$5566,4,0)</f>
        <v>GO</v>
      </c>
    </row>
    <row r="1700" spans="1:3" x14ac:dyDescent="0.35">
      <c r="A1700">
        <v>521839</v>
      </c>
      <c r="B1700" t="str">
        <f>VLOOKUP(A1700,Planilha2!$A$2:$C$5566,3,0)</f>
        <v>PROFESSOR JAMIL</v>
      </c>
      <c r="C1700" t="str">
        <f>VLOOKUP(A1700,Planilha2!$A$2:$D$5566,4,0)</f>
        <v>GO</v>
      </c>
    </row>
    <row r="1701" spans="1:3" x14ac:dyDescent="0.35">
      <c r="A1701">
        <v>150157</v>
      </c>
      <c r="B1701" t="str">
        <f>VLOOKUP(A1701,Planilha2!$A$2:$C$5566,3,0)</f>
        <v>BOM JESUS DO TOCANTINS</v>
      </c>
      <c r="C1701" t="str">
        <f>VLOOKUP(A1701,Planilha2!$A$2:$D$5566,4,0)</f>
        <v>PA</v>
      </c>
    </row>
    <row r="1702" spans="1:3" x14ac:dyDescent="0.35">
      <c r="A1702">
        <v>150309</v>
      </c>
      <c r="B1702" t="str">
        <f>VLOOKUP(A1702,Planilha2!$A$2:$C$5566,3,0)</f>
        <v>GOIANÉSIA DO PARÁ</v>
      </c>
      <c r="C1702" t="str">
        <f>VLOOKUP(A1702,Planilha2!$A$2:$D$5566,4,0)</f>
        <v>PA</v>
      </c>
    </row>
    <row r="1703" spans="1:3" x14ac:dyDescent="0.35">
      <c r="A1703">
        <v>150549</v>
      </c>
      <c r="B1703" t="str">
        <f>VLOOKUP(A1703,Planilha2!$A$2:$C$5566,3,0)</f>
        <v>PALESTINA DO PARÁ</v>
      </c>
      <c r="C1703" t="str">
        <f>VLOOKUP(A1703,Planilha2!$A$2:$D$5566,4,0)</f>
        <v>PA</v>
      </c>
    </row>
    <row r="1704" spans="1:3" x14ac:dyDescent="0.35">
      <c r="A1704">
        <v>150619</v>
      </c>
      <c r="B1704" t="str">
        <f>VLOOKUP(A1704,Planilha2!$A$2:$C$5566,3,0)</f>
        <v>RURÓPOLIS</v>
      </c>
      <c r="C1704" t="str">
        <f>VLOOKUP(A1704,Planilha2!$A$2:$D$5566,4,0)</f>
        <v>PA</v>
      </c>
    </row>
    <row r="1705" spans="1:3" x14ac:dyDescent="0.35">
      <c r="A1705">
        <v>150040</v>
      </c>
      <c r="B1705" t="str">
        <f>VLOOKUP(A1705,Planilha2!$A$2:$C$5566,3,0)</f>
        <v>ALENQUER</v>
      </c>
      <c r="C1705" t="str">
        <f>VLOOKUP(A1705,Planilha2!$A$2:$D$5566,4,0)</f>
        <v>PA</v>
      </c>
    </row>
    <row r="1706" spans="1:3" x14ac:dyDescent="0.35">
      <c r="A1706" s="2">
        <v>150475</v>
      </c>
      <c r="B1706" t="str">
        <f>VLOOKUP(A1706,[1]IBGE!A$2:B$27,2,0)</f>
        <v>Mojuí dos Campos</v>
      </c>
      <c r="C1706" t="str">
        <f>VLOOKUP(A1706,[1]IBGE!A$2:C$27,3,0)</f>
        <v>PA</v>
      </c>
    </row>
    <row r="1707" spans="1:3" x14ac:dyDescent="0.35">
      <c r="A1707">
        <v>150293</v>
      </c>
      <c r="B1707" t="str">
        <f>VLOOKUP(A1707,Planilha2!$A$2:$C$5566,3,0)</f>
        <v>DOM ELISEU</v>
      </c>
      <c r="C1707" t="str">
        <f>VLOOKUP(A1707,Planilha2!$A$2:$D$5566,4,0)</f>
        <v>PA</v>
      </c>
    </row>
    <row r="1708" spans="1:3" x14ac:dyDescent="0.35">
      <c r="A1708">
        <v>150095</v>
      </c>
      <c r="B1708" t="str">
        <f>VLOOKUP(A1708,Planilha2!$A$2:$C$5566,3,0)</f>
        <v>AURORA DO PARÁ</v>
      </c>
      <c r="C1708" t="str">
        <f>VLOOKUP(A1708,Planilha2!$A$2:$D$5566,4,0)</f>
        <v>PA</v>
      </c>
    </row>
    <row r="1709" spans="1:3" x14ac:dyDescent="0.35">
      <c r="A1709">
        <v>150800</v>
      </c>
      <c r="B1709" t="str">
        <f>VLOOKUP(A1709,Planilha2!$A$2:$C$5566,3,0)</f>
        <v>TOMÉ-AÇU</v>
      </c>
      <c r="C1709" t="str">
        <f>VLOOKUP(A1709,Planilha2!$A$2:$D$5566,4,0)</f>
        <v>PA</v>
      </c>
    </row>
    <row r="1710" spans="1:3" x14ac:dyDescent="0.35">
      <c r="A1710">
        <v>150795</v>
      </c>
      <c r="B1710" t="str">
        <f>VLOOKUP(A1710,Planilha2!$A$2:$C$5566,3,0)</f>
        <v>TAILÂNDIA</v>
      </c>
      <c r="C1710" t="str">
        <f>VLOOKUP(A1710,Planilha2!$A$2:$D$5566,4,0)</f>
        <v>PA</v>
      </c>
    </row>
    <row r="1711" spans="1:3" x14ac:dyDescent="0.35">
      <c r="A1711">
        <v>150635</v>
      </c>
      <c r="B1711" t="str">
        <f>VLOOKUP(A1711,Planilha2!$A$2:$C$5566,3,0)</f>
        <v>SANTA BÁRBARA DO PARÁ</v>
      </c>
      <c r="C1711" t="str">
        <f>VLOOKUP(A1711,Planilha2!$A$2:$D$5566,4,0)</f>
        <v>PA</v>
      </c>
    </row>
    <row r="1712" spans="1:3" x14ac:dyDescent="0.35">
      <c r="A1712">
        <v>150430</v>
      </c>
      <c r="B1712" t="str">
        <f>VLOOKUP(A1712,Planilha2!$A$2:$C$5566,3,0)</f>
        <v>MARACANÃ</v>
      </c>
      <c r="C1712" t="str">
        <f>VLOOKUP(A1712,Planilha2!$A$2:$D$5566,4,0)</f>
        <v>PA</v>
      </c>
    </row>
    <row r="1713" spans="1:3" x14ac:dyDescent="0.35">
      <c r="A1713">
        <v>150820</v>
      </c>
      <c r="B1713" t="str">
        <f>VLOOKUP(A1713,Planilha2!$A$2:$C$5566,3,0)</f>
        <v>VIGIA</v>
      </c>
      <c r="C1713" t="str">
        <f>VLOOKUP(A1713,Planilha2!$A$2:$D$5566,4,0)</f>
        <v>PA</v>
      </c>
    </row>
    <row r="1714" spans="1:3" x14ac:dyDescent="0.35">
      <c r="A1714">
        <v>150803</v>
      </c>
      <c r="B1714" t="str">
        <f>VLOOKUP(A1714,Planilha2!$A$2:$C$5566,3,0)</f>
        <v>TRACUATEUA</v>
      </c>
      <c r="C1714" t="str">
        <f>VLOOKUP(A1714,Planilha2!$A$2:$D$5566,4,0)</f>
        <v>PA</v>
      </c>
    </row>
    <row r="1715" spans="1:3" x14ac:dyDescent="0.35">
      <c r="A1715">
        <v>150611</v>
      </c>
      <c r="B1715" t="str">
        <f>VLOOKUP(A1715,Planilha2!$A$2:$C$5566,3,0)</f>
        <v>QUATIPURU</v>
      </c>
      <c r="C1715" t="str">
        <f>VLOOKUP(A1715,Planilha2!$A$2:$D$5566,4,0)</f>
        <v>PA</v>
      </c>
    </row>
    <row r="1716" spans="1:3" x14ac:dyDescent="0.35">
      <c r="A1716">
        <v>150560</v>
      </c>
      <c r="B1716" t="str">
        <f>VLOOKUP(A1716,Planilha2!$A$2:$C$5566,3,0)</f>
        <v>PEIXE-BOI</v>
      </c>
      <c r="C1716" t="str">
        <f>VLOOKUP(A1716,Planilha2!$A$2:$D$5566,4,0)</f>
        <v>PA</v>
      </c>
    </row>
    <row r="1717" spans="1:3" x14ac:dyDescent="0.35">
      <c r="A1717">
        <v>150280</v>
      </c>
      <c r="B1717" t="str">
        <f>VLOOKUP(A1717,Planilha2!$A$2:$C$5566,3,0)</f>
        <v>CURRALINHO</v>
      </c>
      <c r="C1717" t="str">
        <f>VLOOKUP(A1717,Planilha2!$A$2:$D$5566,4,0)</f>
        <v>PA</v>
      </c>
    </row>
    <row r="1718" spans="1:3" x14ac:dyDescent="0.35">
      <c r="A1718">
        <v>220080</v>
      </c>
      <c r="B1718" t="str">
        <f>VLOOKUP(A1718,Planilha2!$A$2:$C$5566,3,0)</f>
        <v>ANTÔNIO ALMEIDA</v>
      </c>
      <c r="C1718" t="str">
        <f>VLOOKUP(A1718,Planilha2!$A$2:$D$5566,4,0)</f>
        <v>PI</v>
      </c>
    </row>
    <row r="1719" spans="1:3" x14ac:dyDescent="0.35">
      <c r="A1719">
        <v>314090</v>
      </c>
      <c r="B1719" t="str">
        <f>VLOOKUP(A1719,Planilha2!$A$2:$C$5566,3,0)</f>
        <v>MATIPÓ</v>
      </c>
      <c r="C1719" t="str">
        <f>VLOOKUP(A1719,Planilha2!$A$2:$D$5566,4,0)</f>
        <v>MG</v>
      </c>
    </row>
    <row r="1720" spans="1:3" x14ac:dyDescent="0.35">
      <c r="A1720">
        <v>330093</v>
      </c>
      <c r="B1720" t="str">
        <f>VLOOKUP(A1720,Planilha2!$A$2:$C$5566,3,0)</f>
        <v>CARAPEBUS</v>
      </c>
      <c r="C1720" t="str">
        <f>VLOOKUP(A1720,Planilha2!$A$2:$D$5566,4,0)</f>
        <v>RJ</v>
      </c>
    </row>
    <row r="1721" spans="1:3" x14ac:dyDescent="0.35">
      <c r="A1721">
        <v>330022</v>
      </c>
      <c r="B1721" t="str">
        <f>VLOOKUP(A1721,Planilha2!$A$2:$C$5566,3,0)</f>
        <v>AREAL</v>
      </c>
      <c r="C1721" t="str">
        <f>VLOOKUP(A1721,Planilha2!$A$2:$D$5566,4,0)</f>
        <v>RJ</v>
      </c>
    </row>
    <row r="1722" spans="1:3" x14ac:dyDescent="0.35">
      <c r="A1722">
        <v>330120</v>
      </c>
      <c r="B1722" t="str">
        <f>VLOOKUP(A1722,Planilha2!$A$2:$C$5566,3,0)</f>
        <v>CARMO</v>
      </c>
      <c r="C1722" t="str">
        <f>VLOOKUP(A1722,Planilha2!$A$2:$D$5566,4,0)</f>
        <v>RJ</v>
      </c>
    </row>
    <row r="1723" spans="1:3" x14ac:dyDescent="0.35">
      <c r="A1723">
        <v>430064</v>
      </c>
      <c r="B1723" t="str">
        <f>VLOOKUP(A1723,Planilha2!$A$2:$C$5566,3,0)</f>
        <v>AMETISTA DO SUL</v>
      </c>
      <c r="C1723" t="str">
        <f>VLOOKUP(A1723,Planilha2!$A$2:$D$5566,4,0)</f>
        <v>RS</v>
      </c>
    </row>
    <row r="1724" spans="1:3" x14ac:dyDescent="0.35">
      <c r="A1724">
        <v>500070</v>
      </c>
      <c r="B1724" t="str">
        <f>VLOOKUP(A1724,Planilha2!$A$2:$C$5566,3,0)</f>
        <v>ANASTÁCIO</v>
      </c>
      <c r="C1724" t="str">
        <f>VLOOKUP(A1724,Planilha2!$A$2:$D$5566,4,0)</f>
        <v>MS</v>
      </c>
    </row>
    <row r="1725" spans="1:3" x14ac:dyDescent="0.35">
      <c r="A1725">
        <v>110060</v>
      </c>
      <c r="B1725" t="str">
        <f>VLOOKUP(A1725,Planilha2!$A$2:$C$5566,3,0)</f>
        <v>CACAULÂNDIA</v>
      </c>
      <c r="C1725" t="str">
        <f>VLOOKUP(A1725,Planilha2!$A$2:$D$5566,4,0)</f>
        <v>RO</v>
      </c>
    </row>
    <row r="1726" spans="1:3" x14ac:dyDescent="0.35">
      <c r="A1726">
        <v>120060</v>
      </c>
      <c r="B1726" t="str">
        <f>VLOOKUP(A1726,Planilha2!$A$2:$C$5566,3,0)</f>
        <v>TARAUACÁ</v>
      </c>
      <c r="C1726" t="str">
        <f>VLOOKUP(A1726,Planilha2!$A$2:$D$5566,4,0)</f>
        <v>AC</v>
      </c>
    </row>
    <row r="1727" spans="1:3" x14ac:dyDescent="0.35">
      <c r="A1727">
        <v>130050</v>
      </c>
      <c r="B1727" t="str">
        <f>VLOOKUP(A1727,Planilha2!$A$2:$C$5566,3,0)</f>
        <v>BARREIRINHA</v>
      </c>
      <c r="C1727" t="str">
        <f>VLOOKUP(A1727,Planilha2!$A$2:$D$5566,4,0)</f>
        <v>AM</v>
      </c>
    </row>
    <row r="1728" spans="1:3" x14ac:dyDescent="0.35">
      <c r="A1728">
        <v>130170</v>
      </c>
      <c r="B1728" t="str">
        <f>VLOOKUP(A1728,Planilha2!$A$2:$C$5566,3,0)</f>
        <v>HUMAITÁ</v>
      </c>
      <c r="C1728" t="str">
        <f>VLOOKUP(A1728,Planilha2!$A$2:$D$5566,4,0)</f>
        <v>AM</v>
      </c>
    </row>
    <row r="1729" spans="1:3" x14ac:dyDescent="0.35">
      <c r="A1729">
        <v>130060</v>
      </c>
      <c r="B1729" t="str">
        <f>VLOOKUP(A1729,Planilha2!$A$2:$C$5566,3,0)</f>
        <v>BENJAMIN CONSTANT</v>
      </c>
      <c r="C1729" t="str">
        <f>VLOOKUP(A1729,Planilha2!$A$2:$D$5566,4,0)</f>
        <v>AM</v>
      </c>
    </row>
    <row r="1730" spans="1:3" x14ac:dyDescent="0.35">
      <c r="A1730">
        <v>130110</v>
      </c>
      <c r="B1730" t="str">
        <f>VLOOKUP(A1730,Planilha2!$A$2:$C$5566,3,0)</f>
        <v>CAREIRO</v>
      </c>
      <c r="C1730" t="str">
        <f>VLOOKUP(A1730,Planilha2!$A$2:$D$5566,4,0)</f>
        <v>AM</v>
      </c>
    </row>
    <row r="1731" spans="1:3" x14ac:dyDescent="0.35">
      <c r="A1731">
        <v>130063</v>
      </c>
      <c r="B1731" t="str">
        <f>VLOOKUP(A1731,Planilha2!$A$2:$C$5566,3,0)</f>
        <v>BERURI</v>
      </c>
      <c r="C1731" t="str">
        <f>VLOOKUP(A1731,Planilha2!$A$2:$D$5566,4,0)</f>
        <v>AM</v>
      </c>
    </row>
    <row r="1732" spans="1:3" x14ac:dyDescent="0.35">
      <c r="A1732">
        <v>130185</v>
      </c>
      <c r="B1732" t="str">
        <f>VLOOKUP(A1732,Planilha2!$A$2:$C$5566,3,0)</f>
        <v>IRANDUBA</v>
      </c>
      <c r="C1732" t="str">
        <f>VLOOKUP(A1732,Planilha2!$A$2:$D$5566,4,0)</f>
        <v>AM</v>
      </c>
    </row>
    <row r="1733" spans="1:3" x14ac:dyDescent="0.35">
      <c r="A1733">
        <v>150400</v>
      </c>
      <c r="B1733" t="str">
        <f>VLOOKUP(A1733,Planilha2!$A$2:$C$5566,3,0)</f>
        <v>LIMOEIRO DO AJURU</v>
      </c>
      <c r="C1733" t="str">
        <f>VLOOKUP(A1733,Planilha2!$A$2:$D$5566,4,0)</f>
        <v>PA</v>
      </c>
    </row>
    <row r="1734" spans="1:3" x14ac:dyDescent="0.35">
      <c r="A1734">
        <v>150548</v>
      </c>
      <c r="B1734" t="str">
        <f>VLOOKUP(A1734,Planilha2!$A$2:$C$5566,3,0)</f>
        <v>PACAJÁ</v>
      </c>
      <c r="C1734" t="str">
        <f>VLOOKUP(A1734,Planilha2!$A$2:$D$5566,4,0)</f>
        <v>PA</v>
      </c>
    </row>
    <row r="1735" spans="1:3" x14ac:dyDescent="0.35">
      <c r="A1735">
        <v>150775</v>
      </c>
      <c r="B1735" t="str">
        <f>VLOOKUP(A1735,Planilha2!$A$2:$C$5566,3,0)</f>
        <v>SAPUCAIA</v>
      </c>
      <c r="C1735" t="str">
        <f>VLOOKUP(A1735,Planilha2!$A$2:$D$5566,4,0)</f>
        <v>PA</v>
      </c>
    </row>
    <row r="1736" spans="1:3" x14ac:dyDescent="0.35">
      <c r="A1736">
        <v>150670</v>
      </c>
      <c r="B1736" t="str">
        <f>VLOOKUP(A1736,Planilha2!$A$2:$C$5566,3,0)</f>
        <v>SANTANA DO ARAGUAIA</v>
      </c>
      <c r="C1736" t="str">
        <f>VLOOKUP(A1736,Planilha2!$A$2:$D$5566,4,0)</f>
        <v>PA</v>
      </c>
    </row>
    <row r="1737" spans="1:3" x14ac:dyDescent="0.35">
      <c r="A1737">
        <v>150030</v>
      </c>
      <c r="B1737" t="str">
        <f>VLOOKUP(A1737,Planilha2!$A$2:$C$5566,3,0)</f>
        <v>AFUÁ</v>
      </c>
      <c r="C1737" t="str">
        <f>VLOOKUP(A1737,Planilha2!$A$2:$D$5566,4,0)</f>
        <v>PA</v>
      </c>
    </row>
    <row r="1738" spans="1:3" x14ac:dyDescent="0.35">
      <c r="A1738">
        <v>160070</v>
      </c>
      <c r="B1738" t="str">
        <f>VLOOKUP(A1738,Planilha2!$A$2:$C$5566,3,0)</f>
        <v>TARTARUGALZINHO</v>
      </c>
      <c r="C1738" t="str">
        <f>VLOOKUP(A1738,Planilha2!$A$2:$D$5566,4,0)</f>
        <v>AP</v>
      </c>
    </row>
    <row r="1739" spans="1:3" x14ac:dyDescent="0.35">
      <c r="A1739">
        <v>171070</v>
      </c>
      <c r="B1739" t="str">
        <f>VLOOKUP(A1739,Planilha2!$A$2:$C$5566,3,0)</f>
        <v>ITAGUATINS</v>
      </c>
      <c r="C1739" t="str">
        <f>VLOOKUP(A1739,Planilha2!$A$2:$D$5566,4,0)</f>
        <v>TO</v>
      </c>
    </row>
    <row r="1740" spans="1:3" x14ac:dyDescent="0.35">
      <c r="A1740">
        <v>171700</v>
      </c>
      <c r="B1740" t="str">
        <f>VLOOKUP(A1740,Planilha2!$A$2:$C$5566,3,0)</f>
        <v>PINDORAMA DO TOCANTINS</v>
      </c>
      <c r="C1740" t="str">
        <f>VLOOKUP(A1740,Planilha2!$A$2:$D$5566,4,0)</f>
        <v>TO</v>
      </c>
    </row>
    <row r="1741" spans="1:3" x14ac:dyDescent="0.35">
      <c r="A1741">
        <v>210030</v>
      </c>
      <c r="B1741" t="str">
        <f>VLOOKUP(A1741,Planilha2!$A$2:$C$5566,3,0)</f>
        <v>ALDEIAS ALTAS</v>
      </c>
      <c r="C1741" t="str">
        <f>VLOOKUP(A1741,Planilha2!$A$2:$D$5566,4,0)</f>
        <v>MA</v>
      </c>
    </row>
    <row r="1742" spans="1:3" x14ac:dyDescent="0.35">
      <c r="A1742">
        <v>210596</v>
      </c>
      <c r="B1742" t="str">
        <f>VLOOKUP(A1742,Planilha2!$A$2:$C$5566,3,0)</f>
        <v>LAGOA GRANDE DO MARANHÃO</v>
      </c>
      <c r="C1742" t="str">
        <f>VLOOKUP(A1742,Planilha2!$A$2:$D$5566,4,0)</f>
        <v>MA</v>
      </c>
    </row>
    <row r="1743" spans="1:3" x14ac:dyDescent="0.35">
      <c r="A1743">
        <v>230390</v>
      </c>
      <c r="B1743" t="str">
        <f>VLOOKUP(A1743,Planilha2!$A$2:$C$5566,3,0)</f>
        <v>CHAVAL</v>
      </c>
      <c r="C1743" t="str">
        <f>VLOOKUP(A1743,Planilha2!$A$2:$D$5566,4,0)</f>
        <v>CE</v>
      </c>
    </row>
    <row r="1744" spans="1:3" x14ac:dyDescent="0.35">
      <c r="A1744">
        <v>220390</v>
      </c>
      <c r="B1744" t="str">
        <f>VLOOKUP(A1744,Planilha2!$A$2:$C$5566,3,0)</f>
        <v>FLORIANO</v>
      </c>
      <c r="C1744" t="str">
        <f>VLOOKUP(A1744,Planilha2!$A$2:$D$5566,4,0)</f>
        <v>PI</v>
      </c>
    </row>
    <row r="1745" spans="1:3" x14ac:dyDescent="0.35">
      <c r="A1745">
        <v>220050</v>
      </c>
      <c r="B1745" t="str">
        <f>VLOOKUP(A1745,Planilha2!$A$2:$C$5566,3,0)</f>
        <v>AMARANTE</v>
      </c>
      <c r="C1745" t="str">
        <f>VLOOKUP(A1745,Planilha2!$A$2:$D$5566,4,0)</f>
        <v>PI</v>
      </c>
    </row>
    <row r="1746" spans="1:3" x14ac:dyDescent="0.35">
      <c r="A1746">
        <v>220700</v>
      </c>
      <c r="B1746" t="str">
        <f>VLOOKUP(A1746,Planilha2!$A$2:$C$5566,3,0)</f>
        <v>OEIRAS</v>
      </c>
      <c r="C1746" t="str">
        <f>VLOOKUP(A1746,Planilha2!$A$2:$D$5566,4,0)</f>
        <v>PI</v>
      </c>
    </row>
    <row r="1747" spans="1:3" x14ac:dyDescent="0.35">
      <c r="A1747">
        <v>220667</v>
      </c>
      <c r="B1747" t="str">
        <f>VLOOKUP(A1747,Planilha2!$A$2:$C$5566,3,0)</f>
        <v>MORRO DO CHAPÉU DO PIAUÍ</v>
      </c>
      <c r="C1747" t="str">
        <f>VLOOKUP(A1747,Planilha2!$A$2:$D$5566,4,0)</f>
        <v>PI</v>
      </c>
    </row>
    <row r="1748" spans="1:3" x14ac:dyDescent="0.35">
      <c r="A1748">
        <v>220260</v>
      </c>
      <c r="B1748" t="str">
        <f>VLOOKUP(A1748,Planilha2!$A$2:$C$5566,3,0)</f>
        <v>CASTELO DO PIAUÍ</v>
      </c>
      <c r="C1748" t="str">
        <f>VLOOKUP(A1748,Planilha2!$A$2:$D$5566,4,0)</f>
        <v>PI</v>
      </c>
    </row>
    <row r="1749" spans="1:3" x14ac:dyDescent="0.35">
      <c r="A1749">
        <v>220955</v>
      </c>
      <c r="B1749" t="str">
        <f>VLOOKUP(A1749,Planilha2!$A$2:$C$5566,3,0)</f>
        <v>SÃO BRAZ DO PIAUÍ</v>
      </c>
      <c r="C1749" t="str">
        <f>VLOOKUP(A1749,Planilha2!$A$2:$D$5566,4,0)</f>
        <v>PI</v>
      </c>
    </row>
    <row r="1750" spans="1:3" x14ac:dyDescent="0.35">
      <c r="A1750">
        <v>220285</v>
      </c>
      <c r="B1750" t="str">
        <f>VLOOKUP(A1750,Planilha2!$A$2:$C$5566,3,0)</f>
        <v>CORONEL JOSÉ DIAS</v>
      </c>
      <c r="C1750" t="str">
        <f>VLOOKUP(A1750,Planilha2!$A$2:$D$5566,4,0)</f>
        <v>PI</v>
      </c>
    </row>
    <row r="1751" spans="1:3" x14ac:dyDescent="0.35">
      <c r="A1751">
        <v>220450</v>
      </c>
      <c r="B1751" t="str">
        <f>VLOOKUP(A1751,Planilha2!$A$2:$C$5566,3,0)</f>
        <v>GUADALUPE</v>
      </c>
      <c r="C1751" t="str">
        <f>VLOOKUP(A1751,Planilha2!$A$2:$D$5566,4,0)</f>
        <v>PI</v>
      </c>
    </row>
    <row r="1752" spans="1:3" x14ac:dyDescent="0.35">
      <c r="A1752">
        <v>220190</v>
      </c>
      <c r="B1752" t="str">
        <f>VLOOKUP(A1752,Planilha2!$A$2:$C$5566,3,0)</f>
        <v>BOM JESUS</v>
      </c>
      <c r="C1752" t="str">
        <f>VLOOKUP(A1752,Planilha2!$A$2:$D$5566,4,0)</f>
        <v>PI</v>
      </c>
    </row>
    <row r="1753" spans="1:3" x14ac:dyDescent="0.35">
      <c r="A1753">
        <v>220552</v>
      </c>
      <c r="B1753" t="str">
        <f>VLOOKUP(A1753,Planilha2!$A$2:$C$5566,3,0)</f>
        <v>JÚLIO BORGES</v>
      </c>
      <c r="C1753" t="str">
        <f>VLOOKUP(A1753,Planilha2!$A$2:$D$5566,4,0)</f>
        <v>PI</v>
      </c>
    </row>
    <row r="1754" spans="1:3" x14ac:dyDescent="0.35">
      <c r="A1754">
        <v>230650</v>
      </c>
      <c r="B1754" t="str">
        <f>VLOOKUP(A1754,Planilha2!$A$2:$C$5566,3,0)</f>
        <v>ITAPIÚNA</v>
      </c>
      <c r="C1754" t="str">
        <f>VLOOKUP(A1754,Planilha2!$A$2:$D$5566,4,0)</f>
        <v>CE</v>
      </c>
    </row>
    <row r="1755" spans="1:3" x14ac:dyDescent="0.35">
      <c r="A1755">
        <v>230655</v>
      </c>
      <c r="B1755" t="str">
        <f>VLOOKUP(A1755,Planilha2!$A$2:$C$5566,3,0)</f>
        <v>ITAREMA</v>
      </c>
      <c r="C1755" t="str">
        <f>VLOOKUP(A1755,Planilha2!$A$2:$D$5566,4,0)</f>
        <v>CE</v>
      </c>
    </row>
    <row r="1756" spans="1:3" x14ac:dyDescent="0.35">
      <c r="A1756">
        <v>230425</v>
      </c>
      <c r="B1756" t="str">
        <f>VLOOKUP(A1756,Planilha2!$A$2:$C$5566,3,0)</f>
        <v>CRUZ</v>
      </c>
      <c r="C1756" t="str">
        <f>VLOOKUP(A1756,Planilha2!$A$2:$D$5566,4,0)</f>
        <v>CE</v>
      </c>
    </row>
    <row r="1757" spans="1:3" x14ac:dyDescent="0.35">
      <c r="A1757">
        <v>230750</v>
      </c>
      <c r="B1757" t="str">
        <f>VLOOKUP(A1757,Planilha2!$A$2:$C$5566,3,0)</f>
        <v>LAVRAS DA MANGABEIRA</v>
      </c>
      <c r="C1757" t="str">
        <f>VLOOKUP(A1757,Planilha2!$A$2:$D$5566,4,0)</f>
        <v>CE</v>
      </c>
    </row>
    <row r="1758" spans="1:3" x14ac:dyDescent="0.35">
      <c r="A1758">
        <v>230540</v>
      </c>
      <c r="B1758" t="str">
        <f>VLOOKUP(A1758,Planilha2!$A$2:$C$5566,3,0)</f>
        <v>ICÓ</v>
      </c>
      <c r="C1758" t="str">
        <f>VLOOKUP(A1758,Planilha2!$A$2:$D$5566,4,0)</f>
        <v>CE</v>
      </c>
    </row>
    <row r="1759" spans="1:3" x14ac:dyDescent="0.35">
      <c r="A1759">
        <v>230270</v>
      </c>
      <c r="B1759" t="str">
        <f>VLOOKUP(A1759,Planilha2!$A$2:$C$5566,3,0)</f>
        <v>CAMPOS SALES</v>
      </c>
      <c r="C1759" t="str">
        <f>VLOOKUP(A1759,Planilha2!$A$2:$D$5566,4,0)</f>
        <v>CE</v>
      </c>
    </row>
    <row r="1760" spans="1:3" x14ac:dyDescent="0.35">
      <c r="A1760">
        <v>230130</v>
      </c>
      <c r="B1760" t="str">
        <f>VLOOKUP(A1760,Planilha2!$A$2:$C$5566,3,0)</f>
        <v>ARARIPE</v>
      </c>
      <c r="C1760" t="str">
        <f>VLOOKUP(A1760,Planilha2!$A$2:$D$5566,4,0)</f>
        <v>CE</v>
      </c>
    </row>
    <row r="1761" spans="1:3" x14ac:dyDescent="0.35">
      <c r="A1761">
        <v>230530</v>
      </c>
      <c r="B1761" t="str">
        <f>VLOOKUP(A1761,Planilha2!$A$2:$C$5566,3,0)</f>
        <v>IBIAPINA</v>
      </c>
      <c r="C1761" t="str">
        <f>VLOOKUP(A1761,Planilha2!$A$2:$D$5566,4,0)</f>
        <v>CE</v>
      </c>
    </row>
    <row r="1762" spans="1:3" x14ac:dyDescent="0.35">
      <c r="A1762">
        <v>231030</v>
      </c>
      <c r="B1762" t="str">
        <f>VLOOKUP(A1762,Planilha2!$A$2:$C$5566,3,0)</f>
        <v>PARAMBU</v>
      </c>
      <c r="C1762" t="str">
        <f>VLOOKUP(A1762,Planilha2!$A$2:$D$5566,4,0)</f>
        <v>CE</v>
      </c>
    </row>
    <row r="1763" spans="1:3" x14ac:dyDescent="0.35">
      <c r="A1763">
        <v>231230</v>
      </c>
      <c r="B1763" t="str">
        <f>VLOOKUP(A1763,Planilha2!$A$2:$C$5566,3,0)</f>
        <v>SÃO BENEDITO</v>
      </c>
      <c r="C1763" t="str">
        <f>VLOOKUP(A1763,Planilha2!$A$2:$D$5566,4,0)</f>
        <v>CE</v>
      </c>
    </row>
    <row r="1764" spans="1:3" x14ac:dyDescent="0.35">
      <c r="A1764">
        <v>240280</v>
      </c>
      <c r="B1764" t="str">
        <f>VLOOKUP(A1764,Planilha2!$A$2:$C$5566,3,0)</f>
        <v>CORONEL EZEQUIEL</v>
      </c>
      <c r="C1764" t="str">
        <f>VLOOKUP(A1764,Planilha2!$A$2:$D$5566,4,0)</f>
        <v>RN</v>
      </c>
    </row>
    <row r="1765" spans="1:3" x14ac:dyDescent="0.35">
      <c r="A1765">
        <v>241500</v>
      </c>
      <c r="B1765" t="str">
        <f>VLOOKUP(A1765,Planilha2!$A$2:$C$5566,3,0)</f>
        <v>VILA FLOR</v>
      </c>
      <c r="C1765" t="str">
        <f>VLOOKUP(A1765,Planilha2!$A$2:$D$5566,4,0)</f>
        <v>RN</v>
      </c>
    </row>
    <row r="1766" spans="1:3" x14ac:dyDescent="0.35">
      <c r="A1766">
        <v>240830</v>
      </c>
      <c r="B1766" t="str">
        <f>VLOOKUP(A1766,Planilha2!$A$2:$C$5566,3,0)</f>
        <v>NOVA CRUZ</v>
      </c>
      <c r="C1766" t="str">
        <f>VLOOKUP(A1766,Planilha2!$A$2:$D$5566,4,0)</f>
        <v>RN</v>
      </c>
    </row>
    <row r="1767" spans="1:3" x14ac:dyDescent="0.35">
      <c r="A1767">
        <v>240180</v>
      </c>
      <c r="B1767" t="str">
        <f>VLOOKUP(A1767,Planilha2!$A$2:$C$5566,3,0)</f>
        <v>BREJINHO</v>
      </c>
      <c r="C1767" t="str">
        <f>VLOOKUP(A1767,Planilha2!$A$2:$D$5566,4,0)</f>
        <v>RN</v>
      </c>
    </row>
    <row r="1768" spans="1:3" x14ac:dyDescent="0.35">
      <c r="A1768">
        <v>251000</v>
      </c>
      <c r="B1768" t="str">
        <f>VLOOKUP(A1768,Planilha2!$A$2:$C$5566,3,0)</f>
        <v>NAZAREZINHO</v>
      </c>
      <c r="C1768" t="str">
        <f>VLOOKUP(A1768,Planilha2!$A$2:$D$5566,4,0)</f>
        <v>PB</v>
      </c>
    </row>
    <row r="1769" spans="1:3" x14ac:dyDescent="0.35">
      <c r="A1769">
        <v>251230</v>
      </c>
      <c r="B1769" t="str">
        <f>VLOOKUP(A1769,Planilha2!$A$2:$C$5566,3,0)</f>
        <v>PRINCESA ISABEL</v>
      </c>
      <c r="C1769" t="str">
        <f>VLOOKUP(A1769,Planilha2!$A$2:$D$5566,4,0)</f>
        <v>PB</v>
      </c>
    </row>
    <row r="1770" spans="1:3" x14ac:dyDescent="0.35">
      <c r="A1770">
        <v>251670</v>
      </c>
      <c r="B1770" t="str">
        <f>VLOOKUP(A1770,Planilha2!$A$2:$C$5566,3,0)</f>
        <v>TEIXEIRA</v>
      </c>
      <c r="C1770" t="str">
        <f>VLOOKUP(A1770,Planilha2!$A$2:$D$5566,4,0)</f>
        <v>PB</v>
      </c>
    </row>
    <row r="1771" spans="1:3" x14ac:dyDescent="0.35">
      <c r="A1771">
        <v>250415</v>
      </c>
      <c r="B1771" t="str">
        <f>VLOOKUP(A1771,Planilha2!$A$2:$C$5566,3,0)</f>
        <v>CASSERENGUE</v>
      </c>
      <c r="C1771" t="str">
        <f>VLOOKUP(A1771,Planilha2!$A$2:$D$5566,4,0)</f>
        <v>PB</v>
      </c>
    </row>
    <row r="1772" spans="1:3" x14ac:dyDescent="0.35">
      <c r="A1772">
        <v>250430</v>
      </c>
      <c r="B1772" t="str">
        <f>VLOOKUP(A1772,Planilha2!$A$2:$C$5566,3,0)</f>
        <v>CATOLÉ DO ROCHA</v>
      </c>
      <c r="C1772" t="str">
        <f>VLOOKUP(A1772,Planilha2!$A$2:$D$5566,4,0)</f>
        <v>PB</v>
      </c>
    </row>
    <row r="1773" spans="1:3" x14ac:dyDescent="0.35">
      <c r="A1773">
        <v>250710</v>
      </c>
      <c r="B1773" t="str">
        <f>VLOOKUP(A1773,Planilha2!$A$2:$C$5566,3,0)</f>
        <v>ITAPOROROCA</v>
      </c>
      <c r="C1773" t="str">
        <f>VLOOKUP(A1773,Planilha2!$A$2:$D$5566,4,0)</f>
        <v>PB</v>
      </c>
    </row>
    <row r="1774" spans="1:3" x14ac:dyDescent="0.35">
      <c r="A1774">
        <v>250160</v>
      </c>
      <c r="B1774" t="str">
        <f>VLOOKUP(A1774,Planilha2!$A$2:$C$5566,3,0)</f>
        <v>BARRA DE SANTA ROSA</v>
      </c>
      <c r="C1774" t="str">
        <f>VLOOKUP(A1774,Planilha2!$A$2:$D$5566,4,0)</f>
        <v>PB</v>
      </c>
    </row>
    <row r="1775" spans="1:3" x14ac:dyDescent="0.35">
      <c r="A1775">
        <v>261380</v>
      </c>
      <c r="B1775" t="str">
        <f>VLOOKUP(A1775,Planilha2!$A$2:$C$5566,3,0)</f>
        <v>SÃO VICENTE FERRER</v>
      </c>
      <c r="C1775" t="str">
        <f>VLOOKUP(A1775,Planilha2!$A$2:$D$5566,4,0)</f>
        <v>PE</v>
      </c>
    </row>
    <row r="1776" spans="1:3" x14ac:dyDescent="0.35">
      <c r="A1776">
        <v>260300</v>
      </c>
      <c r="B1776" t="str">
        <f>VLOOKUP(A1776,Planilha2!$A$2:$C$5566,3,0)</f>
        <v>CABROBÓ</v>
      </c>
      <c r="C1776" t="str">
        <f>VLOOKUP(A1776,Planilha2!$A$2:$D$5566,4,0)</f>
        <v>PE</v>
      </c>
    </row>
    <row r="1777" spans="1:3" x14ac:dyDescent="0.35">
      <c r="A1777">
        <v>260820</v>
      </c>
      <c r="B1777" t="str">
        <f>VLOOKUP(A1777,Planilha2!$A$2:$C$5566,3,0)</f>
        <v>JOAQUIM NABUCO</v>
      </c>
      <c r="C1777" t="str">
        <f>VLOOKUP(A1777,Planilha2!$A$2:$D$5566,4,0)</f>
        <v>PE</v>
      </c>
    </row>
    <row r="1778" spans="1:3" x14ac:dyDescent="0.35">
      <c r="A1778">
        <v>260110</v>
      </c>
      <c r="B1778" t="str">
        <f>VLOOKUP(A1778,Planilha2!$A$2:$C$5566,3,0)</f>
        <v>ARARIPINA</v>
      </c>
      <c r="C1778" t="str">
        <f>VLOOKUP(A1778,Planilha2!$A$2:$D$5566,4,0)</f>
        <v>PE</v>
      </c>
    </row>
    <row r="1779" spans="1:3" x14ac:dyDescent="0.35">
      <c r="A1779">
        <v>260570</v>
      </c>
      <c r="B1779" t="str">
        <f>VLOOKUP(A1779,Planilha2!$A$2:$C$5566,3,0)</f>
        <v>FLORESTA</v>
      </c>
      <c r="C1779" t="str">
        <f>VLOOKUP(A1779,Planilha2!$A$2:$D$5566,4,0)</f>
        <v>PE</v>
      </c>
    </row>
    <row r="1780" spans="1:3" x14ac:dyDescent="0.35">
      <c r="A1780">
        <v>270930</v>
      </c>
      <c r="B1780" t="str">
        <f>VLOOKUP(A1780,Planilha2!$A$2:$C$5566,3,0)</f>
        <v>UNIÃO DOS PALMARES</v>
      </c>
      <c r="C1780" t="str">
        <f>VLOOKUP(A1780,Planilha2!$A$2:$D$5566,4,0)</f>
        <v>AL</v>
      </c>
    </row>
    <row r="1781" spans="1:3" x14ac:dyDescent="0.35">
      <c r="A1781">
        <v>270650</v>
      </c>
      <c r="B1781" t="str">
        <f>VLOOKUP(A1781,Planilha2!$A$2:$C$5566,3,0)</f>
        <v>PASSO DE CAMARAGIBE</v>
      </c>
      <c r="C1781" t="str">
        <f>VLOOKUP(A1781,Planilha2!$A$2:$D$5566,4,0)</f>
        <v>AL</v>
      </c>
    </row>
    <row r="1782" spans="1:3" x14ac:dyDescent="0.35">
      <c r="A1782">
        <v>270920</v>
      </c>
      <c r="B1782" t="str">
        <f>VLOOKUP(A1782,Planilha2!$A$2:$C$5566,3,0)</f>
        <v>TRAIPU</v>
      </c>
      <c r="C1782" t="str">
        <f>VLOOKUP(A1782,Planilha2!$A$2:$D$5566,4,0)</f>
        <v>AL</v>
      </c>
    </row>
    <row r="1783" spans="1:3" x14ac:dyDescent="0.35">
      <c r="A1783">
        <v>270530</v>
      </c>
      <c r="B1783" t="str">
        <f>VLOOKUP(A1783,Planilha2!$A$2:$C$5566,3,0)</f>
        <v>MINADOR DO NEGRÃO</v>
      </c>
      <c r="C1783" t="str">
        <f>VLOOKUP(A1783,Planilha2!$A$2:$D$5566,4,0)</f>
        <v>AL</v>
      </c>
    </row>
    <row r="1784" spans="1:3" x14ac:dyDescent="0.35">
      <c r="A1784">
        <v>270390</v>
      </c>
      <c r="B1784" t="str">
        <f>VLOOKUP(A1784,Planilha2!$A$2:$C$5566,3,0)</f>
        <v>JUNDIÁ</v>
      </c>
      <c r="C1784" t="str">
        <f>VLOOKUP(A1784,Planilha2!$A$2:$D$5566,4,0)</f>
        <v>AL</v>
      </c>
    </row>
    <row r="1785" spans="1:3" x14ac:dyDescent="0.35">
      <c r="A1785">
        <v>270330</v>
      </c>
      <c r="B1785" t="str">
        <f>VLOOKUP(A1785,Planilha2!$A$2:$C$5566,3,0)</f>
        <v>INHAPI</v>
      </c>
      <c r="C1785" t="str">
        <f>VLOOKUP(A1785,Planilha2!$A$2:$D$5566,4,0)</f>
        <v>AL</v>
      </c>
    </row>
    <row r="1786" spans="1:3" x14ac:dyDescent="0.35">
      <c r="A1786">
        <v>270580</v>
      </c>
      <c r="B1786" t="str">
        <f>VLOOKUP(A1786,Planilha2!$A$2:$C$5566,3,0)</f>
        <v>OLHO D`ÁGUA DO CASADO</v>
      </c>
      <c r="C1786" t="str">
        <f>VLOOKUP(A1786,Planilha2!$A$2:$D$5566,4,0)</f>
        <v>AL</v>
      </c>
    </row>
    <row r="1787" spans="1:3" x14ac:dyDescent="0.35">
      <c r="A1787">
        <v>270420</v>
      </c>
      <c r="B1787" t="str">
        <f>VLOOKUP(A1787,Planilha2!$A$2:$C$5566,3,0)</f>
        <v>LIMOEIRO DE ANADIA</v>
      </c>
      <c r="C1787" t="str">
        <f>VLOOKUP(A1787,Planilha2!$A$2:$D$5566,4,0)</f>
        <v>AL</v>
      </c>
    </row>
    <row r="1788" spans="1:3" x14ac:dyDescent="0.35">
      <c r="A1788">
        <v>270895</v>
      </c>
      <c r="B1788" t="str">
        <f>VLOOKUP(A1788,Planilha2!$A$2:$C$5566,3,0)</f>
        <v>SENADOR RUI PALMEIRA</v>
      </c>
      <c r="C1788" t="str">
        <f>VLOOKUP(A1788,Planilha2!$A$2:$D$5566,4,0)</f>
        <v>AL</v>
      </c>
    </row>
    <row r="1789" spans="1:3" x14ac:dyDescent="0.35">
      <c r="A1789">
        <v>270250</v>
      </c>
      <c r="B1789" t="str">
        <f>VLOOKUP(A1789,Planilha2!$A$2:$C$5566,3,0)</f>
        <v>DOIS RIACHOS</v>
      </c>
      <c r="C1789" t="str">
        <f>VLOOKUP(A1789,Planilha2!$A$2:$D$5566,4,0)</f>
        <v>AL</v>
      </c>
    </row>
    <row r="1790" spans="1:3" x14ac:dyDescent="0.35">
      <c r="A1790">
        <v>270150</v>
      </c>
      <c r="B1790" t="str">
        <f>VLOOKUP(A1790,Planilha2!$A$2:$C$5566,3,0)</f>
        <v>CAMPO GRANDE</v>
      </c>
      <c r="C1790" t="str">
        <f>VLOOKUP(A1790,Planilha2!$A$2:$D$5566,4,0)</f>
        <v>AL</v>
      </c>
    </row>
    <row r="1791" spans="1:3" x14ac:dyDescent="0.35">
      <c r="A1791">
        <v>270710</v>
      </c>
      <c r="B1791" t="str">
        <f>VLOOKUP(A1791,Planilha2!$A$2:$C$5566,3,0)</f>
        <v>PIRANHAS</v>
      </c>
      <c r="C1791" t="str">
        <f>VLOOKUP(A1791,Planilha2!$A$2:$D$5566,4,0)</f>
        <v>AL</v>
      </c>
    </row>
    <row r="1792" spans="1:3" x14ac:dyDescent="0.35">
      <c r="A1792">
        <v>270460</v>
      </c>
      <c r="B1792" t="str">
        <f>VLOOKUP(A1792,Planilha2!$A$2:$C$5566,3,0)</f>
        <v>MARAVILHA</v>
      </c>
      <c r="C1792" t="str">
        <f>VLOOKUP(A1792,Planilha2!$A$2:$D$5566,4,0)</f>
        <v>AL</v>
      </c>
    </row>
    <row r="1793" spans="1:3" x14ac:dyDescent="0.35">
      <c r="A1793">
        <v>270010</v>
      </c>
      <c r="B1793" t="str">
        <f>VLOOKUP(A1793,Planilha2!$A$2:$C$5566,3,0)</f>
        <v>ÁGUA BRANCA</v>
      </c>
      <c r="C1793" t="str">
        <f>VLOOKUP(A1793,Planilha2!$A$2:$D$5566,4,0)</f>
        <v>AL</v>
      </c>
    </row>
    <row r="1794" spans="1:3" x14ac:dyDescent="0.35">
      <c r="A1794">
        <v>270440</v>
      </c>
      <c r="B1794" t="str">
        <f>VLOOKUP(A1794,Planilha2!$A$2:$C$5566,3,0)</f>
        <v>MAJOR ISIDORO</v>
      </c>
      <c r="C1794" t="str">
        <f>VLOOKUP(A1794,Planilha2!$A$2:$D$5566,4,0)</f>
        <v>AL</v>
      </c>
    </row>
    <row r="1795" spans="1:3" x14ac:dyDescent="0.35">
      <c r="A1795">
        <v>270100</v>
      </c>
      <c r="B1795" t="str">
        <f>VLOOKUP(A1795,Planilha2!$A$2:$C$5566,3,0)</f>
        <v>BOCA DA MATA</v>
      </c>
      <c r="C1795" t="str">
        <f>VLOOKUP(A1795,Planilha2!$A$2:$D$5566,4,0)</f>
        <v>AL</v>
      </c>
    </row>
    <row r="1796" spans="1:3" x14ac:dyDescent="0.35">
      <c r="A1796">
        <v>270510</v>
      </c>
      <c r="B1796" t="str">
        <f>VLOOKUP(A1796,Planilha2!$A$2:$C$5566,3,0)</f>
        <v>MATRIZ DE CAMARAGIBE</v>
      </c>
      <c r="C1796" t="str">
        <f>VLOOKUP(A1796,Planilha2!$A$2:$D$5566,4,0)</f>
        <v>AL</v>
      </c>
    </row>
    <row r="1797" spans="1:3" x14ac:dyDescent="0.35">
      <c r="A1797">
        <v>270790</v>
      </c>
      <c r="B1797" t="str">
        <f>VLOOKUP(A1797,Planilha2!$A$2:$C$5566,3,0)</f>
        <v>SANTA LUZIA DO NORTE</v>
      </c>
      <c r="C1797" t="str">
        <f>VLOOKUP(A1797,Planilha2!$A$2:$D$5566,4,0)</f>
        <v>AL</v>
      </c>
    </row>
    <row r="1798" spans="1:3" x14ac:dyDescent="0.35">
      <c r="A1798">
        <v>270300</v>
      </c>
      <c r="B1798" t="str">
        <f>VLOOKUP(A1798,Planilha2!$A$2:$C$5566,3,0)</f>
        <v>IBATEGUARA</v>
      </c>
      <c r="C1798" t="str">
        <f>VLOOKUP(A1798,Planilha2!$A$2:$D$5566,4,0)</f>
        <v>AL</v>
      </c>
    </row>
    <row r="1799" spans="1:3" x14ac:dyDescent="0.35">
      <c r="A1799">
        <v>270135</v>
      </c>
      <c r="B1799" t="str">
        <f>VLOOKUP(A1799,Planilha2!$A$2:$C$5566,3,0)</f>
        <v>CAMPESTRE</v>
      </c>
      <c r="C1799" t="str">
        <f>VLOOKUP(A1799,Planilha2!$A$2:$D$5566,4,0)</f>
        <v>AL</v>
      </c>
    </row>
    <row r="1800" spans="1:3" x14ac:dyDescent="0.35">
      <c r="A1800">
        <v>291180</v>
      </c>
      <c r="B1800" t="str">
        <f>VLOOKUP(A1800,Planilha2!$A$2:$C$5566,3,0)</f>
        <v>GUARATINGA</v>
      </c>
      <c r="C1800" t="str">
        <f>VLOOKUP(A1800,Planilha2!$A$2:$D$5566,4,0)</f>
        <v>BA</v>
      </c>
    </row>
    <row r="1801" spans="1:3" x14ac:dyDescent="0.35">
      <c r="A1801">
        <v>291150</v>
      </c>
      <c r="B1801" t="str">
        <f>VLOOKUP(A1801,Planilha2!$A$2:$C$5566,3,0)</f>
        <v>GONGOGI</v>
      </c>
      <c r="C1801" t="str">
        <f>VLOOKUP(A1801,Planilha2!$A$2:$D$5566,4,0)</f>
        <v>BA</v>
      </c>
    </row>
    <row r="1802" spans="1:3" x14ac:dyDescent="0.35">
      <c r="A1802">
        <v>290890</v>
      </c>
      <c r="B1802" t="str">
        <f>VLOOKUP(A1802,Planilha2!$A$2:$C$5566,3,0)</f>
        <v>CORAÇÃO DE MARIA</v>
      </c>
      <c r="C1802" t="str">
        <f>VLOOKUP(A1802,Planilha2!$A$2:$D$5566,4,0)</f>
        <v>BA</v>
      </c>
    </row>
    <row r="1803" spans="1:3" x14ac:dyDescent="0.35">
      <c r="A1803">
        <v>292465</v>
      </c>
      <c r="B1803" t="str">
        <f>VLOOKUP(A1803,Planilha2!$A$2:$C$5566,3,0)</f>
        <v>PINTADAS</v>
      </c>
      <c r="C1803" t="str">
        <f>VLOOKUP(A1803,Planilha2!$A$2:$D$5566,4,0)</f>
        <v>BA</v>
      </c>
    </row>
    <row r="1804" spans="1:3" x14ac:dyDescent="0.35">
      <c r="A1804">
        <v>293110</v>
      </c>
      <c r="B1804" t="str">
        <f>VLOOKUP(A1804,Planilha2!$A$2:$C$5566,3,0)</f>
        <v>TANQUINHO</v>
      </c>
      <c r="C1804" t="str">
        <f>VLOOKUP(A1804,Planilha2!$A$2:$D$5566,4,0)</f>
        <v>BA</v>
      </c>
    </row>
    <row r="1805" spans="1:3" x14ac:dyDescent="0.35">
      <c r="A1805">
        <v>291450</v>
      </c>
      <c r="B1805" t="str">
        <f>VLOOKUP(A1805,Planilha2!$A$2:$C$5566,3,0)</f>
        <v>IRARÁ</v>
      </c>
      <c r="C1805" t="str">
        <f>VLOOKUP(A1805,Planilha2!$A$2:$D$5566,4,0)</f>
        <v>BA</v>
      </c>
    </row>
    <row r="1806" spans="1:3" x14ac:dyDescent="0.35">
      <c r="A1806">
        <v>293040</v>
      </c>
      <c r="B1806" t="str">
        <f>VLOOKUP(A1806,Planilha2!$A$2:$C$5566,3,0)</f>
        <v>SERRA PRETA</v>
      </c>
      <c r="C1806" t="str">
        <f>VLOOKUP(A1806,Planilha2!$A$2:$D$5566,4,0)</f>
        <v>BA</v>
      </c>
    </row>
    <row r="1807" spans="1:3" x14ac:dyDescent="0.35">
      <c r="A1807">
        <v>290680</v>
      </c>
      <c r="B1807" t="str">
        <f>VLOOKUP(A1807,Planilha2!$A$2:$C$5566,3,0)</f>
        <v>CANSANÇÃO</v>
      </c>
      <c r="C1807" t="str">
        <f>VLOOKUP(A1807,Planilha2!$A$2:$D$5566,4,0)</f>
        <v>BA</v>
      </c>
    </row>
    <row r="1808" spans="1:3" x14ac:dyDescent="0.35">
      <c r="A1808">
        <v>293240</v>
      </c>
      <c r="B1808" t="str">
        <f>VLOOKUP(A1808,Planilha2!$A$2:$C$5566,3,0)</f>
        <v>UIBAÍ</v>
      </c>
      <c r="C1808" t="str">
        <f>VLOOKUP(A1808,Planilha2!$A$2:$D$5566,4,0)</f>
        <v>BA</v>
      </c>
    </row>
    <row r="1809" spans="1:3" x14ac:dyDescent="0.35">
      <c r="A1809">
        <v>292700</v>
      </c>
      <c r="B1809" t="str">
        <f>VLOOKUP(A1809,Planilha2!$A$2:$C$5566,3,0)</f>
        <v>RIO REAL</v>
      </c>
      <c r="C1809" t="str">
        <f>VLOOKUP(A1809,Planilha2!$A$2:$D$5566,4,0)</f>
        <v>BA</v>
      </c>
    </row>
    <row r="1810" spans="1:3" x14ac:dyDescent="0.35">
      <c r="A1810">
        <v>290265</v>
      </c>
      <c r="B1810" t="str">
        <f>VLOOKUP(A1810,Planilha2!$A$2:$C$5566,3,0)</f>
        <v>BANZAÊ</v>
      </c>
      <c r="C1810" t="str">
        <f>VLOOKUP(A1810,Planilha2!$A$2:$D$5566,4,0)</f>
        <v>BA</v>
      </c>
    </row>
    <row r="1811" spans="1:3" x14ac:dyDescent="0.35">
      <c r="A1811">
        <v>292525</v>
      </c>
      <c r="B1811" t="str">
        <f>VLOOKUP(A1811,Planilha2!$A$2:$C$5566,3,0)</f>
        <v>PONTO NOVO</v>
      </c>
      <c r="C1811" t="str">
        <f>VLOOKUP(A1811,Planilha2!$A$2:$D$5566,4,0)</f>
        <v>BA</v>
      </c>
    </row>
    <row r="1812" spans="1:3" x14ac:dyDescent="0.35">
      <c r="A1812">
        <v>293090</v>
      </c>
      <c r="B1812" t="str">
        <f>VLOOKUP(A1812,Planilha2!$A$2:$C$5566,3,0)</f>
        <v>TABOCAS DO BREJO VELHO</v>
      </c>
      <c r="C1812" t="str">
        <f>VLOOKUP(A1812,Planilha2!$A$2:$D$5566,4,0)</f>
        <v>BA</v>
      </c>
    </row>
    <row r="1813" spans="1:3" x14ac:dyDescent="0.35">
      <c r="A1813">
        <v>291077</v>
      </c>
      <c r="B1813" t="str">
        <f>VLOOKUP(A1813,Planilha2!$A$2:$C$5566,3,0)</f>
        <v>FEIRA DA MATA</v>
      </c>
      <c r="C1813" t="str">
        <f>VLOOKUP(A1813,Planilha2!$A$2:$D$5566,4,0)</f>
        <v>BA</v>
      </c>
    </row>
    <row r="1814" spans="1:3" x14ac:dyDescent="0.35">
      <c r="A1814">
        <v>293015</v>
      </c>
      <c r="B1814" t="str">
        <f>VLOOKUP(A1814,Planilha2!$A$2:$C$5566,3,0)</f>
        <v>SERRA DO RAMALHO</v>
      </c>
      <c r="C1814" t="str">
        <f>VLOOKUP(A1814,Planilha2!$A$2:$D$5566,4,0)</f>
        <v>BA</v>
      </c>
    </row>
    <row r="1815" spans="1:3" x14ac:dyDescent="0.35">
      <c r="A1815">
        <v>290689</v>
      </c>
      <c r="B1815" t="str">
        <f>VLOOKUP(A1815,Planilha2!$A$2:$C$5566,3,0)</f>
        <v>CARAÍBAS</v>
      </c>
      <c r="C1815" t="str">
        <f>VLOOKUP(A1815,Planilha2!$A$2:$D$5566,4,0)</f>
        <v>BA</v>
      </c>
    </row>
    <row r="1816" spans="1:3" x14ac:dyDescent="0.35">
      <c r="A1816">
        <v>292340</v>
      </c>
      <c r="B1816" t="str">
        <f>VLOOKUP(A1816,Planilha2!$A$2:$C$5566,3,0)</f>
        <v>PALMAS DE MONTE ALTO</v>
      </c>
      <c r="C1816" t="str">
        <f>VLOOKUP(A1816,Planilha2!$A$2:$D$5566,4,0)</f>
        <v>BA</v>
      </c>
    </row>
    <row r="1817" spans="1:3" x14ac:dyDescent="0.35">
      <c r="A1817">
        <v>317120</v>
      </c>
      <c r="B1817" t="str">
        <f>VLOOKUP(A1817,Planilha2!$A$2:$C$5566,3,0)</f>
        <v>VESPASIANO</v>
      </c>
      <c r="C1817" t="str">
        <f>VLOOKUP(A1817,Planilha2!$A$2:$D$5566,4,0)</f>
        <v>MG</v>
      </c>
    </row>
    <row r="1818" spans="1:3" x14ac:dyDescent="0.35">
      <c r="A1818">
        <v>311260</v>
      </c>
      <c r="B1818" t="str">
        <f>VLOOKUP(A1818,Planilha2!$A$2:$C$5566,3,0)</f>
        <v>CAPINÓPOLIS</v>
      </c>
      <c r="C1818" t="str">
        <f>VLOOKUP(A1818,Planilha2!$A$2:$D$5566,4,0)</f>
        <v>MG</v>
      </c>
    </row>
    <row r="1819" spans="1:3" x14ac:dyDescent="0.35">
      <c r="A1819">
        <v>317080</v>
      </c>
      <c r="B1819" t="str">
        <f>VLOOKUP(A1819,Planilha2!$A$2:$C$5566,3,0)</f>
        <v>VÁRZEA DA PALMA</v>
      </c>
      <c r="C1819" t="str">
        <f>VLOOKUP(A1819,Planilha2!$A$2:$D$5566,4,0)</f>
        <v>MG</v>
      </c>
    </row>
    <row r="1820" spans="1:3" x14ac:dyDescent="0.35">
      <c r="A1820">
        <v>315120</v>
      </c>
      <c r="B1820" t="str">
        <f>VLOOKUP(A1820,Planilha2!$A$2:$C$5566,3,0)</f>
        <v>PIRAPORA</v>
      </c>
      <c r="C1820" t="str">
        <f>VLOOKUP(A1820,Planilha2!$A$2:$D$5566,4,0)</f>
        <v>MG</v>
      </c>
    </row>
    <row r="1821" spans="1:3" x14ac:dyDescent="0.35">
      <c r="A1821">
        <v>313560</v>
      </c>
      <c r="B1821" t="str">
        <f>VLOOKUP(A1821,Planilha2!$A$2:$C$5566,3,0)</f>
        <v>JEQUITAÍ</v>
      </c>
      <c r="C1821" t="str">
        <f>VLOOKUP(A1821,Planilha2!$A$2:$D$5566,4,0)</f>
        <v>MG</v>
      </c>
    </row>
    <row r="1822" spans="1:3" x14ac:dyDescent="0.35">
      <c r="A1822">
        <v>315725</v>
      </c>
      <c r="B1822" t="str">
        <f>VLOOKUP(A1822,Planilha2!$A$2:$C$5566,3,0)</f>
        <v>SANTA BÁRBARA DO LESTE</v>
      </c>
      <c r="C1822" t="str">
        <f>VLOOKUP(A1822,Planilha2!$A$2:$D$5566,4,0)</f>
        <v>MG</v>
      </c>
    </row>
    <row r="1823" spans="1:3" x14ac:dyDescent="0.35">
      <c r="A1823">
        <v>315160</v>
      </c>
      <c r="B1823" t="str">
        <f>VLOOKUP(A1823,Planilha2!$A$2:$C$5566,3,0)</f>
        <v>PLANURA</v>
      </c>
      <c r="C1823" t="str">
        <f>VLOOKUP(A1823,Planilha2!$A$2:$D$5566,4,0)</f>
        <v>MG</v>
      </c>
    </row>
    <row r="1824" spans="1:3" x14ac:dyDescent="0.35">
      <c r="A1824">
        <v>313410</v>
      </c>
      <c r="B1824" t="str">
        <f>VLOOKUP(A1824,Planilha2!$A$2:$C$5566,3,0)</f>
        <v>ITUETA</v>
      </c>
      <c r="C1824" t="str">
        <f>VLOOKUP(A1824,Planilha2!$A$2:$D$5566,4,0)</f>
        <v>MG</v>
      </c>
    </row>
    <row r="1825" spans="1:3" x14ac:dyDescent="0.35">
      <c r="A1825">
        <v>313320</v>
      </c>
      <c r="B1825" t="str">
        <f>VLOOKUP(A1825,Planilha2!$A$2:$C$5566,3,0)</f>
        <v>ITANHOMI</v>
      </c>
      <c r="C1825" t="str">
        <f>VLOOKUP(A1825,Planilha2!$A$2:$D$5566,4,0)</f>
        <v>MG</v>
      </c>
    </row>
    <row r="1826" spans="1:3" x14ac:dyDescent="0.35">
      <c r="A1826">
        <v>313230</v>
      </c>
      <c r="B1826" t="str">
        <f>VLOOKUP(A1826,Planilha2!$A$2:$C$5566,3,0)</f>
        <v>ITAIPÉ</v>
      </c>
      <c r="C1826" t="str">
        <f>VLOOKUP(A1826,Planilha2!$A$2:$D$5566,4,0)</f>
        <v>MG</v>
      </c>
    </row>
    <row r="1827" spans="1:3" x14ac:dyDescent="0.35">
      <c r="A1827">
        <v>310060</v>
      </c>
      <c r="B1827" t="str">
        <f>VLOOKUP(A1827,Planilha2!$A$2:$C$5566,3,0)</f>
        <v>ÁGUA BOA</v>
      </c>
      <c r="C1827" t="str">
        <f>VLOOKUP(A1827,Planilha2!$A$2:$D$5566,4,0)</f>
        <v>MG</v>
      </c>
    </row>
    <row r="1828" spans="1:3" x14ac:dyDescent="0.35">
      <c r="A1828">
        <v>313180</v>
      </c>
      <c r="B1828" t="str">
        <f>VLOOKUP(A1828,Planilha2!$A$2:$C$5566,3,0)</f>
        <v>ITABIRINHA</v>
      </c>
      <c r="C1828" t="str">
        <f>VLOOKUP(A1828,Planilha2!$A$2:$D$5566,4,0)</f>
        <v>MG</v>
      </c>
    </row>
    <row r="1829" spans="1:3" x14ac:dyDescent="0.35">
      <c r="A1829">
        <v>316020</v>
      </c>
      <c r="B1829" t="str">
        <f>VLOOKUP(A1829,Planilha2!$A$2:$C$5566,3,0)</f>
        <v>SANTO ANTÔNIO DO ITAMBÉ</v>
      </c>
      <c r="C1829" t="str">
        <f>VLOOKUP(A1829,Planilha2!$A$2:$D$5566,4,0)</f>
        <v>MG</v>
      </c>
    </row>
    <row r="1830" spans="1:3" x14ac:dyDescent="0.35">
      <c r="A1830">
        <v>312010</v>
      </c>
      <c r="B1830" t="str">
        <f>VLOOKUP(A1830,Planilha2!$A$2:$C$5566,3,0)</f>
        <v>COUTO DE MAGALHÃES DE MINAS</v>
      </c>
      <c r="C1830" t="str">
        <f>VLOOKUP(A1830,Planilha2!$A$2:$D$5566,4,0)</f>
        <v>MG</v>
      </c>
    </row>
    <row r="1831" spans="1:3" x14ac:dyDescent="0.35">
      <c r="A1831">
        <v>311680</v>
      </c>
      <c r="B1831" t="str">
        <f>VLOOKUP(A1831,Planilha2!$A$2:$C$5566,3,0)</f>
        <v>COLUNA</v>
      </c>
      <c r="C1831" t="str">
        <f>VLOOKUP(A1831,Planilha2!$A$2:$D$5566,4,0)</f>
        <v>MG</v>
      </c>
    </row>
    <row r="1832" spans="1:3" x14ac:dyDescent="0.35">
      <c r="A1832">
        <v>316380</v>
      </c>
      <c r="B1832" t="str">
        <f>VLOOKUP(A1832,Planilha2!$A$2:$C$5566,3,0)</f>
        <v>SÃO MIGUEL DO ANTA</v>
      </c>
      <c r="C1832" t="str">
        <f>VLOOKUP(A1832,Planilha2!$A$2:$D$5566,4,0)</f>
        <v>MG</v>
      </c>
    </row>
    <row r="1833" spans="1:3" x14ac:dyDescent="0.35">
      <c r="A1833">
        <v>313753</v>
      </c>
      <c r="B1833" t="str">
        <f>VLOOKUP(A1833,Planilha2!$A$2:$C$5566,3,0)</f>
        <v>LAGOA GRANDE</v>
      </c>
      <c r="C1833" t="str">
        <f>VLOOKUP(A1833,Planilha2!$A$2:$D$5566,4,0)</f>
        <v>MG</v>
      </c>
    </row>
    <row r="1834" spans="1:3" x14ac:dyDescent="0.35">
      <c r="A1834">
        <v>317100</v>
      </c>
      <c r="B1834" t="str">
        <f>VLOOKUP(A1834,Planilha2!$A$2:$C$5566,3,0)</f>
        <v>VAZANTE</v>
      </c>
      <c r="C1834" t="str">
        <f>VLOOKUP(A1834,Planilha2!$A$2:$D$5566,4,0)</f>
        <v>MG</v>
      </c>
    </row>
    <row r="1835" spans="1:3" x14ac:dyDescent="0.35">
      <c r="A1835">
        <v>320140</v>
      </c>
      <c r="B1835" t="str">
        <f>VLOOKUP(A1835,Planilha2!$A$2:$C$5566,3,0)</f>
        <v>CASTELO</v>
      </c>
      <c r="C1835" t="str">
        <f>VLOOKUP(A1835,Planilha2!$A$2:$D$5566,4,0)</f>
        <v>ES</v>
      </c>
    </row>
    <row r="1836" spans="1:3" x14ac:dyDescent="0.35">
      <c r="A1836">
        <v>320501</v>
      </c>
      <c r="B1836" t="str">
        <f>VLOOKUP(A1836,Planilha2!$A$2:$C$5566,3,0)</f>
        <v>SOORETAMA</v>
      </c>
      <c r="C1836" t="str">
        <f>VLOOKUP(A1836,Planilha2!$A$2:$D$5566,4,0)</f>
        <v>ES</v>
      </c>
    </row>
    <row r="1837" spans="1:3" x14ac:dyDescent="0.35">
      <c r="A1837">
        <v>320245</v>
      </c>
      <c r="B1837" t="str">
        <f>VLOOKUP(A1837,Planilha2!$A$2:$C$5566,3,0)</f>
        <v>IBATIBA</v>
      </c>
      <c r="C1837" t="str">
        <f>VLOOKUP(A1837,Planilha2!$A$2:$D$5566,4,0)</f>
        <v>ES</v>
      </c>
    </row>
    <row r="1838" spans="1:3" x14ac:dyDescent="0.35">
      <c r="A1838">
        <v>292200</v>
      </c>
      <c r="B1838" t="str">
        <f>VLOOKUP(A1838,Planilha2!$A$2:$C$5566,3,0)</f>
        <v>MUCURI</v>
      </c>
      <c r="C1838" t="str">
        <f>VLOOKUP(A1838,Planilha2!$A$2:$D$5566,4,0)</f>
        <v>BA</v>
      </c>
    </row>
    <row r="1839" spans="1:3" x14ac:dyDescent="0.35">
      <c r="A1839">
        <v>320425</v>
      </c>
      <c r="B1839" t="str">
        <f>VLOOKUP(A1839,Planilha2!$A$2:$C$5566,3,0)</f>
        <v>PONTO BELO</v>
      </c>
      <c r="C1839" t="str">
        <f>VLOOKUP(A1839,Planilha2!$A$2:$D$5566,4,0)</f>
        <v>ES</v>
      </c>
    </row>
    <row r="1840" spans="1:3" x14ac:dyDescent="0.35">
      <c r="A1840">
        <v>320080</v>
      </c>
      <c r="B1840" t="str">
        <f>VLOOKUP(A1840,Planilha2!$A$2:$C$5566,3,0)</f>
        <v>BAIXO GUANDU</v>
      </c>
      <c r="C1840" t="str">
        <f>VLOOKUP(A1840,Planilha2!$A$2:$D$5566,4,0)</f>
        <v>ES</v>
      </c>
    </row>
    <row r="1841" spans="1:3" x14ac:dyDescent="0.35">
      <c r="A1841">
        <v>330050</v>
      </c>
      <c r="B1841" t="str">
        <f>VLOOKUP(A1841,Planilha2!$A$2:$C$5566,3,0)</f>
        <v>BOM JARDIM</v>
      </c>
      <c r="C1841" t="str">
        <f>VLOOKUP(A1841,Planilha2!$A$2:$D$5566,4,0)</f>
        <v>RJ</v>
      </c>
    </row>
    <row r="1842" spans="1:3" x14ac:dyDescent="0.35">
      <c r="A1842">
        <v>330150</v>
      </c>
      <c r="B1842" t="str">
        <f>VLOOKUP(A1842,Planilha2!$A$2:$C$5566,3,0)</f>
        <v>CORDEIRO</v>
      </c>
      <c r="C1842" t="str">
        <f>VLOOKUP(A1842,Planilha2!$A$2:$D$5566,4,0)</f>
        <v>RJ</v>
      </c>
    </row>
    <row r="1843" spans="1:3" x14ac:dyDescent="0.35">
      <c r="A1843">
        <v>510267</v>
      </c>
      <c r="B1843" t="str">
        <f>VLOOKUP(A1843,Planilha2!$A$2:$C$5566,3,0)</f>
        <v>CAMPO VERDE</v>
      </c>
      <c r="C1843" t="str">
        <f>VLOOKUP(A1843,Planilha2!$A$2:$D$5566,4,0)</f>
        <v>MT</v>
      </c>
    </row>
    <row r="1844" spans="1:3" x14ac:dyDescent="0.35">
      <c r="A1844">
        <v>330245</v>
      </c>
      <c r="B1844" t="str">
        <f>VLOOKUP(A1844,Planilha2!$A$2:$C$5566,3,0)</f>
        <v>MACUCO</v>
      </c>
      <c r="C1844" t="str">
        <f>VLOOKUP(A1844,Planilha2!$A$2:$D$5566,4,0)</f>
        <v>RJ</v>
      </c>
    </row>
    <row r="1845" spans="1:3" x14ac:dyDescent="0.35">
      <c r="A1845">
        <v>353700</v>
      </c>
      <c r="B1845" t="str">
        <f>VLOOKUP(A1845,Planilha2!$A$2:$C$5566,3,0)</f>
        <v>PEDREGULHO</v>
      </c>
      <c r="C1845" t="str">
        <f>VLOOKUP(A1845,Planilha2!$A$2:$D$5566,4,0)</f>
        <v>SP</v>
      </c>
    </row>
    <row r="1846" spans="1:3" x14ac:dyDescent="0.35">
      <c r="A1846">
        <v>354220</v>
      </c>
      <c r="B1846" t="str">
        <f>VLOOKUP(A1846,Planilha2!$A$2:$C$5566,3,0)</f>
        <v>RANCHARIA</v>
      </c>
      <c r="C1846" t="str">
        <f>VLOOKUP(A1846,Planilha2!$A$2:$D$5566,4,0)</f>
        <v>SP</v>
      </c>
    </row>
    <row r="1847" spans="1:3" x14ac:dyDescent="0.35">
      <c r="A1847">
        <v>351519</v>
      </c>
      <c r="B1847" t="str">
        <f>VLOOKUP(A1847,Planilha2!$A$2:$C$5566,3,0)</f>
        <v>ESPÍRITO SANTO DO TURVO</v>
      </c>
      <c r="C1847" t="str">
        <f>VLOOKUP(A1847,Planilha2!$A$2:$D$5566,4,0)</f>
        <v>SP</v>
      </c>
    </row>
    <row r="1848" spans="1:3" x14ac:dyDescent="0.35">
      <c r="A1848">
        <v>355430</v>
      </c>
      <c r="B1848" t="str">
        <f>VLOOKUP(A1848,Planilha2!$A$2:$C$5566,3,0)</f>
        <v>TEODORO SAMPAIO</v>
      </c>
      <c r="C1848" t="str">
        <f>VLOOKUP(A1848,Planilha2!$A$2:$D$5566,4,0)</f>
        <v>SP</v>
      </c>
    </row>
    <row r="1849" spans="1:3" x14ac:dyDescent="0.35">
      <c r="A1849">
        <v>354150</v>
      </c>
      <c r="B1849" t="str">
        <f>VLOOKUP(A1849,Planilha2!$A$2:$C$5566,3,0)</f>
        <v>PRESIDENTE VENCESLAU</v>
      </c>
      <c r="C1849" t="str">
        <f>VLOOKUP(A1849,Planilha2!$A$2:$D$5566,4,0)</f>
        <v>SP</v>
      </c>
    </row>
    <row r="1850" spans="1:3" x14ac:dyDescent="0.35">
      <c r="A1850">
        <v>352610</v>
      </c>
      <c r="B1850" t="str">
        <f>VLOOKUP(A1850,Planilha2!$A$2:$C$5566,3,0)</f>
        <v>JUQUIÁ</v>
      </c>
      <c r="C1850" t="str">
        <f>VLOOKUP(A1850,Planilha2!$A$2:$D$5566,4,0)</f>
        <v>SP</v>
      </c>
    </row>
    <row r="1851" spans="1:3" x14ac:dyDescent="0.35">
      <c r="A1851">
        <v>354060</v>
      </c>
      <c r="B1851" t="str">
        <f>VLOOKUP(A1851,Planilha2!$A$2:$C$5566,3,0)</f>
        <v>PORTO FELIZ</v>
      </c>
      <c r="C1851" t="str">
        <f>VLOOKUP(A1851,Planilha2!$A$2:$D$5566,4,0)</f>
        <v>SP</v>
      </c>
    </row>
    <row r="1852" spans="1:3" x14ac:dyDescent="0.35">
      <c r="A1852">
        <v>411580</v>
      </c>
      <c r="B1852" t="str">
        <f>VLOOKUP(A1852,Planilha2!$A$2:$C$5566,3,0)</f>
        <v>MEDIANEIRA</v>
      </c>
      <c r="C1852" t="str">
        <f>VLOOKUP(A1852,Planilha2!$A$2:$D$5566,4,0)</f>
        <v>PR</v>
      </c>
    </row>
    <row r="1853" spans="1:3" x14ac:dyDescent="0.35">
      <c r="A1853">
        <v>410860</v>
      </c>
      <c r="B1853" t="str">
        <f>VLOOKUP(A1853,Planilha2!$A$2:$C$5566,3,0)</f>
        <v>GOIOERÊ</v>
      </c>
      <c r="C1853" t="str">
        <f>VLOOKUP(A1853,Planilha2!$A$2:$D$5566,4,0)</f>
        <v>PR</v>
      </c>
    </row>
    <row r="1854" spans="1:3" x14ac:dyDescent="0.35">
      <c r="A1854">
        <v>412330</v>
      </c>
      <c r="B1854" t="str">
        <f>VLOOKUP(A1854,Planilha2!$A$2:$C$5566,3,0)</f>
        <v>SANTA CRUZ DE MONTE CASTELO</v>
      </c>
      <c r="C1854" t="str">
        <f>VLOOKUP(A1854,Planilha2!$A$2:$D$5566,4,0)</f>
        <v>PR</v>
      </c>
    </row>
    <row r="1855" spans="1:3" x14ac:dyDescent="0.35">
      <c r="A1855">
        <v>411970</v>
      </c>
      <c r="B1855" t="str">
        <f>VLOOKUP(A1855,Planilha2!$A$2:$C$5566,3,0)</f>
        <v>PLANALTINA DO PARANÁ</v>
      </c>
      <c r="C1855" t="str">
        <f>VLOOKUP(A1855,Planilha2!$A$2:$D$5566,4,0)</f>
        <v>PR</v>
      </c>
    </row>
    <row r="1856" spans="1:3" x14ac:dyDescent="0.35">
      <c r="A1856">
        <v>411240</v>
      </c>
      <c r="B1856" t="str">
        <f>VLOOKUP(A1856,Planilha2!$A$2:$C$5566,3,0)</f>
        <v>JAPURÁ</v>
      </c>
      <c r="C1856" t="str">
        <f>VLOOKUP(A1856,Planilha2!$A$2:$D$5566,4,0)</f>
        <v>PR</v>
      </c>
    </row>
    <row r="1857" spans="1:3" x14ac:dyDescent="0.35">
      <c r="A1857">
        <v>410640</v>
      </c>
      <c r="B1857" t="str">
        <f>VLOOKUP(A1857,Planilha2!$A$2:$C$5566,3,0)</f>
        <v>CORNÉLIO PROCÓPIO</v>
      </c>
      <c r="C1857" t="str">
        <f>VLOOKUP(A1857,Planilha2!$A$2:$D$5566,4,0)</f>
        <v>PR</v>
      </c>
    </row>
    <row r="1858" spans="1:3" x14ac:dyDescent="0.35">
      <c r="A1858">
        <v>412130</v>
      </c>
      <c r="B1858" t="str">
        <f>VLOOKUP(A1858,Planilha2!$A$2:$C$5566,3,0)</f>
        <v>RANCHO ALEGRE</v>
      </c>
      <c r="C1858" t="str">
        <f>VLOOKUP(A1858,Planilha2!$A$2:$D$5566,4,0)</f>
        <v>PR</v>
      </c>
    </row>
    <row r="1859" spans="1:3" x14ac:dyDescent="0.35">
      <c r="A1859">
        <v>410080</v>
      </c>
      <c r="B1859" t="str">
        <f>VLOOKUP(A1859,Planilha2!$A$2:$C$5566,3,0)</f>
        <v>ALVORADA DO SUL</v>
      </c>
      <c r="C1859" t="str">
        <f>VLOOKUP(A1859,Planilha2!$A$2:$D$5566,4,0)</f>
        <v>PR</v>
      </c>
    </row>
    <row r="1860" spans="1:3" x14ac:dyDescent="0.35">
      <c r="A1860">
        <v>410720</v>
      </c>
      <c r="B1860" t="str">
        <f>VLOOKUP(A1860,Planilha2!$A$2:$C$5566,3,0)</f>
        <v>DOIS VIZINHOS</v>
      </c>
      <c r="C1860" t="str">
        <f>VLOOKUP(A1860,Planilha2!$A$2:$D$5566,4,0)</f>
        <v>PR</v>
      </c>
    </row>
    <row r="1861" spans="1:3" x14ac:dyDescent="0.35">
      <c r="A1861">
        <v>412120</v>
      </c>
      <c r="B1861" t="str">
        <f>VLOOKUP(A1861,Planilha2!$A$2:$C$5566,3,0)</f>
        <v>QUITANDINHA</v>
      </c>
      <c r="C1861" t="str">
        <f>VLOOKUP(A1861,Planilha2!$A$2:$D$5566,4,0)</f>
        <v>PR</v>
      </c>
    </row>
    <row r="1862" spans="1:3" x14ac:dyDescent="0.35">
      <c r="A1862">
        <v>410765</v>
      </c>
      <c r="B1862" t="str">
        <f>VLOOKUP(A1862,Planilha2!$A$2:$C$5566,3,0)</f>
        <v>FAZENDA RIO GRANDE</v>
      </c>
      <c r="C1862" t="str">
        <f>VLOOKUP(A1862,Planilha2!$A$2:$D$5566,4,0)</f>
        <v>PR</v>
      </c>
    </row>
    <row r="1863" spans="1:3" x14ac:dyDescent="0.35">
      <c r="A1863">
        <v>410895</v>
      </c>
      <c r="B1863" t="str">
        <f>VLOOKUP(A1863,Planilha2!$A$2:$C$5566,3,0)</f>
        <v>GUAMIRANGA</v>
      </c>
      <c r="C1863" t="str">
        <f>VLOOKUP(A1863,Planilha2!$A$2:$D$5566,4,0)</f>
        <v>PR</v>
      </c>
    </row>
    <row r="1864" spans="1:3" x14ac:dyDescent="0.35">
      <c r="A1864">
        <v>410347</v>
      </c>
      <c r="B1864" t="str">
        <f>VLOOKUP(A1864,Planilha2!$A$2:$C$5566,3,0)</f>
        <v>CAFEZAL DO SUL</v>
      </c>
      <c r="C1864" t="str">
        <f>VLOOKUP(A1864,Planilha2!$A$2:$D$5566,4,0)</f>
        <v>PR</v>
      </c>
    </row>
    <row r="1865" spans="1:3" x14ac:dyDescent="0.35">
      <c r="A1865">
        <v>412190</v>
      </c>
      <c r="B1865" t="str">
        <f>VLOOKUP(A1865,Planilha2!$A$2:$C$5566,3,0)</f>
        <v>RIBEIRÃO DO PINHAL</v>
      </c>
      <c r="C1865" t="str">
        <f>VLOOKUP(A1865,Planilha2!$A$2:$D$5566,4,0)</f>
        <v>PR</v>
      </c>
    </row>
    <row r="1866" spans="1:3" x14ac:dyDescent="0.35">
      <c r="A1866">
        <v>410880</v>
      </c>
      <c r="B1866" t="str">
        <f>VLOOKUP(A1866,Planilha2!$A$2:$C$5566,3,0)</f>
        <v>GUAÍRA</v>
      </c>
      <c r="C1866" t="str">
        <f>VLOOKUP(A1866,Planilha2!$A$2:$D$5566,4,0)</f>
        <v>PR</v>
      </c>
    </row>
    <row r="1867" spans="1:3" x14ac:dyDescent="0.35">
      <c r="A1867">
        <v>411150</v>
      </c>
      <c r="B1867" t="str">
        <f>VLOOKUP(A1867,Planilha2!$A$2:$C$5566,3,0)</f>
        <v>IVAIPORÃ</v>
      </c>
      <c r="C1867" t="str">
        <f>VLOOKUP(A1867,Planilha2!$A$2:$D$5566,4,0)</f>
        <v>PR</v>
      </c>
    </row>
    <row r="1868" spans="1:3" x14ac:dyDescent="0.35">
      <c r="A1868">
        <v>412217</v>
      </c>
      <c r="B1868" t="str">
        <f>VLOOKUP(A1868,Planilha2!$A$2:$C$5566,3,0)</f>
        <v>RIO BRANCO DO IVAÍ</v>
      </c>
      <c r="C1868" t="str">
        <f>VLOOKUP(A1868,Planilha2!$A$2:$D$5566,4,0)</f>
        <v>PR</v>
      </c>
    </row>
    <row r="1869" spans="1:3" x14ac:dyDescent="0.35">
      <c r="A1869">
        <v>410685</v>
      </c>
      <c r="B1869" t="str">
        <f>VLOOKUP(A1869,Planilha2!$A$2:$C$5566,3,0)</f>
        <v>CRUZMALTINA</v>
      </c>
      <c r="C1869" t="str">
        <f>VLOOKUP(A1869,Planilha2!$A$2:$D$5566,4,0)</f>
        <v>PR</v>
      </c>
    </row>
    <row r="1870" spans="1:3" x14ac:dyDescent="0.35">
      <c r="A1870">
        <v>412500</v>
      </c>
      <c r="B1870" t="str">
        <f>VLOOKUP(A1870,Planilha2!$A$2:$C$5566,3,0)</f>
        <v>SÃO JOÃO DO IVAÍ</v>
      </c>
      <c r="C1870" t="str">
        <f>VLOOKUP(A1870,Planilha2!$A$2:$D$5566,4,0)</f>
        <v>PR</v>
      </c>
    </row>
    <row r="1871" spans="1:3" x14ac:dyDescent="0.35">
      <c r="A1871">
        <v>410130</v>
      </c>
      <c r="B1871" t="str">
        <f>VLOOKUP(A1871,Planilha2!$A$2:$C$5566,3,0)</f>
        <v>ANTÔNIO OLINTO</v>
      </c>
      <c r="C1871" t="str">
        <f>VLOOKUP(A1871,Planilha2!$A$2:$D$5566,4,0)</f>
        <v>PR</v>
      </c>
    </row>
    <row r="1872" spans="1:3" x14ac:dyDescent="0.35">
      <c r="A1872">
        <v>420140</v>
      </c>
      <c r="B1872" t="str">
        <f>VLOOKUP(A1872,Planilha2!$A$2:$C$5566,3,0)</f>
        <v>ARARANGUÁ</v>
      </c>
      <c r="C1872" t="str">
        <f>VLOOKUP(A1872,Planilha2!$A$2:$D$5566,4,0)</f>
        <v>SC</v>
      </c>
    </row>
    <row r="1873" spans="1:3" x14ac:dyDescent="0.35">
      <c r="A1873">
        <v>420205</v>
      </c>
      <c r="B1873" t="str">
        <f>VLOOKUP(A1873,Planilha2!$A$2:$C$5566,3,0)</f>
        <v>BALNEÁRIO DA BARRA DO SUL</v>
      </c>
      <c r="C1873" t="str">
        <f>VLOOKUP(A1873,Planilha2!$A$2:$D$5566,4,0)</f>
        <v>SC</v>
      </c>
    </row>
    <row r="1874" spans="1:3" x14ac:dyDescent="0.35">
      <c r="A1874">
        <v>420550</v>
      </c>
      <c r="B1874" t="str">
        <f>VLOOKUP(A1874,Planilha2!$A$2:$C$5566,3,0)</f>
        <v>FRAIBURGO</v>
      </c>
      <c r="C1874" t="str">
        <f>VLOOKUP(A1874,Planilha2!$A$2:$D$5566,4,0)</f>
        <v>SC</v>
      </c>
    </row>
    <row r="1875" spans="1:3" x14ac:dyDescent="0.35">
      <c r="A1875">
        <v>421650</v>
      </c>
      <c r="B1875" t="str">
        <f>VLOOKUP(A1875,Planilha2!$A$2:$C$5566,3,0)</f>
        <v>SÃO JOAQUIM</v>
      </c>
      <c r="C1875" t="str">
        <f>VLOOKUP(A1875,Planilha2!$A$2:$D$5566,4,0)</f>
        <v>SC</v>
      </c>
    </row>
    <row r="1876" spans="1:3" x14ac:dyDescent="0.35">
      <c r="A1876">
        <v>432270</v>
      </c>
      <c r="B1876" t="str">
        <f>VLOOKUP(A1876,Planilha2!$A$2:$C$5566,3,0)</f>
        <v>VERA CRUZ</v>
      </c>
      <c r="C1876" t="str">
        <f>VLOOKUP(A1876,Planilha2!$A$2:$D$5566,4,0)</f>
        <v>RS</v>
      </c>
    </row>
    <row r="1877" spans="1:3" x14ac:dyDescent="0.35">
      <c r="A1877">
        <v>431750</v>
      </c>
      <c r="B1877" t="str">
        <f>VLOOKUP(A1877,Planilha2!$A$2:$C$5566,3,0)</f>
        <v>SANTO ÂNGELO</v>
      </c>
      <c r="C1877" t="str">
        <f>VLOOKUP(A1877,Planilha2!$A$2:$D$5566,4,0)</f>
        <v>RS</v>
      </c>
    </row>
    <row r="1878" spans="1:3" x14ac:dyDescent="0.35">
      <c r="A1878">
        <v>431342</v>
      </c>
      <c r="B1878" t="str">
        <f>VLOOKUP(A1878,Planilha2!$A$2:$C$5566,3,0)</f>
        <v>NOVO MACHADO</v>
      </c>
      <c r="C1878" t="str">
        <f>VLOOKUP(A1878,Planilha2!$A$2:$D$5566,4,0)</f>
        <v>RS</v>
      </c>
    </row>
    <row r="1879" spans="1:3" x14ac:dyDescent="0.35">
      <c r="A1879">
        <v>430430</v>
      </c>
      <c r="B1879" t="str">
        <f>VLOOKUP(A1879,Planilha2!$A$2:$C$5566,3,0)</f>
        <v>CÂNDIDO GODÓI</v>
      </c>
      <c r="C1879" t="str">
        <f>VLOOKUP(A1879,Planilha2!$A$2:$D$5566,4,0)</f>
        <v>RS</v>
      </c>
    </row>
    <row r="1880" spans="1:3" x14ac:dyDescent="0.35">
      <c r="A1880">
        <v>431349</v>
      </c>
      <c r="B1880" t="str">
        <f>VLOOKUP(A1880,Planilha2!$A$2:$C$5566,3,0)</f>
        <v>NOVO BARREIRO</v>
      </c>
      <c r="C1880" t="str">
        <f>VLOOKUP(A1880,Planilha2!$A$2:$D$5566,4,0)</f>
        <v>RS</v>
      </c>
    </row>
    <row r="1881" spans="1:3" x14ac:dyDescent="0.35">
      <c r="A1881">
        <v>431540</v>
      </c>
      <c r="B1881" t="str">
        <f>VLOOKUP(A1881,Planilha2!$A$2:$C$5566,3,0)</f>
        <v>REDENTORA</v>
      </c>
      <c r="C1881" t="str">
        <f>VLOOKUP(A1881,Planilha2!$A$2:$D$5566,4,0)</f>
        <v>RS</v>
      </c>
    </row>
    <row r="1882" spans="1:3" x14ac:dyDescent="0.35">
      <c r="A1882">
        <v>432160</v>
      </c>
      <c r="B1882" t="str">
        <f>VLOOKUP(A1882,Planilha2!$A$2:$C$5566,3,0)</f>
        <v>TRAMANDAÍ</v>
      </c>
      <c r="C1882" t="str">
        <f>VLOOKUP(A1882,Planilha2!$A$2:$D$5566,4,0)</f>
        <v>RS</v>
      </c>
    </row>
    <row r="1883" spans="1:3" x14ac:dyDescent="0.35">
      <c r="A1883">
        <v>431033</v>
      </c>
      <c r="B1883" t="str">
        <f>VLOOKUP(A1883,Planilha2!$A$2:$C$5566,3,0)</f>
        <v>IMBÉ</v>
      </c>
      <c r="C1883" t="str">
        <f>VLOOKUP(A1883,Planilha2!$A$2:$D$5566,4,0)</f>
        <v>RS</v>
      </c>
    </row>
    <row r="1884" spans="1:3" x14ac:dyDescent="0.35">
      <c r="A1884">
        <v>432183</v>
      </c>
      <c r="B1884" t="str">
        <f>VLOOKUP(A1884,Planilha2!$A$2:$C$5566,3,0)</f>
        <v>TRÊS FORQUILHAS</v>
      </c>
      <c r="C1884" t="str">
        <f>VLOOKUP(A1884,Planilha2!$A$2:$D$5566,4,0)</f>
        <v>RS</v>
      </c>
    </row>
    <row r="1885" spans="1:3" x14ac:dyDescent="0.35">
      <c r="A1885">
        <v>430545</v>
      </c>
      <c r="B1885" t="str">
        <f>VLOOKUP(A1885,Planilha2!$A$2:$C$5566,3,0)</f>
        <v>CIDREIRA</v>
      </c>
      <c r="C1885" t="str">
        <f>VLOOKUP(A1885,Planilha2!$A$2:$D$5566,4,0)</f>
        <v>RS</v>
      </c>
    </row>
    <row r="1886" spans="1:3" x14ac:dyDescent="0.35">
      <c r="A1886">
        <v>430745</v>
      </c>
      <c r="B1886" t="str">
        <f>VLOOKUP(A1886,Planilha2!$A$2:$C$5566,3,0)</f>
        <v>ESPERANÇA DO SUL</v>
      </c>
      <c r="C1886" t="str">
        <f>VLOOKUP(A1886,Planilha2!$A$2:$D$5566,4,0)</f>
        <v>RS</v>
      </c>
    </row>
    <row r="1887" spans="1:3" x14ac:dyDescent="0.35">
      <c r="A1887">
        <v>430537</v>
      </c>
      <c r="B1887" t="str">
        <f>VLOOKUP(A1887,Planilha2!$A$2:$C$5566,3,0)</f>
        <v>CHARRUA</v>
      </c>
      <c r="C1887" t="str">
        <f>VLOOKUP(A1887,Planilha2!$A$2:$D$5566,4,0)</f>
        <v>RS</v>
      </c>
    </row>
    <row r="1888" spans="1:3" x14ac:dyDescent="0.35">
      <c r="A1888">
        <v>431720</v>
      </c>
      <c r="B1888" t="str">
        <f>VLOOKUP(A1888,Planilha2!$A$2:$C$5566,3,0)</f>
        <v>SANTA ROSA</v>
      </c>
      <c r="C1888" t="str">
        <f>VLOOKUP(A1888,Planilha2!$A$2:$D$5566,4,0)</f>
        <v>RS</v>
      </c>
    </row>
    <row r="1889" spans="1:3" x14ac:dyDescent="0.35">
      <c r="A1889">
        <v>430781</v>
      </c>
      <c r="B1889" t="str">
        <f>VLOOKUP(A1889,Planilha2!$A$2:$C$5566,3,0)</f>
        <v>ESTRELA VELHA</v>
      </c>
      <c r="C1889" t="str">
        <f>VLOOKUP(A1889,Planilha2!$A$2:$D$5566,4,0)</f>
        <v>RS</v>
      </c>
    </row>
    <row r="1890" spans="1:3" x14ac:dyDescent="0.35">
      <c r="A1890">
        <v>431475</v>
      </c>
      <c r="B1890" t="str">
        <f>VLOOKUP(A1890,Planilha2!$A$2:$C$5566,3,0)</f>
        <v>POÇO DAS ANTAS</v>
      </c>
      <c r="C1890" t="str">
        <f>VLOOKUP(A1890,Planilha2!$A$2:$D$5566,4,0)</f>
        <v>RS</v>
      </c>
    </row>
    <row r="1891" spans="1:3" x14ac:dyDescent="0.35">
      <c r="A1891">
        <v>430240</v>
      </c>
      <c r="B1891" t="str">
        <f>VLOOKUP(A1891,Planilha2!$A$2:$C$5566,3,0)</f>
        <v>BOM RETIRO DO SUL</v>
      </c>
      <c r="C1891" t="str">
        <f>VLOOKUP(A1891,Planilha2!$A$2:$D$5566,4,0)</f>
        <v>RS</v>
      </c>
    </row>
    <row r="1892" spans="1:3" x14ac:dyDescent="0.35">
      <c r="A1892">
        <v>431115</v>
      </c>
      <c r="B1892" t="str">
        <f>VLOOKUP(A1892,Planilha2!$A$2:$C$5566,3,0)</f>
        <v>JÓIA</v>
      </c>
      <c r="C1892" t="str">
        <f>VLOOKUP(A1892,Planilha2!$A$2:$D$5566,4,0)</f>
        <v>RS</v>
      </c>
    </row>
    <row r="1893" spans="1:3" x14ac:dyDescent="0.35">
      <c r="A1893">
        <v>432032</v>
      </c>
      <c r="B1893" t="str">
        <f>VLOOKUP(A1893,Planilha2!$A$2:$C$5566,3,0)</f>
        <v>SENADOR SALGADO FILHO</v>
      </c>
      <c r="C1893" t="str">
        <f>VLOOKUP(A1893,Planilha2!$A$2:$D$5566,4,0)</f>
        <v>RS</v>
      </c>
    </row>
    <row r="1894" spans="1:3" x14ac:dyDescent="0.35">
      <c r="A1894">
        <v>431480</v>
      </c>
      <c r="B1894" t="str">
        <f>VLOOKUP(A1894,Planilha2!$A$2:$C$5566,3,0)</f>
        <v>PORTÃO</v>
      </c>
      <c r="C1894" t="str">
        <f>VLOOKUP(A1894,Planilha2!$A$2:$D$5566,4,0)</f>
        <v>RS</v>
      </c>
    </row>
    <row r="1895" spans="1:3" x14ac:dyDescent="0.35">
      <c r="A1895">
        <v>431306</v>
      </c>
      <c r="B1895" t="str">
        <f>VLOOKUP(A1895,Planilha2!$A$2:$C$5566,3,0)</f>
        <v>NOVA HARTZ</v>
      </c>
      <c r="C1895" t="str">
        <f>VLOOKUP(A1895,Planilha2!$A$2:$D$5566,4,0)</f>
        <v>RS</v>
      </c>
    </row>
    <row r="1896" spans="1:3" x14ac:dyDescent="0.35">
      <c r="A1896">
        <v>430165</v>
      </c>
      <c r="B1896" t="str">
        <f>VLOOKUP(A1896,Planilha2!$A$2:$C$5566,3,0)</f>
        <v>BARÃO</v>
      </c>
      <c r="C1896" t="str">
        <f>VLOOKUP(A1896,Planilha2!$A$2:$D$5566,4,0)</f>
        <v>RS</v>
      </c>
    </row>
    <row r="1897" spans="1:3" x14ac:dyDescent="0.35">
      <c r="A1897">
        <v>431600</v>
      </c>
      <c r="B1897" t="str">
        <f>VLOOKUP(A1897,Planilha2!$A$2:$C$5566,3,0)</f>
        <v>ROLANTE</v>
      </c>
      <c r="C1897" t="str">
        <f>VLOOKUP(A1897,Planilha2!$A$2:$D$5566,4,0)</f>
        <v>RS</v>
      </c>
    </row>
    <row r="1898" spans="1:3" x14ac:dyDescent="0.35">
      <c r="A1898">
        <v>430085</v>
      </c>
      <c r="B1898" t="str">
        <f>VLOOKUP(A1898,Planilha2!$A$2:$C$5566,3,0)</f>
        <v>ARAMBARÉ</v>
      </c>
      <c r="C1898" t="str">
        <f>VLOOKUP(A1898,Planilha2!$A$2:$D$5566,4,0)</f>
        <v>RS</v>
      </c>
    </row>
    <row r="1899" spans="1:3" x14ac:dyDescent="0.35">
      <c r="A1899">
        <v>432090</v>
      </c>
      <c r="B1899" t="str">
        <f>VLOOKUP(A1899,Planilha2!$A$2:$C$5566,3,0)</f>
        <v>TAPEJARA</v>
      </c>
      <c r="C1899" t="str">
        <f>VLOOKUP(A1899,Planilha2!$A$2:$D$5566,4,0)</f>
        <v>RS</v>
      </c>
    </row>
    <row r="1900" spans="1:3" x14ac:dyDescent="0.35">
      <c r="A1900">
        <v>430585</v>
      </c>
      <c r="B1900" t="str">
        <f>VLOOKUP(A1900,Planilha2!$A$2:$C$5566,3,0)</f>
        <v>COQUEIROS DO SUL</v>
      </c>
      <c r="C1900" t="str">
        <f>VLOOKUP(A1900,Planilha2!$A$2:$D$5566,4,0)</f>
        <v>RS</v>
      </c>
    </row>
    <row r="1901" spans="1:3" x14ac:dyDescent="0.35">
      <c r="A1901">
        <v>432240</v>
      </c>
      <c r="B1901" t="str">
        <f>VLOOKUP(A1901,Planilha2!$A$2:$C$5566,3,0)</f>
        <v>URUGUAIANA</v>
      </c>
      <c r="C1901" t="str">
        <f>VLOOKUP(A1901,Planilha2!$A$2:$D$5566,4,0)</f>
        <v>RS</v>
      </c>
    </row>
    <row r="1902" spans="1:3" x14ac:dyDescent="0.35">
      <c r="A1902">
        <v>431060</v>
      </c>
      <c r="B1902" t="str">
        <f>VLOOKUP(A1902,Planilha2!$A$2:$C$5566,3,0)</f>
        <v>ITAQUI</v>
      </c>
      <c r="C1902" t="str">
        <f>VLOOKUP(A1902,Planilha2!$A$2:$D$5566,4,0)</f>
        <v>RS</v>
      </c>
    </row>
    <row r="1903" spans="1:3" x14ac:dyDescent="0.35">
      <c r="A1903">
        <v>431175</v>
      </c>
      <c r="B1903" t="str">
        <f>VLOOKUP(A1903,Planilha2!$A$2:$C$5566,3,0)</f>
        <v>MANOEL VIANA</v>
      </c>
      <c r="C1903" t="str">
        <f>VLOOKUP(A1903,Planilha2!$A$2:$D$5566,4,0)</f>
        <v>RS</v>
      </c>
    </row>
    <row r="1904" spans="1:3" x14ac:dyDescent="0.35">
      <c r="A1904">
        <v>430675</v>
      </c>
      <c r="B1904" t="str">
        <f>VLOOKUP(A1904,Planilha2!$A$2:$C$5566,3,0)</f>
        <v>DOUTOR RICARDO</v>
      </c>
      <c r="C1904" t="str">
        <f>VLOOKUP(A1904,Planilha2!$A$2:$D$5566,4,0)</f>
        <v>RS</v>
      </c>
    </row>
    <row r="1905" spans="1:3" x14ac:dyDescent="0.35">
      <c r="A1905">
        <v>500635</v>
      </c>
      <c r="B1905" t="str">
        <f>VLOOKUP(A1905,Planilha2!$A$2:$C$5566,3,0)</f>
        <v>PARANHOS</v>
      </c>
      <c r="C1905" t="str">
        <f>VLOOKUP(A1905,Planilha2!$A$2:$D$5566,4,0)</f>
        <v>MS</v>
      </c>
    </row>
    <row r="1906" spans="1:3" x14ac:dyDescent="0.35">
      <c r="A1906">
        <v>500540</v>
      </c>
      <c r="B1906" t="str">
        <f>VLOOKUP(A1906,Planilha2!$A$2:$C$5566,3,0)</f>
        <v>MARACAJU</v>
      </c>
      <c r="C1906" t="str">
        <f>VLOOKUP(A1906,Planilha2!$A$2:$D$5566,4,0)</f>
        <v>MS</v>
      </c>
    </row>
    <row r="1907" spans="1:3" x14ac:dyDescent="0.35">
      <c r="A1907">
        <v>500025</v>
      </c>
      <c r="B1907" t="str">
        <f>VLOOKUP(A1907,Planilha2!$A$2:$C$5566,3,0)</f>
        <v>ALCINÓPOLIS</v>
      </c>
      <c r="C1907" t="str">
        <f>VLOOKUP(A1907,Planilha2!$A$2:$D$5566,4,0)</f>
        <v>MS</v>
      </c>
    </row>
    <row r="1908" spans="1:3" x14ac:dyDescent="0.35">
      <c r="A1908">
        <v>500260</v>
      </c>
      <c r="B1908" t="str">
        <f>VLOOKUP(A1908,Planilha2!$A$2:$C$5566,3,0)</f>
        <v>CAMAPUÃ</v>
      </c>
      <c r="C1908" t="str">
        <f>VLOOKUP(A1908,Planilha2!$A$2:$D$5566,4,0)</f>
        <v>MS</v>
      </c>
    </row>
    <row r="1909" spans="1:3" x14ac:dyDescent="0.35">
      <c r="A1909">
        <v>500769</v>
      </c>
      <c r="B1909" t="str">
        <f>VLOOKUP(A1909,Planilha2!$A$2:$C$5566,3,0)</f>
        <v>SÃO GABRIEL DO OESTE</v>
      </c>
      <c r="C1909" t="str">
        <f>VLOOKUP(A1909,Planilha2!$A$2:$D$5566,4,0)</f>
        <v>MS</v>
      </c>
    </row>
    <row r="1910" spans="1:3" x14ac:dyDescent="0.35">
      <c r="A1910">
        <v>510385</v>
      </c>
      <c r="B1910" t="str">
        <f>VLOOKUP(A1910,Planilha2!$A$2:$C$5566,3,0)</f>
        <v>GAÚCHA DO NORTE</v>
      </c>
      <c r="C1910" t="str">
        <f>VLOOKUP(A1910,Planilha2!$A$2:$D$5566,4,0)</f>
        <v>MT</v>
      </c>
    </row>
    <row r="1911" spans="1:3" x14ac:dyDescent="0.35">
      <c r="A1911">
        <v>510025</v>
      </c>
      <c r="B1911" t="str">
        <f>VLOOKUP(A1911,Planilha2!$A$2:$C$5566,3,0)</f>
        <v>ALTA FLORESTA</v>
      </c>
      <c r="C1911" t="str">
        <f>VLOOKUP(A1911,Planilha2!$A$2:$D$5566,4,0)</f>
        <v>MT</v>
      </c>
    </row>
    <row r="1912" spans="1:3" x14ac:dyDescent="0.35">
      <c r="A1912">
        <v>510330</v>
      </c>
      <c r="B1912" t="str">
        <f>VLOOKUP(A1912,Planilha2!$A$2:$C$5566,3,0)</f>
        <v>COMODORO</v>
      </c>
      <c r="C1912" t="str">
        <f>VLOOKUP(A1912,Planilha2!$A$2:$D$5566,4,0)</f>
        <v>MT</v>
      </c>
    </row>
    <row r="1913" spans="1:3" x14ac:dyDescent="0.35">
      <c r="A1913">
        <v>510350</v>
      </c>
      <c r="B1913" t="str">
        <f>VLOOKUP(A1913,Planilha2!$A$2:$C$5566,3,0)</f>
        <v>DIAMANTINO</v>
      </c>
      <c r="C1913" t="str">
        <f>VLOOKUP(A1913,Planilha2!$A$2:$D$5566,4,0)</f>
        <v>MT</v>
      </c>
    </row>
    <row r="1914" spans="1:3" x14ac:dyDescent="0.35">
      <c r="A1914">
        <v>510590</v>
      </c>
      <c r="B1914" t="str">
        <f>VLOOKUP(A1914,Planilha2!$A$2:$C$5566,3,0)</f>
        <v>NOBRES</v>
      </c>
      <c r="C1914" t="str">
        <f>VLOOKUP(A1914,Planilha2!$A$2:$D$5566,4,0)</f>
        <v>MT</v>
      </c>
    </row>
    <row r="1915" spans="1:3" x14ac:dyDescent="0.35">
      <c r="A1915">
        <v>521800</v>
      </c>
      <c r="B1915" t="str">
        <f>VLOOKUP(A1915,Planilha2!$A$2:$C$5566,3,0)</f>
        <v>PORANGATU</v>
      </c>
      <c r="C1915" t="str">
        <f>VLOOKUP(A1915,Planilha2!$A$2:$D$5566,4,0)</f>
        <v>GO</v>
      </c>
    </row>
    <row r="1916" spans="1:3" x14ac:dyDescent="0.35">
      <c r="A1916">
        <v>521935</v>
      </c>
      <c r="B1916" t="str">
        <f>VLOOKUP(A1916,Planilha2!$A$2:$C$5566,3,0)</f>
        <v>SANTA ISABEL</v>
      </c>
      <c r="C1916" t="str">
        <f>VLOOKUP(A1916,Planilha2!$A$2:$D$5566,4,0)</f>
        <v>GO</v>
      </c>
    </row>
    <row r="1917" spans="1:3" x14ac:dyDescent="0.35">
      <c r="A1917">
        <v>521340</v>
      </c>
      <c r="B1917" t="str">
        <f>VLOOKUP(A1917,Planilha2!$A$2:$C$5566,3,0)</f>
        <v>MOIPORÁ</v>
      </c>
      <c r="C1917" t="str">
        <f>VLOOKUP(A1917,Planilha2!$A$2:$D$5566,4,0)</f>
        <v>GO</v>
      </c>
    </row>
    <row r="1918" spans="1:3" x14ac:dyDescent="0.35">
      <c r="A1918">
        <v>520580</v>
      </c>
      <c r="B1918" t="str">
        <f>VLOOKUP(A1918,Planilha2!$A$2:$C$5566,3,0)</f>
        <v>CORUMBÁ DE GOIÁS</v>
      </c>
      <c r="C1918" t="str">
        <f>VLOOKUP(A1918,Planilha2!$A$2:$D$5566,4,0)</f>
        <v>GO</v>
      </c>
    </row>
    <row r="1919" spans="1:3" x14ac:dyDescent="0.35">
      <c r="A1919">
        <v>520160</v>
      </c>
      <c r="B1919" t="str">
        <f>VLOOKUP(A1919,Planilha2!$A$2:$C$5566,3,0)</f>
        <v>ARAÇU</v>
      </c>
      <c r="C1919" t="str">
        <f>VLOOKUP(A1919,Planilha2!$A$2:$D$5566,4,0)</f>
        <v>GO</v>
      </c>
    </row>
    <row r="1920" spans="1:3" x14ac:dyDescent="0.35">
      <c r="A1920">
        <v>520085</v>
      </c>
      <c r="B1920" t="str">
        <f>VLOOKUP(A1920,Planilha2!$A$2:$C$5566,3,0)</f>
        <v>AMERICANO DO BRASIL</v>
      </c>
      <c r="C1920" t="str">
        <f>VLOOKUP(A1920,Planilha2!$A$2:$D$5566,4,0)</f>
        <v>GO</v>
      </c>
    </row>
    <row r="1921" spans="1:3" x14ac:dyDescent="0.35">
      <c r="A1921">
        <v>521170</v>
      </c>
      <c r="B1921" t="str">
        <f>VLOOKUP(A1921,Planilha2!$A$2:$C$5566,3,0)</f>
        <v>JANDAIA</v>
      </c>
      <c r="C1921" t="str">
        <f>VLOOKUP(A1921,Planilha2!$A$2:$D$5566,4,0)</f>
        <v>GO</v>
      </c>
    </row>
    <row r="1922" spans="1:3" x14ac:dyDescent="0.35">
      <c r="A1922">
        <v>522060</v>
      </c>
      <c r="B1922" t="str">
        <f>VLOOKUP(A1922,Planilha2!$A$2:$C$5566,3,0)</f>
        <v>SILVÂNIA</v>
      </c>
      <c r="C1922" t="str">
        <f>VLOOKUP(A1922,Planilha2!$A$2:$D$5566,4,0)</f>
        <v>GO</v>
      </c>
    </row>
    <row r="1923" spans="1:3" x14ac:dyDescent="0.35">
      <c r="A1923">
        <v>521010</v>
      </c>
      <c r="B1923" t="str">
        <f>VLOOKUP(A1923,Planilha2!$A$2:$C$5566,3,0)</f>
        <v>IPAMERI</v>
      </c>
      <c r="C1923" t="str">
        <f>VLOOKUP(A1923,Planilha2!$A$2:$D$5566,4,0)</f>
        <v>GO</v>
      </c>
    </row>
    <row r="1924" spans="1:3" x14ac:dyDescent="0.35">
      <c r="A1924">
        <v>521310</v>
      </c>
      <c r="B1924" t="str">
        <f>VLOOKUP(A1924,Planilha2!$A$2:$C$5566,3,0)</f>
        <v>MINEIROS</v>
      </c>
      <c r="C1924" t="str">
        <f>VLOOKUP(A1924,Planilha2!$A$2:$D$5566,4,0)</f>
        <v>GO</v>
      </c>
    </row>
    <row r="1925" spans="1:3" x14ac:dyDescent="0.35">
      <c r="A1925">
        <v>521523</v>
      </c>
      <c r="B1925" t="str">
        <f>VLOOKUP(A1925,Planilha2!$A$2:$C$5566,3,0)</f>
        <v>NOVO GAMA</v>
      </c>
      <c r="C1925" t="str">
        <f>VLOOKUP(A1925,Planilha2!$A$2:$D$5566,4,0)</f>
        <v>GO</v>
      </c>
    </row>
    <row r="1926" spans="1:3" x14ac:dyDescent="0.35">
      <c r="A1926">
        <v>110011</v>
      </c>
      <c r="B1926" t="str">
        <f>VLOOKUP(A1926,Planilha2!$A$2:$C$5566,3,0)</f>
        <v>JARU</v>
      </c>
      <c r="C1926" t="str">
        <f>VLOOKUP(A1926,Planilha2!$A$2:$D$5566,4,0)</f>
        <v>RO</v>
      </c>
    </row>
    <row r="1927" spans="1:3" x14ac:dyDescent="0.35">
      <c r="A1927">
        <v>130350</v>
      </c>
      <c r="B1927" t="str">
        <f>VLOOKUP(A1927,Planilha2!$A$2:$C$5566,3,0)</f>
        <v>PAUINI</v>
      </c>
      <c r="C1927" t="str">
        <f>VLOOKUP(A1927,Planilha2!$A$2:$D$5566,4,0)</f>
        <v>AM</v>
      </c>
    </row>
    <row r="1928" spans="1:3" x14ac:dyDescent="0.35">
      <c r="A1928">
        <v>150340</v>
      </c>
      <c r="B1928" t="str">
        <f>VLOOKUP(A1928,Planilha2!$A$2:$C$5566,3,0)</f>
        <v>INHANGAPI</v>
      </c>
      <c r="C1928" t="str">
        <f>VLOOKUP(A1928,Planilha2!$A$2:$D$5566,4,0)</f>
        <v>PA</v>
      </c>
    </row>
    <row r="1929" spans="1:3" x14ac:dyDescent="0.35">
      <c r="A1929">
        <v>150796</v>
      </c>
      <c r="B1929" t="str">
        <f>VLOOKUP(A1929,Planilha2!$A$2:$C$5566,3,0)</f>
        <v>TERRA ALTA</v>
      </c>
      <c r="C1929" t="str">
        <f>VLOOKUP(A1929,Planilha2!$A$2:$D$5566,4,0)</f>
        <v>PA</v>
      </c>
    </row>
    <row r="1930" spans="1:3" x14ac:dyDescent="0.35">
      <c r="A1930">
        <v>150195</v>
      </c>
      <c r="B1930" t="str">
        <f>VLOOKUP(A1930,Planilha2!$A$2:$C$5566,3,0)</f>
        <v>CACHOEIRA DO PIRIÁ</v>
      </c>
      <c r="C1930" t="str">
        <f>VLOOKUP(A1930,Planilha2!$A$2:$D$5566,4,0)</f>
        <v>PA</v>
      </c>
    </row>
    <row r="1931" spans="1:3" x14ac:dyDescent="0.35">
      <c r="A1931" s="2">
        <v>150000</v>
      </c>
      <c r="B1931" t="str">
        <f>VLOOKUP(A1931,[1]IBGE!A$2:B$27,2,0)</f>
        <v>-</v>
      </c>
      <c r="C1931" t="str">
        <f>VLOOKUP(A1931,[1]IBGE!A$2:C$27,3,0)</f>
        <v>PA</v>
      </c>
    </row>
    <row r="1932" spans="1:3" x14ac:dyDescent="0.35">
      <c r="A1932">
        <v>170900</v>
      </c>
      <c r="B1932" t="str">
        <f>VLOOKUP(A1932,Planilha2!$A$2:$C$5566,3,0)</f>
        <v>GOIATINS</v>
      </c>
      <c r="C1932" t="str">
        <f>VLOOKUP(A1932,Planilha2!$A$2:$D$5566,4,0)</f>
        <v>TO</v>
      </c>
    </row>
    <row r="1933" spans="1:3" x14ac:dyDescent="0.35">
      <c r="A1933">
        <v>170930</v>
      </c>
      <c r="B1933" t="str">
        <f>VLOOKUP(A1933,Planilha2!$A$2:$C$5566,3,0)</f>
        <v>GUARAÍ</v>
      </c>
      <c r="C1933" t="str">
        <f>VLOOKUP(A1933,Planilha2!$A$2:$D$5566,4,0)</f>
        <v>TO</v>
      </c>
    </row>
    <row r="1934" spans="1:3" x14ac:dyDescent="0.35">
      <c r="A1934">
        <v>170305</v>
      </c>
      <c r="B1934" t="str">
        <f>VLOOKUP(A1934,Planilha2!$A$2:$C$5566,3,0)</f>
        <v>BANDEIRANTES DO TOCANTINS</v>
      </c>
      <c r="C1934" t="str">
        <f>VLOOKUP(A1934,Planilha2!$A$2:$D$5566,4,0)</f>
        <v>TO</v>
      </c>
    </row>
    <row r="1935" spans="1:3" x14ac:dyDescent="0.35">
      <c r="A1935">
        <v>170220</v>
      </c>
      <c r="B1935" t="str">
        <f>VLOOKUP(A1935,Planilha2!$A$2:$C$5566,3,0)</f>
        <v>ARAGUATINS</v>
      </c>
      <c r="C1935" t="str">
        <f>VLOOKUP(A1935,Planilha2!$A$2:$D$5566,4,0)</f>
        <v>TO</v>
      </c>
    </row>
    <row r="1936" spans="1:3" x14ac:dyDescent="0.35">
      <c r="A1936">
        <v>170382</v>
      </c>
      <c r="B1936" t="str">
        <f>VLOOKUP(A1936,Planilha2!$A$2:$C$5566,3,0)</f>
        <v>CACHOEIRINHA</v>
      </c>
      <c r="C1936" t="str">
        <f>VLOOKUP(A1936,Planilha2!$A$2:$D$5566,4,0)</f>
        <v>TO</v>
      </c>
    </row>
    <row r="1937" spans="1:3" x14ac:dyDescent="0.35">
      <c r="A1937">
        <v>172010</v>
      </c>
      <c r="B1937" t="str">
        <f>VLOOKUP(A1937,Planilha2!$A$2:$C$5566,3,0)</f>
        <v>SÃO BENTO DO TOCANTINS</v>
      </c>
      <c r="C1937" t="str">
        <f>VLOOKUP(A1937,Planilha2!$A$2:$D$5566,4,0)</f>
        <v>TO</v>
      </c>
    </row>
    <row r="1938" spans="1:3" x14ac:dyDescent="0.35">
      <c r="A1938">
        <v>172090</v>
      </c>
      <c r="B1938" t="str">
        <f>VLOOKUP(A1938,Planilha2!$A$2:$C$5566,3,0)</f>
        <v>TAGUATINGA</v>
      </c>
      <c r="C1938" t="str">
        <f>VLOOKUP(A1938,Planilha2!$A$2:$D$5566,4,0)</f>
        <v>TO</v>
      </c>
    </row>
    <row r="1939" spans="1:3" x14ac:dyDescent="0.35">
      <c r="A1939">
        <v>171790</v>
      </c>
      <c r="B1939" t="str">
        <f>VLOOKUP(A1939,Planilha2!$A$2:$C$5566,3,0)</f>
        <v>PONTE ALTA DO TOCANTINS</v>
      </c>
      <c r="C1939" t="str">
        <f>VLOOKUP(A1939,Planilha2!$A$2:$D$5566,4,0)</f>
        <v>TO</v>
      </c>
    </row>
    <row r="1940" spans="1:3" x14ac:dyDescent="0.35">
      <c r="A1940">
        <v>170720</v>
      </c>
      <c r="B1940" t="str">
        <f>VLOOKUP(A1940,Planilha2!$A$2:$C$5566,3,0)</f>
        <v>DOIS IRMÃOS DO TOCANTINS</v>
      </c>
      <c r="C1940" t="str">
        <f>VLOOKUP(A1940,Planilha2!$A$2:$D$5566,4,0)</f>
        <v>TO</v>
      </c>
    </row>
    <row r="1941" spans="1:3" x14ac:dyDescent="0.35">
      <c r="A1941">
        <v>171110</v>
      </c>
      <c r="B1941" t="str">
        <f>VLOOKUP(A1941,Planilha2!$A$2:$C$5566,3,0)</f>
        <v>ITAPORÃ DO TOCANTINS</v>
      </c>
      <c r="C1941" t="str">
        <f>VLOOKUP(A1941,Planilha2!$A$2:$D$5566,4,0)</f>
        <v>TO</v>
      </c>
    </row>
    <row r="1942" spans="1:3" x14ac:dyDescent="0.35">
      <c r="A1942">
        <v>171650</v>
      </c>
      <c r="B1942" t="str">
        <f>VLOOKUP(A1942,Planilha2!$A$2:$C$5566,3,0)</f>
        <v>PEDRO AFONSO</v>
      </c>
      <c r="C1942" t="str">
        <f>VLOOKUP(A1942,Planilha2!$A$2:$D$5566,4,0)</f>
        <v>TO</v>
      </c>
    </row>
    <row r="1943" spans="1:3" x14ac:dyDescent="0.35">
      <c r="A1943">
        <v>170384</v>
      </c>
      <c r="B1943" t="str">
        <f>VLOOKUP(A1943,Planilha2!$A$2:$C$5566,3,0)</f>
        <v>CAMPOS LINDOS</v>
      </c>
      <c r="C1943" t="str">
        <f>VLOOKUP(A1943,Planilha2!$A$2:$D$5566,4,0)</f>
        <v>TO</v>
      </c>
    </row>
    <row r="1944" spans="1:3" x14ac:dyDescent="0.35">
      <c r="A1944">
        <v>210440</v>
      </c>
      <c r="B1944" t="str">
        <f>VLOOKUP(A1944,Planilha2!$A$2:$C$5566,3,0)</f>
        <v>GONÇALVES DIAS</v>
      </c>
      <c r="C1944" t="str">
        <f>VLOOKUP(A1944,Planilha2!$A$2:$D$5566,4,0)</f>
        <v>MA</v>
      </c>
    </row>
    <row r="1945" spans="1:3" x14ac:dyDescent="0.35">
      <c r="A1945">
        <v>210087</v>
      </c>
      <c r="B1945" t="str">
        <f>VLOOKUP(A1945,Planilha2!$A$2:$C$5566,3,0)</f>
        <v>ARAGUANÃ</v>
      </c>
      <c r="C1945" t="str">
        <f>VLOOKUP(A1945,Planilha2!$A$2:$D$5566,4,0)</f>
        <v>MA</v>
      </c>
    </row>
    <row r="1946" spans="1:3" x14ac:dyDescent="0.35">
      <c r="A1946">
        <v>210535</v>
      </c>
      <c r="B1946" t="str">
        <f>VLOOKUP(A1946,Planilha2!$A$2:$C$5566,3,0)</f>
        <v>ITAIPAVA DO GRAJAÚ</v>
      </c>
      <c r="C1946" t="str">
        <f>VLOOKUP(A1946,Planilha2!$A$2:$D$5566,4,0)</f>
        <v>MA</v>
      </c>
    </row>
    <row r="1947" spans="1:3" x14ac:dyDescent="0.35">
      <c r="A1947">
        <v>211195</v>
      </c>
      <c r="B1947" t="str">
        <f>VLOOKUP(A1947,Planilha2!$A$2:$C$5566,3,0)</f>
        <v>SUCUPIRA DO RIACHÃO</v>
      </c>
      <c r="C1947" t="str">
        <f>VLOOKUP(A1947,Planilha2!$A$2:$D$5566,4,0)</f>
        <v>MA</v>
      </c>
    </row>
    <row r="1948" spans="1:3" x14ac:dyDescent="0.35">
      <c r="A1948">
        <v>210317</v>
      </c>
      <c r="B1948" t="str">
        <f>VLOOKUP(A1948,Planilha2!$A$2:$C$5566,3,0)</f>
        <v>CENTRO NOVO DO MARANHÃO</v>
      </c>
      <c r="C1948" t="str">
        <f>VLOOKUP(A1948,Planilha2!$A$2:$D$5566,4,0)</f>
        <v>MA</v>
      </c>
    </row>
    <row r="1949" spans="1:3" x14ac:dyDescent="0.35">
      <c r="A1949">
        <v>210100</v>
      </c>
      <c r="B1949" t="str">
        <f>VLOOKUP(A1949,Planilha2!$A$2:$C$5566,3,0)</f>
        <v>ARARI</v>
      </c>
      <c r="C1949" t="str">
        <f>VLOOKUP(A1949,Planilha2!$A$2:$D$5566,4,0)</f>
        <v>MA</v>
      </c>
    </row>
    <row r="1950" spans="1:3" x14ac:dyDescent="0.35">
      <c r="A1950">
        <v>211080</v>
      </c>
      <c r="B1950" t="str">
        <f>VLOOKUP(A1950,Planilha2!$A$2:$C$5566,3,0)</f>
        <v>SÃO FÉLIX DE BALSAS</v>
      </c>
      <c r="C1950" t="str">
        <f>VLOOKUP(A1950,Planilha2!$A$2:$D$5566,4,0)</f>
        <v>MA</v>
      </c>
    </row>
    <row r="1951" spans="1:3" x14ac:dyDescent="0.35">
      <c r="A1951">
        <v>211160</v>
      </c>
      <c r="B1951" t="str">
        <f>VLOOKUP(A1951,Planilha2!$A$2:$C$5566,3,0)</f>
        <v>SÃO RAIMUNDO DAS MANGABEIRAS</v>
      </c>
      <c r="C1951" t="str">
        <f>VLOOKUP(A1951,Planilha2!$A$2:$D$5566,4,0)</f>
        <v>MA</v>
      </c>
    </row>
    <row r="1952" spans="1:3" x14ac:dyDescent="0.35">
      <c r="A1952">
        <v>211260</v>
      </c>
      <c r="B1952" t="str">
        <f>VLOOKUP(A1952,Planilha2!$A$2:$C$5566,3,0)</f>
        <v>URBANO SANTOS</v>
      </c>
      <c r="C1952" t="str">
        <f>VLOOKUP(A1952,Planilha2!$A$2:$D$5566,4,0)</f>
        <v>MA</v>
      </c>
    </row>
    <row r="1953" spans="1:3" x14ac:dyDescent="0.35">
      <c r="A1953">
        <v>210255</v>
      </c>
      <c r="B1953" t="str">
        <f>VLOOKUP(A1953,Planilha2!$A$2:$C$5566,3,0)</f>
        <v>CAMPESTRE DO MARANHÃO</v>
      </c>
      <c r="C1953" t="str">
        <f>VLOOKUP(A1953,Planilha2!$A$2:$D$5566,4,0)</f>
        <v>MA</v>
      </c>
    </row>
    <row r="1954" spans="1:3" x14ac:dyDescent="0.35">
      <c r="A1954">
        <v>210455</v>
      </c>
      <c r="B1954" t="str">
        <f>VLOOKUP(A1954,Planilha2!$A$2:$C$5566,3,0)</f>
        <v>GOVERNADOR EDISON LOBÃO</v>
      </c>
      <c r="C1954" t="str">
        <f>VLOOKUP(A1954,Planilha2!$A$2:$D$5566,4,0)</f>
        <v>MA</v>
      </c>
    </row>
    <row r="1955" spans="1:3" x14ac:dyDescent="0.35">
      <c r="A1955">
        <v>211050</v>
      </c>
      <c r="B1955" t="str">
        <f>VLOOKUP(A1955,Planilha2!$A$2:$C$5566,3,0)</f>
        <v>SÃO BENTO</v>
      </c>
      <c r="C1955" t="str">
        <f>VLOOKUP(A1955,Planilha2!$A$2:$D$5566,4,0)</f>
        <v>MA</v>
      </c>
    </row>
    <row r="1956" spans="1:3" x14ac:dyDescent="0.35">
      <c r="A1956">
        <v>210650</v>
      </c>
      <c r="B1956" t="str">
        <f>VLOOKUP(A1956,Planilha2!$A$2:$C$5566,3,0)</f>
        <v>MATINHA</v>
      </c>
      <c r="C1956" t="str">
        <f>VLOOKUP(A1956,Planilha2!$A$2:$D$5566,4,0)</f>
        <v>MA</v>
      </c>
    </row>
    <row r="1957" spans="1:3" x14ac:dyDescent="0.35">
      <c r="A1957">
        <v>211280</v>
      </c>
      <c r="B1957" t="str">
        <f>VLOOKUP(A1957,Planilha2!$A$2:$C$5566,3,0)</f>
        <v>VIANA</v>
      </c>
      <c r="C1957" t="str">
        <f>VLOOKUP(A1957,Planilha2!$A$2:$D$5566,4,0)</f>
        <v>MA</v>
      </c>
    </row>
    <row r="1958" spans="1:3" x14ac:dyDescent="0.35">
      <c r="A1958">
        <v>210193</v>
      </c>
      <c r="B1958" t="str">
        <f>VLOOKUP(A1958,Planilha2!$A$2:$C$5566,3,0)</f>
        <v>BERNARDO DO MEARIM</v>
      </c>
      <c r="C1958" t="str">
        <f>VLOOKUP(A1958,Planilha2!$A$2:$D$5566,4,0)</f>
        <v>MA</v>
      </c>
    </row>
    <row r="1959" spans="1:3" x14ac:dyDescent="0.35">
      <c r="A1959">
        <v>210975</v>
      </c>
      <c r="B1959" t="str">
        <f>VLOOKUP(A1959,Planilha2!$A$2:$C$5566,3,0)</f>
        <v>SANTA FILOMENA DO MARANHÃO</v>
      </c>
      <c r="C1959" t="str">
        <f>VLOOKUP(A1959,Planilha2!$A$2:$D$5566,4,0)</f>
        <v>MA</v>
      </c>
    </row>
    <row r="1960" spans="1:3" x14ac:dyDescent="0.35">
      <c r="A1960">
        <v>210140</v>
      </c>
      <c r="B1960" t="str">
        <f>VLOOKUP(A1960,Planilha2!$A$2:$C$5566,3,0)</f>
        <v>BALSAS</v>
      </c>
      <c r="C1960" t="str">
        <f>VLOOKUP(A1960,Planilha2!$A$2:$D$5566,4,0)</f>
        <v>MA</v>
      </c>
    </row>
    <row r="1961" spans="1:3" x14ac:dyDescent="0.35">
      <c r="A1961">
        <v>211240</v>
      </c>
      <c r="B1961" t="str">
        <f>VLOOKUP(A1961,Planilha2!$A$2:$C$5566,3,0)</f>
        <v>TURIAÇU</v>
      </c>
      <c r="C1961" t="str">
        <f>VLOOKUP(A1961,Planilha2!$A$2:$D$5566,4,0)</f>
        <v>MA</v>
      </c>
    </row>
    <row r="1962" spans="1:3" x14ac:dyDescent="0.35">
      <c r="A1962">
        <v>211100</v>
      </c>
      <c r="B1962" t="str">
        <f>VLOOKUP(A1962,Planilha2!$A$2:$C$5566,3,0)</f>
        <v>SÃO JOÃO BATISTA</v>
      </c>
      <c r="C1962" t="str">
        <f>VLOOKUP(A1962,Planilha2!$A$2:$D$5566,4,0)</f>
        <v>MA</v>
      </c>
    </row>
    <row r="1963" spans="1:3" x14ac:dyDescent="0.35">
      <c r="A1963">
        <v>210095</v>
      </c>
      <c r="B1963" t="str">
        <f>VLOOKUP(A1963,Planilha2!$A$2:$C$5566,3,0)</f>
        <v>ARAME</v>
      </c>
      <c r="C1963" t="str">
        <f>VLOOKUP(A1963,Planilha2!$A$2:$D$5566,4,0)</f>
        <v>MA</v>
      </c>
    </row>
    <row r="1964" spans="1:3" x14ac:dyDescent="0.35">
      <c r="A1964">
        <v>210510</v>
      </c>
      <c r="B1964" t="str">
        <f>VLOOKUP(A1964,Planilha2!$A$2:$C$5566,3,0)</f>
        <v>ICATU</v>
      </c>
      <c r="C1964" t="str">
        <f>VLOOKUP(A1964,Planilha2!$A$2:$D$5566,4,0)</f>
        <v>MA</v>
      </c>
    </row>
    <row r="1965" spans="1:3" x14ac:dyDescent="0.35">
      <c r="A1965">
        <v>211245</v>
      </c>
      <c r="B1965" t="str">
        <f>VLOOKUP(A1965,Planilha2!$A$2:$C$5566,3,0)</f>
        <v>TURILÂNDIA</v>
      </c>
      <c r="C1965" t="str">
        <f>VLOOKUP(A1965,Planilha2!$A$2:$D$5566,4,0)</f>
        <v>MA</v>
      </c>
    </row>
    <row r="1966" spans="1:3" x14ac:dyDescent="0.35">
      <c r="A1966">
        <v>210825</v>
      </c>
      <c r="B1966" t="str">
        <f>VLOOKUP(A1966,Planilha2!$A$2:$C$5566,3,0)</f>
        <v>PEDRO DO ROSÁRIO</v>
      </c>
      <c r="C1966" t="str">
        <f>VLOOKUP(A1966,Planilha2!$A$2:$D$5566,4,0)</f>
        <v>MA</v>
      </c>
    </row>
    <row r="1967" spans="1:3" x14ac:dyDescent="0.35">
      <c r="A1967">
        <v>210125</v>
      </c>
      <c r="B1967" t="str">
        <f>VLOOKUP(A1967,Planilha2!$A$2:$C$5566,3,0)</f>
        <v>BACABEIRA</v>
      </c>
      <c r="C1967" t="str">
        <f>VLOOKUP(A1967,Planilha2!$A$2:$D$5566,4,0)</f>
        <v>MA</v>
      </c>
    </row>
    <row r="1968" spans="1:3" x14ac:dyDescent="0.35">
      <c r="A1968">
        <v>211027</v>
      </c>
      <c r="B1968" t="str">
        <f>VLOOKUP(A1968,Planilha2!$A$2:$C$5566,3,0)</f>
        <v>SANTO AMARO DO MARANHÃO</v>
      </c>
      <c r="C1968" t="str">
        <f>VLOOKUP(A1968,Planilha2!$A$2:$D$5566,4,0)</f>
        <v>MA</v>
      </c>
    </row>
    <row r="1969" spans="1:3" x14ac:dyDescent="0.35">
      <c r="A1969">
        <v>221140</v>
      </c>
      <c r="B1969" t="str">
        <f>VLOOKUP(A1969,Planilha2!$A$2:$C$5566,3,0)</f>
        <v>VÁRZEA GRANDE</v>
      </c>
      <c r="C1969" t="str">
        <f>VLOOKUP(A1969,Planilha2!$A$2:$D$5566,4,0)</f>
        <v>PI</v>
      </c>
    </row>
    <row r="1970" spans="1:3" x14ac:dyDescent="0.35">
      <c r="A1970">
        <v>220465</v>
      </c>
      <c r="B1970" t="str">
        <f>VLOOKUP(A1970,Planilha2!$A$2:$C$5566,3,0)</f>
        <v>ILHA GRANDE</v>
      </c>
      <c r="C1970" t="str">
        <f>VLOOKUP(A1970,Planilha2!$A$2:$D$5566,4,0)</f>
        <v>PI</v>
      </c>
    </row>
    <row r="1971" spans="1:3" x14ac:dyDescent="0.35">
      <c r="A1971">
        <v>220191</v>
      </c>
      <c r="B1971" t="str">
        <f>VLOOKUP(A1971,Planilha2!$A$2:$C$5566,3,0)</f>
        <v>BOM PRINCÍPIO DO PIAUÍ</v>
      </c>
      <c r="C1971" t="str">
        <f>VLOOKUP(A1971,Planilha2!$A$2:$D$5566,4,0)</f>
        <v>PI</v>
      </c>
    </row>
    <row r="1972" spans="1:3" x14ac:dyDescent="0.35">
      <c r="A1972">
        <v>220997</v>
      </c>
      <c r="B1972" t="str">
        <f>VLOOKUP(A1972,Planilha2!$A$2:$C$5566,3,0)</f>
        <v>SÃO JOÃO DO ARRAIAL</v>
      </c>
      <c r="C1972" t="str">
        <f>VLOOKUP(A1972,Planilha2!$A$2:$D$5566,4,0)</f>
        <v>PI</v>
      </c>
    </row>
    <row r="1973" spans="1:3" x14ac:dyDescent="0.35">
      <c r="A1973">
        <v>220660</v>
      </c>
      <c r="B1973" t="str">
        <f>VLOOKUP(A1973,Planilha2!$A$2:$C$5566,3,0)</f>
        <v>MONTE ALEGRE DO PIAUÍ</v>
      </c>
      <c r="C1973" t="str">
        <f>VLOOKUP(A1973,Planilha2!$A$2:$D$5566,4,0)</f>
        <v>PI</v>
      </c>
    </row>
    <row r="1974" spans="1:3" x14ac:dyDescent="0.35">
      <c r="A1974">
        <v>220510</v>
      </c>
      <c r="B1974" t="str">
        <f>VLOOKUP(A1974,Planilha2!$A$2:$C$5566,3,0)</f>
        <v>ITAUEIRA</v>
      </c>
      <c r="C1974" t="str">
        <f>VLOOKUP(A1974,Planilha2!$A$2:$D$5566,4,0)</f>
        <v>PI</v>
      </c>
    </row>
    <row r="1975" spans="1:3" x14ac:dyDescent="0.35">
      <c r="A1975">
        <v>220410</v>
      </c>
      <c r="B1975" t="str">
        <f>VLOOKUP(A1975,Planilha2!$A$2:$C$5566,3,0)</f>
        <v>FRANCISCO AYRES</v>
      </c>
      <c r="C1975" t="str">
        <f>VLOOKUP(A1975,Planilha2!$A$2:$D$5566,4,0)</f>
        <v>PI</v>
      </c>
    </row>
    <row r="1976" spans="1:3" x14ac:dyDescent="0.35">
      <c r="A1976">
        <v>220160</v>
      </c>
      <c r="B1976" t="str">
        <f>VLOOKUP(A1976,Planilha2!$A$2:$C$5566,3,0)</f>
        <v>BENEDITINOS</v>
      </c>
      <c r="C1976" t="str">
        <f>VLOOKUP(A1976,Planilha2!$A$2:$D$5566,4,0)</f>
        <v>PI</v>
      </c>
    </row>
    <row r="1977" spans="1:3" x14ac:dyDescent="0.35">
      <c r="A1977">
        <v>220750</v>
      </c>
      <c r="B1977" t="str">
        <f>VLOOKUP(A1977,Planilha2!$A$2:$C$5566,3,0)</f>
        <v>PALMEIRAIS</v>
      </c>
      <c r="C1977" t="str">
        <f>VLOOKUP(A1977,Planilha2!$A$2:$D$5566,4,0)</f>
        <v>PI</v>
      </c>
    </row>
    <row r="1978" spans="1:3" x14ac:dyDescent="0.35">
      <c r="A1978">
        <v>220620</v>
      </c>
      <c r="B1978" t="str">
        <f>VLOOKUP(A1978,Planilha2!$A$2:$C$5566,3,0)</f>
        <v>MIGUEL ALVES</v>
      </c>
      <c r="C1978" t="str">
        <f>VLOOKUP(A1978,Planilha2!$A$2:$D$5566,4,0)</f>
        <v>PI</v>
      </c>
    </row>
    <row r="1979" spans="1:3" x14ac:dyDescent="0.35">
      <c r="A1979">
        <v>220342</v>
      </c>
      <c r="B1979" t="str">
        <f>VLOOKUP(A1979,Planilha2!$A$2:$C$5566,3,0)</f>
        <v>DOMINGOS MOURÃO</v>
      </c>
      <c r="C1979" t="str">
        <f>VLOOKUP(A1979,Planilha2!$A$2:$D$5566,4,0)</f>
        <v>PI</v>
      </c>
    </row>
    <row r="1980" spans="1:3" x14ac:dyDescent="0.35">
      <c r="A1980">
        <v>220675</v>
      </c>
      <c r="B1980" t="str">
        <f>VLOOKUP(A1980,Planilha2!$A$2:$C$5566,3,0)</f>
        <v>NOSSA SENHORA DE NAZARÉ</v>
      </c>
      <c r="C1980" t="str">
        <f>VLOOKUP(A1980,Planilha2!$A$2:$D$5566,4,0)</f>
        <v>PI</v>
      </c>
    </row>
    <row r="1981" spans="1:3" x14ac:dyDescent="0.35">
      <c r="A1981">
        <v>220500</v>
      </c>
      <c r="B1981" t="str">
        <f>VLOOKUP(A1981,Planilha2!$A$2:$C$5566,3,0)</f>
        <v>ITAINÓPOLIS</v>
      </c>
      <c r="C1981" t="str">
        <f>VLOOKUP(A1981,Planilha2!$A$2:$D$5566,4,0)</f>
        <v>PI</v>
      </c>
    </row>
    <row r="1982" spans="1:3" x14ac:dyDescent="0.35">
      <c r="A1982">
        <v>230360</v>
      </c>
      <c r="B1982" t="str">
        <f>VLOOKUP(A1982,Planilha2!$A$2:$C$5566,3,0)</f>
        <v>CATARINA</v>
      </c>
      <c r="C1982" t="str">
        <f>VLOOKUP(A1982,Planilha2!$A$2:$D$5566,4,0)</f>
        <v>CE</v>
      </c>
    </row>
    <row r="1983" spans="1:3" x14ac:dyDescent="0.35">
      <c r="A1983">
        <v>230380</v>
      </c>
      <c r="B1983" t="str">
        <f>VLOOKUP(A1983,Planilha2!$A$2:$C$5566,3,0)</f>
        <v>CEDRO</v>
      </c>
      <c r="C1983" t="str">
        <f>VLOOKUP(A1983,Planilha2!$A$2:$D$5566,4,0)</f>
        <v>CE</v>
      </c>
    </row>
    <row r="1984" spans="1:3" x14ac:dyDescent="0.35">
      <c r="A1984">
        <v>230015</v>
      </c>
      <c r="B1984" t="str">
        <f>VLOOKUP(A1984,Planilha2!$A$2:$C$5566,3,0)</f>
        <v>ACARAPE</v>
      </c>
      <c r="C1984" t="str">
        <f>VLOOKUP(A1984,Planilha2!$A$2:$D$5566,4,0)</f>
        <v>CE</v>
      </c>
    </row>
    <row r="1985" spans="1:3" x14ac:dyDescent="0.35">
      <c r="A1985">
        <v>230523</v>
      </c>
      <c r="B1985" t="str">
        <f>VLOOKUP(A1985,Planilha2!$A$2:$C$5566,3,0)</f>
        <v>HORIZONTE</v>
      </c>
      <c r="C1985" t="str">
        <f>VLOOKUP(A1985,Planilha2!$A$2:$D$5566,4,0)</f>
        <v>CE</v>
      </c>
    </row>
    <row r="1986" spans="1:3" x14ac:dyDescent="0.35">
      <c r="A1986">
        <v>230075</v>
      </c>
      <c r="B1986" t="str">
        <f>VLOOKUP(A1986,Planilha2!$A$2:$C$5566,3,0)</f>
        <v>AMONTADA</v>
      </c>
      <c r="C1986" t="str">
        <f>VLOOKUP(A1986,Planilha2!$A$2:$D$5566,4,0)</f>
        <v>CE</v>
      </c>
    </row>
    <row r="1987" spans="1:3" x14ac:dyDescent="0.35">
      <c r="A1987">
        <v>230770</v>
      </c>
      <c r="B1987" t="str">
        <f>VLOOKUP(A1987,Planilha2!$A$2:$C$5566,3,0)</f>
        <v>MARANGUAPE</v>
      </c>
      <c r="C1987" t="str">
        <f>VLOOKUP(A1987,Planilha2!$A$2:$D$5566,4,0)</f>
        <v>CE</v>
      </c>
    </row>
    <row r="1988" spans="1:3" x14ac:dyDescent="0.35">
      <c r="A1988">
        <v>230760</v>
      </c>
      <c r="B1988" t="str">
        <f>VLOOKUP(A1988,Planilha2!$A$2:$C$5566,3,0)</f>
        <v>LIMOEIRO DO NORTE</v>
      </c>
      <c r="C1988" t="str">
        <f>VLOOKUP(A1988,Planilha2!$A$2:$D$5566,4,0)</f>
        <v>CE</v>
      </c>
    </row>
    <row r="1989" spans="1:3" x14ac:dyDescent="0.35">
      <c r="A1989">
        <v>231310</v>
      </c>
      <c r="B1989" t="str">
        <f>VLOOKUP(A1989,Planilha2!$A$2:$C$5566,3,0)</f>
        <v>TABULEIRO DO NORTE</v>
      </c>
      <c r="C1989" t="str">
        <f>VLOOKUP(A1989,Planilha2!$A$2:$D$5566,4,0)</f>
        <v>CE</v>
      </c>
    </row>
    <row r="1990" spans="1:3" x14ac:dyDescent="0.35">
      <c r="A1990">
        <v>230195</v>
      </c>
      <c r="B1990" t="str">
        <f>VLOOKUP(A1990,Planilha2!$A$2:$C$5566,3,0)</f>
        <v>BARREIRA</v>
      </c>
      <c r="C1990" t="str">
        <f>VLOOKUP(A1990,Planilha2!$A$2:$D$5566,4,0)</f>
        <v>CE</v>
      </c>
    </row>
    <row r="1991" spans="1:3" x14ac:dyDescent="0.35">
      <c r="A1991">
        <v>231140</v>
      </c>
      <c r="B1991" t="str">
        <f>VLOOKUP(A1991,Planilha2!$A$2:$C$5566,3,0)</f>
        <v>QUIXERAMOBIM</v>
      </c>
      <c r="C1991" t="str">
        <f>VLOOKUP(A1991,Planilha2!$A$2:$D$5566,4,0)</f>
        <v>CE</v>
      </c>
    </row>
    <row r="1992" spans="1:3" x14ac:dyDescent="0.35">
      <c r="A1992">
        <v>230480</v>
      </c>
      <c r="B1992" t="str">
        <f>VLOOKUP(A1992,Planilha2!$A$2:$C$5566,3,0)</f>
        <v>GRANJEIRO</v>
      </c>
      <c r="C1992" t="str">
        <f>VLOOKUP(A1992,Planilha2!$A$2:$D$5566,4,0)</f>
        <v>CE</v>
      </c>
    </row>
    <row r="1993" spans="1:3" x14ac:dyDescent="0.35">
      <c r="A1993">
        <v>230565</v>
      </c>
      <c r="B1993" t="str">
        <f>VLOOKUP(A1993,Planilha2!$A$2:$C$5566,3,0)</f>
        <v>IPAPORANGA</v>
      </c>
      <c r="C1993" t="str">
        <f>VLOOKUP(A1993,Planilha2!$A$2:$D$5566,4,0)</f>
        <v>CE</v>
      </c>
    </row>
    <row r="1994" spans="1:3" x14ac:dyDescent="0.35">
      <c r="A1994">
        <v>230590</v>
      </c>
      <c r="B1994" t="str">
        <f>VLOOKUP(A1994,Planilha2!$A$2:$C$5566,3,0)</f>
        <v>IPUEIRAS</v>
      </c>
      <c r="C1994" t="str">
        <f>VLOOKUP(A1994,Planilha2!$A$2:$D$5566,4,0)</f>
        <v>CE</v>
      </c>
    </row>
    <row r="1995" spans="1:3" x14ac:dyDescent="0.35">
      <c r="A1995">
        <v>231126</v>
      </c>
      <c r="B1995" t="str">
        <f>VLOOKUP(A1995,Planilha2!$A$2:$C$5566,3,0)</f>
        <v>QUITERIANÓPOLIS</v>
      </c>
      <c r="C1995" t="str">
        <f>VLOOKUP(A1995,Planilha2!$A$2:$D$5566,4,0)</f>
        <v>CE</v>
      </c>
    </row>
    <row r="1996" spans="1:3" x14ac:dyDescent="0.35">
      <c r="A1996">
        <v>230125</v>
      </c>
      <c r="B1996" t="str">
        <f>VLOOKUP(A1996,Planilha2!$A$2:$C$5566,3,0)</f>
        <v>ARARENDÁ</v>
      </c>
      <c r="C1996" t="str">
        <f>VLOOKUP(A1996,Planilha2!$A$2:$D$5566,4,0)</f>
        <v>CE</v>
      </c>
    </row>
    <row r="1997" spans="1:3" x14ac:dyDescent="0.35">
      <c r="A1997">
        <v>230945</v>
      </c>
      <c r="B1997" t="str">
        <f>VLOOKUP(A1997,Planilha2!$A$2:$C$5566,3,0)</f>
        <v>OCARA</v>
      </c>
      <c r="C1997" t="str">
        <f>VLOOKUP(A1997,Planilha2!$A$2:$D$5566,4,0)</f>
        <v>CE</v>
      </c>
    </row>
    <row r="1998" spans="1:3" x14ac:dyDescent="0.35">
      <c r="A1998">
        <v>231095</v>
      </c>
      <c r="B1998" t="str">
        <f>VLOOKUP(A1998,Planilha2!$A$2:$C$5566,3,0)</f>
        <v>PIRES FERREIRA</v>
      </c>
      <c r="C1998" t="str">
        <f>VLOOKUP(A1998,Planilha2!$A$2:$D$5566,4,0)</f>
        <v>CE</v>
      </c>
    </row>
    <row r="1999" spans="1:3" x14ac:dyDescent="0.35">
      <c r="A1999">
        <v>230423</v>
      </c>
      <c r="B1999" t="str">
        <f>VLOOKUP(A1999,Planilha2!$A$2:$C$5566,3,0)</f>
        <v>CROATÁ</v>
      </c>
      <c r="C1999" t="str">
        <f>VLOOKUP(A1999,Planilha2!$A$2:$D$5566,4,0)</f>
        <v>CE</v>
      </c>
    </row>
    <row r="2000" spans="1:3" x14ac:dyDescent="0.35">
      <c r="A2000">
        <v>231200</v>
      </c>
      <c r="B2000" t="str">
        <f>VLOOKUP(A2000,Planilha2!$A$2:$C$5566,3,0)</f>
        <v>SANTANA DO ACARAÚ</v>
      </c>
      <c r="C2000" t="str">
        <f>VLOOKUP(A2000,Planilha2!$A$2:$D$5566,4,0)</f>
        <v>CE</v>
      </c>
    </row>
    <row r="2001" spans="1:3" x14ac:dyDescent="0.35">
      <c r="A2001">
        <v>231170</v>
      </c>
      <c r="B2001" t="str">
        <f>VLOOKUP(A2001,Planilha2!$A$2:$C$5566,3,0)</f>
        <v>RERIUTABA</v>
      </c>
      <c r="C2001" t="str">
        <f>VLOOKUP(A2001,Planilha2!$A$2:$D$5566,4,0)</f>
        <v>CE</v>
      </c>
    </row>
    <row r="2002" spans="1:3" x14ac:dyDescent="0.35">
      <c r="A2002">
        <v>230725</v>
      </c>
      <c r="B2002" t="str">
        <f>VLOOKUP(A2002,Planilha2!$A$2:$C$5566,3,0)</f>
        <v>JIJOCA DE JERICOACOARA</v>
      </c>
      <c r="C2002" t="str">
        <f>VLOOKUP(A2002,Planilha2!$A$2:$D$5566,4,0)</f>
        <v>CE</v>
      </c>
    </row>
    <row r="2003" spans="1:3" x14ac:dyDescent="0.35">
      <c r="A2003">
        <v>230490</v>
      </c>
      <c r="B2003" t="str">
        <f>VLOOKUP(A2003,Planilha2!$A$2:$C$5566,3,0)</f>
        <v>GROAÍRAS</v>
      </c>
      <c r="C2003" t="str">
        <f>VLOOKUP(A2003,Planilha2!$A$2:$D$5566,4,0)</f>
        <v>CE</v>
      </c>
    </row>
    <row r="2004" spans="1:3" x14ac:dyDescent="0.35">
      <c r="A2004">
        <v>231110</v>
      </c>
      <c r="B2004" t="str">
        <f>VLOOKUP(A2004,Planilha2!$A$2:$C$5566,3,0)</f>
        <v>PORTEIRAS</v>
      </c>
      <c r="C2004" t="str">
        <f>VLOOKUP(A2004,Planilha2!$A$2:$D$5566,4,0)</f>
        <v>CE</v>
      </c>
    </row>
    <row r="2005" spans="1:3" x14ac:dyDescent="0.35">
      <c r="A2005">
        <v>230060</v>
      </c>
      <c r="B2005" t="str">
        <f>VLOOKUP(A2005,Planilha2!$A$2:$C$5566,3,0)</f>
        <v>ALTANEIRA</v>
      </c>
      <c r="C2005" t="str">
        <f>VLOOKUP(A2005,Planilha2!$A$2:$D$5566,4,0)</f>
        <v>CE</v>
      </c>
    </row>
    <row r="2006" spans="1:3" x14ac:dyDescent="0.35">
      <c r="A2006">
        <v>231195</v>
      </c>
      <c r="B2006" t="str">
        <f>VLOOKUP(A2006,Planilha2!$A$2:$C$5566,3,0)</f>
        <v>SALITRE</v>
      </c>
      <c r="C2006" t="str">
        <f>VLOOKUP(A2006,Planilha2!$A$2:$D$5566,4,0)</f>
        <v>CE</v>
      </c>
    </row>
    <row r="2007" spans="1:3" x14ac:dyDescent="0.35">
      <c r="A2007">
        <v>230200</v>
      </c>
      <c r="B2007" t="str">
        <f>VLOOKUP(A2007,Planilha2!$A$2:$C$5566,3,0)</f>
        <v>BARRO</v>
      </c>
      <c r="C2007" t="str">
        <f>VLOOKUP(A2007,Planilha2!$A$2:$D$5566,4,0)</f>
        <v>CE</v>
      </c>
    </row>
    <row r="2008" spans="1:3" x14ac:dyDescent="0.35">
      <c r="A2008">
        <v>240610</v>
      </c>
      <c r="B2008" t="str">
        <f>VLOOKUP(A2008,Planilha2!$A$2:$C$5566,3,0)</f>
        <v>JUCURUTU</v>
      </c>
      <c r="C2008" t="str">
        <f>VLOOKUP(A2008,Planilha2!$A$2:$D$5566,4,0)</f>
        <v>RN</v>
      </c>
    </row>
    <row r="2009" spans="1:3" x14ac:dyDescent="0.35">
      <c r="A2009">
        <v>240890</v>
      </c>
      <c r="B2009" t="str">
        <f>VLOOKUP(A2009,Planilha2!$A$2:$C$5566,3,0)</f>
        <v>PARELHAS</v>
      </c>
      <c r="C2009" t="str">
        <f>VLOOKUP(A2009,Planilha2!$A$2:$D$5566,4,0)</f>
        <v>RN</v>
      </c>
    </row>
    <row r="2010" spans="1:3" x14ac:dyDescent="0.35">
      <c r="A2010">
        <v>240230</v>
      </c>
      <c r="B2010" t="str">
        <f>VLOOKUP(A2010,Planilha2!$A$2:$C$5566,3,0)</f>
        <v>CARAÚBAS</v>
      </c>
      <c r="C2010" t="str">
        <f>VLOOKUP(A2010,Planilha2!$A$2:$D$5566,4,0)</f>
        <v>RN</v>
      </c>
    </row>
    <row r="2011" spans="1:3" x14ac:dyDescent="0.35">
      <c r="A2011">
        <v>240020</v>
      </c>
      <c r="B2011" t="str">
        <f>VLOOKUP(A2011,Planilha2!$A$2:$C$5566,3,0)</f>
        <v>AÇU</v>
      </c>
      <c r="C2011" t="str">
        <f>VLOOKUP(A2011,Planilha2!$A$2:$D$5566,4,0)</f>
        <v>RN</v>
      </c>
    </row>
    <row r="2012" spans="1:3" x14ac:dyDescent="0.35">
      <c r="A2012">
        <v>241460</v>
      </c>
      <c r="B2012" t="str">
        <f>VLOOKUP(A2012,Planilha2!$A$2:$C$5566,3,0)</f>
        <v>UPANEMA</v>
      </c>
      <c r="C2012" t="str">
        <f>VLOOKUP(A2012,Planilha2!$A$2:$D$5566,4,0)</f>
        <v>RN</v>
      </c>
    </row>
    <row r="2013" spans="1:3" x14ac:dyDescent="0.35">
      <c r="A2013">
        <v>241030</v>
      </c>
      <c r="B2013" t="str">
        <f>VLOOKUP(A2013,Planilha2!$A$2:$C$5566,3,0)</f>
        <v>PRESIDENTE JUSCELINO</v>
      </c>
      <c r="C2013" t="str">
        <f>VLOOKUP(A2013,Planilha2!$A$2:$D$5566,4,0)</f>
        <v>RN</v>
      </c>
    </row>
    <row r="2014" spans="1:3" x14ac:dyDescent="0.35">
      <c r="A2014">
        <v>240820</v>
      </c>
      <c r="B2014" t="str">
        <f>VLOOKUP(A2014,Planilha2!$A$2:$C$5566,3,0)</f>
        <v>NÍZIA FLORESTA</v>
      </c>
      <c r="C2014" t="str">
        <f>VLOOKUP(A2014,Planilha2!$A$2:$D$5566,4,0)</f>
        <v>RN</v>
      </c>
    </row>
    <row r="2015" spans="1:3" x14ac:dyDescent="0.35">
      <c r="A2015">
        <v>240710</v>
      </c>
      <c r="B2015" t="str">
        <f>VLOOKUP(A2015,Planilha2!$A$2:$C$5566,3,0)</f>
        <v>MACAÍBA</v>
      </c>
      <c r="C2015" t="str">
        <f>VLOOKUP(A2015,Planilha2!$A$2:$D$5566,4,0)</f>
        <v>RN</v>
      </c>
    </row>
    <row r="2016" spans="1:3" x14ac:dyDescent="0.35">
      <c r="A2016">
        <v>241300</v>
      </c>
      <c r="B2016" t="str">
        <f>VLOOKUP(A2016,Planilha2!$A$2:$C$5566,3,0)</f>
        <v>SÃO VICENTE</v>
      </c>
      <c r="C2016" t="str">
        <f>VLOOKUP(A2016,Planilha2!$A$2:$D$5566,4,0)</f>
        <v>RN</v>
      </c>
    </row>
    <row r="2017" spans="1:3" x14ac:dyDescent="0.35">
      <c r="A2017">
        <v>240070</v>
      </c>
      <c r="B2017" t="str">
        <f>VLOOKUP(A2017,Planilha2!$A$2:$C$5566,3,0)</f>
        <v>ALTO DO RODRIGUES</v>
      </c>
      <c r="C2017" t="str">
        <f>VLOOKUP(A2017,Planilha2!$A$2:$D$5566,4,0)</f>
        <v>RN</v>
      </c>
    </row>
    <row r="2018" spans="1:3" x14ac:dyDescent="0.35">
      <c r="A2018">
        <v>240940</v>
      </c>
      <c r="B2018" t="str">
        <f>VLOOKUP(A2018,Planilha2!$A$2:$C$5566,3,0)</f>
        <v>PAU DOS FERROS</v>
      </c>
      <c r="C2018" t="str">
        <f>VLOOKUP(A2018,Planilha2!$A$2:$D$5566,4,0)</f>
        <v>RN</v>
      </c>
    </row>
    <row r="2019" spans="1:3" x14ac:dyDescent="0.35">
      <c r="A2019">
        <v>250560</v>
      </c>
      <c r="B2019" t="str">
        <f>VLOOKUP(A2019,Planilha2!$A$2:$C$5566,3,0)</f>
        <v>DIAMANTE</v>
      </c>
      <c r="C2019" t="str">
        <f>VLOOKUP(A2019,Planilha2!$A$2:$D$5566,4,0)</f>
        <v>PB</v>
      </c>
    </row>
    <row r="2020" spans="1:3" x14ac:dyDescent="0.35">
      <c r="A2020">
        <v>250530</v>
      </c>
      <c r="B2020" t="str">
        <f>VLOOKUP(A2020,Planilha2!$A$2:$C$5566,3,0)</f>
        <v>CURRAL VELHO</v>
      </c>
      <c r="C2020" t="str">
        <f>VLOOKUP(A2020,Planilha2!$A$2:$D$5566,4,0)</f>
        <v>PB</v>
      </c>
    </row>
    <row r="2021" spans="1:3" x14ac:dyDescent="0.35">
      <c r="A2021">
        <v>251120</v>
      </c>
      <c r="B2021" t="str">
        <f>VLOOKUP(A2021,Planilha2!$A$2:$C$5566,3,0)</f>
        <v>PEDRAS DE FOGO</v>
      </c>
      <c r="C2021" t="str">
        <f>VLOOKUP(A2021,Planilha2!$A$2:$D$5566,4,0)</f>
        <v>PB</v>
      </c>
    </row>
    <row r="2022" spans="1:3" x14ac:dyDescent="0.35">
      <c r="A2022">
        <v>250760</v>
      </c>
      <c r="B2022" t="str">
        <f>VLOOKUP(A2022,Planilha2!$A$2:$C$5566,3,0)</f>
        <v>JUAREZ TÁVORA</v>
      </c>
      <c r="C2022" t="str">
        <f>VLOOKUP(A2022,Planilha2!$A$2:$D$5566,4,0)</f>
        <v>PB</v>
      </c>
    </row>
    <row r="2023" spans="1:3" x14ac:dyDescent="0.35">
      <c r="A2023">
        <v>250680</v>
      </c>
      <c r="B2023" t="str">
        <f>VLOOKUP(A2023,Planilha2!$A$2:$C$5566,3,0)</f>
        <v>INGÁ</v>
      </c>
      <c r="C2023" t="str">
        <f>VLOOKUP(A2023,Planilha2!$A$2:$D$5566,4,0)</f>
        <v>PB</v>
      </c>
    </row>
    <row r="2024" spans="1:3" x14ac:dyDescent="0.35">
      <c r="A2024">
        <v>251560</v>
      </c>
      <c r="B2024" t="str">
        <f>VLOOKUP(A2024,Planilha2!$A$2:$C$5566,3,0)</f>
        <v>SERRA DA RAIZ</v>
      </c>
      <c r="C2024" t="str">
        <f>VLOOKUP(A2024,Planilha2!$A$2:$D$5566,4,0)</f>
        <v>PB</v>
      </c>
    </row>
    <row r="2025" spans="1:3" x14ac:dyDescent="0.35">
      <c r="A2025">
        <v>251170</v>
      </c>
      <c r="B2025" t="str">
        <f>VLOOKUP(A2025,Planilha2!$A$2:$C$5566,3,0)</f>
        <v>PILÕEZINHOS</v>
      </c>
      <c r="C2025" t="str">
        <f>VLOOKUP(A2025,Planilha2!$A$2:$D$5566,4,0)</f>
        <v>PB</v>
      </c>
    </row>
    <row r="2026" spans="1:3" x14ac:dyDescent="0.35">
      <c r="A2026">
        <v>250610</v>
      </c>
      <c r="B2026" t="str">
        <f>VLOOKUP(A2026,Planilha2!$A$2:$C$5566,3,0)</f>
        <v>FAGUNDES</v>
      </c>
      <c r="C2026" t="str">
        <f>VLOOKUP(A2026,Planilha2!$A$2:$D$5566,4,0)</f>
        <v>PB</v>
      </c>
    </row>
    <row r="2027" spans="1:3" x14ac:dyDescent="0.35">
      <c r="A2027">
        <v>250350</v>
      </c>
      <c r="B2027" t="str">
        <f>VLOOKUP(A2027,Planilha2!$A$2:$C$5566,3,0)</f>
        <v>CACIMBA DE DENTRO</v>
      </c>
      <c r="C2027" t="str">
        <f>VLOOKUP(A2027,Planilha2!$A$2:$D$5566,4,0)</f>
        <v>PB</v>
      </c>
    </row>
    <row r="2028" spans="1:3" x14ac:dyDescent="0.35">
      <c r="A2028">
        <v>251250</v>
      </c>
      <c r="B2028" t="str">
        <f>VLOOKUP(A2028,Planilha2!$A$2:$C$5566,3,0)</f>
        <v>QUEIMADAS</v>
      </c>
      <c r="C2028" t="str">
        <f>VLOOKUP(A2028,Planilha2!$A$2:$D$5566,4,0)</f>
        <v>PB</v>
      </c>
    </row>
    <row r="2029" spans="1:3" x14ac:dyDescent="0.35">
      <c r="A2029">
        <v>261618</v>
      </c>
      <c r="B2029" t="str">
        <f>VLOOKUP(A2029,Planilha2!$A$2:$C$5566,3,0)</f>
        <v>VERTENTE DO LÉRIO</v>
      </c>
      <c r="C2029" t="str">
        <f>VLOOKUP(A2029,Planilha2!$A$2:$D$5566,4,0)</f>
        <v>PE</v>
      </c>
    </row>
    <row r="2030" spans="1:3" x14ac:dyDescent="0.35">
      <c r="A2030">
        <v>250040</v>
      </c>
      <c r="B2030" t="str">
        <f>VLOOKUP(A2030,Planilha2!$A$2:$C$5566,3,0)</f>
        <v>ALAGOA NOVA</v>
      </c>
      <c r="C2030" t="str">
        <f>VLOOKUP(A2030,Planilha2!$A$2:$D$5566,4,0)</f>
        <v>PB</v>
      </c>
    </row>
    <row r="2031" spans="1:3" x14ac:dyDescent="0.35">
      <c r="A2031">
        <v>250630</v>
      </c>
      <c r="B2031" t="str">
        <f>VLOOKUP(A2031,Planilha2!$A$2:$C$5566,3,0)</f>
        <v>GUARABIRA</v>
      </c>
      <c r="C2031" t="str">
        <f>VLOOKUP(A2031,Planilha2!$A$2:$D$5566,4,0)</f>
        <v>PB</v>
      </c>
    </row>
    <row r="2032" spans="1:3" x14ac:dyDescent="0.35">
      <c r="A2032">
        <v>251290</v>
      </c>
      <c r="B2032" t="str">
        <f>VLOOKUP(A2032,Planilha2!$A$2:$C$5566,3,0)</f>
        <v>RIO TINTO</v>
      </c>
      <c r="C2032" t="str">
        <f>VLOOKUP(A2032,Planilha2!$A$2:$D$5566,4,0)</f>
        <v>PB</v>
      </c>
    </row>
    <row r="2033" spans="1:3" x14ac:dyDescent="0.35">
      <c r="A2033">
        <v>251590</v>
      </c>
      <c r="B2033" t="str">
        <f>VLOOKUP(A2033,Planilha2!$A$2:$C$5566,3,0)</f>
        <v>SERRARIA</v>
      </c>
      <c r="C2033" t="str">
        <f>VLOOKUP(A2033,Planilha2!$A$2:$D$5566,4,0)</f>
        <v>PB</v>
      </c>
    </row>
    <row r="2034" spans="1:3" x14ac:dyDescent="0.35">
      <c r="A2034">
        <v>250890</v>
      </c>
      <c r="B2034" t="str">
        <f>VLOOKUP(A2034,Planilha2!$A$2:$C$5566,3,0)</f>
        <v>MAMANGUAPE</v>
      </c>
      <c r="C2034" t="str">
        <f>VLOOKUP(A2034,Planilha2!$A$2:$D$5566,4,0)</f>
        <v>PB</v>
      </c>
    </row>
    <row r="2035" spans="1:3" x14ac:dyDescent="0.35">
      <c r="A2035">
        <v>250190</v>
      </c>
      <c r="B2035" t="str">
        <f>VLOOKUP(A2035,Planilha2!$A$2:$C$5566,3,0)</f>
        <v>BELÉM</v>
      </c>
      <c r="C2035" t="str">
        <f>VLOOKUP(A2035,Planilha2!$A$2:$D$5566,4,0)</f>
        <v>PB</v>
      </c>
    </row>
    <row r="2036" spans="1:3" x14ac:dyDescent="0.35">
      <c r="A2036">
        <v>250120</v>
      </c>
      <c r="B2036" t="str">
        <f>VLOOKUP(A2036,Planilha2!$A$2:$C$5566,3,0)</f>
        <v>AREIAL</v>
      </c>
      <c r="C2036" t="str">
        <f>VLOOKUP(A2036,Planilha2!$A$2:$D$5566,4,0)</f>
        <v>PB</v>
      </c>
    </row>
    <row r="2037" spans="1:3" x14ac:dyDescent="0.35">
      <c r="A2037">
        <v>250330</v>
      </c>
      <c r="B2037" t="str">
        <f>VLOOKUP(A2037,Planilha2!$A$2:$C$5566,3,0)</f>
        <v>CACHOEIRA DOS ÍNDIOS</v>
      </c>
      <c r="C2037" t="str">
        <f>VLOOKUP(A2037,Planilha2!$A$2:$D$5566,4,0)</f>
        <v>PB</v>
      </c>
    </row>
    <row r="2038" spans="1:3" x14ac:dyDescent="0.35">
      <c r="A2038">
        <v>250010</v>
      </c>
      <c r="B2038" t="str">
        <f>VLOOKUP(A2038,Planilha2!$A$2:$C$5566,3,0)</f>
        <v>ÁGUA BRANCA</v>
      </c>
      <c r="C2038" t="str">
        <f>VLOOKUP(A2038,Planilha2!$A$2:$D$5566,4,0)</f>
        <v>PB</v>
      </c>
    </row>
    <row r="2039" spans="1:3" x14ac:dyDescent="0.35">
      <c r="A2039">
        <v>250625</v>
      </c>
      <c r="B2039" t="str">
        <f>VLOOKUP(A2039,Planilha2!$A$2:$C$5566,3,0)</f>
        <v>GADO BRAVO</v>
      </c>
      <c r="C2039" t="str">
        <f>VLOOKUP(A2039,Planilha2!$A$2:$D$5566,4,0)</f>
        <v>PB</v>
      </c>
    </row>
    <row r="2040" spans="1:3" x14ac:dyDescent="0.35">
      <c r="A2040">
        <v>251400</v>
      </c>
      <c r="B2040" t="str">
        <f>VLOOKUP(A2040,Planilha2!$A$2:$C$5566,3,0)</f>
        <v>SÃO JOÃO DO CARIRI</v>
      </c>
      <c r="C2040" t="str">
        <f>VLOOKUP(A2040,Planilha2!$A$2:$D$5566,4,0)</f>
        <v>PB</v>
      </c>
    </row>
    <row r="2041" spans="1:3" x14ac:dyDescent="0.35">
      <c r="A2041">
        <v>250790</v>
      </c>
      <c r="B2041" t="str">
        <f>VLOOKUP(A2041,Planilha2!$A$2:$C$5566,3,0)</f>
        <v>JURIPIRANGA</v>
      </c>
      <c r="C2041" t="str">
        <f>VLOOKUP(A2041,Planilha2!$A$2:$D$5566,4,0)</f>
        <v>PB</v>
      </c>
    </row>
    <row r="2042" spans="1:3" x14ac:dyDescent="0.35">
      <c r="A2042">
        <v>251190</v>
      </c>
      <c r="B2042" t="str">
        <f>VLOOKUP(A2042,Planilha2!$A$2:$C$5566,3,0)</f>
        <v>PITIMBU</v>
      </c>
      <c r="C2042" t="str">
        <f>VLOOKUP(A2042,Planilha2!$A$2:$D$5566,4,0)</f>
        <v>PB</v>
      </c>
    </row>
    <row r="2043" spans="1:3" x14ac:dyDescent="0.35">
      <c r="A2043">
        <v>250460</v>
      </c>
      <c r="B2043" t="str">
        <f>VLOOKUP(A2043,Planilha2!$A$2:$C$5566,3,0)</f>
        <v>CONDE</v>
      </c>
      <c r="C2043" t="str">
        <f>VLOOKUP(A2043,Planilha2!$A$2:$D$5566,4,0)</f>
        <v>PB</v>
      </c>
    </row>
    <row r="2044" spans="1:3" x14ac:dyDescent="0.35">
      <c r="A2044">
        <v>250440</v>
      </c>
      <c r="B2044" t="str">
        <f>VLOOKUP(A2044,Planilha2!$A$2:$C$5566,3,0)</f>
        <v>CONCEIÇÃO</v>
      </c>
      <c r="C2044" t="str">
        <f>VLOOKUP(A2044,Planilha2!$A$2:$D$5566,4,0)</f>
        <v>PB</v>
      </c>
    </row>
    <row r="2045" spans="1:3" x14ac:dyDescent="0.35">
      <c r="A2045">
        <v>260940</v>
      </c>
      <c r="B2045" t="str">
        <f>VLOOKUP(A2045,Planilha2!$A$2:$C$5566,3,0)</f>
        <v>MORENO</v>
      </c>
      <c r="C2045" t="str">
        <f>VLOOKUP(A2045,Planilha2!$A$2:$D$5566,4,0)</f>
        <v>PE</v>
      </c>
    </row>
    <row r="2046" spans="1:3" x14ac:dyDescent="0.35">
      <c r="A2046">
        <v>260320</v>
      </c>
      <c r="B2046" t="str">
        <f>VLOOKUP(A2046,Planilha2!$A$2:$C$5566,3,0)</f>
        <v>CAETÉS</v>
      </c>
      <c r="C2046" t="str">
        <f>VLOOKUP(A2046,Planilha2!$A$2:$D$5566,4,0)</f>
        <v>PE</v>
      </c>
    </row>
    <row r="2047" spans="1:3" x14ac:dyDescent="0.35">
      <c r="A2047">
        <v>261090</v>
      </c>
      <c r="B2047" t="str">
        <f>VLOOKUP(A2047,Planilha2!$A$2:$C$5566,3,0)</f>
        <v>PESQUEIRA</v>
      </c>
      <c r="C2047" t="str">
        <f>VLOOKUP(A2047,Planilha2!$A$2:$D$5566,4,0)</f>
        <v>PE</v>
      </c>
    </row>
    <row r="2048" spans="1:3" x14ac:dyDescent="0.35">
      <c r="A2048">
        <v>261120</v>
      </c>
      <c r="B2048" t="str">
        <f>VLOOKUP(A2048,Planilha2!$A$2:$C$5566,3,0)</f>
        <v>POÇÃO</v>
      </c>
      <c r="C2048" t="str">
        <f>VLOOKUP(A2048,Planilha2!$A$2:$D$5566,4,0)</f>
        <v>PE</v>
      </c>
    </row>
    <row r="2049" spans="1:3" x14ac:dyDescent="0.35">
      <c r="A2049">
        <v>261485</v>
      </c>
      <c r="B2049" t="str">
        <f>VLOOKUP(A2049,Planilha2!$A$2:$C$5566,3,0)</f>
        <v>TAMANDARÉ</v>
      </c>
      <c r="C2049" t="str">
        <f>VLOOKUP(A2049,Planilha2!$A$2:$D$5566,4,0)</f>
        <v>PE</v>
      </c>
    </row>
    <row r="2050" spans="1:3" x14ac:dyDescent="0.35">
      <c r="A2050">
        <v>261310</v>
      </c>
      <c r="B2050" t="str">
        <f>VLOOKUP(A2050,Planilha2!$A$2:$C$5566,3,0)</f>
        <v>SÃO CAITANO</v>
      </c>
      <c r="C2050" t="str">
        <f>VLOOKUP(A2050,Planilha2!$A$2:$D$5566,4,0)</f>
        <v>PE</v>
      </c>
    </row>
    <row r="2051" spans="1:3" x14ac:dyDescent="0.35">
      <c r="A2051">
        <v>261390</v>
      </c>
      <c r="B2051" t="str">
        <f>VLOOKUP(A2051,Planilha2!$A$2:$C$5566,3,0)</f>
        <v>SERRA TALHADA</v>
      </c>
      <c r="C2051" t="str">
        <f>VLOOKUP(A2051,Planilha2!$A$2:$D$5566,4,0)</f>
        <v>PE</v>
      </c>
    </row>
    <row r="2052" spans="1:3" x14ac:dyDescent="0.35">
      <c r="A2052">
        <v>261530</v>
      </c>
      <c r="B2052" t="str">
        <f>VLOOKUP(A2052,Planilha2!$A$2:$C$5566,3,0)</f>
        <v>TIMBAÚBA</v>
      </c>
      <c r="C2052" t="str">
        <f>VLOOKUP(A2052,Planilha2!$A$2:$D$5566,4,0)</f>
        <v>PE</v>
      </c>
    </row>
    <row r="2053" spans="1:3" x14ac:dyDescent="0.35">
      <c r="A2053">
        <v>260050</v>
      </c>
      <c r="B2053" t="str">
        <f>VLOOKUP(A2053,Planilha2!$A$2:$C$5566,3,0)</f>
        <v>ÁGUAS BELAS</v>
      </c>
      <c r="C2053" t="str">
        <f>VLOOKUP(A2053,Planilha2!$A$2:$D$5566,4,0)</f>
        <v>PE</v>
      </c>
    </row>
    <row r="2054" spans="1:3" x14ac:dyDescent="0.35">
      <c r="A2054">
        <v>260120</v>
      </c>
      <c r="B2054" t="str">
        <f>VLOOKUP(A2054,Planilha2!$A$2:$C$5566,3,0)</f>
        <v>ARCOVERDE</v>
      </c>
      <c r="C2054" t="str">
        <f>VLOOKUP(A2054,Planilha2!$A$2:$D$5566,4,0)</f>
        <v>PE</v>
      </c>
    </row>
    <row r="2055" spans="1:3" x14ac:dyDescent="0.35">
      <c r="A2055">
        <v>260515</v>
      </c>
      <c r="B2055" t="str">
        <f>VLOOKUP(A2055,Planilha2!$A$2:$C$5566,3,0)</f>
        <v>DORMENTES</v>
      </c>
      <c r="C2055" t="str">
        <f>VLOOKUP(A2055,Planilha2!$A$2:$D$5566,4,0)</f>
        <v>PE</v>
      </c>
    </row>
    <row r="2056" spans="1:3" x14ac:dyDescent="0.35">
      <c r="A2056">
        <v>261245</v>
      </c>
      <c r="B2056" t="str">
        <f>VLOOKUP(A2056,Planilha2!$A$2:$C$5566,3,0)</f>
        <v>SANTA CRUZ</v>
      </c>
      <c r="C2056" t="str">
        <f>VLOOKUP(A2056,Planilha2!$A$2:$D$5566,4,0)</f>
        <v>PE</v>
      </c>
    </row>
    <row r="2057" spans="1:3" x14ac:dyDescent="0.35">
      <c r="A2057">
        <v>260770</v>
      </c>
      <c r="B2057" t="str">
        <f>VLOOKUP(A2057,Planilha2!$A$2:$C$5566,3,0)</f>
        <v>ITAPETIM</v>
      </c>
      <c r="C2057" t="str">
        <f>VLOOKUP(A2057,Planilha2!$A$2:$D$5566,4,0)</f>
        <v>PE</v>
      </c>
    </row>
    <row r="2058" spans="1:3" x14ac:dyDescent="0.35">
      <c r="A2058">
        <v>260795</v>
      </c>
      <c r="B2058" t="str">
        <f>VLOOKUP(A2058,Planilha2!$A$2:$C$5566,3,0)</f>
        <v>JAQUEIRA</v>
      </c>
      <c r="C2058" t="str">
        <f>VLOOKUP(A2058,Planilha2!$A$2:$D$5566,4,0)</f>
        <v>PE</v>
      </c>
    </row>
    <row r="2059" spans="1:3" x14ac:dyDescent="0.35">
      <c r="A2059">
        <v>260330</v>
      </c>
      <c r="B2059" t="str">
        <f>VLOOKUP(A2059,Planilha2!$A$2:$C$5566,3,0)</f>
        <v>CALÇADO</v>
      </c>
      <c r="C2059" t="str">
        <f>VLOOKUP(A2059,Planilha2!$A$2:$D$5566,4,0)</f>
        <v>PE</v>
      </c>
    </row>
    <row r="2060" spans="1:3" x14ac:dyDescent="0.35">
      <c r="A2060">
        <v>314520</v>
      </c>
      <c r="B2060" t="str">
        <f>VLOOKUP(A2060,Planilha2!$A$2:$C$5566,3,0)</f>
        <v>NOVA SERRANA</v>
      </c>
      <c r="C2060" t="str">
        <f>VLOOKUP(A2060,Planilha2!$A$2:$D$5566,4,0)</f>
        <v>MG</v>
      </c>
    </row>
    <row r="2061" spans="1:3" x14ac:dyDescent="0.35">
      <c r="A2061">
        <v>261050</v>
      </c>
      <c r="B2061" t="str">
        <f>VLOOKUP(A2061,Planilha2!$A$2:$C$5566,3,0)</f>
        <v>PASSIRA</v>
      </c>
      <c r="C2061" t="str">
        <f>VLOOKUP(A2061,Planilha2!$A$2:$D$5566,4,0)</f>
        <v>PE</v>
      </c>
    </row>
    <row r="2062" spans="1:3" x14ac:dyDescent="0.35">
      <c r="A2062">
        <v>261270</v>
      </c>
      <c r="B2062" t="str">
        <f>VLOOKUP(A2062,Planilha2!$A$2:$C$5566,3,0)</f>
        <v>SANTA MARIA DO CAMBUCÁ</v>
      </c>
      <c r="C2062" t="str">
        <f>VLOOKUP(A2062,Planilha2!$A$2:$D$5566,4,0)</f>
        <v>PE</v>
      </c>
    </row>
    <row r="2063" spans="1:3" x14ac:dyDescent="0.35">
      <c r="A2063">
        <v>260080</v>
      </c>
      <c r="B2063" t="str">
        <f>VLOOKUP(A2063,Planilha2!$A$2:$C$5566,3,0)</f>
        <v>ALTINHO</v>
      </c>
      <c r="C2063" t="str">
        <f>VLOOKUP(A2063,Planilha2!$A$2:$D$5566,4,0)</f>
        <v>PE</v>
      </c>
    </row>
    <row r="2064" spans="1:3" x14ac:dyDescent="0.35">
      <c r="A2064">
        <v>260970</v>
      </c>
      <c r="B2064" t="str">
        <f>VLOOKUP(A2064,Planilha2!$A$2:$C$5566,3,0)</f>
        <v>OROBÓ</v>
      </c>
      <c r="C2064" t="str">
        <f>VLOOKUP(A2064,Planilha2!$A$2:$D$5566,4,0)</f>
        <v>PE</v>
      </c>
    </row>
    <row r="2065" spans="1:3" x14ac:dyDescent="0.35">
      <c r="A2065">
        <v>260845</v>
      </c>
      <c r="B2065" t="str">
        <f>VLOOKUP(A2065,Planilha2!$A$2:$C$5566,3,0)</f>
        <v>LAGOA DO CARRO</v>
      </c>
      <c r="C2065" t="str">
        <f>VLOOKUP(A2065,Planilha2!$A$2:$D$5566,4,0)</f>
        <v>PE</v>
      </c>
    </row>
    <row r="2066" spans="1:3" x14ac:dyDescent="0.35">
      <c r="A2066">
        <v>260510</v>
      </c>
      <c r="B2066" t="str">
        <f>VLOOKUP(A2066,Planilha2!$A$2:$C$5566,3,0)</f>
        <v>CUSTÓDIA</v>
      </c>
      <c r="C2066" t="str">
        <f>VLOOKUP(A2066,Planilha2!$A$2:$D$5566,4,0)</f>
        <v>PE</v>
      </c>
    </row>
    <row r="2067" spans="1:3" x14ac:dyDescent="0.35">
      <c r="A2067">
        <v>260760</v>
      </c>
      <c r="B2067" t="str">
        <f>VLOOKUP(A2067,Planilha2!$A$2:$C$5566,3,0)</f>
        <v>ILHA DE ITAMARACÁ</v>
      </c>
      <c r="C2067" t="str">
        <f>VLOOKUP(A2067,Planilha2!$A$2:$D$5566,4,0)</f>
        <v>PE</v>
      </c>
    </row>
    <row r="2068" spans="1:3" x14ac:dyDescent="0.35">
      <c r="A2068">
        <v>260765</v>
      </c>
      <c r="B2068" t="str">
        <f>VLOOKUP(A2068,Planilha2!$A$2:$C$5566,3,0)</f>
        <v>ITAMBÉ</v>
      </c>
      <c r="C2068" t="str">
        <f>VLOOKUP(A2068,Planilha2!$A$2:$D$5566,4,0)</f>
        <v>PE</v>
      </c>
    </row>
    <row r="2069" spans="1:3" x14ac:dyDescent="0.35">
      <c r="A2069">
        <v>261080</v>
      </c>
      <c r="B2069" t="str">
        <f>VLOOKUP(A2069,Planilha2!$A$2:$C$5566,3,0)</f>
        <v>PEDRA</v>
      </c>
      <c r="C2069" t="str">
        <f>VLOOKUP(A2069,Planilha2!$A$2:$D$5566,4,0)</f>
        <v>PE</v>
      </c>
    </row>
    <row r="2070" spans="1:3" x14ac:dyDescent="0.35">
      <c r="A2070">
        <v>260415</v>
      </c>
      <c r="B2070" t="str">
        <f>VLOOKUP(A2070,Planilha2!$A$2:$C$5566,3,0)</f>
        <v>CASINHAS</v>
      </c>
      <c r="C2070" t="str">
        <f>VLOOKUP(A2070,Planilha2!$A$2:$D$5566,4,0)</f>
        <v>PE</v>
      </c>
    </row>
    <row r="2071" spans="1:3" x14ac:dyDescent="0.35">
      <c r="A2071">
        <v>270110</v>
      </c>
      <c r="B2071" t="str">
        <f>VLOOKUP(A2071,Planilha2!$A$2:$C$5566,3,0)</f>
        <v>BRANQUINHA</v>
      </c>
      <c r="C2071" t="str">
        <f>VLOOKUP(A2071,Planilha2!$A$2:$D$5566,4,0)</f>
        <v>AL</v>
      </c>
    </row>
    <row r="2072" spans="1:3" x14ac:dyDescent="0.35">
      <c r="A2072">
        <v>270570</v>
      </c>
      <c r="B2072" t="str">
        <f>VLOOKUP(A2072,Planilha2!$A$2:$C$5566,3,0)</f>
        <v>OLHO D`ÁGUA DAS FLORES</v>
      </c>
      <c r="C2072" t="str">
        <f>VLOOKUP(A2072,Planilha2!$A$2:$D$5566,4,0)</f>
        <v>AL</v>
      </c>
    </row>
    <row r="2073" spans="1:3" x14ac:dyDescent="0.35">
      <c r="A2073">
        <v>280360</v>
      </c>
      <c r="B2073" t="str">
        <f>VLOOKUP(A2073,Planilha2!$A$2:$C$5566,3,0)</f>
        <v>LARANJEIRAS</v>
      </c>
      <c r="C2073" t="str">
        <f>VLOOKUP(A2073,Planilha2!$A$2:$D$5566,4,0)</f>
        <v>SE</v>
      </c>
    </row>
    <row r="2074" spans="1:3" x14ac:dyDescent="0.35">
      <c r="A2074">
        <v>280490</v>
      </c>
      <c r="B2074" t="str">
        <f>VLOOKUP(A2074,Planilha2!$A$2:$C$5566,3,0)</f>
        <v>PACATUBA</v>
      </c>
      <c r="C2074" t="str">
        <f>VLOOKUP(A2074,Planilha2!$A$2:$D$5566,4,0)</f>
        <v>SE</v>
      </c>
    </row>
    <row r="2075" spans="1:3" x14ac:dyDescent="0.35">
      <c r="A2075">
        <v>280150</v>
      </c>
      <c r="B2075" t="str">
        <f>VLOOKUP(A2075,Planilha2!$A$2:$C$5566,3,0)</f>
        <v>CARMÓPOLIS</v>
      </c>
      <c r="C2075" t="str">
        <f>VLOOKUP(A2075,Planilha2!$A$2:$D$5566,4,0)</f>
        <v>SE</v>
      </c>
    </row>
    <row r="2076" spans="1:3" x14ac:dyDescent="0.35">
      <c r="A2076">
        <v>280540</v>
      </c>
      <c r="B2076" t="str">
        <f>VLOOKUP(A2076,Planilha2!$A$2:$C$5566,3,0)</f>
        <v>POÇO REDONDO</v>
      </c>
      <c r="C2076" t="str">
        <f>VLOOKUP(A2076,Planilha2!$A$2:$D$5566,4,0)</f>
        <v>SE</v>
      </c>
    </row>
    <row r="2077" spans="1:3" x14ac:dyDescent="0.35">
      <c r="A2077">
        <v>280067</v>
      </c>
      <c r="B2077" t="str">
        <f>VLOOKUP(A2077,Planilha2!$A$2:$C$5566,3,0)</f>
        <v>BOQUIM</v>
      </c>
      <c r="C2077" t="str">
        <f>VLOOKUP(A2077,Planilha2!$A$2:$D$5566,4,0)</f>
        <v>SE</v>
      </c>
    </row>
    <row r="2078" spans="1:3" x14ac:dyDescent="0.35">
      <c r="A2078">
        <v>280120</v>
      </c>
      <c r="B2078" t="str">
        <f>VLOOKUP(A2078,Planilha2!$A$2:$C$5566,3,0)</f>
        <v>CANINDÉ DE SÃO FRANCISCO</v>
      </c>
      <c r="C2078" t="str">
        <f>VLOOKUP(A2078,Planilha2!$A$2:$D$5566,4,0)</f>
        <v>SE</v>
      </c>
    </row>
    <row r="2079" spans="1:3" x14ac:dyDescent="0.35">
      <c r="A2079">
        <v>280250</v>
      </c>
      <c r="B2079" t="str">
        <f>VLOOKUP(A2079,Planilha2!$A$2:$C$5566,3,0)</f>
        <v>GENERAL MAYNARD</v>
      </c>
      <c r="C2079" t="str">
        <f>VLOOKUP(A2079,Planilha2!$A$2:$D$5566,4,0)</f>
        <v>SE</v>
      </c>
    </row>
    <row r="2080" spans="1:3" x14ac:dyDescent="0.35">
      <c r="A2080">
        <v>280670</v>
      </c>
      <c r="B2080" t="str">
        <f>VLOOKUP(A2080,Planilha2!$A$2:$C$5566,3,0)</f>
        <v>SÃO CRISTOVÃO</v>
      </c>
      <c r="C2080" t="str">
        <f>VLOOKUP(A2080,Planilha2!$A$2:$D$5566,4,0)</f>
        <v>SE</v>
      </c>
    </row>
    <row r="2081" spans="1:3" x14ac:dyDescent="0.35">
      <c r="A2081">
        <v>280550</v>
      </c>
      <c r="B2081" t="str">
        <f>VLOOKUP(A2081,Planilha2!$A$2:$C$5566,3,0)</f>
        <v>POÇO VERDE</v>
      </c>
      <c r="C2081" t="str">
        <f>VLOOKUP(A2081,Planilha2!$A$2:$D$5566,4,0)</f>
        <v>SE</v>
      </c>
    </row>
    <row r="2082" spans="1:3" x14ac:dyDescent="0.35">
      <c r="A2082">
        <v>280340</v>
      </c>
      <c r="B2082" t="str">
        <f>VLOOKUP(A2082,Planilha2!$A$2:$C$5566,3,0)</f>
        <v>JAPOATÃ</v>
      </c>
      <c r="C2082" t="str">
        <f>VLOOKUP(A2082,Planilha2!$A$2:$D$5566,4,0)</f>
        <v>SE</v>
      </c>
    </row>
    <row r="2083" spans="1:3" x14ac:dyDescent="0.35">
      <c r="A2083">
        <v>270320</v>
      </c>
      <c r="B2083" t="str">
        <f>VLOOKUP(A2083,Planilha2!$A$2:$C$5566,3,0)</f>
        <v>IGREJA NOVA</v>
      </c>
      <c r="C2083" t="str">
        <f>VLOOKUP(A2083,Planilha2!$A$2:$D$5566,4,0)</f>
        <v>AL</v>
      </c>
    </row>
    <row r="2084" spans="1:3" x14ac:dyDescent="0.35">
      <c r="A2084">
        <v>280440</v>
      </c>
      <c r="B2084" t="str">
        <f>VLOOKUP(A2084,Planilha2!$A$2:$C$5566,3,0)</f>
        <v>NEÓPOLIS</v>
      </c>
      <c r="C2084" t="str">
        <f>VLOOKUP(A2084,Planilha2!$A$2:$D$5566,4,0)</f>
        <v>SE</v>
      </c>
    </row>
    <row r="2085" spans="1:3" x14ac:dyDescent="0.35">
      <c r="A2085">
        <v>280750</v>
      </c>
      <c r="B2085" t="str">
        <f>VLOOKUP(A2085,Planilha2!$A$2:$C$5566,3,0)</f>
        <v>TOMAR DO GERU</v>
      </c>
      <c r="C2085" t="str">
        <f>VLOOKUP(A2085,Planilha2!$A$2:$D$5566,4,0)</f>
        <v>SE</v>
      </c>
    </row>
    <row r="2086" spans="1:3" x14ac:dyDescent="0.35">
      <c r="A2086">
        <v>280420</v>
      </c>
      <c r="B2086" t="str">
        <f>VLOOKUP(A2086,Planilha2!$A$2:$C$5566,3,0)</f>
        <v>MONTE ALEGRE DE SERGIPE</v>
      </c>
      <c r="C2086" t="str">
        <f>VLOOKUP(A2086,Planilha2!$A$2:$D$5566,4,0)</f>
        <v>SE</v>
      </c>
    </row>
    <row r="2087" spans="1:3" x14ac:dyDescent="0.35">
      <c r="A2087">
        <v>290560</v>
      </c>
      <c r="B2087" t="str">
        <f>VLOOKUP(A2087,Planilha2!$A$2:$C$5566,3,0)</f>
        <v>CAMACAN</v>
      </c>
      <c r="C2087" t="str">
        <f>VLOOKUP(A2087,Planilha2!$A$2:$D$5566,4,0)</f>
        <v>BA</v>
      </c>
    </row>
    <row r="2088" spans="1:3" x14ac:dyDescent="0.35">
      <c r="A2088">
        <v>291550</v>
      </c>
      <c r="B2088" t="str">
        <f>VLOOKUP(A2088,Planilha2!$A$2:$C$5566,3,0)</f>
        <v>ITAJUÍPE</v>
      </c>
      <c r="C2088" t="str">
        <f>VLOOKUP(A2088,Planilha2!$A$2:$D$5566,4,0)</f>
        <v>BA</v>
      </c>
    </row>
    <row r="2089" spans="1:3" x14ac:dyDescent="0.35">
      <c r="A2089">
        <v>291210</v>
      </c>
      <c r="B2089" t="str">
        <f>VLOOKUP(A2089,Planilha2!$A$2:$C$5566,3,0)</f>
        <v>IBICARAÍ</v>
      </c>
      <c r="C2089" t="str">
        <f>VLOOKUP(A2089,Planilha2!$A$2:$D$5566,4,0)</f>
        <v>BA</v>
      </c>
    </row>
    <row r="2090" spans="1:3" x14ac:dyDescent="0.35">
      <c r="A2090">
        <v>292230</v>
      </c>
      <c r="B2090" t="str">
        <f>VLOOKUP(A2090,Planilha2!$A$2:$C$5566,3,0)</f>
        <v>MURITIBA</v>
      </c>
      <c r="C2090" t="str">
        <f>VLOOKUP(A2090,Planilha2!$A$2:$D$5566,4,0)</f>
        <v>BA</v>
      </c>
    </row>
    <row r="2091" spans="1:3" x14ac:dyDescent="0.35">
      <c r="A2091">
        <v>290860</v>
      </c>
      <c r="B2091" t="str">
        <f>VLOOKUP(A2091,Planilha2!$A$2:$C$5566,3,0)</f>
        <v>CONDE</v>
      </c>
      <c r="C2091" t="str">
        <f>VLOOKUP(A2091,Planilha2!$A$2:$D$5566,4,0)</f>
        <v>BA</v>
      </c>
    </row>
    <row r="2092" spans="1:3" x14ac:dyDescent="0.35">
      <c r="A2092">
        <v>292950</v>
      </c>
      <c r="B2092" t="str">
        <f>VLOOKUP(A2092,Planilha2!$A$2:$C$5566,3,0)</f>
        <v>SÃO SEBASTIÃO DO PASSÉ</v>
      </c>
      <c r="C2092" t="str">
        <f>VLOOKUP(A2092,Planilha2!$A$2:$D$5566,4,0)</f>
        <v>BA</v>
      </c>
    </row>
    <row r="2093" spans="1:3" x14ac:dyDescent="0.35">
      <c r="A2093">
        <v>290170</v>
      </c>
      <c r="B2093" t="str">
        <f>VLOOKUP(A2093,Planilha2!$A$2:$C$5566,3,0)</f>
        <v>ANTÔNIO CARDOSO</v>
      </c>
      <c r="C2093" t="str">
        <f>VLOOKUP(A2093,Planilha2!$A$2:$D$5566,4,0)</f>
        <v>BA</v>
      </c>
    </row>
    <row r="2094" spans="1:3" x14ac:dyDescent="0.35">
      <c r="A2094">
        <v>290820</v>
      </c>
      <c r="B2094" t="str">
        <f>VLOOKUP(A2094,Planilha2!$A$2:$C$5566,3,0)</f>
        <v>CONCEIÇÃO DA FEIRA</v>
      </c>
      <c r="C2094" t="str">
        <f>VLOOKUP(A2094,Planilha2!$A$2:$D$5566,4,0)</f>
        <v>BA</v>
      </c>
    </row>
    <row r="2095" spans="1:3" x14ac:dyDescent="0.35">
      <c r="A2095">
        <v>290210</v>
      </c>
      <c r="B2095" t="str">
        <f>VLOOKUP(A2095,Planilha2!$A$2:$C$5566,3,0)</f>
        <v>ARACI</v>
      </c>
      <c r="C2095" t="str">
        <f>VLOOKUP(A2095,Planilha2!$A$2:$D$5566,4,0)</f>
        <v>BA</v>
      </c>
    </row>
    <row r="2096" spans="1:3" x14ac:dyDescent="0.35">
      <c r="A2096">
        <v>290327</v>
      </c>
      <c r="B2096" t="str">
        <f>VLOOKUP(A2096,Planilha2!$A$2:$C$5566,3,0)</f>
        <v>BARROCAS</v>
      </c>
      <c r="C2096" t="str">
        <f>VLOOKUP(A2096,Planilha2!$A$2:$D$5566,4,0)</f>
        <v>BA</v>
      </c>
    </row>
    <row r="2097" spans="1:3" x14ac:dyDescent="0.35">
      <c r="A2097">
        <v>292720</v>
      </c>
      <c r="B2097" t="str">
        <f>VLOOKUP(A2097,Planilha2!$A$2:$C$5566,3,0)</f>
        <v>RUY BARBOSA</v>
      </c>
      <c r="C2097" t="str">
        <f>VLOOKUP(A2097,Planilha2!$A$2:$D$5566,4,0)</f>
        <v>BA</v>
      </c>
    </row>
    <row r="2098" spans="1:3" x14ac:dyDescent="0.35">
      <c r="A2098">
        <v>291300</v>
      </c>
      <c r="B2098" t="str">
        <f>VLOOKUP(A2098,Planilha2!$A$2:$C$5566,3,0)</f>
        <v>IBITIARA</v>
      </c>
      <c r="C2098" t="str">
        <f>VLOOKUP(A2098,Planilha2!$A$2:$D$5566,4,0)</f>
        <v>BA</v>
      </c>
    </row>
    <row r="2099" spans="1:3" x14ac:dyDescent="0.35">
      <c r="A2099">
        <v>290510</v>
      </c>
      <c r="B2099" t="str">
        <f>VLOOKUP(A2099,Planilha2!$A$2:$C$5566,3,0)</f>
        <v>CAÉM</v>
      </c>
      <c r="C2099" t="str">
        <f>VLOOKUP(A2099,Planilha2!$A$2:$D$5566,4,0)</f>
        <v>BA</v>
      </c>
    </row>
    <row r="2100" spans="1:3" x14ac:dyDescent="0.35">
      <c r="A2100">
        <v>292205</v>
      </c>
      <c r="B2100" t="str">
        <f>VLOOKUP(A2100,Planilha2!$A$2:$C$5566,3,0)</f>
        <v>MULUNGU DO MORRO</v>
      </c>
      <c r="C2100" t="str">
        <f>VLOOKUP(A2100,Planilha2!$A$2:$D$5566,4,0)</f>
        <v>BA</v>
      </c>
    </row>
    <row r="2101" spans="1:3" x14ac:dyDescent="0.35">
      <c r="A2101">
        <v>292560</v>
      </c>
      <c r="B2101" t="str">
        <f>VLOOKUP(A2101,Planilha2!$A$2:$C$5566,3,0)</f>
        <v>PRESIDENTE DUTRA</v>
      </c>
      <c r="C2101" t="str">
        <f>VLOOKUP(A2101,Planilha2!$A$2:$D$5566,4,0)</f>
        <v>BA</v>
      </c>
    </row>
    <row r="2102" spans="1:3" x14ac:dyDescent="0.35">
      <c r="A2102">
        <v>290620</v>
      </c>
      <c r="B2102" t="str">
        <f>VLOOKUP(A2102,Planilha2!$A$2:$C$5566,3,0)</f>
        <v>CANARANA</v>
      </c>
      <c r="C2102" t="str">
        <f>VLOOKUP(A2102,Planilha2!$A$2:$D$5566,4,0)</f>
        <v>BA</v>
      </c>
    </row>
    <row r="2103" spans="1:3" x14ac:dyDescent="0.35">
      <c r="A2103">
        <v>291072</v>
      </c>
      <c r="B2103" t="str">
        <f>VLOOKUP(A2103,Planilha2!$A$2:$C$5566,3,0)</f>
        <v>EUNÁPOLIS</v>
      </c>
      <c r="C2103" t="str">
        <f>VLOOKUP(A2103,Planilha2!$A$2:$D$5566,4,0)</f>
        <v>BA</v>
      </c>
    </row>
    <row r="2104" spans="1:3" x14ac:dyDescent="0.35">
      <c r="A2104">
        <v>291465</v>
      </c>
      <c r="B2104" t="str">
        <f>VLOOKUP(A2104,Planilha2!$A$2:$C$5566,3,0)</f>
        <v>ITABELA</v>
      </c>
      <c r="C2104" t="str">
        <f>VLOOKUP(A2104,Planilha2!$A$2:$D$5566,4,0)</f>
        <v>BA</v>
      </c>
    </row>
    <row r="2105" spans="1:3" x14ac:dyDescent="0.35">
      <c r="A2105">
        <v>293305</v>
      </c>
      <c r="B2105" t="str">
        <f>VLOOKUP(A2105,Planilha2!$A$2:$C$5566,3,0)</f>
        <v>VÁRZEA DA ROÇA</v>
      </c>
      <c r="C2105" t="str">
        <f>VLOOKUP(A2105,Planilha2!$A$2:$D$5566,4,0)</f>
        <v>BA</v>
      </c>
    </row>
    <row r="2106" spans="1:3" x14ac:dyDescent="0.35">
      <c r="A2106">
        <v>290690</v>
      </c>
      <c r="B2106" t="str">
        <f>VLOOKUP(A2106,Planilha2!$A$2:$C$5566,3,0)</f>
        <v>CARAVELAS</v>
      </c>
      <c r="C2106" t="str">
        <f>VLOOKUP(A2106,Planilha2!$A$2:$D$5566,4,0)</f>
        <v>BA</v>
      </c>
    </row>
    <row r="2107" spans="1:3" x14ac:dyDescent="0.35">
      <c r="A2107">
        <v>290030</v>
      </c>
      <c r="B2107" t="str">
        <f>VLOOKUP(A2107,Planilha2!$A$2:$C$5566,3,0)</f>
        <v>ACAJUTIBA</v>
      </c>
      <c r="C2107" t="str">
        <f>VLOOKUP(A2107,Planilha2!$A$2:$D$5566,4,0)</f>
        <v>BA</v>
      </c>
    </row>
    <row r="2108" spans="1:3" x14ac:dyDescent="0.35">
      <c r="A2108">
        <v>290780</v>
      </c>
      <c r="B2108" t="str">
        <f>VLOOKUP(A2108,Planilha2!$A$2:$C$5566,3,0)</f>
        <v>CÍCERO DANTAS</v>
      </c>
      <c r="C2108" t="str">
        <f>VLOOKUP(A2108,Planilha2!$A$2:$D$5566,4,0)</f>
        <v>BA</v>
      </c>
    </row>
    <row r="2109" spans="1:3" x14ac:dyDescent="0.35">
      <c r="A2109">
        <v>293076</v>
      </c>
      <c r="B2109" t="str">
        <f>VLOOKUP(A2109,Planilha2!$A$2:$C$5566,3,0)</f>
        <v>SÍTIO DO QUINTO</v>
      </c>
      <c r="C2109" t="str">
        <f>VLOOKUP(A2109,Planilha2!$A$2:$D$5566,4,0)</f>
        <v>BA</v>
      </c>
    </row>
    <row r="2110" spans="1:3" x14ac:dyDescent="0.35">
      <c r="A2110">
        <v>292650</v>
      </c>
      <c r="B2110" t="str">
        <f>VLOOKUP(A2110,Planilha2!$A$2:$C$5566,3,0)</f>
        <v>RIBEIRA DO AMPARO</v>
      </c>
      <c r="C2110" t="str">
        <f>VLOOKUP(A2110,Planilha2!$A$2:$D$5566,4,0)</f>
        <v>BA</v>
      </c>
    </row>
    <row r="2111" spans="1:3" x14ac:dyDescent="0.35">
      <c r="A2111">
        <v>292660</v>
      </c>
      <c r="B2111" t="str">
        <f>VLOOKUP(A2111,Planilha2!$A$2:$C$5566,3,0)</f>
        <v>RIBEIRA DO POMBAL</v>
      </c>
      <c r="C2111" t="str">
        <f>VLOOKUP(A2111,Planilha2!$A$2:$D$5566,4,0)</f>
        <v>BA</v>
      </c>
    </row>
    <row r="2112" spans="1:3" x14ac:dyDescent="0.35">
      <c r="A2112">
        <v>292760</v>
      </c>
      <c r="B2112" t="str">
        <f>VLOOKUP(A2112,Planilha2!$A$2:$C$5566,3,0)</f>
        <v>SANTA BRÍGIDA</v>
      </c>
      <c r="C2112" t="str">
        <f>VLOOKUP(A2112,Planilha2!$A$2:$D$5566,4,0)</f>
        <v>BA</v>
      </c>
    </row>
    <row r="2113" spans="1:3" x14ac:dyDescent="0.35">
      <c r="A2113">
        <v>290590</v>
      </c>
      <c r="B2113" t="str">
        <f>VLOOKUP(A2113,Planilha2!$A$2:$C$5566,3,0)</f>
        <v>CAMPO ALEGRE DE LOURDES</v>
      </c>
      <c r="C2113" t="str">
        <f>VLOOKUP(A2113,Planilha2!$A$2:$D$5566,4,0)</f>
        <v>BA</v>
      </c>
    </row>
    <row r="2114" spans="1:3" x14ac:dyDescent="0.35">
      <c r="A2114">
        <v>292600</v>
      </c>
      <c r="B2114" t="str">
        <f>VLOOKUP(A2114,Planilha2!$A$2:$C$5566,3,0)</f>
        <v>REMANSO</v>
      </c>
      <c r="C2114" t="str">
        <f>VLOOKUP(A2114,Planilha2!$A$2:$D$5566,4,0)</f>
        <v>BA</v>
      </c>
    </row>
    <row r="2115" spans="1:3" x14ac:dyDescent="0.35">
      <c r="A2115">
        <v>292440</v>
      </c>
      <c r="B2115" t="str">
        <f>VLOOKUP(A2115,Planilha2!$A$2:$C$5566,3,0)</f>
        <v>PILÃO ARCADO</v>
      </c>
      <c r="C2115" t="str">
        <f>VLOOKUP(A2115,Planilha2!$A$2:$D$5566,4,0)</f>
        <v>BA</v>
      </c>
    </row>
    <row r="2116" spans="1:3" x14ac:dyDescent="0.35">
      <c r="A2116">
        <v>293077</v>
      </c>
      <c r="B2116" t="str">
        <f>VLOOKUP(A2116,Planilha2!$A$2:$C$5566,3,0)</f>
        <v>SOBRADINHO</v>
      </c>
      <c r="C2116" t="str">
        <f>VLOOKUP(A2116,Planilha2!$A$2:$D$5566,4,0)</f>
        <v>BA</v>
      </c>
    </row>
    <row r="2117" spans="1:3" x14ac:dyDescent="0.35">
      <c r="A2117">
        <v>292460</v>
      </c>
      <c r="B2117" t="str">
        <f>VLOOKUP(A2117,Planilha2!$A$2:$C$5566,3,0)</f>
        <v>PINDOBAÇU</v>
      </c>
      <c r="C2117" t="str">
        <f>VLOOKUP(A2117,Planilha2!$A$2:$D$5566,4,0)</f>
        <v>BA</v>
      </c>
    </row>
    <row r="2118" spans="1:3" x14ac:dyDescent="0.35">
      <c r="A2118">
        <v>291955</v>
      </c>
      <c r="B2118" t="str">
        <f>VLOOKUP(A2118,Planilha2!$A$2:$C$5566,3,0)</f>
        <v>LUÍS EDUARDO MAGALHÃES</v>
      </c>
      <c r="C2118" t="str">
        <f>VLOOKUP(A2118,Planilha2!$A$2:$D$5566,4,0)</f>
        <v>BA</v>
      </c>
    </row>
    <row r="2119" spans="1:3" x14ac:dyDescent="0.35">
      <c r="A2119">
        <v>290910</v>
      </c>
      <c r="B2119" t="str">
        <f>VLOOKUP(A2119,Planilha2!$A$2:$C$5566,3,0)</f>
        <v>CORIBE</v>
      </c>
      <c r="C2119" t="str">
        <f>VLOOKUP(A2119,Planilha2!$A$2:$D$5566,4,0)</f>
        <v>BA</v>
      </c>
    </row>
    <row r="2120" spans="1:3" x14ac:dyDescent="0.35">
      <c r="A2120">
        <v>291220</v>
      </c>
      <c r="B2120" t="str">
        <f>VLOOKUP(A2120,Planilha2!$A$2:$C$5566,3,0)</f>
        <v>IBICOARA</v>
      </c>
      <c r="C2120" t="str">
        <f>VLOOKUP(A2120,Planilha2!$A$2:$D$5566,4,0)</f>
        <v>BA</v>
      </c>
    </row>
    <row r="2121" spans="1:3" x14ac:dyDescent="0.35">
      <c r="A2121">
        <v>291710</v>
      </c>
      <c r="B2121" t="str">
        <f>VLOOKUP(A2121,Planilha2!$A$2:$C$5566,3,0)</f>
        <v>ITORORÓ</v>
      </c>
      <c r="C2121" t="str">
        <f>VLOOKUP(A2121,Planilha2!$A$2:$D$5566,4,0)</f>
        <v>BA</v>
      </c>
    </row>
    <row r="2122" spans="1:3" x14ac:dyDescent="0.35">
      <c r="A2122">
        <v>293180</v>
      </c>
      <c r="B2122" t="str">
        <f>VLOOKUP(A2122,Planilha2!$A$2:$C$5566,3,0)</f>
        <v>TREMEDAL</v>
      </c>
      <c r="C2122" t="str">
        <f>VLOOKUP(A2122,Planilha2!$A$2:$D$5566,4,0)</f>
        <v>BA</v>
      </c>
    </row>
    <row r="2123" spans="1:3" x14ac:dyDescent="0.35">
      <c r="A2123">
        <v>314055</v>
      </c>
      <c r="B2123" t="str">
        <f>VLOOKUP(A2123,Planilha2!$A$2:$C$5566,3,0)</f>
        <v>MATA VERDE</v>
      </c>
      <c r="C2123" t="str">
        <f>VLOOKUP(A2123,Planilha2!$A$2:$D$5566,4,0)</f>
        <v>MG</v>
      </c>
    </row>
    <row r="2124" spans="1:3" x14ac:dyDescent="0.35">
      <c r="A2124">
        <v>290870</v>
      </c>
      <c r="B2124" t="str">
        <f>VLOOKUP(A2124,Planilha2!$A$2:$C$5566,3,0)</f>
        <v>CONDEÚBA</v>
      </c>
      <c r="C2124" t="str">
        <f>VLOOKUP(A2124,Planilha2!$A$2:$D$5566,4,0)</f>
        <v>BA</v>
      </c>
    </row>
    <row r="2125" spans="1:3" x14ac:dyDescent="0.35">
      <c r="A2125">
        <v>290520</v>
      </c>
      <c r="B2125" t="str">
        <f>VLOOKUP(A2125,Planilha2!$A$2:$C$5566,3,0)</f>
        <v>CAETITÉ</v>
      </c>
      <c r="C2125" t="str">
        <f>VLOOKUP(A2125,Planilha2!$A$2:$D$5566,4,0)</f>
        <v>BA</v>
      </c>
    </row>
    <row r="2126" spans="1:3" x14ac:dyDescent="0.35">
      <c r="A2126">
        <v>292640</v>
      </c>
      <c r="B2126" t="str">
        <f>VLOOKUP(A2126,Planilha2!$A$2:$C$5566,3,0)</f>
        <v>RIACHO DE SANTANA</v>
      </c>
      <c r="C2126" t="str">
        <f>VLOOKUP(A2126,Planilha2!$A$2:$D$5566,4,0)</f>
        <v>BA</v>
      </c>
    </row>
    <row r="2127" spans="1:3" x14ac:dyDescent="0.35">
      <c r="A2127">
        <v>293290</v>
      </c>
      <c r="B2127" t="str">
        <f>VLOOKUP(A2127,Planilha2!$A$2:$C$5566,3,0)</f>
        <v>VALENÇA</v>
      </c>
      <c r="C2127" t="str">
        <f>VLOOKUP(A2127,Planilha2!$A$2:$D$5566,4,0)</f>
        <v>BA</v>
      </c>
    </row>
    <row r="2128" spans="1:3" x14ac:dyDescent="0.35">
      <c r="A2128">
        <v>290950</v>
      </c>
      <c r="B2128" t="str">
        <f>VLOOKUP(A2128,Planilha2!$A$2:$C$5566,3,0)</f>
        <v>CRAVOLÂNDIA</v>
      </c>
      <c r="C2128" t="str">
        <f>VLOOKUP(A2128,Planilha2!$A$2:$D$5566,4,0)</f>
        <v>BA</v>
      </c>
    </row>
    <row r="2129" spans="1:3" x14ac:dyDescent="0.35">
      <c r="A2129">
        <v>292050</v>
      </c>
      <c r="B2129" t="str">
        <f>VLOOKUP(A2129,Planilha2!$A$2:$C$5566,3,0)</f>
        <v>MARACÁS</v>
      </c>
      <c r="C2129" t="str">
        <f>VLOOKUP(A2129,Planilha2!$A$2:$D$5566,4,0)</f>
        <v>BA</v>
      </c>
    </row>
    <row r="2130" spans="1:3" x14ac:dyDescent="0.35">
      <c r="A2130">
        <v>290310</v>
      </c>
      <c r="B2130" t="str">
        <f>VLOOKUP(A2130,Planilha2!$A$2:$C$5566,3,0)</f>
        <v>BARRA DO ROCHA</v>
      </c>
      <c r="C2130" t="str">
        <f>VLOOKUP(A2130,Planilha2!$A$2:$D$5566,4,0)</f>
        <v>BA</v>
      </c>
    </row>
    <row r="2131" spans="1:3" x14ac:dyDescent="0.35">
      <c r="A2131">
        <v>293317</v>
      </c>
      <c r="B2131" t="str">
        <f>VLOOKUP(A2131,Planilha2!$A$2:$C$5566,3,0)</f>
        <v>VARZEDO</v>
      </c>
      <c r="C2131" t="str">
        <f>VLOOKUP(A2131,Planilha2!$A$2:$D$5566,4,0)</f>
        <v>BA</v>
      </c>
    </row>
    <row r="2132" spans="1:3" x14ac:dyDescent="0.35">
      <c r="A2132">
        <v>291820</v>
      </c>
      <c r="B2132" t="str">
        <f>VLOOKUP(A2132,Planilha2!$A$2:$C$5566,3,0)</f>
        <v>JIQUIRIÇÁ</v>
      </c>
      <c r="C2132" t="str">
        <f>VLOOKUP(A2132,Planilha2!$A$2:$D$5566,4,0)</f>
        <v>BA</v>
      </c>
    </row>
    <row r="2133" spans="1:3" x14ac:dyDescent="0.35">
      <c r="A2133">
        <v>290490</v>
      </c>
      <c r="B2133" t="str">
        <f>VLOOKUP(A2133,Planilha2!$A$2:$C$5566,3,0)</f>
        <v>CACHOEIRA</v>
      </c>
      <c r="C2133" t="str">
        <f>VLOOKUP(A2133,Planilha2!$A$2:$D$5566,4,0)</f>
        <v>BA</v>
      </c>
    </row>
    <row r="2134" spans="1:3" x14ac:dyDescent="0.35">
      <c r="A2134">
        <v>290485</v>
      </c>
      <c r="B2134" t="str">
        <f>VLOOKUP(A2134,Planilha2!$A$2:$C$5566,3,0)</f>
        <v>CABACEIRAS DO PARAGUAÇU</v>
      </c>
      <c r="C2134" t="str">
        <f>VLOOKUP(A2134,Planilha2!$A$2:$D$5566,4,0)</f>
        <v>BA</v>
      </c>
    </row>
    <row r="2135" spans="1:3" x14ac:dyDescent="0.35">
      <c r="A2135">
        <v>293320</v>
      </c>
      <c r="B2135" t="str">
        <f>VLOOKUP(A2135,Planilha2!$A$2:$C$5566,3,0)</f>
        <v>VERA CRUZ</v>
      </c>
      <c r="C2135" t="str">
        <f>VLOOKUP(A2135,Planilha2!$A$2:$D$5566,4,0)</f>
        <v>BA</v>
      </c>
    </row>
    <row r="2136" spans="1:3" x14ac:dyDescent="0.35">
      <c r="A2136">
        <v>292920</v>
      </c>
      <c r="B2136" t="str">
        <f>VLOOKUP(A2136,Planilha2!$A$2:$C$5566,3,0)</f>
        <v>SÃO FRANCISCO DO CONDE</v>
      </c>
      <c r="C2136" t="str">
        <f>VLOOKUP(A2136,Planilha2!$A$2:$D$5566,4,0)</f>
        <v>BA</v>
      </c>
    </row>
    <row r="2137" spans="1:3" x14ac:dyDescent="0.35">
      <c r="A2137">
        <v>292100</v>
      </c>
      <c r="B2137" t="str">
        <f>VLOOKUP(A2137,Planilha2!$A$2:$C$5566,3,0)</f>
        <v>MATA DE SÃO JOÃO</v>
      </c>
      <c r="C2137" t="str">
        <f>VLOOKUP(A2137,Planilha2!$A$2:$D$5566,4,0)</f>
        <v>BA</v>
      </c>
    </row>
    <row r="2138" spans="1:3" x14ac:dyDescent="0.35">
      <c r="A2138">
        <v>292970</v>
      </c>
      <c r="B2138" t="str">
        <f>VLOOKUP(A2138,Planilha2!$A$2:$C$5566,3,0)</f>
        <v>SÁTIRO DIAS</v>
      </c>
      <c r="C2138" t="str">
        <f>VLOOKUP(A2138,Planilha2!$A$2:$D$5566,4,0)</f>
        <v>BA</v>
      </c>
    </row>
    <row r="2139" spans="1:3" x14ac:dyDescent="0.35">
      <c r="A2139">
        <v>292925</v>
      </c>
      <c r="B2139" t="str">
        <f>VLOOKUP(A2139,Planilha2!$A$2:$C$5566,3,0)</f>
        <v>SÃO GABRIEL</v>
      </c>
      <c r="C2139" t="str">
        <f>VLOOKUP(A2139,Planilha2!$A$2:$D$5566,4,0)</f>
        <v>BA</v>
      </c>
    </row>
    <row r="2140" spans="1:3" x14ac:dyDescent="0.35">
      <c r="A2140">
        <v>291685</v>
      </c>
      <c r="B2140" t="str">
        <f>VLOOKUP(A2140,Planilha2!$A$2:$C$5566,3,0)</f>
        <v>ITATIM</v>
      </c>
      <c r="C2140" t="str">
        <f>VLOOKUP(A2140,Planilha2!$A$2:$D$5566,4,0)</f>
        <v>BA</v>
      </c>
    </row>
    <row r="2141" spans="1:3" x14ac:dyDescent="0.35">
      <c r="A2141">
        <v>292595</v>
      </c>
      <c r="B2141" t="str">
        <f>VLOOKUP(A2141,Planilha2!$A$2:$C$5566,3,0)</f>
        <v>RAFAEL JAMBEIRO</v>
      </c>
      <c r="C2141" t="str">
        <f>VLOOKUP(A2141,Planilha2!$A$2:$D$5566,4,0)</f>
        <v>BA</v>
      </c>
    </row>
    <row r="2142" spans="1:3" x14ac:dyDescent="0.35">
      <c r="A2142">
        <v>293270</v>
      </c>
      <c r="B2142" t="str">
        <f>VLOOKUP(A2142,Planilha2!$A$2:$C$5566,3,0)</f>
        <v>URUÇUCA</v>
      </c>
      <c r="C2142" t="str">
        <f>VLOOKUP(A2142,Planilha2!$A$2:$D$5566,4,0)</f>
        <v>BA</v>
      </c>
    </row>
    <row r="2143" spans="1:3" x14ac:dyDescent="0.35">
      <c r="A2143">
        <v>292390</v>
      </c>
      <c r="B2143" t="str">
        <f>VLOOKUP(A2143,Planilha2!$A$2:$C$5566,3,0)</f>
        <v>PAU BRASIL</v>
      </c>
      <c r="C2143" t="str">
        <f>VLOOKUP(A2143,Planilha2!$A$2:$D$5566,4,0)</f>
        <v>BA</v>
      </c>
    </row>
    <row r="2144" spans="1:3" x14ac:dyDescent="0.35">
      <c r="A2144">
        <v>315840</v>
      </c>
      <c r="B2144" t="str">
        <f>VLOOKUP(A2144,Planilha2!$A$2:$C$5566,3,0)</f>
        <v>SANTANA DE CATAGUASES</v>
      </c>
      <c r="C2144" t="str">
        <f>VLOOKUP(A2144,Planilha2!$A$2:$D$5566,4,0)</f>
        <v>MG</v>
      </c>
    </row>
    <row r="2145" spans="1:3" x14ac:dyDescent="0.35">
      <c r="A2145">
        <v>313850</v>
      </c>
      <c r="B2145" t="str">
        <f>VLOOKUP(A2145,Planilha2!$A$2:$C$5566,3,0)</f>
        <v>LIBERDADE</v>
      </c>
      <c r="C2145" t="str">
        <f>VLOOKUP(A2145,Planilha2!$A$2:$D$5566,4,0)</f>
        <v>MG</v>
      </c>
    </row>
    <row r="2146" spans="1:3" x14ac:dyDescent="0.35">
      <c r="A2146">
        <v>314655</v>
      </c>
      <c r="B2146" t="str">
        <f>VLOOKUP(A2146,Planilha2!$A$2:$C$5566,3,0)</f>
        <v>PAI PEDRO</v>
      </c>
      <c r="C2146" t="str">
        <f>VLOOKUP(A2146,Planilha2!$A$2:$D$5566,4,0)</f>
        <v>MG</v>
      </c>
    </row>
    <row r="2147" spans="1:3" x14ac:dyDescent="0.35">
      <c r="A2147">
        <v>316270</v>
      </c>
      <c r="B2147" t="str">
        <f>VLOOKUP(A2147,Planilha2!$A$2:$C$5566,3,0)</f>
        <v>SÃO JOÃO DO PARAÍSO</v>
      </c>
      <c r="C2147" t="str">
        <f>VLOOKUP(A2147,Planilha2!$A$2:$D$5566,4,0)</f>
        <v>MG</v>
      </c>
    </row>
    <row r="2148" spans="1:3" x14ac:dyDescent="0.35">
      <c r="A2148">
        <v>312380</v>
      </c>
      <c r="B2148" t="str">
        <f>VLOOKUP(A2148,Planilha2!$A$2:$C$5566,3,0)</f>
        <v>ENGENHEIRO NAVARRO</v>
      </c>
      <c r="C2148" t="str">
        <f>VLOOKUP(A2148,Planilha2!$A$2:$D$5566,4,0)</f>
        <v>MG</v>
      </c>
    </row>
    <row r="2149" spans="1:3" x14ac:dyDescent="0.35">
      <c r="A2149">
        <v>317052</v>
      </c>
      <c r="B2149" t="str">
        <f>VLOOKUP(A2149,Planilha2!$A$2:$C$5566,3,0)</f>
        <v>URUCUIA</v>
      </c>
      <c r="C2149" t="str">
        <f>VLOOKUP(A2149,Planilha2!$A$2:$D$5566,4,0)</f>
        <v>MG</v>
      </c>
    </row>
    <row r="2150" spans="1:3" x14ac:dyDescent="0.35">
      <c r="A2150">
        <v>314625</v>
      </c>
      <c r="B2150" t="str">
        <f>VLOOKUP(A2150,Planilha2!$A$2:$C$5566,3,0)</f>
        <v>PADRE CARVALHO</v>
      </c>
      <c r="C2150" t="str">
        <f>VLOOKUP(A2150,Planilha2!$A$2:$D$5566,4,0)</f>
        <v>MG</v>
      </c>
    </row>
    <row r="2151" spans="1:3" x14ac:dyDescent="0.35">
      <c r="A2151">
        <v>314100</v>
      </c>
      <c r="B2151" t="str">
        <f>VLOOKUP(A2151,Planilha2!$A$2:$C$5566,3,0)</f>
        <v>MATO VERDE</v>
      </c>
      <c r="C2151" t="str">
        <f>VLOOKUP(A2151,Planilha2!$A$2:$D$5566,4,0)</f>
        <v>MG</v>
      </c>
    </row>
    <row r="2152" spans="1:3" x14ac:dyDescent="0.35">
      <c r="A2152">
        <v>311270</v>
      </c>
      <c r="B2152" t="str">
        <f>VLOOKUP(A2152,Planilha2!$A$2:$C$5566,3,0)</f>
        <v>CAPITÃO ENÉAS</v>
      </c>
      <c r="C2152" t="str">
        <f>VLOOKUP(A2152,Planilha2!$A$2:$D$5566,4,0)</f>
        <v>MG</v>
      </c>
    </row>
    <row r="2153" spans="1:3" x14ac:dyDescent="0.35">
      <c r="A2153">
        <v>313925</v>
      </c>
      <c r="B2153" t="str">
        <f>VLOOKUP(A2153,Planilha2!$A$2:$C$5566,3,0)</f>
        <v>MAMONAS</v>
      </c>
      <c r="C2153" t="str">
        <f>VLOOKUP(A2153,Planilha2!$A$2:$D$5566,4,0)</f>
        <v>MG</v>
      </c>
    </row>
    <row r="2154" spans="1:3" x14ac:dyDescent="0.35">
      <c r="A2154">
        <v>314290</v>
      </c>
      <c r="B2154" t="str">
        <f>VLOOKUP(A2154,Planilha2!$A$2:$C$5566,3,0)</f>
        <v>MONTE AZUL</v>
      </c>
      <c r="C2154" t="str">
        <f>VLOOKUP(A2154,Planilha2!$A$2:$D$5566,4,0)</f>
        <v>MG</v>
      </c>
    </row>
    <row r="2155" spans="1:3" x14ac:dyDescent="0.35">
      <c r="A2155">
        <v>313930</v>
      </c>
      <c r="B2155" t="str">
        <f>VLOOKUP(A2155,Planilha2!$A$2:$C$5566,3,0)</f>
        <v>MANGA</v>
      </c>
      <c r="C2155" t="str">
        <f>VLOOKUP(A2155,Planilha2!$A$2:$D$5566,4,0)</f>
        <v>MG</v>
      </c>
    </row>
    <row r="2156" spans="1:3" x14ac:dyDescent="0.35">
      <c r="A2156">
        <v>313865</v>
      </c>
      <c r="B2156" t="str">
        <f>VLOOKUP(A2156,Planilha2!$A$2:$C$5566,3,0)</f>
        <v>LONTRA</v>
      </c>
      <c r="C2156" t="str">
        <f>VLOOKUP(A2156,Planilha2!$A$2:$D$5566,4,0)</f>
        <v>MG</v>
      </c>
    </row>
    <row r="2157" spans="1:3" x14ac:dyDescent="0.35">
      <c r="A2157">
        <v>317170</v>
      </c>
      <c r="B2157" t="str">
        <f>VLOOKUP(A2157,Planilha2!$A$2:$C$5566,3,0)</f>
        <v>VIRGÍNIA</v>
      </c>
      <c r="C2157" t="str">
        <f>VLOOKUP(A2157,Planilha2!$A$2:$D$5566,4,0)</f>
        <v>MG</v>
      </c>
    </row>
    <row r="2158" spans="1:3" x14ac:dyDescent="0.35">
      <c r="A2158">
        <v>311410</v>
      </c>
      <c r="B2158" t="str">
        <f>VLOOKUP(A2158,Planilha2!$A$2:$C$5566,3,0)</f>
        <v>CARMO DE MINAS</v>
      </c>
      <c r="C2158" t="str">
        <f>VLOOKUP(A2158,Planilha2!$A$2:$D$5566,4,0)</f>
        <v>MG</v>
      </c>
    </row>
    <row r="2159" spans="1:3" x14ac:dyDescent="0.35">
      <c r="A2159">
        <v>313270</v>
      </c>
      <c r="B2159" t="str">
        <f>VLOOKUP(A2159,Planilha2!$A$2:$C$5566,3,0)</f>
        <v>ITAMBACURI</v>
      </c>
      <c r="C2159" t="str">
        <f>VLOOKUP(A2159,Planilha2!$A$2:$D$5566,4,0)</f>
        <v>MG</v>
      </c>
    </row>
    <row r="2160" spans="1:3" x14ac:dyDescent="0.35">
      <c r="A2160">
        <v>313700</v>
      </c>
      <c r="B2160" t="str">
        <f>VLOOKUP(A2160,Planilha2!$A$2:$C$5566,3,0)</f>
        <v>LADAINHA</v>
      </c>
      <c r="C2160" t="str">
        <f>VLOOKUP(A2160,Planilha2!$A$2:$D$5566,4,0)</f>
        <v>MG</v>
      </c>
    </row>
    <row r="2161" spans="1:3" x14ac:dyDescent="0.35">
      <c r="A2161">
        <v>311370</v>
      </c>
      <c r="B2161" t="str">
        <f>VLOOKUP(A2161,Planilha2!$A$2:$C$5566,3,0)</f>
        <v>CARLOS CHAGAS</v>
      </c>
      <c r="C2161" t="str">
        <f>VLOOKUP(A2161,Planilha2!$A$2:$D$5566,4,0)</f>
        <v>MG</v>
      </c>
    </row>
    <row r="2162" spans="1:3" x14ac:dyDescent="0.35">
      <c r="A2162">
        <v>313770</v>
      </c>
      <c r="B2162" t="str">
        <f>VLOOKUP(A2162,Planilha2!$A$2:$C$5566,3,0)</f>
        <v>LAJINHA</v>
      </c>
      <c r="C2162" t="str">
        <f>VLOOKUP(A2162,Planilha2!$A$2:$D$5566,4,0)</f>
        <v>MG</v>
      </c>
    </row>
    <row r="2163" spans="1:3" x14ac:dyDescent="0.35">
      <c r="A2163">
        <v>316760</v>
      </c>
      <c r="B2163" t="str">
        <f>VLOOKUP(A2163,Planilha2!$A$2:$C$5566,3,0)</f>
        <v>SIMONÉSIA</v>
      </c>
      <c r="C2163" t="str">
        <f>VLOOKUP(A2163,Planilha2!$A$2:$D$5566,4,0)</f>
        <v>MG</v>
      </c>
    </row>
    <row r="2164" spans="1:3" x14ac:dyDescent="0.35">
      <c r="A2164">
        <v>311320</v>
      </c>
      <c r="B2164" t="str">
        <f>VLOOKUP(A2164,Planilha2!$A$2:$C$5566,3,0)</f>
        <v>CARANDAÍ</v>
      </c>
      <c r="C2164" t="str">
        <f>VLOOKUP(A2164,Planilha2!$A$2:$D$5566,4,0)</f>
        <v>MG</v>
      </c>
    </row>
    <row r="2165" spans="1:3" x14ac:dyDescent="0.35">
      <c r="A2165">
        <v>312390</v>
      </c>
      <c r="B2165" t="str">
        <f>VLOOKUP(A2165,Planilha2!$A$2:$C$5566,3,0)</f>
        <v>ENTRE RIOS DE MINAS</v>
      </c>
      <c r="C2165" t="str">
        <f>VLOOKUP(A2165,Planilha2!$A$2:$D$5566,4,0)</f>
        <v>MG</v>
      </c>
    </row>
    <row r="2166" spans="1:3" x14ac:dyDescent="0.35">
      <c r="A2166">
        <v>311230</v>
      </c>
      <c r="B2166" t="str">
        <f>VLOOKUP(A2166,Planilha2!$A$2:$C$5566,3,0)</f>
        <v>CAPELINHA</v>
      </c>
      <c r="C2166" t="str">
        <f>VLOOKUP(A2166,Planilha2!$A$2:$D$5566,4,0)</f>
        <v>MG</v>
      </c>
    </row>
    <row r="2167" spans="1:3" x14ac:dyDescent="0.35">
      <c r="A2167">
        <v>316710</v>
      </c>
      <c r="B2167" t="str">
        <f>VLOOKUP(A2167,Planilha2!$A$2:$C$5566,3,0)</f>
        <v>SERRO</v>
      </c>
      <c r="C2167" t="str">
        <f>VLOOKUP(A2167,Planilha2!$A$2:$D$5566,4,0)</f>
        <v>MG</v>
      </c>
    </row>
    <row r="2168" spans="1:3" x14ac:dyDescent="0.35">
      <c r="A2168">
        <v>314250</v>
      </c>
      <c r="B2168" t="str">
        <f>VLOOKUP(A2168,Planilha2!$A$2:$C$5566,3,0)</f>
        <v>MONJOLOS</v>
      </c>
      <c r="C2168" t="str">
        <f>VLOOKUP(A2168,Planilha2!$A$2:$D$5566,4,0)</f>
        <v>MG</v>
      </c>
    </row>
    <row r="2169" spans="1:3" x14ac:dyDescent="0.35">
      <c r="A2169">
        <v>315340</v>
      </c>
      <c r="B2169" t="str">
        <f>VLOOKUP(A2169,Planilha2!$A$2:$C$5566,3,0)</f>
        <v>PRESIDENTE OLEGÁRIO</v>
      </c>
      <c r="C2169" t="str">
        <f>VLOOKUP(A2169,Planilha2!$A$2:$D$5566,4,0)</f>
        <v>MG</v>
      </c>
    </row>
    <row r="2170" spans="1:3" x14ac:dyDescent="0.35">
      <c r="A2170">
        <v>316210</v>
      </c>
      <c r="B2170" t="str">
        <f>VLOOKUP(A2170,Planilha2!$A$2:$C$5566,3,0)</f>
        <v>SÃO GOTARDO</v>
      </c>
      <c r="C2170" t="str">
        <f>VLOOKUP(A2170,Planilha2!$A$2:$D$5566,4,0)</f>
        <v>MG</v>
      </c>
    </row>
    <row r="2171" spans="1:3" x14ac:dyDescent="0.35">
      <c r="A2171">
        <v>317150</v>
      </c>
      <c r="B2171" t="str">
        <f>VLOOKUP(A2171,Planilha2!$A$2:$C$5566,3,0)</f>
        <v>MATHIAS LOBATO</v>
      </c>
      <c r="C2171" t="str">
        <f>VLOOKUP(A2171,Planilha2!$A$2:$D$5566,4,0)</f>
        <v>MG</v>
      </c>
    </row>
    <row r="2172" spans="1:3" x14ac:dyDescent="0.35">
      <c r="A2172">
        <v>315740</v>
      </c>
      <c r="B2172" t="str">
        <f>VLOOKUP(A2172,Planilha2!$A$2:$C$5566,3,0)</f>
        <v>SANTA CRUZ DO ESCALVADO</v>
      </c>
      <c r="C2172" t="str">
        <f>VLOOKUP(A2172,Planilha2!$A$2:$D$5566,4,0)</f>
        <v>MG</v>
      </c>
    </row>
    <row r="2173" spans="1:3" x14ac:dyDescent="0.35">
      <c r="A2173">
        <v>312330</v>
      </c>
      <c r="B2173" t="str">
        <f>VLOOKUP(A2173,Planilha2!$A$2:$C$5566,3,0)</f>
        <v>DORES DO TURVO</v>
      </c>
      <c r="C2173" t="str">
        <f>VLOOKUP(A2173,Planilha2!$A$2:$D$5566,4,0)</f>
        <v>MG</v>
      </c>
    </row>
    <row r="2174" spans="1:3" x14ac:dyDescent="0.35">
      <c r="A2174">
        <v>314470</v>
      </c>
      <c r="B2174" t="str">
        <f>VLOOKUP(A2174,Planilha2!$A$2:$C$5566,3,0)</f>
        <v>NOVA ERA</v>
      </c>
      <c r="C2174" t="str">
        <f>VLOOKUP(A2174,Planilha2!$A$2:$D$5566,4,0)</f>
        <v>MG</v>
      </c>
    </row>
    <row r="2175" spans="1:3" x14ac:dyDescent="0.35">
      <c r="A2175">
        <v>314310</v>
      </c>
      <c r="B2175" t="str">
        <f>VLOOKUP(A2175,Planilha2!$A$2:$C$5566,3,0)</f>
        <v>MONTE CARMELO</v>
      </c>
      <c r="C2175" t="str">
        <f>VLOOKUP(A2175,Planilha2!$A$2:$D$5566,4,0)</f>
        <v>MG</v>
      </c>
    </row>
    <row r="2176" spans="1:3" x14ac:dyDescent="0.35">
      <c r="A2176">
        <v>313070</v>
      </c>
      <c r="B2176" t="str">
        <f>VLOOKUP(A2176,Planilha2!$A$2:$C$5566,3,0)</f>
        <v>INDIANÓPOLIS</v>
      </c>
      <c r="C2176" t="str">
        <f>VLOOKUP(A2176,Planilha2!$A$2:$D$5566,4,0)</f>
        <v>MG</v>
      </c>
    </row>
    <row r="2177" spans="1:3" x14ac:dyDescent="0.35">
      <c r="A2177">
        <v>313600</v>
      </c>
      <c r="B2177" t="str">
        <f>VLOOKUP(A2177,Planilha2!$A$2:$C$5566,3,0)</f>
        <v>JOAÍMA</v>
      </c>
      <c r="C2177" t="str">
        <f>VLOOKUP(A2177,Planilha2!$A$2:$D$5566,4,0)</f>
        <v>MG</v>
      </c>
    </row>
    <row r="2178" spans="1:3" x14ac:dyDescent="0.35">
      <c r="A2178">
        <v>312560</v>
      </c>
      <c r="B2178" t="str">
        <f>VLOOKUP(A2178,Planilha2!$A$2:$C$5566,3,0)</f>
        <v>FELISBURGO</v>
      </c>
      <c r="C2178" t="str">
        <f>VLOOKUP(A2178,Planilha2!$A$2:$D$5566,4,0)</f>
        <v>MG</v>
      </c>
    </row>
    <row r="2179" spans="1:3" x14ac:dyDescent="0.35">
      <c r="A2179">
        <v>315660</v>
      </c>
      <c r="B2179" t="str">
        <f>VLOOKUP(A2179,Planilha2!$A$2:$C$5566,3,0)</f>
        <v>RUBIM</v>
      </c>
      <c r="C2179" t="str">
        <f>VLOOKUP(A2179,Planilha2!$A$2:$D$5566,4,0)</f>
        <v>MG</v>
      </c>
    </row>
    <row r="2180" spans="1:3" x14ac:dyDescent="0.35">
      <c r="A2180">
        <v>310170</v>
      </c>
      <c r="B2180" t="str">
        <f>VLOOKUP(A2180,Planilha2!$A$2:$C$5566,3,0)</f>
        <v>ALMENARA</v>
      </c>
      <c r="C2180" t="str">
        <f>VLOOKUP(A2180,Planilha2!$A$2:$D$5566,4,0)</f>
        <v>MG</v>
      </c>
    </row>
    <row r="2181" spans="1:3" x14ac:dyDescent="0.35">
      <c r="A2181">
        <v>315690</v>
      </c>
      <c r="B2181" t="str">
        <f>VLOOKUP(A2181,Planilha2!$A$2:$C$5566,3,0)</f>
        <v>SACRAMENTO</v>
      </c>
      <c r="C2181" t="str">
        <f>VLOOKUP(A2181,Planilha2!$A$2:$D$5566,4,0)</f>
        <v>MG</v>
      </c>
    </row>
    <row r="2182" spans="1:3" x14ac:dyDescent="0.35">
      <c r="A2182">
        <v>311820</v>
      </c>
      <c r="B2182" t="str">
        <f>VLOOKUP(A2182,Planilha2!$A$2:$C$5566,3,0)</f>
        <v>CONQUISTA</v>
      </c>
      <c r="C2182" t="str">
        <f>VLOOKUP(A2182,Planilha2!$A$2:$D$5566,4,0)</f>
        <v>MG</v>
      </c>
    </row>
    <row r="2183" spans="1:3" x14ac:dyDescent="0.35">
      <c r="A2183">
        <v>312710</v>
      </c>
      <c r="B2183" t="str">
        <f>VLOOKUP(A2183,Planilha2!$A$2:$C$5566,3,0)</f>
        <v>FRUTAL</v>
      </c>
      <c r="C2183" t="str">
        <f>VLOOKUP(A2183,Planilha2!$A$2:$D$5566,4,0)</f>
        <v>MG</v>
      </c>
    </row>
    <row r="2184" spans="1:3" x14ac:dyDescent="0.35">
      <c r="A2184">
        <v>317043</v>
      </c>
      <c r="B2184" t="str">
        <f>VLOOKUP(A2184,Planilha2!$A$2:$C$5566,3,0)</f>
        <v>UNIÃO DE MINAS</v>
      </c>
      <c r="C2184" t="str">
        <f>VLOOKUP(A2184,Planilha2!$A$2:$D$5566,4,0)</f>
        <v>MG</v>
      </c>
    </row>
    <row r="2185" spans="1:3" x14ac:dyDescent="0.35">
      <c r="A2185">
        <v>313055</v>
      </c>
      <c r="B2185" t="str">
        <f>VLOOKUP(A2185,Planilha2!$A$2:$C$5566,3,0)</f>
        <v>IMBÉ DE MINAS</v>
      </c>
      <c r="C2185" t="str">
        <f>VLOOKUP(A2185,Planilha2!$A$2:$D$5566,4,0)</f>
        <v>MG</v>
      </c>
    </row>
    <row r="2186" spans="1:3" x14ac:dyDescent="0.35">
      <c r="A2186">
        <v>314670</v>
      </c>
      <c r="B2186" t="str">
        <f>VLOOKUP(A2186,Planilha2!$A$2:$C$5566,3,0)</f>
        <v>PALMA</v>
      </c>
      <c r="C2186" t="str">
        <f>VLOOKUP(A2186,Planilha2!$A$2:$D$5566,4,0)</f>
        <v>MG</v>
      </c>
    </row>
    <row r="2187" spans="1:3" x14ac:dyDescent="0.35">
      <c r="A2187">
        <v>310440</v>
      </c>
      <c r="B2187" t="str">
        <f>VLOOKUP(A2187,Planilha2!$A$2:$C$5566,3,0)</f>
        <v>ARGIRITA</v>
      </c>
      <c r="C2187" t="str">
        <f>VLOOKUP(A2187,Planilha2!$A$2:$D$5566,4,0)</f>
        <v>MG</v>
      </c>
    </row>
    <row r="2188" spans="1:3" x14ac:dyDescent="0.35">
      <c r="A2188">
        <v>313535</v>
      </c>
      <c r="B2188" t="str">
        <f>VLOOKUP(A2188,Planilha2!$A$2:$C$5566,3,0)</f>
        <v>JAPONVAR</v>
      </c>
      <c r="C2188" t="str">
        <f>VLOOKUP(A2188,Planilha2!$A$2:$D$5566,4,0)</f>
        <v>MG</v>
      </c>
    </row>
    <row r="2189" spans="1:3" x14ac:dyDescent="0.35">
      <c r="A2189">
        <v>317090</v>
      </c>
      <c r="B2189" t="str">
        <f>VLOOKUP(A2189,Planilha2!$A$2:$C$5566,3,0)</f>
        <v>VARZELÂNDIA</v>
      </c>
      <c r="C2189" t="str">
        <f>VLOOKUP(A2189,Planilha2!$A$2:$D$5566,4,0)</f>
        <v>MG</v>
      </c>
    </row>
    <row r="2190" spans="1:3" x14ac:dyDescent="0.35">
      <c r="A2190">
        <v>311615</v>
      </c>
      <c r="B2190" t="str">
        <f>VLOOKUP(A2190,Planilha2!$A$2:$C$5566,3,0)</f>
        <v>CHAPADA GAÚCHA</v>
      </c>
      <c r="C2190" t="str">
        <f>VLOOKUP(A2190,Planilha2!$A$2:$D$5566,4,0)</f>
        <v>MG</v>
      </c>
    </row>
    <row r="2191" spans="1:3" x14ac:dyDescent="0.35">
      <c r="A2191">
        <v>316292</v>
      </c>
      <c r="B2191" t="str">
        <f>VLOOKUP(A2191,Planilha2!$A$2:$C$5566,3,0)</f>
        <v>SÃO JOAQUIM DE BICAS</v>
      </c>
      <c r="C2191" t="str">
        <f>VLOOKUP(A2191,Planilha2!$A$2:$D$5566,4,0)</f>
        <v>MG</v>
      </c>
    </row>
    <row r="2192" spans="1:3" x14ac:dyDescent="0.35">
      <c r="A2192">
        <v>314610</v>
      </c>
      <c r="B2192" t="str">
        <f>VLOOKUP(A2192,Planilha2!$A$2:$C$5566,3,0)</f>
        <v>OURO PRETO</v>
      </c>
      <c r="C2192" t="str">
        <f>VLOOKUP(A2192,Planilha2!$A$2:$D$5566,4,0)</f>
        <v>MG</v>
      </c>
    </row>
    <row r="2193" spans="1:3" x14ac:dyDescent="0.35">
      <c r="A2193">
        <v>315600</v>
      </c>
      <c r="B2193" t="str">
        <f>VLOOKUP(A2193,Planilha2!$A$2:$C$5566,3,0)</f>
        <v>RIO VERMELHO</v>
      </c>
      <c r="C2193" t="str">
        <f>VLOOKUP(A2193,Planilha2!$A$2:$D$5566,4,0)</f>
        <v>MG</v>
      </c>
    </row>
    <row r="2194" spans="1:3" x14ac:dyDescent="0.35">
      <c r="A2194">
        <v>314110</v>
      </c>
      <c r="B2194" t="str">
        <f>VLOOKUP(A2194,Planilha2!$A$2:$C$5566,3,0)</f>
        <v>MATOZINHOS</v>
      </c>
      <c r="C2194" t="str">
        <f>VLOOKUP(A2194,Planilha2!$A$2:$D$5566,4,0)</f>
        <v>MG</v>
      </c>
    </row>
    <row r="2195" spans="1:3" x14ac:dyDescent="0.35">
      <c r="A2195">
        <v>313400</v>
      </c>
      <c r="B2195" t="str">
        <f>VLOOKUP(A2195,Planilha2!$A$2:$C$5566,3,0)</f>
        <v>ITINGA</v>
      </c>
      <c r="C2195" t="str">
        <f>VLOOKUP(A2195,Planilha2!$A$2:$D$5566,4,0)</f>
        <v>MG</v>
      </c>
    </row>
    <row r="2196" spans="1:3" x14ac:dyDescent="0.35">
      <c r="A2196">
        <v>313780</v>
      </c>
      <c r="B2196" t="str">
        <f>VLOOKUP(A2196,Planilha2!$A$2:$C$5566,3,0)</f>
        <v>LAMBARI</v>
      </c>
      <c r="C2196" t="str">
        <f>VLOOKUP(A2196,Planilha2!$A$2:$D$5566,4,0)</f>
        <v>MG</v>
      </c>
    </row>
    <row r="2197" spans="1:3" x14ac:dyDescent="0.35">
      <c r="A2197">
        <v>313240</v>
      </c>
      <c r="B2197" t="str">
        <f>VLOOKUP(A2197,Planilha2!$A$2:$C$5566,3,0)</f>
        <v>ITAJUBÁ</v>
      </c>
      <c r="C2197" t="str">
        <f>VLOOKUP(A2197,Planilha2!$A$2:$D$5566,4,0)</f>
        <v>MG</v>
      </c>
    </row>
    <row r="2198" spans="1:3" x14ac:dyDescent="0.35">
      <c r="A2198">
        <v>311850</v>
      </c>
      <c r="B2198" t="str">
        <f>VLOOKUP(A2198,Planilha2!$A$2:$C$5566,3,0)</f>
        <v>CONSOLAÇÃO</v>
      </c>
      <c r="C2198" t="str">
        <f>VLOOKUP(A2198,Planilha2!$A$2:$D$5566,4,0)</f>
        <v>MG</v>
      </c>
    </row>
    <row r="2199" spans="1:3" x14ac:dyDescent="0.35">
      <c r="A2199">
        <v>314600</v>
      </c>
      <c r="B2199" t="str">
        <f>VLOOKUP(A2199,Planilha2!$A$2:$C$5566,3,0)</f>
        <v>OURO FINO</v>
      </c>
      <c r="C2199" t="str">
        <f>VLOOKUP(A2199,Planilha2!$A$2:$D$5566,4,0)</f>
        <v>MG</v>
      </c>
    </row>
    <row r="2200" spans="1:3" x14ac:dyDescent="0.35">
      <c r="A2200">
        <v>310830</v>
      </c>
      <c r="B2200" t="str">
        <f>VLOOKUP(A2200,Planilha2!$A$2:$C$5566,3,0)</f>
        <v>BORDA DA MATA</v>
      </c>
      <c r="C2200" t="str">
        <f>VLOOKUP(A2200,Planilha2!$A$2:$D$5566,4,0)</f>
        <v>MG</v>
      </c>
    </row>
    <row r="2201" spans="1:3" x14ac:dyDescent="0.35">
      <c r="A2201">
        <v>316980</v>
      </c>
      <c r="B2201" t="str">
        <f>VLOOKUP(A2201,Planilha2!$A$2:$C$5566,3,0)</f>
        <v>TURVOLÂNDIA</v>
      </c>
      <c r="C2201" t="str">
        <f>VLOOKUP(A2201,Planilha2!$A$2:$D$5566,4,0)</f>
        <v>MG</v>
      </c>
    </row>
    <row r="2202" spans="1:3" x14ac:dyDescent="0.35">
      <c r="A2202">
        <v>316910</v>
      </c>
      <c r="B2202" t="str">
        <f>VLOOKUP(A2202,Planilha2!$A$2:$C$5566,3,0)</f>
        <v>TOLEDO</v>
      </c>
      <c r="C2202" t="str">
        <f>VLOOKUP(A2202,Planilha2!$A$2:$D$5566,4,0)</f>
        <v>MG</v>
      </c>
    </row>
    <row r="2203" spans="1:3" x14ac:dyDescent="0.35">
      <c r="A2203">
        <v>310490</v>
      </c>
      <c r="B2203" t="str">
        <f>VLOOKUP(A2203,Planilha2!$A$2:$C$5566,3,0)</f>
        <v>BAEPENDI</v>
      </c>
      <c r="C2203" t="str">
        <f>VLOOKUP(A2203,Planilha2!$A$2:$D$5566,4,0)</f>
        <v>MG</v>
      </c>
    </row>
    <row r="2204" spans="1:3" x14ac:dyDescent="0.35">
      <c r="A2204">
        <v>311770</v>
      </c>
      <c r="B2204" t="str">
        <f>VLOOKUP(A2204,Planilha2!$A$2:$C$5566,3,0)</f>
        <v>CONCEIÇÃO DO RIO VERDE</v>
      </c>
      <c r="C2204" t="str">
        <f>VLOOKUP(A2204,Planilha2!$A$2:$D$5566,4,0)</f>
        <v>MG</v>
      </c>
    </row>
    <row r="2205" spans="1:3" x14ac:dyDescent="0.35">
      <c r="A2205">
        <v>313040</v>
      </c>
      <c r="B2205" t="str">
        <f>VLOOKUP(A2205,Planilha2!$A$2:$C$5566,3,0)</f>
        <v>IJACI</v>
      </c>
      <c r="C2205" t="str">
        <f>VLOOKUP(A2205,Planilha2!$A$2:$D$5566,4,0)</f>
        <v>MG</v>
      </c>
    </row>
    <row r="2206" spans="1:3" x14ac:dyDescent="0.35">
      <c r="A2206">
        <v>311120</v>
      </c>
      <c r="B2206" t="str">
        <f>VLOOKUP(A2206,Planilha2!$A$2:$C$5566,3,0)</f>
        <v>CAMPO BELO</v>
      </c>
      <c r="C2206" t="str">
        <f>VLOOKUP(A2206,Planilha2!$A$2:$D$5566,4,0)</f>
        <v>MG</v>
      </c>
    </row>
    <row r="2207" spans="1:3" x14ac:dyDescent="0.35">
      <c r="A2207">
        <v>316930</v>
      </c>
      <c r="B2207" t="str">
        <f>VLOOKUP(A2207,Planilha2!$A$2:$C$5566,3,0)</f>
        <v>TRÊS CORAÇÕES</v>
      </c>
      <c r="C2207" t="str">
        <f>VLOOKUP(A2207,Planilha2!$A$2:$D$5566,4,0)</f>
        <v>MG</v>
      </c>
    </row>
    <row r="2208" spans="1:3" x14ac:dyDescent="0.35">
      <c r="A2208">
        <v>312370</v>
      </c>
      <c r="B2208" t="str">
        <f>VLOOKUP(A2208,Planilha2!$A$2:$C$5566,3,0)</f>
        <v>ENGENHEIRO CALDAS</v>
      </c>
      <c r="C2208" t="str">
        <f>VLOOKUP(A2208,Planilha2!$A$2:$D$5566,4,0)</f>
        <v>MG</v>
      </c>
    </row>
    <row r="2209" spans="1:3" x14ac:dyDescent="0.35">
      <c r="A2209">
        <v>316950</v>
      </c>
      <c r="B2209" t="str">
        <f>VLOOKUP(A2209,Planilha2!$A$2:$C$5566,3,0)</f>
        <v>TUMIRITINGA</v>
      </c>
      <c r="C2209" t="str">
        <f>VLOOKUP(A2209,Planilha2!$A$2:$D$5566,4,0)</f>
        <v>MG</v>
      </c>
    </row>
    <row r="2210" spans="1:3" x14ac:dyDescent="0.35">
      <c r="A2210">
        <v>311040</v>
      </c>
      <c r="B2210" t="str">
        <f>VLOOKUP(A2210,Planilha2!$A$2:$C$5566,3,0)</f>
        <v>CAMACHO</v>
      </c>
      <c r="C2210" t="str">
        <f>VLOOKUP(A2210,Planilha2!$A$2:$D$5566,4,0)</f>
        <v>MG</v>
      </c>
    </row>
    <row r="2211" spans="1:3" x14ac:dyDescent="0.35">
      <c r="A2211">
        <v>315990</v>
      </c>
      <c r="B2211" t="str">
        <f>VLOOKUP(A2211,Planilha2!$A$2:$C$5566,3,0)</f>
        <v>SANTO ANTÔNIO DO AMPARO</v>
      </c>
      <c r="C2211" t="str">
        <f>VLOOKUP(A2211,Planilha2!$A$2:$D$5566,4,0)</f>
        <v>MG</v>
      </c>
    </row>
    <row r="2212" spans="1:3" x14ac:dyDescent="0.35">
      <c r="A2212">
        <v>314560</v>
      </c>
      <c r="B2212" t="str">
        <f>VLOOKUP(A2212,Planilha2!$A$2:$C$5566,3,0)</f>
        <v>OLIVEIRA</v>
      </c>
      <c r="C2212" t="str">
        <f>VLOOKUP(A2212,Planilha2!$A$2:$D$5566,4,0)</f>
        <v>MG</v>
      </c>
    </row>
    <row r="2213" spans="1:3" x14ac:dyDescent="0.35">
      <c r="A2213">
        <v>316120</v>
      </c>
      <c r="B2213" t="str">
        <f>VLOOKUP(A2213,Planilha2!$A$2:$C$5566,3,0)</f>
        <v>SÃO FRANCISCO DE PAULA</v>
      </c>
      <c r="C2213" t="str">
        <f>VLOOKUP(A2213,Planilha2!$A$2:$D$5566,4,0)</f>
        <v>MG</v>
      </c>
    </row>
    <row r="2214" spans="1:3" x14ac:dyDescent="0.35">
      <c r="A2214">
        <v>310510</v>
      </c>
      <c r="B2214" t="str">
        <f>VLOOKUP(A2214,Planilha2!$A$2:$C$5566,3,0)</f>
        <v>BAMBUÍ</v>
      </c>
      <c r="C2214" t="str">
        <f>VLOOKUP(A2214,Planilha2!$A$2:$D$5566,4,0)</f>
        <v>MG</v>
      </c>
    </row>
    <row r="2215" spans="1:3" x14ac:dyDescent="0.35">
      <c r="A2215">
        <v>313830</v>
      </c>
      <c r="B2215" t="str">
        <f>VLOOKUP(A2215,Planilha2!$A$2:$C$5566,3,0)</f>
        <v>LEANDRO FERREIRA</v>
      </c>
      <c r="C2215" t="str">
        <f>VLOOKUP(A2215,Planilha2!$A$2:$D$5566,4,0)</f>
        <v>MG</v>
      </c>
    </row>
    <row r="2216" spans="1:3" x14ac:dyDescent="0.35">
      <c r="A2216">
        <v>311190</v>
      </c>
      <c r="B2216" t="str">
        <f>VLOOKUP(A2216,Planilha2!$A$2:$C$5566,3,0)</f>
        <v>CANA VERDE</v>
      </c>
      <c r="C2216" t="str">
        <f>VLOOKUP(A2216,Planilha2!$A$2:$D$5566,4,0)</f>
        <v>MG</v>
      </c>
    </row>
    <row r="2217" spans="1:3" x14ac:dyDescent="0.35">
      <c r="A2217">
        <v>314240</v>
      </c>
      <c r="B2217" t="str">
        <f>VLOOKUP(A2217,Planilha2!$A$2:$C$5566,3,0)</f>
        <v>MOEMA</v>
      </c>
      <c r="C2217" t="str">
        <f>VLOOKUP(A2217,Planilha2!$A$2:$D$5566,4,0)</f>
        <v>MG</v>
      </c>
    </row>
    <row r="2218" spans="1:3" x14ac:dyDescent="0.35">
      <c r="A2218">
        <v>316960</v>
      </c>
      <c r="B2218" t="str">
        <f>VLOOKUP(A2218,Planilha2!$A$2:$C$5566,3,0)</f>
        <v>TUPACIGUARA</v>
      </c>
      <c r="C2218" t="str">
        <f>VLOOKUP(A2218,Planilha2!$A$2:$D$5566,4,0)</f>
        <v>MG</v>
      </c>
    </row>
    <row r="2219" spans="1:3" x14ac:dyDescent="0.35">
      <c r="A2219">
        <v>317075</v>
      </c>
      <c r="B2219" t="str">
        <f>VLOOKUP(A2219,Planilha2!$A$2:$C$5566,3,0)</f>
        <v>VARJÃO DE MINAS</v>
      </c>
      <c r="C2219" t="str">
        <f>VLOOKUP(A2219,Planilha2!$A$2:$D$5566,4,0)</f>
        <v>MG</v>
      </c>
    </row>
    <row r="2220" spans="1:3" x14ac:dyDescent="0.35">
      <c r="A2220">
        <v>315080</v>
      </c>
      <c r="B2220" t="str">
        <f>VLOOKUP(A2220,Planilha2!$A$2:$C$5566,3,0)</f>
        <v>PIRANGA</v>
      </c>
      <c r="C2220" t="str">
        <f>VLOOKUP(A2220,Planilha2!$A$2:$D$5566,4,0)</f>
        <v>MG</v>
      </c>
    </row>
    <row r="2221" spans="1:3" x14ac:dyDescent="0.35">
      <c r="A2221">
        <v>310210</v>
      </c>
      <c r="B2221" t="str">
        <f>VLOOKUP(A2221,Planilha2!$A$2:$C$5566,3,0)</f>
        <v>ALTO RIO DOCE</v>
      </c>
      <c r="C2221" t="str">
        <f>VLOOKUP(A2221,Planilha2!$A$2:$D$5566,4,0)</f>
        <v>MG</v>
      </c>
    </row>
    <row r="2222" spans="1:3" x14ac:dyDescent="0.35">
      <c r="A2222">
        <v>315400</v>
      </c>
      <c r="B2222" t="str">
        <f>VLOOKUP(A2222,Planilha2!$A$2:$C$5566,3,0)</f>
        <v>RAUL SOARES</v>
      </c>
      <c r="C2222" t="str">
        <f>VLOOKUP(A2222,Planilha2!$A$2:$D$5566,4,0)</f>
        <v>MG</v>
      </c>
    </row>
    <row r="2223" spans="1:3" x14ac:dyDescent="0.35">
      <c r="A2223">
        <v>313280</v>
      </c>
      <c r="B2223" t="str">
        <f>VLOOKUP(A2223,Planilha2!$A$2:$C$5566,3,0)</f>
        <v>ITAMBÉ DO MATO DENTRO</v>
      </c>
      <c r="C2223" t="str">
        <f>VLOOKUP(A2223,Planilha2!$A$2:$D$5566,4,0)</f>
        <v>MG</v>
      </c>
    </row>
    <row r="2224" spans="1:3" x14ac:dyDescent="0.35">
      <c r="A2224">
        <v>312310</v>
      </c>
      <c r="B2224" t="str">
        <f>VLOOKUP(A2224,Planilha2!$A$2:$C$5566,3,0)</f>
        <v>DORES DE GUANHÃES</v>
      </c>
      <c r="C2224" t="str">
        <f>VLOOKUP(A2224,Planilha2!$A$2:$D$5566,4,0)</f>
        <v>MG</v>
      </c>
    </row>
    <row r="2225" spans="1:3" x14ac:dyDescent="0.35">
      <c r="A2225">
        <v>313620</v>
      </c>
      <c r="B2225" t="str">
        <f>VLOOKUP(A2225,Planilha2!$A$2:$C$5566,3,0)</f>
        <v>JOÃO MONLEVADE</v>
      </c>
      <c r="C2225" t="str">
        <f>VLOOKUP(A2225,Planilha2!$A$2:$D$5566,4,0)</f>
        <v>MG</v>
      </c>
    </row>
    <row r="2226" spans="1:3" x14ac:dyDescent="0.35">
      <c r="A2226">
        <v>316100</v>
      </c>
      <c r="B2226" t="str">
        <f>VLOOKUP(A2226,Planilha2!$A$2:$C$5566,3,0)</f>
        <v>SÃO DOMINGOS DO PRATA</v>
      </c>
      <c r="C2226" t="str">
        <f>VLOOKUP(A2226,Planilha2!$A$2:$D$5566,4,0)</f>
        <v>MG</v>
      </c>
    </row>
    <row r="2227" spans="1:3" x14ac:dyDescent="0.35">
      <c r="A2227">
        <v>316935</v>
      </c>
      <c r="B2227" t="str">
        <f>VLOOKUP(A2227,Planilha2!$A$2:$C$5566,3,0)</f>
        <v>TRÊS MARIAS</v>
      </c>
      <c r="C2227" t="str">
        <f>VLOOKUP(A2227,Planilha2!$A$2:$D$5566,4,0)</f>
        <v>MG</v>
      </c>
    </row>
    <row r="2228" spans="1:3" x14ac:dyDescent="0.35">
      <c r="A2228">
        <v>312870</v>
      </c>
      <c r="B2228" t="str">
        <f>VLOOKUP(A2228,Planilha2!$A$2:$C$5566,3,0)</f>
        <v>GUAXUPÉ</v>
      </c>
      <c r="C2228" t="str">
        <f>VLOOKUP(A2228,Planilha2!$A$2:$D$5566,4,0)</f>
        <v>MG</v>
      </c>
    </row>
    <row r="2229" spans="1:3" x14ac:dyDescent="0.35">
      <c r="A2229">
        <v>314720</v>
      </c>
      <c r="B2229" t="str">
        <f>VLOOKUP(A2229,Planilha2!$A$2:$C$5566,3,0)</f>
        <v>PARAGUAÇU</v>
      </c>
      <c r="C2229" t="str">
        <f>VLOOKUP(A2229,Planilha2!$A$2:$D$5566,4,0)</f>
        <v>MG</v>
      </c>
    </row>
    <row r="2230" spans="1:3" x14ac:dyDescent="0.35">
      <c r="A2230">
        <v>314300</v>
      </c>
      <c r="B2230" t="str">
        <f>VLOOKUP(A2230,Planilha2!$A$2:$C$5566,3,0)</f>
        <v>MONTE BELO</v>
      </c>
      <c r="C2230" t="str">
        <f>VLOOKUP(A2230,Planilha2!$A$2:$D$5566,4,0)</f>
        <v>MG</v>
      </c>
    </row>
    <row r="2231" spans="1:3" x14ac:dyDescent="0.35">
      <c r="A2231">
        <v>311710</v>
      </c>
      <c r="B2231" t="str">
        <f>VLOOKUP(A2231,Planilha2!$A$2:$C$5566,3,0)</f>
        <v>CONCEIÇÃO DA APARECIDA</v>
      </c>
      <c r="C2231" t="str">
        <f>VLOOKUP(A2231,Planilha2!$A$2:$D$5566,4,0)</f>
        <v>MG</v>
      </c>
    </row>
    <row r="2232" spans="1:3" x14ac:dyDescent="0.35">
      <c r="A2232">
        <v>313900</v>
      </c>
      <c r="B2232" t="str">
        <f>VLOOKUP(A2232,Planilha2!$A$2:$C$5566,3,0)</f>
        <v>MACHADO</v>
      </c>
      <c r="C2232" t="str">
        <f>VLOOKUP(A2232,Planilha2!$A$2:$D$5566,4,0)</f>
        <v>MG</v>
      </c>
    </row>
    <row r="2233" spans="1:3" x14ac:dyDescent="0.35">
      <c r="A2233">
        <v>315130</v>
      </c>
      <c r="B2233" t="str">
        <f>VLOOKUP(A2233,Planilha2!$A$2:$C$5566,3,0)</f>
        <v>PIRAÚBA</v>
      </c>
      <c r="C2233" t="str">
        <f>VLOOKUP(A2233,Planilha2!$A$2:$D$5566,4,0)</f>
        <v>MG</v>
      </c>
    </row>
    <row r="2234" spans="1:3" x14ac:dyDescent="0.35">
      <c r="A2234">
        <v>311280</v>
      </c>
      <c r="B2234" t="str">
        <f>VLOOKUP(A2234,Planilha2!$A$2:$C$5566,3,0)</f>
        <v>CAPITÓLIO</v>
      </c>
      <c r="C2234" t="str">
        <f>VLOOKUP(A2234,Planilha2!$A$2:$D$5566,4,0)</f>
        <v>MG</v>
      </c>
    </row>
    <row r="2235" spans="1:3" x14ac:dyDescent="0.35">
      <c r="A2235">
        <v>312360</v>
      </c>
      <c r="B2235" t="str">
        <f>VLOOKUP(A2235,Planilha2!$A$2:$C$5566,3,0)</f>
        <v>ELÓI MENDES</v>
      </c>
      <c r="C2235" t="str">
        <f>VLOOKUP(A2235,Planilha2!$A$2:$D$5566,4,0)</f>
        <v>MG</v>
      </c>
    </row>
    <row r="2236" spans="1:3" x14ac:dyDescent="0.35">
      <c r="A2236">
        <v>310190</v>
      </c>
      <c r="B2236" t="str">
        <f>VLOOKUP(A2236,Planilha2!$A$2:$C$5566,3,0)</f>
        <v>ALPINÓPOLIS</v>
      </c>
      <c r="C2236" t="str">
        <f>VLOOKUP(A2236,Planilha2!$A$2:$D$5566,4,0)</f>
        <v>MG</v>
      </c>
    </row>
    <row r="2237" spans="1:3" x14ac:dyDescent="0.35">
      <c r="A2237">
        <v>311510</v>
      </c>
      <c r="B2237" t="str">
        <f>VLOOKUP(A2237,Planilha2!$A$2:$C$5566,3,0)</f>
        <v>CÁSSIA</v>
      </c>
      <c r="C2237" t="str">
        <f>VLOOKUP(A2237,Planilha2!$A$2:$D$5566,4,0)</f>
        <v>MG</v>
      </c>
    </row>
    <row r="2238" spans="1:3" x14ac:dyDescent="0.35">
      <c r="A2238">
        <v>315610</v>
      </c>
      <c r="B2238" t="str">
        <f>VLOOKUP(A2238,Planilha2!$A$2:$C$5566,3,0)</f>
        <v>RITÁPOLIS</v>
      </c>
      <c r="C2238" t="str">
        <f>VLOOKUP(A2238,Planilha2!$A$2:$D$5566,4,0)</f>
        <v>MG</v>
      </c>
    </row>
    <row r="2239" spans="1:3" x14ac:dyDescent="0.35">
      <c r="A2239">
        <v>316880</v>
      </c>
      <c r="B2239" t="str">
        <f>VLOOKUP(A2239,Planilha2!$A$2:$C$5566,3,0)</f>
        <v>TIRADENTES</v>
      </c>
      <c r="C2239" t="str">
        <f>VLOOKUP(A2239,Planilha2!$A$2:$D$5566,4,0)</f>
        <v>MG</v>
      </c>
    </row>
    <row r="2240" spans="1:3" x14ac:dyDescent="0.35">
      <c r="A2240">
        <v>315420</v>
      </c>
      <c r="B2240" t="str">
        <f>VLOOKUP(A2240,Planilha2!$A$2:$C$5566,3,0)</f>
        <v>RESENDE COSTA</v>
      </c>
      <c r="C2240" t="str">
        <f>VLOOKUP(A2240,Planilha2!$A$2:$D$5566,4,0)</f>
        <v>MG</v>
      </c>
    </row>
    <row r="2241" spans="1:3" x14ac:dyDescent="0.35">
      <c r="A2241">
        <v>315200</v>
      </c>
      <c r="B2241" t="str">
        <f>VLOOKUP(A2241,Planilha2!$A$2:$C$5566,3,0)</f>
        <v>POMPÉU</v>
      </c>
      <c r="C2241" t="str">
        <f>VLOOKUP(A2241,Planilha2!$A$2:$D$5566,4,0)</f>
        <v>MG</v>
      </c>
    </row>
    <row r="2242" spans="1:3" x14ac:dyDescent="0.35">
      <c r="A2242">
        <v>310500</v>
      </c>
      <c r="B2242" t="str">
        <f>VLOOKUP(A2242,Planilha2!$A$2:$C$5566,3,0)</f>
        <v>BALDIM</v>
      </c>
      <c r="C2242" t="str">
        <f>VLOOKUP(A2242,Planilha2!$A$2:$D$5566,4,0)</f>
        <v>MG</v>
      </c>
    </row>
    <row r="2243" spans="1:3" x14ac:dyDescent="0.35">
      <c r="A2243">
        <v>310960</v>
      </c>
      <c r="B2243" t="str">
        <f>VLOOKUP(A2243,Planilha2!$A$2:$C$5566,3,0)</f>
        <v>CACHOEIRA DA PRATA</v>
      </c>
      <c r="C2243" t="str">
        <f>VLOOKUP(A2243,Planilha2!$A$2:$D$5566,4,0)</f>
        <v>MG</v>
      </c>
    </row>
    <row r="2244" spans="1:3" x14ac:dyDescent="0.35">
      <c r="A2244">
        <v>312720</v>
      </c>
      <c r="B2244" t="str">
        <f>VLOOKUP(A2244,Planilha2!$A$2:$C$5566,3,0)</f>
        <v>FUNILÂNDIA</v>
      </c>
      <c r="C2244" t="str">
        <f>VLOOKUP(A2244,Planilha2!$A$2:$D$5566,4,0)</f>
        <v>MG</v>
      </c>
    </row>
    <row r="2245" spans="1:3" x14ac:dyDescent="0.35">
      <c r="A2245">
        <v>314740</v>
      </c>
      <c r="B2245" t="str">
        <f>VLOOKUP(A2245,Planilha2!$A$2:$C$5566,3,0)</f>
        <v>PARAOPEBA</v>
      </c>
      <c r="C2245" t="str">
        <f>VLOOKUP(A2245,Planilha2!$A$2:$D$5566,4,0)</f>
        <v>MG</v>
      </c>
    </row>
    <row r="2246" spans="1:3" x14ac:dyDescent="0.35">
      <c r="A2246">
        <v>310285</v>
      </c>
      <c r="B2246" t="str">
        <f>VLOOKUP(A2246,Planilha2!$A$2:$C$5566,3,0)</f>
        <v>ANGELÂNDIA</v>
      </c>
      <c r="C2246" t="str">
        <f>VLOOKUP(A2246,Planilha2!$A$2:$D$5566,4,0)</f>
        <v>MG</v>
      </c>
    </row>
    <row r="2247" spans="1:3" x14ac:dyDescent="0.35">
      <c r="A2247">
        <v>310340</v>
      </c>
      <c r="B2247" t="str">
        <f>VLOOKUP(A2247,Planilha2!$A$2:$C$5566,3,0)</f>
        <v>ARAÇUAÍ</v>
      </c>
      <c r="C2247" t="str">
        <f>VLOOKUP(A2247,Planilha2!$A$2:$D$5566,4,0)</f>
        <v>MG</v>
      </c>
    </row>
    <row r="2248" spans="1:3" x14ac:dyDescent="0.35">
      <c r="A2248">
        <v>320330</v>
      </c>
      <c r="B2248" t="str">
        <f>VLOOKUP(A2248,Planilha2!$A$2:$C$5566,3,0)</f>
        <v>MANTENÓPOLIS</v>
      </c>
      <c r="C2248" t="str">
        <f>VLOOKUP(A2248,Planilha2!$A$2:$D$5566,4,0)</f>
        <v>ES</v>
      </c>
    </row>
    <row r="2249" spans="1:3" x14ac:dyDescent="0.35">
      <c r="A2249">
        <v>320225</v>
      </c>
      <c r="B2249" t="str">
        <f>VLOOKUP(A2249,Planilha2!$A$2:$C$5566,3,0)</f>
        <v>GOVERNADOR LINDENBERG</v>
      </c>
      <c r="C2249" t="str">
        <f>VLOOKUP(A2249,Planilha2!$A$2:$D$5566,4,0)</f>
        <v>ES</v>
      </c>
    </row>
    <row r="2250" spans="1:3" x14ac:dyDescent="0.35">
      <c r="A2250">
        <v>320210</v>
      </c>
      <c r="B2250" t="str">
        <f>VLOOKUP(A2250,Planilha2!$A$2:$C$5566,3,0)</f>
        <v>ECOPORANGA</v>
      </c>
      <c r="C2250" t="str">
        <f>VLOOKUP(A2250,Planilha2!$A$2:$D$5566,4,0)</f>
        <v>ES</v>
      </c>
    </row>
    <row r="2251" spans="1:3" x14ac:dyDescent="0.35">
      <c r="A2251">
        <v>330610</v>
      </c>
      <c r="B2251" t="str">
        <f>VLOOKUP(A2251,Planilha2!$A$2:$C$5566,3,0)</f>
        <v>VALENÇA</v>
      </c>
      <c r="C2251" t="str">
        <f>VLOOKUP(A2251,Planilha2!$A$2:$D$5566,4,0)</f>
        <v>RJ</v>
      </c>
    </row>
    <row r="2252" spans="1:3" x14ac:dyDescent="0.35">
      <c r="A2252">
        <v>330140</v>
      </c>
      <c r="B2252" t="str">
        <f>VLOOKUP(A2252,Planilha2!$A$2:$C$5566,3,0)</f>
        <v>CONCEIÇÃO DE MACABU</v>
      </c>
      <c r="C2252" t="str">
        <f>VLOOKUP(A2252,Planilha2!$A$2:$D$5566,4,0)</f>
        <v>RJ</v>
      </c>
    </row>
    <row r="2253" spans="1:3" x14ac:dyDescent="0.35">
      <c r="A2253">
        <v>330400</v>
      </c>
      <c r="B2253" t="str">
        <f>VLOOKUP(A2253,Planilha2!$A$2:$C$5566,3,0)</f>
        <v>PIRAÍ</v>
      </c>
      <c r="C2253" t="str">
        <f>VLOOKUP(A2253,Planilha2!$A$2:$D$5566,4,0)</f>
        <v>RJ</v>
      </c>
    </row>
    <row r="2254" spans="1:3" x14ac:dyDescent="0.35">
      <c r="A2254">
        <v>330260</v>
      </c>
      <c r="B2254" t="str">
        <f>VLOOKUP(A2254,Planilha2!$A$2:$C$5566,3,0)</f>
        <v>MANGARATIBA</v>
      </c>
      <c r="C2254" t="str">
        <f>VLOOKUP(A2254,Planilha2!$A$2:$D$5566,4,0)</f>
        <v>RJ</v>
      </c>
    </row>
    <row r="2255" spans="1:3" x14ac:dyDescent="0.35">
      <c r="A2255">
        <v>330130</v>
      </c>
      <c r="B2255" t="str">
        <f>VLOOKUP(A2255,Planilha2!$A$2:$C$5566,3,0)</f>
        <v>CASIMIRO DE ABREU</v>
      </c>
      <c r="C2255" t="str">
        <f>VLOOKUP(A2255,Planilha2!$A$2:$D$5566,4,0)</f>
        <v>RJ</v>
      </c>
    </row>
    <row r="2256" spans="1:3" x14ac:dyDescent="0.35">
      <c r="A2256">
        <v>330210</v>
      </c>
      <c r="B2256" t="str">
        <f>VLOOKUP(A2256,Planilha2!$A$2:$C$5566,3,0)</f>
        <v>ITAOCARA</v>
      </c>
      <c r="C2256" t="str">
        <f>VLOOKUP(A2256,Planilha2!$A$2:$D$5566,4,0)</f>
        <v>RJ</v>
      </c>
    </row>
    <row r="2257" spans="1:3" x14ac:dyDescent="0.35">
      <c r="A2257">
        <v>330385</v>
      </c>
      <c r="B2257" t="str">
        <f>VLOOKUP(A2257,Planilha2!$A$2:$C$5566,3,0)</f>
        <v>PATY DO ALFERES</v>
      </c>
      <c r="C2257" t="str">
        <f>VLOOKUP(A2257,Planilha2!$A$2:$D$5566,4,0)</f>
        <v>RJ</v>
      </c>
    </row>
    <row r="2258" spans="1:3" x14ac:dyDescent="0.35">
      <c r="A2258">
        <v>354860</v>
      </c>
      <c r="B2258" t="str">
        <f>VLOOKUP(A2258,Planilha2!$A$2:$C$5566,3,0)</f>
        <v>SÃO BENTO DO SAPUCAÍ</v>
      </c>
      <c r="C2258" t="str">
        <f>VLOOKUP(A2258,Planilha2!$A$2:$D$5566,4,0)</f>
        <v>SP</v>
      </c>
    </row>
    <row r="2259" spans="1:3" x14ac:dyDescent="0.35">
      <c r="A2259">
        <v>354630</v>
      </c>
      <c r="B2259" t="str">
        <f>VLOOKUP(A2259,Planilha2!$A$2:$C$5566,3,0)</f>
        <v>SANTA CRUZ DAS PALMEIRAS</v>
      </c>
      <c r="C2259" t="str">
        <f>VLOOKUP(A2259,Planilha2!$A$2:$D$5566,4,0)</f>
        <v>SP</v>
      </c>
    </row>
    <row r="2260" spans="1:3" x14ac:dyDescent="0.35">
      <c r="A2260">
        <v>350030</v>
      </c>
      <c r="B2260" t="str">
        <f>VLOOKUP(A2260,Planilha2!$A$2:$C$5566,3,0)</f>
        <v>AGUAÍ</v>
      </c>
      <c r="C2260" t="str">
        <f>VLOOKUP(A2260,Planilha2!$A$2:$D$5566,4,0)</f>
        <v>SP</v>
      </c>
    </row>
    <row r="2261" spans="1:3" x14ac:dyDescent="0.35">
      <c r="A2261">
        <v>351280</v>
      </c>
      <c r="B2261" t="str">
        <f>VLOOKUP(A2261,Planilha2!$A$2:$C$5566,3,0)</f>
        <v>COSMÓPOLIS</v>
      </c>
      <c r="C2261" t="str">
        <f>VLOOKUP(A2261,Planilha2!$A$2:$D$5566,4,0)</f>
        <v>SP</v>
      </c>
    </row>
    <row r="2262" spans="1:3" x14ac:dyDescent="0.35">
      <c r="A2262">
        <v>350840</v>
      </c>
      <c r="B2262" t="str">
        <f>VLOOKUP(A2262,Planilha2!$A$2:$C$5566,3,0)</f>
        <v>CABREÚVA</v>
      </c>
      <c r="C2262" t="str">
        <f>VLOOKUP(A2262,Planilha2!$A$2:$D$5566,4,0)</f>
        <v>SP</v>
      </c>
    </row>
    <row r="2263" spans="1:3" x14ac:dyDescent="0.35">
      <c r="A2263">
        <v>353240</v>
      </c>
      <c r="B2263" t="str">
        <f>VLOOKUP(A2263,Planilha2!$A$2:$C$5566,3,0)</f>
        <v>NAZARÉ PAULISTA</v>
      </c>
      <c r="C2263" t="str">
        <f>VLOOKUP(A2263,Planilha2!$A$2:$D$5566,4,0)</f>
        <v>SP</v>
      </c>
    </row>
    <row r="2264" spans="1:3" x14ac:dyDescent="0.35">
      <c r="A2264">
        <v>354800</v>
      </c>
      <c r="B2264" t="str">
        <f>VLOOKUP(A2264,Planilha2!$A$2:$C$5566,3,0)</f>
        <v>SANTO ANTÔNIO DE POSSE</v>
      </c>
      <c r="C2264" t="str">
        <f>VLOOKUP(A2264,Planilha2!$A$2:$D$5566,4,0)</f>
        <v>SP</v>
      </c>
    </row>
    <row r="2265" spans="1:3" x14ac:dyDescent="0.35">
      <c r="A2265">
        <v>353400</v>
      </c>
      <c r="B2265" t="str">
        <f>VLOOKUP(A2265,Planilha2!$A$2:$C$5566,3,0)</f>
        <v>ONDA VERDE</v>
      </c>
      <c r="C2265" t="str">
        <f>VLOOKUP(A2265,Planilha2!$A$2:$D$5566,4,0)</f>
        <v>SP</v>
      </c>
    </row>
    <row r="2266" spans="1:3" x14ac:dyDescent="0.35">
      <c r="A2266">
        <v>353420</v>
      </c>
      <c r="B2266" t="str">
        <f>VLOOKUP(A2266,Planilha2!$A$2:$C$5566,3,0)</f>
        <v>ORINDIÚVA</v>
      </c>
      <c r="C2266" t="str">
        <f>VLOOKUP(A2266,Planilha2!$A$2:$D$5566,4,0)</f>
        <v>SP</v>
      </c>
    </row>
    <row r="2267" spans="1:3" x14ac:dyDescent="0.35">
      <c r="A2267">
        <v>350480</v>
      </c>
      <c r="B2267" t="str">
        <f>VLOOKUP(A2267,Planilha2!$A$2:$C$5566,3,0)</f>
        <v>BÁLSAMO</v>
      </c>
      <c r="C2267" t="str">
        <f>VLOOKUP(A2267,Planilha2!$A$2:$D$5566,4,0)</f>
        <v>SP</v>
      </c>
    </row>
    <row r="2268" spans="1:3" x14ac:dyDescent="0.35">
      <c r="A2268">
        <v>353140</v>
      </c>
      <c r="B2268" t="str">
        <f>VLOOKUP(A2268,Planilha2!$A$2:$C$5566,3,0)</f>
        <v>MONTE APRAZÍVEL</v>
      </c>
      <c r="C2268" t="str">
        <f>VLOOKUP(A2268,Planilha2!$A$2:$D$5566,4,0)</f>
        <v>SP</v>
      </c>
    </row>
    <row r="2269" spans="1:3" x14ac:dyDescent="0.35">
      <c r="A2269">
        <v>355600</v>
      </c>
      <c r="B2269" t="str">
        <f>VLOOKUP(A2269,Planilha2!$A$2:$C$5566,3,0)</f>
        <v>URUPÊS</v>
      </c>
      <c r="C2269" t="str">
        <f>VLOOKUP(A2269,Planilha2!$A$2:$D$5566,4,0)</f>
        <v>SP</v>
      </c>
    </row>
    <row r="2270" spans="1:3" x14ac:dyDescent="0.35">
      <c r="A2270">
        <v>352950</v>
      </c>
      <c r="B2270" t="str">
        <f>VLOOKUP(A2270,Planilha2!$A$2:$C$5566,3,0)</f>
        <v>MENDONÇA</v>
      </c>
      <c r="C2270" t="str">
        <f>VLOOKUP(A2270,Planilha2!$A$2:$D$5566,4,0)</f>
        <v>SP</v>
      </c>
    </row>
    <row r="2271" spans="1:3" x14ac:dyDescent="0.35">
      <c r="A2271">
        <v>351070</v>
      </c>
      <c r="B2271" t="str">
        <f>VLOOKUP(A2271,Planilha2!$A$2:$C$5566,3,0)</f>
        <v>CARDOSO</v>
      </c>
      <c r="C2271" t="str">
        <f>VLOOKUP(A2271,Planilha2!$A$2:$D$5566,4,0)</f>
        <v>SP</v>
      </c>
    </row>
    <row r="2272" spans="1:3" x14ac:dyDescent="0.35">
      <c r="A2272">
        <v>351750</v>
      </c>
      <c r="B2272" t="str">
        <f>VLOOKUP(A2272,Planilha2!$A$2:$C$5566,3,0)</f>
        <v>GUAPIAÇU</v>
      </c>
      <c r="C2272" t="str">
        <f>VLOOKUP(A2272,Planilha2!$A$2:$D$5566,4,0)</f>
        <v>SP</v>
      </c>
    </row>
    <row r="2273" spans="1:3" x14ac:dyDescent="0.35">
      <c r="A2273">
        <v>354040</v>
      </c>
      <c r="B2273" t="str">
        <f>VLOOKUP(A2273,Planilha2!$A$2:$C$5566,3,0)</f>
        <v>POPULINA</v>
      </c>
      <c r="C2273" t="str">
        <f>VLOOKUP(A2273,Planilha2!$A$2:$D$5566,4,0)</f>
        <v>SP</v>
      </c>
    </row>
    <row r="2274" spans="1:3" x14ac:dyDescent="0.35">
      <c r="A2274">
        <v>353280</v>
      </c>
      <c r="B2274" t="str">
        <f>VLOOKUP(A2274,Planilha2!$A$2:$C$5566,3,0)</f>
        <v>NOVA ALIANÇA</v>
      </c>
      <c r="C2274" t="str">
        <f>VLOOKUP(A2274,Planilha2!$A$2:$D$5566,4,0)</f>
        <v>SP</v>
      </c>
    </row>
    <row r="2275" spans="1:3" x14ac:dyDescent="0.35">
      <c r="A2275">
        <v>353250</v>
      </c>
      <c r="B2275" t="str">
        <f>VLOOKUP(A2275,Planilha2!$A$2:$C$5566,3,0)</f>
        <v>NEVES PAULISTA</v>
      </c>
      <c r="C2275" t="str">
        <f>VLOOKUP(A2275,Planilha2!$A$2:$D$5566,4,0)</f>
        <v>SP</v>
      </c>
    </row>
    <row r="2276" spans="1:3" x14ac:dyDescent="0.35">
      <c r="A2276">
        <v>351940</v>
      </c>
      <c r="B2276" t="str">
        <f>VLOOKUP(A2276,Planilha2!$A$2:$C$5566,3,0)</f>
        <v>IBIRÁ</v>
      </c>
      <c r="C2276" t="str">
        <f>VLOOKUP(A2276,Planilha2!$A$2:$D$5566,4,0)</f>
        <v>SP</v>
      </c>
    </row>
    <row r="2277" spans="1:3" x14ac:dyDescent="0.35">
      <c r="A2277">
        <v>355610</v>
      </c>
      <c r="B2277" t="str">
        <f>VLOOKUP(A2277,Planilha2!$A$2:$C$5566,3,0)</f>
        <v>VALENTIM GENTIL</v>
      </c>
      <c r="C2277" t="str">
        <f>VLOOKUP(A2277,Planilha2!$A$2:$D$5566,4,0)</f>
        <v>SP</v>
      </c>
    </row>
    <row r="2278" spans="1:3" x14ac:dyDescent="0.35">
      <c r="A2278">
        <v>353260</v>
      </c>
      <c r="B2278" t="str">
        <f>VLOOKUP(A2278,Planilha2!$A$2:$C$5566,3,0)</f>
        <v>NHANDEARA</v>
      </c>
      <c r="C2278" t="str">
        <f>VLOOKUP(A2278,Planilha2!$A$2:$D$5566,4,0)</f>
        <v>SP</v>
      </c>
    </row>
    <row r="2279" spans="1:3" x14ac:dyDescent="0.35">
      <c r="A2279">
        <v>350810</v>
      </c>
      <c r="B2279" t="str">
        <f>VLOOKUP(A2279,Planilha2!$A$2:$C$5566,3,0)</f>
        <v>BURITAMA</v>
      </c>
      <c r="C2279" t="str">
        <f>VLOOKUP(A2279,Planilha2!$A$2:$D$5566,4,0)</f>
        <v>SP</v>
      </c>
    </row>
    <row r="2280" spans="1:3" x14ac:dyDescent="0.35">
      <c r="A2280">
        <v>350220</v>
      </c>
      <c r="B2280" t="str">
        <f>VLOOKUP(A2280,Planilha2!$A$2:$C$5566,3,0)</f>
        <v>ANGATUBA</v>
      </c>
      <c r="C2280" t="str">
        <f>VLOOKUP(A2280,Planilha2!$A$2:$D$5566,4,0)</f>
        <v>SP</v>
      </c>
    </row>
    <row r="2281" spans="1:3" x14ac:dyDescent="0.35">
      <c r="A2281">
        <v>351170</v>
      </c>
      <c r="B2281" t="str">
        <f>VLOOKUP(A2281,Planilha2!$A$2:$C$5566,3,0)</f>
        <v>CHARQUEADA</v>
      </c>
      <c r="C2281" t="str">
        <f>VLOOKUP(A2281,Planilha2!$A$2:$D$5566,4,0)</f>
        <v>SP</v>
      </c>
    </row>
    <row r="2282" spans="1:3" x14ac:dyDescent="0.35">
      <c r="A2282">
        <v>352640</v>
      </c>
      <c r="B2282" t="str">
        <f>VLOOKUP(A2282,Planilha2!$A$2:$C$5566,3,0)</f>
        <v>LARANJAL PAULISTA</v>
      </c>
      <c r="C2282" t="str">
        <f>VLOOKUP(A2282,Planilha2!$A$2:$D$5566,4,0)</f>
        <v>SP</v>
      </c>
    </row>
    <row r="2283" spans="1:3" x14ac:dyDescent="0.35">
      <c r="A2283">
        <v>352180</v>
      </c>
      <c r="B2283" t="str">
        <f>VLOOKUP(A2283,Planilha2!$A$2:$C$5566,3,0)</f>
        <v>ITAÍ</v>
      </c>
      <c r="C2283" t="str">
        <f>VLOOKUP(A2283,Planilha2!$A$2:$D$5566,4,0)</f>
        <v>SP</v>
      </c>
    </row>
    <row r="2284" spans="1:3" x14ac:dyDescent="0.35">
      <c r="A2284">
        <v>354995</v>
      </c>
      <c r="B2284" t="str">
        <f>VLOOKUP(A2284,Planilha2!$A$2:$C$5566,3,0)</f>
        <v>SÃO LOURENÇO DA SERRA</v>
      </c>
      <c r="C2284" t="str">
        <f>VLOOKUP(A2284,Planilha2!$A$2:$D$5566,4,0)</f>
        <v>SP</v>
      </c>
    </row>
    <row r="2285" spans="1:3" x14ac:dyDescent="0.35">
      <c r="A2285">
        <v>350275</v>
      </c>
      <c r="B2285" t="str">
        <f>VLOOKUP(A2285,Planilha2!$A$2:$C$5566,3,0)</f>
        <v>ARAÇARIGUAMA</v>
      </c>
      <c r="C2285" t="str">
        <f>VLOOKUP(A2285,Planilha2!$A$2:$D$5566,4,0)</f>
        <v>SP</v>
      </c>
    </row>
    <row r="2286" spans="1:3" x14ac:dyDescent="0.35">
      <c r="A2286">
        <v>355400</v>
      </c>
      <c r="B2286" t="str">
        <f>VLOOKUP(A2286,Planilha2!$A$2:$C$5566,3,0)</f>
        <v>TATUÍ</v>
      </c>
      <c r="C2286" t="str">
        <f>VLOOKUP(A2286,Planilha2!$A$2:$D$5566,4,0)</f>
        <v>SP</v>
      </c>
    </row>
    <row r="2287" spans="1:3" x14ac:dyDescent="0.35">
      <c r="A2287">
        <v>354075</v>
      </c>
      <c r="B2287" t="str">
        <f>VLOOKUP(A2287,Planilha2!$A$2:$C$5566,3,0)</f>
        <v>POTIM</v>
      </c>
      <c r="C2287" t="str">
        <f>VLOOKUP(A2287,Planilha2!$A$2:$D$5566,4,0)</f>
        <v>SP</v>
      </c>
    </row>
    <row r="2288" spans="1:3" x14ac:dyDescent="0.35">
      <c r="A2288">
        <v>350860</v>
      </c>
      <c r="B2288" t="str">
        <f>VLOOKUP(A2288,Planilha2!$A$2:$C$5566,3,0)</f>
        <v>CACHOEIRA PAULISTA</v>
      </c>
      <c r="C2288" t="str">
        <f>VLOOKUP(A2288,Planilha2!$A$2:$D$5566,4,0)</f>
        <v>SP</v>
      </c>
    </row>
    <row r="2289" spans="1:3" x14ac:dyDescent="0.35">
      <c r="A2289">
        <v>351140</v>
      </c>
      <c r="B2289" t="str">
        <f>VLOOKUP(A2289,Planilha2!$A$2:$C$5566,3,0)</f>
        <v>CERQUEIRA CÉSAR</v>
      </c>
      <c r="C2289" t="str">
        <f>VLOOKUP(A2289,Planilha2!$A$2:$D$5566,4,0)</f>
        <v>SP</v>
      </c>
    </row>
    <row r="2290" spans="1:3" x14ac:dyDescent="0.35">
      <c r="A2290">
        <v>355010</v>
      </c>
      <c r="B2290" t="str">
        <f>VLOOKUP(A2290,Planilha2!$A$2:$C$5566,3,0)</f>
        <v>SÃO MANUEL</v>
      </c>
      <c r="C2290" t="str">
        <f>VLOOKUP(A2290,Planilha2!$A$2:$D$5566,4,0)</f>
        <v>SP</v>
      </c>
    </row>
    <row r="2291" spans="1:3" x14ac:dyDescent="0.35">
      <c r="A2291">
        <v>355380</v>
      </c>
      <c r="B2291" t="str">
        <f>VLOOKUP(A2291,Planilha2!$A$2:$C$5566,3,0)</f>
        <v>TAQUARITUBA</v>
      </c>
      <c r="C2291" t="str">
        <f>VLOOKUP(A2291,Planilha2!$A$2:$D$5566,4,0)</f>
        <v>SP</v>
      </c>
    </row>
    <row r="2292" spans="1:3" x14ac:dyDescent="0.35">
      <c r="A2292">
        <v>351540</v>
      </c>
      <c r="B2292" t="str">
        <f>VLOOKUP(A2292,Planilha2!$A$2:$C$5566,3,0)</f>
        <v>FARTURA</v>
      </c>
      <c r="C2292" t="str">
        <f>VLOOKUP(A2292,Planilha2!$A$2:$D$5566,4,0)</f>
        <v>SP</v>
      </c>
    </row>
    <row r="2293" spans="1:3" x14ac:dyDescent="0.35">
      <c r="A2293">
        <v>351430</v>
      </c>
      <c r="B2293" t="str">
        <f>VLOOKUP(A2293,Planilha2!$A$2:$C$5566,3,0)</f>
        <v>DOURADO</v>
      </c>
      <c r="C2293" t="str">
        <f>VLOOKUP(A2293,Planilha2!$A$2:$D$5566,4,0)</f>
        <v>SP</v>
      </c>
    </row>
    <row r="2294" spans="1:3" x14ac:dyDescent="0.35">
      <c r="A2294">
        <v>350050</v>
      </c>
      <c r="B2294" t="str">
        <f>VLOOKUP(A2294,Planilha2!$A$2:$C$5566,3,0)</f>
        <v>ÁGUAS DE LINDÓIA</v>
      </c>
      <c r="C2294" t="str">
        <f>VLOOKUP(A2294,Planilha2!$A$2:$D$5566,4,0)</f>
        <v>SP</v>
      </c>
    </row>
    <row r="2295" spans="1:3" x14ac:dyDescent="0.35">
      <c r="A2295">
        <v>350830</v>
      </c>
      <c r="B2295" t="str">
        <f>VLOOKUP(A2295,Planilha2!$A$2:$C$5566,3,0)</f>
        <v>CABRÁLIA PAULISTA</v>
      </c>
      <c r="C2295" t="str">
        <f>VLOOKUP(A2295,Planilha2!$A$2:$D$5566,4,0)</f>
        <v>SP</v>
      </c>
    </row>
    <row r="2296" spans="1:3" x14ac:dyDescent="0.35">
      <c r="A2296">
        <v>353530</v>
      </c>
      <c r="B2296" t="str">
        <f>VLOOKUP(A2296,Planilha2!$A$2:$C$5566,3,0)</f>
        <v>PALMITAL</v>
      </c>
      <c r="C2296" t="str">
        <f>VLOOKUP(A2296,Planilha2!$A$2:$D$5566,4,0)</f>
        <v>SP</v>
      </c>
    </row>
    <row r="2297" spans="1:3" x14ac:dyDescent="0.35">
      <c r="A2297">
        <v>353980</v>
      </c>
      <c r="B2297" t="str">
        <f>VLOOKUP(A2297,Planilha2!$A$2:$C$5566,3,0)</f>
        <v>POÁ</v>
      </c>
      <c r="C2297" t="str">
        <f>VLOOKUP(A2297,Planilha2!$A$2:$D$5566,4,0)</f>
        <v>SP</v>
      </c>
    </row>
    <row r="2298" spans="1:3" x14ac:dyDescent="0.35">
      <c r="A2298">
        <v>354250</v>
      </c>
      <c r="B2298" t="str">
        <f>VLOOKUP(A2298,Planilha2!$A$2:$C$5566,3,0)</f>
        <v>REGINÓPOLIS</v>
      </c>
      <c r="C2298" t="str">
        <f>VLOOKUP(A2298,Planilha2!$A$2:$D$5566,4,0)</f>
        <v>SP</v>
      </c>
    </row>
    <row r="2299" spans="1:3" x14ac:dyDescent="0.35">
      <c r="A2299">
        <v>354160</v>
      </c>
      <c r="B2299" t="str">
        <f>VLOOKUP(A2299,Planilha2!$A$2:$C$5566,3,0)</f>
        <v>PROMISSÃO</v>
      </c>
      <c r="C2299" t="str">
        <f>VLOOKUP(A2299,Planilha2!$A$2:$D$5566,4,0)</f>
        <v>SP</v>
      </c>
    </row>
    <row r="2300" spans="1:3" x14ac:dyDescent="0.35">
      <c r="A2300">
        <v>350680</v>
      </c>
      <c r="B2300" t="str">
        <f>VLOOKUP(A2300,Planilha2!$A$2:$C$5566,3,0)</f>
        <v>BOCAINA</v>
      </c>
      <c r="C2300" t="str">
        <f>VLOOKUP(A2300,Planilha2!$A$2:$D$5566,4,0)</f>
        <v>SP</v>
      </c>
    </row>
    <row r="2301" spans="1:3" x14ac:dyDescent="0.35">
      <c r="A2301">
        <v>352000</v>
      </c>
      <c r="B2301" t="str">
        <f>VLOOKUP(A2301,Planilha2!$A$2:$C$5566,3,0)</f>
        <v>IGARAÇU DO TIETÊ</v>
      </c>
      <c r="C2301" t="str">
        <f>VLOOKUP(A2301,Planilha2!$A$2:$D$5566,4,0)</f>
        <v>SP</v>
      </c>
    </row>
    <row r="2302" spans="1:3" x14ac:dyDescent="0.35">
      <c r="A2302">
        <v>352980</v>
      </c>
      <c r="B2302" t="str">
        <f>VLOOKUP(A2302,Planilha2!$A$2:$C$5566,3,0)</f>
        <v>MINEIROS DO TIETÊ</v>
      </c>
      <c r="C2302" t="str">
        <f>VLOOKUP(A2302,Planilha2!$A$2:$D$5566,4,0)</f>
        <v>SP</v>
      </c>
    </row>
    <row r="2303" spans="1:3" x14ac:dyDescent="0.35">
      <c r="A2303">
        <v>350530</v>
      </c>
      <c r="B2303" t="str">
        <f>VLOOKUP(A2303,Planilha2!$A$2:$C$5566,3,0)</f>
        <v>BARRA BONITA</v>
      </c>
      <c r="C2303" t="str">
        <f>VLOOKUP(A2303,Planilha2!$A$2:$D$5566,4,0)</f>
        <v>SP</v>
      </c>
    </row>
    <row r="2304" spans="1:3" x14ac:dyDescent="0.35">
      <c r="A2304">
        <v>352480</v>
      </c>
      <c r="B2304" t="str">
        <f>VLOOKUP(A2304,Planilha2!$A$2:$C$5566,3,0)</f>
        <v>JALES</v>
      </c>
      <c r="C2304" t="str">
        <f>VLOOKUP(A2304,Planilha2!$A$2:$D$5566,4,0)</f>
        <v>SP</v>
      </c>
    </row>
    <row r="2305" spans="1:3" x14ac:dyDescent="0.35">
      <c r="A2305">
        <v>351520</v>
      </c>
      <c r="B2305" t="str">
        <f>VLOOKUP(A2305,Planilha2!$A$2:$C$5566,3,0)</f>
        <v>ESTRELA D`OESTE</v>
      </c>
      <c r="C2305" t="str">
        <f>VLOOKUP(A2305,Planilha2!$A$2:$D$5566,4,0)</f>
        <v>SP</v>
      </c>
    </row>
    <row r="2306" spans="1:3" x14ac:dyDescent="0.35">
      <c r="A2306">
        <v>351730</v>
      </c>
      <c r="B2306" t="str">
        <f>VLOOKUP(A2306,Planilha2!$A$2:$C$5566,3,0)</f>
        <v>GUAIMBÊ</v>
      </c>
      <c r="C2306" t="str">
        <f>VLOOKUP(A2306,Planilha2!$A$2:$D$5566,4,0)</f>
        <v>SP</v>
      </c>
    </row>
    <row r="2307" spans="1:3" x14ac:dyDescent="0.35">
      <c r="A2307">
        <v>355550</v>
      </c>
      <c r="B2307" t="str">
        <f>VLOOKUP(A2307,Planilha2!$A$2:$C$5566,3,0)</f>
        <v>UBIRAJARA</v>
      </c>
      <c r="C2307" t="str">
        <f>VLOOKUP(A2307,Planilha2!$A$2:$D$5566,4,0)</f>
        <v>SP</v>
      </c>
    </row>
    <row r="2308" spans="1:3" x14ac:dyDescent="0.35">
      <c r="A2308">
        <v>351660</v>
      </c>
      <c r="B2308" t="str">
        <f>VLOOKUP(A2308,Planilha2!$A$2:$C$5566,3,0)</f>
        <v>GÁLIA</v>
      </c>
      <c r="C2308" t="str">
        <f>VLOOKUP(A2308,Planilha2!$A$2:$D$5566,4,0)</f>
        <v>SP</v>
      </c>
    </row>
    <row r="2309" spans="1:3" x14ac:dyDescent="0.35">
      <c r="A2309">
        <v>353370</v>
      </c>
      <c r="B2309" t="str">
        <f>VLOOKUP(A2309,Planilha2!$A$2:$C$5566,3,0)</f>
        <v>OCAUÇU</v>
      </c>
      <c r="C2309" t="str">
        <f>VLOOKUP(A2309,Planilha2!$A$2:$D$5566,4,0)</f>
        <v>SP</v>
      </c>
    </row>
    <row r="2310" spans="1:3" x14ac:dyDescent="0.35">
      <c r="A2310">
        <v>352580</v>
      </c>
      <c r="B2310" t="str">
        <f>VLOOKUP(A2310,Planilha2!$A$2:$C$5566,3,0)</f>
        <v>JÚLIO MESQUITA</v>
      </c>
      <c r="C2310" t="str">
        <f>VLOOKUP(A2310,Planilha2!$A$2:$D$5566,4,0)</f>
        <v>SP</v>
      </c>
    </row>
    <row r="2311" spans="1:3" x14ac:dyDescent="0.35">
      <c r="A2311">
        <v>350140</v>
      </c>
      <c r="B2311" t="str">
        <f>VLOOKUP(A2311,Planilha2!$A$2:$C$5566,3,0)</f>
        <v>ÁLVARO DE CARVALHO</v>
      </c>
      <c r="C2311" t="str">
        <f>VLOOKUP(A2311,Planilha2!$A$2:$D$5566,4,0)</f>
        <v>SP</v>
      </c>
    </row>
    <row r="2312" spans="1:3" x14ac:dyDescent="0.35">
      <c r="A2312">
        <v>353490</v>
      </c>
      <c r="B2312" t="str">
        <f>VLOOKUP(A2312,Planilha2!$A$2:$C$5566,3,0)</f>
        <v>PACAEMBU</v>
      </c>
      <c r="C2312" t="str">
        <f>VLOOKUP(A2312,Planilha2!$A$2:$D$5566,4,0)</f>
        <v>SP</v>
      </c>
    </row>
    <row r="2313" spans="1:3" x14ac:dyDescent="0.35">
      <c r="A2313">
        <v>352740</v>
      </c>
      <c r="B2313" t="str">
        <f>VLOOKUP(A2313,Planilha2!$A$2:$C$5566,3,0)</f>
        <v>LUCÉLIA</v>
      </c>
      <c r="C2313" t="str">
        <f>VLOOKUP(A2313,Planilha2!$A$2:$D$5566,4,0)</f>
        <v>SP</v>
      </c>
    </row>
    <row r="2314" spans="1:3" x14ac:dyDescent="0.35">
      <c r="A2314">
        <v>350635</v>
      </c>
      <c r="B2314" t="str">
        <f>VLOOKUP(A2314,Planilha2!$A$2:$C$5566,3,0)</f>
        <v>BERTIOGA</v>
      </c>
      <c r="C2314" t="str">
        <f>VLOOKUP(A2314,Planilha2!$A$2:$D$5566,4,0)</f>
        <v>SP</v>
      </c>
    </row>
    <row r="2315" spans="1:3" x14ac:dyDescent="0.35">
      <c r="A2315">
        <v>350995</v>
      </c>
      <c r="B2315" t="str">
        <f>VLOOKUP(A2315,Planilha2!$A$2:$C$5566,3,0)</f>
        <v>CANAS</v>
      </c>
      <c r="C2315" t="str">
        <f>VLOOKUP(A2315,Planilha2!$A$2:$D$5566,4,0)</f>
        <v>SP</v>
      </c>
    </row>
    <row r="2316" spans="1:3" x14ac:dyDescent="0.35">
      <c r="A2316">
        <v>352970</v>
      </c>
      <c r="B2316" t="str">
        <f>VLOOKUP(A2316,Planilha2!$A$2:$C$5566,3,0)</f>
        <v>MIGUELÓPOLIS</v>
      </c>
      <c r="C2316" t="str">
        <f>VLOOKUP(A2316,Planilha2!$A$2:$D$5566,4,0)</f>
        <v>SP</v>
      </c>
    </row>
    <row r="2317" spans="1:3" x14ac:dyDescent="0.35">
      <c r="A2317">
        <v>354360</v>
      </c>
      <c r="B2317" t="str">
        <f>VLOOKUP(A2317,Planilha2!$A$2:$C$5566,3,0)</f>
        <v>RIFAINA</v>
      </c>
      <c r="C2317" t="str">
        <f>VLOOKUP(A2317,Planilha2!$A$2:$D$5566,4,0)</f>
        <v>SP</v>
      </c>
    </row>
    <row r="2318" spans="1:3" x14ac:dyDescent="0.35">
      <c r="A2318">
        <v>354270</v>
      </c>
      <c r="B2318" t="str">
        <f>VLOOKUP(A2318,Planilha2!$A$2:$C$5566,3,0)</f>
        <v>RESTINGA</v>
      </c>
      <c r="C2318" t="str">
        <f>VLOOKUP(A2318,Planilha2!$A$2:$D$5566,4,0)</f>
        <v>SP</v>
      </c>
    </row>
    <row r="2319" spans="1:3" x14ac:dyDescent="0.35">
      <c r="A2319">
        <v>354950</v>
      </c>
      <c r="B2319" t="str">
        <f>VLOOKUP(A2319,Planilha2!$A$2:$C$5566,3,0)</f>
        <v>SÃO JOSÉ DA BELA VISTA</v>
      </c>
      <c r="C2319" t="str">
        <f>VLOOKUP(A2319,Planilha2!$A$2:$D$5566,4,0)</f>
        <v>SP</v>
      </c>
    </row>
    <row r="2320" spans="1:3" x14ac:dyDescent="0.35">
      <c r="A2320">
        <v>355730</v>
      </c>
      <c r="B2320" t="str">
        <f>VLOOKUP(A2320,Planilha2!$A$2:$C$5566,3,0)</f>
        <v>ESTIVA GERBI</v>
      </c>
      <c r="C2320" t="str">
        <f>VLOOKUP(A2320,Planilha2!$A$2:$D$5566,4,0)</f>
        <v>SP</v>
      </c>
    </row>
    <row r="2321" spans="1:3" x14ac:dyDescent="0.35">
      <c r="A2321">
        <v>351400</v>
      </c>
      <c r="B2321" t="str">
        <f>VLOOKUP(A2321,Planilha2!$A$2:$C$5566,3,0)</f>
        <v>DOBRADA</v>
      </c>
      <c r="C2321" t="str">
        <f>VLOOKUP(A2321,Planilha2!$A$2:$D$5566,4,0)</f>
        <v>SP</v>
      </c>
    </row>
    <row r="2322" spans="1:3" x14ac:dyDescent="0.35">
      <c r="A2322">
        <v>250937</v>
      </c>
      <c r="B2322" t="str">
        <f>VLOOKUP(A2322,Planilha2!$A$2:$C$5566,3,0)</f>
        <v>MATO GROSSO</v>
      </c>
      <c r="C2322" t="str">
        <f>VLOOKUP(A2322,Planilha2!$A$2:$D$5566,4,0)</f>
        <v>PB</v>
      </c>
    </row>
    <row r="2323" spans="1:3" x14ac:dyDescent="0.35">
      <c r="A2323">
        <v>354290</v>
      </c>
      <c r="B2323" t="str">
        <f>VLOOKUP(A2323,Planilha2!$A$2:$C$5566,3,0)</f>
        <v>RIBEIRÃO BONITO</v>
      </c>
      <c r="C2323" t="str">
        <f>VLOOKUP(A2323,Planilha2!$A$2:$D$5566,4,0)</f>
        <v>SP</v>
      </c>
    </row>
    <row r="2324" spans="1:3" x14ac:dyDescent="0.35">
      <c r="A2324">
        <v>353010</v>
      </c>
      <c r="B2324" t="str">
        <f>VLOOKUP(A2324,Planilha2!$A$2:$C$5566,3,0)</f>
        <v>MIRANDÓPOLIS</v>
      </c>
      <c r="C2324" t="str">
        <f>VLOOKUP(A2324,Planilha2!$A$2:$D$5566,4,0)</f>
        <v>SP</v>
      </c>
    </row>
    <row r="2325" spans="1:3" x14ac:dyDescent="0.35">
      <c r="A2325">
        <v>351100</v>
      </c>
      <c r="B2325" t="str">
        <f>VLOOKUP(A2325,Planilha2!$A$2:$C$5566,3,0)</f>
        <v>CASTILHO</v>
      </c>
      <c r="C2325" t="str">
        <f>VLOOKUP(A2325,Planilha2!$A$2:$D$5566,4,0)</f>
        <v>SP</v>
      </c>
    </row>
    <row r="2326" spans="1:3" x14ac:dyDescent="0.35">
      <c r="A2326">
        <v>351820</v>
      </c>
      <c r="B2326" t="str">
        <f>VLOOKUP(A2326,Planilha2!$A$2:$C$5566,3,0)</f>
        <v>GUARARAPES</v>
      </c>
      <c r="C2326" t="str">
        <f>VLOOKUP(A2326,Planilha2!$A$2:$D$5566,4,0)</f>
        <v>SP</v>
      </c>
    </row>
    <row r="2327" spans="1:3" x14ac:dyDescent="0.35">
      <c r="A2327">
        <v>315770</v>
      </c>
      <c r="B2327" t="str">
        <f>VLOOKUP(A2327,Planilha2!$A$2:$C$5566,3,0)</f>
        <v>SANTA JULIANA</v>
      </c>
      <c r="C2327" t="str">
        <f>VLOOKUP(A2327,Planilha2!$A$2:$D$5566,4,0)</f>
        <v>MG</v>
      </c>
    </row>
    <row r="2328" spans="1:3" x14ac:dyDescent="0.35">
      <c r="A2328">
        <v>355190</v>
      </c>
      <c r="B2328" t="str">
        <f>VLOOKUP(A2328,Planilha2!$A$2:$C$5566,3,0)</f>
        <v>SEVERÍNIA</v>
      </c>
      <c r="C2328" t="str">
        <f>VLOOKUP(A2328,Planilha2!$A$2:$D$5566,4,0)</f>
        <v>SP</v>
      </c>
    </row>
    <row r="2329" spans="1:3" x14ac:dyDescent="0.35">
      <c r="A2329">
        <v>353150</v>
      </c>
      <c r="B2329" t="str">
        <f>VLOOKUP(A2329,Planilha2!$A$2:$C$5566,3,0)</f>
        <v>MONTE AZUL PAULISTA</v>
      </c>
      <c r="C2329" t="str">
        <f>VLOOKUP(A2329,Planilha2!$A$2:$D$5566,4,0)</f>
        <v>SP</v>
      </c>
    </row>
    <row r="2330" spans="1:3" x14ac:dyDescent="0.35">
      <c r="A2330">
        <v>355150</v>
      </c>
      <c r="B2330" t="str">
        <f>VLOOKUP(A2330,Planilha2!$A$2:$C$5566,3,0)</f>
        <v>SERRANA</v>
      </c>
      <c r="C2330" t="str">
        <f>VLOOKUP(A2330,Planilha2!$A$2:$D$5566,4,0)</f>
        <v>SP</v>
      </c>
    </row>
    <row r="2331" spans="1:3" x14ac:dyDescent="0.35">
      <c r="A2331">
        <v>350290</v>
      </c>
      <c r="B2331" t="str">
        <f>VLOOKUP(A2331,Planilha2!$A$2:$C$5566,3,0)</f>
        <v>ARAÇOIABA DA SERRA</v>
      </c>
      <c r="C2331" t="str">
        <f>VLOOKUP(A2331,Planilha2!$A$2:$D$5566,4,0)</f>
        <v>SP</v>
      </c>
    </row>
    <row r="2332" spans="1:3" x14ac:dyDescent="0.35">
      <c r="A2332">
        <v>351630</v>
      </c>
      <c r="B2332" t="str">
        <f>VLOOKUP(A2332,Planilha2!$A$2:$C$5566,3,0)</f>
        <v>FRANCISCO MORATO</v>
      </c>
      <c r="C2332" t="str">
        <f>VLOOKUP(A2332,Planilha2!$A$2:$D$5566,4,0)</f>
        <v>SP</v>
      </c>
    </row>
    <row r="2333" spans="1:3" x14ac:dyDescent="0.35">
      <c r="A2333">
        <v>351490</v>
      </c>
      <c r="B2333" t="str">
        <f>VLOOKUP(A2333,Planilha2!$A$2:$C$5566,3,0)</f>
        <v>ELIAS FAUSTO</v>
      </c>
      <c r="C2333" t="str">
        <f>VLOOKUP(A2333,Planilha2!$A$2:$D$5566,4,0)</f>
        <v>SP</v>
      </c>
    </row>
    <row r="2334" spans="1:3" x14ac:dyDescent="0.35">
      <c r="A2334">
        <v>351150</v>
      </c>
      <c r="B2334" t="str">
        <f>VLOOKUP(A2334,Planilha2!$A$2:$C$5566,3,0)</f>
        <v>CERQUILHO</v>
      </c>
      <c r="C2334" t="str">
        <f>VLOOKUP(A2334,Planilha2!$A$2:$D$5566,4,0)</f>
        <v>SP</v>
      </c>
    </row>
    <row r="2335" spans="1:3" x14ac:dyDescent="0.35">
      <c r="A2335">
        <v>355090</v>
      </c>
      <c r="B2335" t="str">
        <f>VLOOKUP(A2335,Planilha2!$A$2:$C$5566,3,0)</f>
        <v>SÃO SIMÃO</v>
      </c>
      <c r="C2335" t="str">
        <f>VLOOKUP(A2335,Planilha2!$A$2:$D$5566,4,0)</f>
        <v>SP</v>
      </c>
    </row>
    <row r="2336" spans="1:3" x14ac:dyDescent="0.35">
      <c r="A2336">
        <v>351760</v>
      </c>
      <c r="B2336" t="str">
        <f>VLOOKUP(A2336,Planilha2!$A$2:$C$5566,3,0)</f>
        <v>GUAPIARA</v>
      </c>
      <c r="C2336" t="str">
        <f>VLOOKUP(A2336,Planilha2!$A$2:$D$5566,4,0)</f>
        <v>SP</v>
      </c>
    </row>
    <row r="2337" spans="1:3" x14ac:dyDescent="0.35">
      <c r="A2337">
        <v>353560</v>
      </c>
      <c r="B2337" t="str">
        <f>VLOOKUP(A2337,Planilha2!$A$2:$C$5566,3,0)</f>
        <v>PARAIBUNA</v>
      </c>
      <c r="C2337" t="str">
        <f>VLOOKUP(A2337,Planilha2!$A$2:$D$5566,4,0)</f>
        <v>SP</v>
      </c>
    </row>
    <row r="2338" spans="1:3" x14ac:dyDescent="0.35">
      <c r="A2338">
        <v>350115</v>
      </c>
      <c r="B2338" t="str">
        <f>VLOOKUP(A2338,Planilha2!$A$2:$C$5566,3,0)</f>
        <v>ALUMÍNIO</v>
      </c>
      <c r="C2338" t="str">
        <f>VLOOKUP(A2338,Planilha2!$A$2:$D$5566,4,0)</f>
        <v>SP</v>
      </c>
    </row>
    <row r="2339" spans="1:3" x14ac:dyDescent="0.35">
      <c r="A2339">
        <v>350700</v>
      </c>
      <c r="B2339" t="str">
        <f>VLOOKUP(A2339,Planilha2!$A$2:$C$5566,3,0)</f>
        <v>BOITUVA</v>
      </c>
      <c r="C2339" t="str">
        <f>VLOOKUP(A2339,Planilha2!$A$2:$D$5566,4,0)</f>
        <v>SP</v>
      </c>
    </row>
    <row r="2340" spans="1:3" x14ac:dyDescent="0.35">
      <c r="A2340">
        <v>353740</v>
      </c>
      <c r="B2340" t="str">
        <f>VLOOKUP(A2340,Planilha2!$A$2:$C$5566,3,0)</f>
        <v>PEREIRA BARRETO</v>
      </c>
      <c r="C2340" t="str">
        <f>VLOOKUP(A2340,Planilha2!$A$2:$D$5566,4,0)</f>
        <v>SP</v>
      </c>
    </row>
    <row r="2341" spans="1:3" x14ac:dyDescent="0.35">
      <c r="A2341">
        <v>354240</v>
      </c>
      <c r="B2341" t="str">
        <f>VLOOKUP(A2341,Planilha2!$A$2:$C$5566,3,0)</f>
        <v>REGENTE FEIJÓ</v>
      </c>
      <c r="C2341" t="str">
        <f>VLOOKUP(A2341,Planilha2!$A$2:$D$5566,4,0)</f>
        <v>SP</v>
      </c>
    </row>
    <row r="2342" spans="1:3" x14ac:dyDescent="0.35">
      <c r="A2342">
        <v>352600</v>
      </c>
      <c r="B2342" t="str">
        <f>VLOOKUP(A2342,Planilha2!$A$2:$C$5566,3,0)</f>
        <v>JUNQUEIRÓPOLIS</v>
      </c>
      <c r="C2342" t="str">
        <f>VLOOKUP(A2342,Planilha2!$A$2:$D$5566,4,0)</f>
        <v>SP</v>
      </c>
    </row>
    <row r="2343" spans="1:3" x14ac:dyDescent="0.35">
      <c r="A2343">
        <v>351510</v>
      </c>
      <c r="B2343" t="str">
        <f>VLOOKUP(A2343,Planilha2!$A$2:$C$5566,3,0)</f>
        <v>EMBU-GUAÇU</v>
      </c>
      <c r="C2343" t="str">
        <f>VLOOKUP(A2343,Planilha2!$A$2:$D$5566,4,0)</f>
        <v>SP</v>
      </c>
    </row>
    <row r="2344" spans="1:3" x14ac:dyDescent="0.35">
      <c r="A2344">
        <v>354760</v>
      </c>
      <c r="B2344" t="str">
        <f>VLOOKUP(A2344,Planilha2!$A$2:$C$5566,3,0)</f>
        <v>SANTA ROSA DE VITERBO</v>
      </c>
      <c r="C2344" t="str">
        <f>VLOOKUP(A2344,Planilha2!$A$2:$D$5566,4,0)</f>
        <v>SP</v>
      </c>
    </row>
    <row r="2345" spans="1:3" x14ac:dyDescent="0.35">
      <c r="A2345">
        <v>351410</v>
      </c>
      <c r="B2345" t="str">
        <f>VLOOKUP(A2345,Planilha2!$A$2:$C$5566,3,0)</f>
        <v>DOIS CÓRREGOS</v>
      </c>
      <c r="C2345" t="str">
        <f>VLOOKUP(A2345,Planilha2!$A$2:$D$5566,4,0)</f>
        <v>SP</v>
      </c>
    </row>
    <row r="2346" spans="1:3" x14ac:dyDescent="0.35">
      <c r="A2346">
        <v>353810</v>
      </c>
      <c r="B2346" t="str">
        <f>VLOOKUP(A2346,Planilha2!$A$2:$C$5566,3,0)</f>
        <v>PINDORAMA</v>
      </c>
      <c r="C2346" t="str">
        <f>VLOOKUP(A2346,Planilha2!$A$2:$D$5566,4,0)</f>
        <v>SP</v>
      </c>
    </row>
    <row r="2347" spans="1:3" x14ac:dyDescent="0.35">
      <c r="A2347">
        <v>353200</v>
      </c>
      <c r="B2347" t="str">
        <f>VLOOKUP(A2347,Planilha2!$A$2:$C$5566,3,0)</f>
        <v>MORUNGABA</v>
      </c>
      <c r="C2347" t="str">
        <f>VLOOKUP(A2347,Planilha2!$A$2:$D$5566,4,0)</f>
        <v>SP</v>
      </c>
    </row>
    <row r="2348" spans="1:3" x14ac:dyDescent="0.35">
      <c r="A2348">
        <v>410960</v>
      </c>
      <c r="B2348" t="str">
        <f>VLOOKUP(A2348,Planilha2!$A$2:$C$5566,3,0)</f>
        <v>GUARATUBA</v>
      </c>
      <c r="C2348" t="str">
        <f>VLOOKUP(A2348,Planilha2!$A$2:$D$5566,4,0)</f>
        <v>PR</v>
      </c>
    </row>
    <row r="2349" spans="1:3" x14ac:dyDescent="0.35">
      <c r="A2349">
        <v>410850</v>
      </c>
      <c r="B2349" t="str">
        <f>VLOOKUP(A2349,Planilha2!$A$2:$C$5566,3,0)</f>
        <v>GENERAL CARNEIRO</v>
      </c>
      <c r="C2349" t="str">
        <f>VLOOKUP(A2349,Planilha2!$A$2:$D$5566,4,0)</f>
        <v>PR</v>
      </c>
    </row>
    <row r="2350" spans="1:3" x14ac:dyDescent="0.35">
      <c r="A2350">
        <v>411780</v>
      </c>
      <c r="B2350" t="str">
        <f>VLOOKUP(A2350,Planilha2!$A$2:$C$5566,3,0)</f>
        <v>PALMITAL</v>
      </c>
      <c r="C2350" t="str">
        <f>VLOOKUP(A2350,Planilha2!$A$2:$D$5566,4,0)</f>
        <v>PR</v>
      </c>
    </row>
    <row r="2351" spans="1:3" x14ac:dyDescent="0.35">
      <c r="A2351">
        <v>411705</v>
      </c>
      <c r="B2351" t="str">
        <f>VLOOKUP(A2351,Planilha2!$A$2:$C$5566,3,0)</f>
        <v>NOVA LARANJEIRAS</v>
      </c>
      <c r="C2351" t="str">
        <f>VLOOKUP(A2351,Planilha2!$A$2:$D$5566,4,0)</f>
        <v>PR</v>
      </c>
    </row>
    <row r="2352" spans="1:3" x14ac:dyDescent="0.35">
      <c r="A2352">
        <v>412060</v>
      </c>
      <c r="B2352" t="str">
        <f>VLOOKUP(A2352,Planilha2!$A$2:$C$5566,3,0)</f>
        <v>PRUDENTÓPOLIS</v>
      </c>
      <c r="C2352" t="str">
        <f>VLOOKUP(A2352,Planilha2!$A$2:$D$5566,4,0)</f>
        <v>PR</v>
      </c>
    </row>
    <row r="2353" spans="1:3" x14ac:dyDescent="0.35">
      <c r="A2353">
        <v>411930</v>
      </c>
      <c r="B2353" t="str">
        <f>VLOOKUP(A2353,Planilha2!$A$2:$C$5566,3,0)</f>
        <v>PINHÃO</v>
      </c>
      <c r="C2353" t="str">
        <f>VLOOKUP(A2353,Planilha2!$A$2:$D$5566,4,0)</f>
        <v>PR</v>
      </c>
    </row>
    <row r="2354" spans="1:3" x14ac:dyDescent="0.35">
      <c r="A2354">
        <v>410460</v>
      </c>
      <c r="B2354" t="str">
        <f>VLOOKUP(A2354,Planilha2!$A$2:$C$5566,3,0)</f>
        <v>CAPITÃO LEÔNIDAS MARQUES</v>
      </c>
      <c r="C2354" t="str">
        <f>VLOOKUP(A2354,Planilha2!$A$2:$D$5566,4,0)</f>
        <v>PR</v>
      </c>
    </row>
    <row r="2355" spans="1:3" x14ac:dyDescent="0.35">
      <c r="A2355">
        <v>500470</v>
      </c>
      <c r="B2355" t="str">
        <f>VLOOKUP(A2355,Planilha2!$A$2:$C$5566,3,0)</f>
        <v>IVINHEMA</v>
      </c>
      <c r="C2355" t="str">
        <f>VLOOKUP(A2355,Planilha2!$A$2:$D$5566,4,0)</f>
        <v>MS</v>
      </c>
    </row>
    <row r="2356" spans="1:3" x14ac:dyDescent="0.35">
      <c r="A2356">
        <v>412020</v>
      </c>
      <c r="B2356" t="str">
        <f>VLOOKUP(A2356,Planilha2!$A$2:$C$5566,3,0)</f>
        <v>PORTO RICO</v>
      </c>
      <c r="C2356" t="str">
        <f>VLOOKUP(A2356,Planilha2!$A$2:$D$5566,4,0)</f>
        <v>PR</v>
      </c>
    </row>
    <row r="2357" spans="1:3" x14ac:dyDescent="0.35">
      <c r="A2357">
        <v>412740</v>
      </c>
      <c r="B2357" t="str">
        <f>VLOOKUP(A2357,Planilha2!$A$2:$C$5566,3,0)</f>
        <v>TERRA ROXA</v>
      </c>
      <c r="C2357" t="str">
        <f>VLOOKUP(A2357,Planilha2!$A$2:$D$5566,4,0)</f>
        <v>PR</v>
      </c>
    </row>
    <row r="2358" spans="1:3" x14ac:dyDescent="0.35">
      <c r="A2358">
        <v>411435</v>
      </c>
      <c r="B2358" t="str">
        <f>VLOOKUP(A2358,Planilha2!$A$2:$C$5566,3,0)</f>
        <v>MANFRINÓPOLIS</v>
      </c>
      <c r="C2358" t="str">
        <f>VLOOKUP(A2358,Planilha2!$A$2:$D$5566,4,0)</f>
        <v>PR</v>
      </c>
    </row>
    <row r="2359" spans="1:3" x14ac:dyDescent="0.35">
      <c r="A2359">
        <v>412405</v>
      </c>
      <c r="B2359" t="str">
        <f>VLOOKUP(A2359,Planilha2!$A$2:$C$5566,3,0)</f>
        <v>SANTA TEREZINHA DE ITAIPU</v>
      </c>
      <c r="C2359" t="str">
        <f>VLOOKUP(A2359,Planilha2!$A$2:$D$5566,4,0)</f>
        <v>PR</v>
      </c>
    </row>
    <row r="2360" spans="1:3" x14ac:dyDescent="0.35">
      <c r="A2360">
        <v>410810</v>
      </c>
      <c r="B2360" t="str">
        <f>VLOOKUP(A2360,Planilha2!$A$2:$C$5566,3,0)</f>
        <v>FLÓRIDA</v>
      </c>
      <c r="C2360" t="str">
        <f>VLOOKUP(A2360,Planilha2!$A$2:$D$5566,4,0)</f>
        <v>PR</v>
      </c>
    </row>
    <row r="2361" spans="1:3" x14ac:dyDescent="0.35">
      <c r="A2361">
        <v>410730</v>
      </c>
      <c r="B2361" t="str">
        <f>VLOOKUP(A2361,Planilha2!$A$2:$C$5566,3,0)</f>
        <v>DOUTOR CAMARGO</v>
      </c>
      <c r="C2361" t="str">
        <f>VLOOKUP(A2361,Planilha2!$A$2:$D$5566,4,0)</f>
        <v>PR</v>
      </c>
    </row>
    <row r="2362" spans="1:3" x14ac:dyDescent="0.35">
      <c r="A2362">
        <v>411400</v>
      </c>
      <c r="B2362" t="str">
        <f>VLOOKUP(A2362,Planilha2!$A$2:$C$5566,3,0)</f>
        <v>MAMBORÊ</v>
      </c>
      <c r="C2362" t="str">
        <f>VLOOKUP(A2362,Planilha2!$A$2:$D$5566,4,0)</f>
        <v>PR</v>
      </c>
    </row>
    <row r="2363" spans="1:3" x14ac:dyDescent="0.35">
      <c r="A2363">
        <v>412800</v>
      </c>
      <c r="B2363" t="str">
        <f>VLOOKUP(A2363,Planilha2!$A$2:$C$5566,3,0)</f>
        <v>UBIRATÃ</v>
      </c>
      <c r="C2363" t="str">
        <f>VLOOKUP(A2363,Planilha2!$A$2:$D$5566,4,0)</f>
        <v>PR</v>
      </c>
    </row>
    <row r="2364" spans="1:3" x14ac:dyDescent="0.35">
      <c r="A2364">
        <v>410390</v>
      </c>
      <c r="B2364" t="str">
        <f>VLOOKUP(A2364,Planilha2!$A$2:$C$5566,3,0)</f>
        <v>CAMPINA DA LAGOA</v>
      </c>
      <c r="C2364" t="str">
        <f>VLOOKUP(A2364,Planilha2!$A$2:$D$5566,4,0)</f>
        <v>PR</v>
      </c>
    </row>
    <row r="2365" spans="1:3" x14ac:dyDescent="0.35">
      <c r="A2365">
        <v>412855</v>
      </c>
      <c r="B2365" t="str">
        <f>VLOOKUP(A2365,Planilha2!$A$2:$C$5566,3,0)</f>
        <v>VERA CRUZ DO OESTE</v>
      </c>
      <c r="C2365" t="str">
        <f>VLOOKUP(A2365,Planilha2!$A$2:$D$5566,4,0)</f>
        <v>PR</v>
      </c>
    </row>
    <row r="2366" spans="1:3" x14ac:dyDescent="0.35">
      <c r="A2366">
        <v>410500</v>
      </c>
      <c r="B2366" t="str">
        <f>VLOOKUP(A2366,Planilha2!$A$2:$C$5566,3,0)</f>
        <v>CATANDUVAS</v>
      </c>
      <c r="C2366" t="str">
        <f>VLOOKUP(A2366,Planilha2!$A$2:$D$5566,4,0)</f>
        <v>PR</v>
      </c>
    </row>
    <row r="2367" spans="1:3" x14ac:dyDescent="0.35">
      <c r="A2367">
        <v>410975</v>
      </c>
      <c r="B2367" t="str">
        <f>VLOOKUP(A2367,Planilha2!$A$2:$C$5566,3,0)</f>
        <v>IBEMA</v>
      </c>
      <c r="C2367" t="str">
        <f>VLOOKUP(A2367,Planilha2!$A$2:$D$5566,4,0)</f>
        <v>PR</v>
      </c>
    </row>
    <row r="2368" spans="1:3" x14ac:dyDescent="0.35">
      <c r="A2368">
        <v>412785</v>
      </c>
      <c r="B2368" t="str">
        <f>VLOOKUP(A2368,Planilha2!$A$2:$C$5566,3,0)</f>
        <v>TRÊS BARRAS DO PARANÁ</v>
      </c>
      <c r="C2368" t="str">
        <f>VLOOKUP(A2368,Planilha2!$A$2:$D$5566,4,0)</f>
        <v>PR</v>
      </c>
    </row>
    <row r="2369" spans="1:3" x14ac:dyDescent="0.35">
      <c r="A2369">
        <v>411790</v>
      </c>
      <c r="B2369" t="str">
        <f>VLOOKUP(A2369,Planilha2!$A$2:$C$5566,3,0)</f>
        <v>PALOTINA</v>
      </c>
      <c r="C2369" t="str">
        <f>VLOOKUP(A2369,Planilha2!$A$2:$D$5566,4,0)</f>
        <v>PR</v>
      </c>
    </row>
    <row r="2370" spans="1:3" x14ac:dyDescent="0.35">
      <c r="A2370">
        <v>410630</v>
      </c>
      <c r="B2370" t="str">
        <f>VLOOKUP(A2370,Planilha2!$A$2:$C$5566,3,0)</f>
        <v>CORBÉLIA</v>
      </c>
      <c r="C2370" t="str">
        <f>VLOOKUP(A2370,Planilha2!$A$2:$D$5566,4,0)</f>
        <v>PR</v>
      </c>
    </row>
    <row r="2371" spans="1:3" x14ac:dyDescent="0.35">
      <c r="A2371">
        <v>410335</v>
      </c>
      <c r="B2371" t="str">
        <f>VLOOKUP(A2371,Planilha2!$A$2:$C$5566,3,0)</f>
        <v>BRAGANEY</v>
      </c>
      <c r="C2371" t="str">
        <f>VLOOKUP(A2371,Planilha2!$A$2:$D$5566,4,0)</f>
        <v>PR</v>
      </c>
    </row>
    <row r="2372" spans="1:3" x14ac:dyDescent="0.35">
      <c r="A2372">
        <v>412810</v>
      </c>
      <c r="B2372" t="str">
        <f>VLOOKUP(A2372,Planilha2!$A$2:$C$5566,3,0)</f>
        <v>UMUARAMA</v>
      </c>
      <c r="C2372" t="str">
        <f>VLOOKUP(A2372,Planilha2!$A$2:$D$5566,4,0)</f>
        <v>PR</v>
      </c>
    </row>
    <row r="2373" spans="1:3" x14ac:dyDescent="0.35">
      <c r="A2373">
        <v>411510</v>
      </c>
      <c r="B2373" t="str">
        <f>VLOOKUP(A2373,Planilha2!$A$2:$C$5566,3,0)</f>
        <v>MARILUZ</v>
      </c>
      <c r="C2373" t="str">
        <f>VLOOKUP(A2373,Planilha2!$A$2:$D$5566,4,0)</f>
        <v>PR</v>
      </c>
    </row>
    <row r="2374" spans="1:3" x14ac:dyDescent="0.35">
      <c r="A2374">
        <v>411210</v>
      </c>
      <c r="B2374" t="str">
        <f>VLOOKUP(A2374,Planilha2!$A$2:$C$5566,3,0)</f>
        <v>JANDAIA DO SUL</v>
      </c>
      <c r="C2374" t="str">
        <f>VLOOKUP(A2374,Planilha2!$A$2:$D$5566,4,0)</f>
        <v>PR</v>
      </c>
    </row>
    <row r="2375" spans="1:3" x14ac:dyDescent="0.35">
      <c r="A2375">
        <v>411310</v>
      </c>
      <c r="B2375" t="str">
        <f>VLOOKUP(A2375,Planilha2!$A$2:$C$5566,3,0)</f>
        <v>KALORÉ</v>
      </c>
      <c r="C2375" t="str">
        <f>VLOOKUP(A2375,Planilha2!$A$2:$D$5566,4,0)</f>
        <v>PR</v>
      </c>
    </row>
    <row r="2376" spans="1:3" x14ac:dyDescent="0.35">
      <c r="A2376">
        <v>412820</v>
      </c>
      <c r="B2376" t="str">
        <f>VLOOKUP(A2376,Planilha2!$A$2:$C$5566,3,0)</f>
        <v>UNIÃO DA VITÓRIA</v>
      </c>
      <c r="C2376" t="str">
        <f>VLOOKUP(A2376,Planilha2!$A$2:$D$5566,4,0)</f>
        <v>PR</v>
      </c>
    </row>
    <row r="2377" spans="1:3" x14ac:dyDescent="0.35">
      <c r="A2377">
        <v>412788</v>
      </c>
      <c r="B2377" t="str">
        <f>VLOOKUP(A2377,Planilha2!$A$2:$C$5566,3,0)</f>
        <v>TUNAS DO PARANÁ</v>
      </c>
      <c r="C2377" t="str">
        <f>VLOOKUP(A2377,Planilha2!$A$2:$D$5566,4,0)</f>
        <v>PR</v>
      </c>
    </row>
    <row r="2378" spans="1:3" x14ac:dyDescent="0.35">
      <c r="A2378">
        <v>412050</v>
      </c>
      <c r="B2378" t="str">
        <f>VLOOKUP(A2378,Planilha2!$A$2:$C$5566,3,0)</f>
        <v>PRIMEIRO DE MAIO</v>
      </c>
      <c r="C2378" t="str">
        <f>VLOOKUP(A2378,Planilha2!$A$2:$D$5566,4,0)</f>
        <v>PR</v>
      </c>
    </row>
    <row r="2379" spans="1:3" x14ac:dyDescent="0.35">
      <c r="A2379">
        <v>410400</v>
      </c>
      <c r="B2379" t="str">
        <f>VLOOKUP(A2379,Planilha2!$A$2:$C$5566,3,0)</f>
        <v>CAMPINA GRANDE DO SUL</v>
      </c>
      <c r="C2379" t="str">
        <f>VLOOKUP(A2379,Planilha2!$A$2:$D$5566,4,0)</f>
        <v>PR</v>
      </c>
    </row>
    <row r="2380" spans="1:3" x14ac:dyDescent="0.35">
      <c r="A2380">
        <v>410980</v>
      </c>
      <c r="B2380" t="str">
        <f>VLOOKUP(A2380,Planilha2!$A$2:$C$5566,3,0)</f>
        <v>IBIPORÃ</v>
      </c>
      <c r="C2380" t="str">
        <f>VLOOKUP(A2380,Planilha2!$A$2:$D$5566,4,0)</f>
        <v>PR</v>
      </c>
    </row>
    <row r="2381" spans="1:3" x14ac:dyDescent="0.35">
      <c r="A2381">
        <v>412000</v>
      </c>
      <c r="B2381" t="str">
        <f>VLOOKUP(A2381,Planilha2!$A$2:$C$5566,3,0)</f>
        <v>PORECATU</v>
      </c>
      <c r="C2381" t="str">
        <f>VLOOKUP(A2381,Planilha2!$A$2:$D$5566,4,0)</f>
        <v>PR</v>
      </c>
    </row>
    <row r="2382" spans="1:3" x14ac:dyDescent="0.35">
      <c r="A2382">
        <v>412230</v>
      </c>
      <c r="B2382" t="str">
        <f>VLOOKUP(A2382,Planilha2!$A$2:$C$5566,3,0)</f>
        <v>RIO NEGRO</v>
      </c>
      <c r="C2382" t="str">
        <f>VLOOKUP(A2382,Planilha2!$A$2:$D$5566,4,0)</f>
        <v>PR</v>
      </c>
    </row>
    <row r="2383" spans="1:3" x14ac:dyDescent="0.35">
      <c r="A2383">
        <v>410465</v>
      </c>
      <c r="B2383" t="str">
        <f>VLOOKUP(A2383,Planilha2!$A$2:$C$5566,3,0)</f>
        <v>CARAMBEÍ</v>
      </c>
      <c r="C2383" t="str">
        <f>VLOOKUP(A2383,Planilha2!$A$2:$D$5566,4,0)</f>
        <v>PR</v>
      </c>
    </row>
    <row r="2384" spans="1:3" x14ac:dyDescent="0.35">
      <c r="A2384">
        <v>412510</v>
      </c>
      <c r="B2384" t="str">
        <f>VLOOKUP(A2384,Planilha2!$A$2:$C$5566,3,0)</f>
        <v>SÃO JOÃO DO TRIUNFO</v>
      </c>
      <c r="C2384" t="str">
        <f>VLOOKUP(A2384,Planilha2!$A$2:$D$5566,4,0)</f>
        <v>PR</v>
      </c>
    </row>
    <row r="2385" spans="1:3" x14ac:dyDescent="0.35">
      <c r="A2385">
        <v>410930</v>
      </c>
      <c r="B2385" t="str">
        <f>VLOOKUP(A2385,Planilha2!$A$2:$C$5566,3,0)</f>
        <v>GUARANIAÇU</v>
      </c>
      <c r="C2385" t="str">
        <f>VLOOKUP(A2385,Planilha2!$A$2:$D$5566,4,0)</f>
        <v>PR</v>
      </c>
    </row>
    <row r="2386" spans="1:3" x14ac:dyDescent="0.35">
      <c r="A2386">
        <v>411700</v>
      </c>
      <c r="B2386" t="str">
        <f>VLOOKUP(A2386,Planilha2!$A$2:$C$5566,3,0)</f>
        <v>NOVA FÁTIMA</v>
      </c>
      <c r="C2386" t="str">
        <f>VLOOKUP(A2386,Planilha2!$A$2:$D$5566,4,0)</f>
        <v>PR</v>
      </c>
    </row>
    <row r="2387" spans="1:3" x14ac:dyDescent="0.35">
      <c r="A2387">
        <v>412410</v>
      </c>
      <c r="B2387" t="str">
        <f>VLOOKUP(A2387,Planilha2!$A$2:$C$5566,3,0)</f>
        <v>SANTO ANTÔNIO DA PLATINA</v>
      </c>
      <c r="C2387" t="str">
        <f>VLOOKUP(A2387,Planilha2!$A$2:$D$5566,4,0)</f>
        <v>PR</v>
      </c>
    </row>
    <row r="2388" spans="1:3" x14ac:dyDescent="0.35">
      <c r="A2388">
        <v>412850</v>
      </c>
      <c r="B2388" t="str">
        <f>VLOOKUP(A2388,Planilha2!$A$2:$C$5566,3,0)</f>
        <v>WENCESLAU BRAZ</v>
      </c>
      <c r="C2388" t="str">
        <f>VLOOKUP(A2388,Planilha2!$A$2:$D$5566,4,0)</f>
        <v>PR</v>
      </c>
    </row>
    <row r="2389" spans="1:3" x14ac:dyDescent="0.35">
      <c r="A2389">
        <v>411480</v>
      </c>
      <c r="B2389" t="str">
        <f>VLOOKUP(A2389,Planilha2!$A$2:$C$5566,3,0)</f>
        <v>MARIALVA</v>
      </c>
      <c r="C2389" t="str">
        <f>VLOOKUP(A2389,Planilha2!$A$2:$D$5566,4,0)</f>
        <v>PR</v>
      </c>
    </row>
    <row r="2390" spans="1:3" x14ac:dyDescent="0.35">
      <c r="A2390">
        <v>411810</v>
      </c>
      <c r="B2390" t="str">
        <f>VLOOKUP(A2390,Planilha2!$A$2:$C$5566,3,0)</f>
        <v>PARANACITY</v>
      </c>
      <c r="C2390" t="str">
        <f>VLOOKUP(A2390,Planilha2!$A$2:$D$5566,4,0)</f>
        <v>PR</v>
      </c>
    </row>
    <row r="2391" spans="1:3" x14ac:dyDescent="0.35">
      <c r="A2391">
        <v>412240</v>
      </c>
      <c r="B2391" t="str">
        <f>VLOOKUP(A2391,Planilha2!$A$2:$C$5566,3,0)</f>
        <v>ROLÂNDIA</v>
      </c>
      <c r="C2391" t="str">
        <f>VLOOKUP(A2391,Planilha2!$A$2:$D$5566,4,0)</f>
        <v>PR</v>
      </c>
    </row>
    <row r="2392" spans="1:3" x14ac:dyDescent="0.35">
      <c r="A2392">
        <v>410210</v>
      </c>
      <c r="B2392" t="str">
        <f>VLOOKUP(A2392,Planilha2!$A$2:$C$5566,3,0)</f>
        <v>ASTORGA</v>
      </c>
      <c r="C2392" t="str">
        <f>VLOOKUP(A2392,Planilha2!$A$2:$D$5566,4,0)</f>
        <v>PR</v>
      </c>
    </row>
    <row r="2393" spans="1:3" x14ac:dyDescent="0.35">
      <c r="A2393">
        <v>410800</v>
      </c>
      <c r="B2393" t="str">
        <f>VLOOKUP(A2393,Planilha2!$A$2:$C$5566,3,0)</f>
        <v>FLORESTÓPOLIS</v>
      </c>
      <c r="C2393" t="str">
        <f>VLOOKUP(A2393,Planilha2!$A$2:$D$5566,4,0)</f>
        <v>PR</v>
      </c>
    </row>
    <row r="2394" spans="1:3" x14ac:dyDescent="0.35">
      <c r="A2394">
        <v>410240</v>
      </c>
      <c r="B2394" t="str">
        <f>VLOOKUP(A2394,Planilha2!$A$2:$C$5566,3,0)</f>
        <v>BANDEIRANTES</v>
      </c>
      <c r="C2394" t="str">
        <f>VLOOKUP(A2394,Planilha2!$A$2:$D$5566,4,0)</f>
        <v>PR</v>
      </c>
    </row>
    <row r="2395" spans="1:3" x14ac:dyDescent="0.35">
      <c r="A2395">
        <v>410190</v>
      </c>
      <c r="B2395" t="str">
        <f>VLOOKUP(A2395,Planilha2!$A$2:$C$5566,3,0)</f>
        <v>ASSAÍ</v>
      </c>
      <c r="C2395" t="str">
        <f>VLOOKUP(A2395,Planilha2!$A$2:$D$5566,4,0)</f>
        <v>PR</v>
      </c>
    </row>
    <row r="2396" spans="1:3" x14ac:dyDescent="0.35">
      <c r="A2396">
        <v>421970</v>
      </c>
      <c r="B2396" t="str">
        <f>VLOOKUP(A2396,Planilha2!$A$2:$C$5566,3,0)</f>
        <v>XAXIM</v>
      </c>
      <c r="C2396" t="str">
        <f>VLOOKUP(A2396,Planilha2!$A$2:$D$5566,4,0)</f>
        <v>SC</v>
      </c>
    </row>
    <row r="2397" spans="1:3" x14ac:dyDescent="0.35">
      <c r="A2397">
        <v>421390</v>
      </c>
      <c r="B2397" t="str">
        <f>VLOOKUP(A2397,Planilha2!$A$2:$C$5566,3,0)</f>
        <v>PRESIDENTE CASTELLO BRANCO</v>
      </c>
      <c r="C2397" t="str">
        <f>VLOOKUP(A2397,Planilha2!$A$2:$D$5566,4,0)</f>
        <v>SC</v>
      </c>
    </row>
    <row r="2398" spans="1:3" x14ac:dyDescent="0.35">
      <c r="A2398">
        <v>420690</v>
      </c>
      <c r="B2398" t="str">
        <f>VLOOKUP(A2398,Planilha2!$A$2:$C$5566,3,0)</f>
        <v>IBIRAMA</v>
      </c>
      <c r="C2398" t="str">
        <f>VLOOKUP(A2398,Planilha2!$A$2:$D$5566,4,0)</f>
        <v>SC</v>
      </c>
    </row>
    <row r="2399" spans="1:3" x14ac:dyDescent="0.35">
      <c r="A2399">
        <v>421280</v>
      </c>
      <c r="B2399" t="str">
        <f>VLOOKUP(A2399,Planilha2!$A$2:$C$5566,3,0)</f>
        <v>PIÇARRAS</v>
      </c>
      <c r="C2399" t="str">
        <f>VLOOKUP(A2399,Planilha2!$A$2:$D$5566,4,0)</f>
        <v>SC</v>
      </c>
    </row>
    <row r="2400" spans="1:3" x14ac:dyDescent="0.35">
      <c r="A2400">
        <v>420060</v>
      </c>
      <c r="B2400" t="str">
        <f>VLOOKUP(A2400,Planilha2!$A$2:$C$5566,3,0)</f>
        <v>ÁGUAS MORNAS</v>
      </c>
      <c r="C2400" t="str">
        <f>VLOOKUP(A2400,Planilha2!$A$2:$D$5566,4,0)</f>
        <v>SC</v>
      </c>
    </row>
    <row r="2401" spans="1:3" x14ac:dyDescent="0.35">
      <c r="A2401">
        <v>421569</v>
      </c>
      <c r="B2401" t="str">
        <f>VLOOKUP(A2401,Planilha2!$A$2:$C$5566,3,0)</f>
        <v>SANTIAGO DO SUL</v>
      </c>
      <c r="C2401" t="str">
        <f>VLOOKUP(A2401,Planilha2!$A$2:$D$5566,4,0)</f>
        <v>SC</v>
      </c>
    </row>
    <row r="2402" spans="1:3" x14ac:dyDescent="0.35">
      <c r="A2402">
        <v>421600</v>
      </c>
      <c r="B2402" t="str">
        <f>VLOOKUP(A2402,Planilha2!$A$2:$C$5566,3,0)</f>
        <v>SÃO CARLOS</v>
      </c>
      <c r="C2402" t="str">
        <f>VLOOKUP(A2402,Planilha2!$A$2:$D$5566,4,0)</f>
        <v>SC</v>
      </c>
    </row>
    <row r="2403" spans="1:3" x14ac:dyDescent="0.35">
      <c r="A2403">
        <v>421760</v>
      </c>
      <c r="B2403" t="str">
        <f>VLOOKUP(A2403,Planilha2!$A$2:$C$5566,3,0)</f>
        <v>SIDERÓPOLIS</v>
      </c>
      <c r="C2403" t="str">
        <f>VLOOKUP(A2403,Planilha2!$A$2:$D$5566,4,0)</f>
        <v>SC</v>
      </c>
    </row>
    <row r="2404" spans="1:3" x14ac:dyDescent="0.35">
      <c r="A2404">
        <v>420470</v>
      </c>
      <c r="B2404" t="str">
        <f>VLOOKUP(A2404,Planilha2!$A$2:$C$5566,3,0)</f>
        <v>CUNHA PORÃ</v>
      </c>
      <c r="C2404" t="str">
        <f>VLOOKUP(A2404,Planilha2!$A$2:$D$5566,4,0)</f>
        <v>SC</v>
      </c>
    </row>
    <row r="2405" spans="1:3" x14ac:dyDescent="0.35">
      <c r="A2405">
        <v>420500</v>
      </c>
      <c r="B2405" t="str">
        <f>VLOOKUP(A2405,Planilha2!$A$2:$C$5566,3,0)</f>
        <v>DIONÍSIO CERQUEIRA</v>
      </c>
      <c r="C2405" t="str">
        <f>VLOOKUP(A2405,Planilha2!$A$2:$D$5566,4,0)</f>
        <v>SC</v>
      </c>
    </row>
    <row r="2406" spans="1:3" x14ac:dyDescent="0.35">
      <c r="A2406">
        <v>420750</v>
      </c>
      <c r="B2406" t="str">
        <f>VLOOKUP(A2406,Planilha2!$A$2:$C$5566,3,0)</f>
        <v>INDAIAL</v>
      </c>
      <c r="C2406" t="str">
        <f>VLOOKUP(A2406,Planilha2!$A$2:$D$5566,4,0)</f>
        <v>SC</v>
      </c>
    </row>
    <row r="2407" spans="1:3" x14ac:dyDescent="0.35">
      <c r="A2407">
        <v>421125</v>
      </c>
      <c r="B2407" t="str">
        <f>VLOOKUP(A2407,Planilha2!$A$2:$C$5566,3,0)</f>
        <v>MORRO GRANDE</v>
      </c>
      <c r="C2407" t="str">
        <f>VLOOKUP(A2407,Planilha2!$A$2:$D$5566,4,0)</f>
        <v>SC</v>
      </c>
    </row>
    <row r="2408" spans="1:3" x14ac:dyDescent="0.35">
      <c r="A2408">
        <v>420765</v>
      </c>
      <c r="B2408" t="str">
        <f>VLOOKUP(A2408,Planilha2!$A$2:$C$5566,3,0)</f>
        <v>IPORÃ DO OESTE</v>
      </c>
      <c r="C2408" t="str">
        <f>VLOOKUP(A2408,Planilha2!$A$2:$D$5566,4,0)</f>
        <v>SC</v>
      </c>
    </row>
    <row r="2409" spans="1:3" x14ac:dyDescent="0.35">
      <c r="A2409">
        <v>421830</v>
      </c>
      <c r="B2409" t="str">
        <f>VLOOKUP(A2409,Planilha2!$A$2:$C$5566,3,0)</f>
        <v>TRÊS BARRAS</v>
      </c>
      <c r="C2409" t="str">
        <f>VLOOKUP(A2409,Planilha2!$A$2:$D$5566,4,0)</f>
        <v>SC</v>
      </c>
    </row>
    <row r="2410" spans="1:3" x14ac:dyDescent="0.35">
      <c r="A2410">
        <v>421030</v>
      </c>
      <c r="B2410" t="str">
        <f>VLOOKUP(A2410,Planilha2!$A$2:$C$5566,3,0)</f>
        <v>MAJOR VIEIRA</v>
      </c>
      <c r="C2410" t="str">
        <f>VLOOKUP(A2410,Planilha2!$A$2:$D$5566,4,0)</f>
        <v>SC</v>
      </c>
    </row>
    <row r="2411" spans="1:3" x14ac:dyDescent="0.35">
      <c r="A2411">
        <v>421360</v>
      </c>
      <c r="B2411" t="str">
        <f>VLOOKUP(A2411,Planilha2!$A$2:$C$5566,3,0)</f>
        <v>PORTO UNIÃO</v>
      </c>
      <c r="C2411" t="str">
        <f>VLOOKUP(A2411,Planilha2!$A$2:$D$5566,4,0)</f>
        <v>SC</v>
      </c>
    </row>
    <row r="2412" spans="1:3" x14ac:dyDescent="0.35">
      <c r="A2412">
        <v>421500</v>
      </c>
      <c r="B2412" t="str">
        <f>VLOOKUP(A2412,Planilha2!$A$2:$C$5566,3,0)</f>
        <v>RIO NEGRINHO</v>
      </c>
      <c r="C2412" t="str">
        <f>VLOOKUP(A2412,Planilha2!$A$2:$D$5566,4,0)</f>
        <v>SC</v>
      </c>
    </row>
    <row r="2413" spans="1:3" x14ac:dyDescent="0.35">
      <c r="A2413">
        <v>420950</v>
      </c>
      <c r="B2413" t="str">
        <f>VLOOKUP(A2413,Planilha2!$A$2:$C$5566,3,0)</f>
        <v>LAURENTINO</v>
      </c>
      <c r="C2413" t="str">
        <f>VLOOKUP(A2413,Planilha2!$A$2:$D$5566,4,0)</f>
        <v>SC</v>
      </c>
    </row>
    <row r="2414" spans="1:3" x14ac:dyDescent="0.35">
      <c r="A2414">
        <v>420580</v>
      </c>
      <c r="B2414" t="str">
        <f>VLOOKUP(A2414,Planilha2!$A$2:$C$5566,3,0)</f>
        <v>GARUVA</v>
      </c>
      <c r="C2414" t="str">
        <f>VLOOKUP(A2414,Planilha2!$A$2:$D$5566,4,0)</f>
        <v>SC</v>
      </c>
    </row>
    <row r="2415" spans="1:3" x14ac:dyDescent="0.35">
      <c r="A2415">
        <v>421003</v>
      </c>
      <c r="B2415" t="str">
        <f>VLOOKUP(A2415,Planilha2!$A$2:$C$5566,3,0)</f>
        <v>LUZERNA</v>
      </c>
      <c r="C2415" t="str">
        <f>VLOOKUP(A2415,Planilha2!$A$2:$D$5566,4,0)</f>
        <v>SC</v>
      </c>
    </row>
    <row r="2416" spans="1:3" x14ac:dyDescent="0.35">
      <c r="A2416">
        <v>420675</v>
      </c>
      <c r="B2416" t="str">
        <f>VLOOKUP(A2416,Planilha2!$A$2:$C$5566,3,0)</f>
        <v>IBIAM</v>
      </c>
      <c r="C2416" t="str">
        <f>VLOOKUP(A2416,Planilha2!$A$2:$D$5566,4,0)</f>
        <v>SC</v>
      </c>
    </row>
    <row r="2417" spans="1:3" x14ac:dyDescent="0.35">
      <c r="A2417">
        <v>421625</v>
      </c>
      <c r="B2417" t="str">
        <f>VLOOKUP(A2417,Planilha2!$A$2:$C$5566,3,0)</f>
        <v>SÃO JOÃO DO OESTE</v>
      </c>
      <c r="C2417" t="str">
        <f>VLOOKUP(A2417,Planilha2!$A$2:$D$5566,4,0)</f>
        <v>SC</v>
      </c>
    </row>
    <row r="2418" spans="1:3" x14ac:dyDescent="0.35">
      <c r="A2418">
        <v>421250</v>
      </c>
      <c r="B2418" t="str">
        <f>VLOOKUP(A2418,Planilha2!$A$2:$C$5566,3,0)</f>
        <v>PENHA</v>
      </c>
      <c r="C2418" t="str">
        <f>VLOOKUP(A2418,Planilha2!$A$2:$D$5566,4,0)</f>
        <v>SC</v>
      </c>
    </row>
    <row r="2419" spans="1:3" x14ac:dyDescent="0.35">
      <c r="A2419">
        <v>420170</v>
      </c>
      <c r="B2419" t="str">
        <f>VLOOKUP(A2419,Planilha2!$A$2:$C$5566,3,0)</f>
        <v>ASCURRA</v>
      </c>
      <c r="C2419" t="str">
        <f>VLOOKUP(A2419,Planilha2!$A$2:$D$5566,4,0)</f>
        <v>SC</v>
      </c>
    </row>
    <row r="2420" spans="1:3" x14ac:dyDescent="0.35">
      <c r="A2420">
        <v>420880</v>
      </c>
      <c r="B2420" t="str">
        <f>VLOOKUP(A2420,Planilha2!$A$2:$C$5566,3,0)</f>
        <v>JAGUARUNA</v>
      </c>
      <c r="C2420" t="str">
        <f>VLOOKUP(A2420,Planilha2!$A$2:$D$5566,4,0)</f>
        <v>SC</v>
      </c>
    </row>
    <row r="2421" spans="1:3" x14ac:dyDescent="0.35">
      <c r="A2421">
        <v>421160</v>
      </c>
      <c r="B2421" t="str">
        <f>VLOOKUP(A2421,Planilha2!$A$2:$C$5566,3,0)</f>
        <v>NOVA VENEZA</v>
      </c>
      <c r="C2421" t="str">
        <f>VLOOKUP(A2421,Planilha2!$A$2:$D$5566,4,0)</f>
        <v>SC</v>
      </c>
    </row>
    <row r="2422" spans="1:3" x14ac:dyDescent="0.35">
      <c r="A2422">
        <v>420395</v>
      </c>
      <c r="B2422" t="str">
        <f>VLOOKUP(A2422,Planilha2!$A$2:$C$5566,3,0)</f>
        <v>CAPIVARI DE BAIXO</v>
      </c>
      <c r="C2422" t="str">
        <f>VLOOKUP(A2422,Planilha2!$A$2:$D$5566,4,0)</f>
        <v>SC</v>
      </c>
    </row>
    <row r="2423" spans="1:3" x14ac:dyDescent="0.35">
      <c r="A2423">
        <v>420200</v>
      </c>
      <c r="B2423" t="str">
        <f>VLOOKUP(A2423,Planilha2!$A$2:$C$5566,3,0)</f>
        <v>BALNEARIO CAMBORIU</v>
      </c>
      <c r="C2423" t="str">
        <f>VLOOKUP(A2423,Planilha2!$A$2:$D$5566,4,0)</f>
        <v>SC</v>
      </c>
    </row>
    <row r="2424" spans="1:3" x14ac:dyDescent="0.35">
      <c r="A2424">
        <v>430235</v>
      </c>
      <c r="B2424" t="str">
        <f>VLOOKUP(A2424,Planilha2!$A$2:$C$5566,3,0)</f>
        <v>BOM PRINCÍPIO</v>
      </c>
      <c r="C2424" t="str">
        <f>VLOOKUP(A2424,Planilha2!$A$2:$D$5566,4,0)</f>
        <v>RS</v>
      </c>
    </row>
    <row r="2425" spans="1:3" x14ac:dyDescent="0.35">
      <c r="A2425">
        <v>430910</v>
      </c>
      <c r="B2425" t="str">
        <f>VLOOKUP(A2425,Planilha2!$A$2:$C$5566,3,0)</f>
        <v>GRAMADO</v>
      </c>
      <c r="C2425" t="str">
        <f>VLOOKUP(A2425,Planilha2!$A$2:$D$5566,4,0)</f>
        <v>RS</v>
      </c>
    </row>
    <row r="2426" spans="1:3" x14ac:dyDescent="0.35">
      <c r="A2426">
        <v>431880</v>
      </c>
      <c r="B2426" t="str">
        <f>VLOOKUP(A2426,Planilha2!$A$2:$C$5566,3,0)</f>
        <v>SÃO LOURENÇO DO SUL</v>
      </c>
      <c r="C2426" t="str">
        <f>VLOOKUP(A2426,Planilha2!$A$2:$D$5566,4,0)</f>
        <v>RS</v>
      </c>
    </row>
    <row r="2427" spans="1:3" x14ac:dyDescent="0.35">
      <c r="A2427">
        <v>431850</v>
      </c>
      <c r="B2427" t="str">
        <f>VLOOKUP(A2427,Planilha2!$A$2:$C$5566,3,0)</f>
        <v>SÃO JOSÉ DO NORTE</v>
      </c>
      <c r="C2427" t="str">
        <f>VLOOKUP(A2427,Planilha2!$A$2:$D$5566,4,0)</f>
        <v>RS</v>
      </c>
    </row>
    <row r="2428" spans="1:3" x14ac:dyDescent="0.35">
      <c r="A2428">
        <v>430466</v>
      </c>
      <c r="B2428" t="str">
        <f>VLOOKUP(A2428,Planilha2!$A$2:$C$5566,3,0)</f>
        <v>CAPÃO DO LEÃO</v>
      </c>
      <c r="C2428" t="str">
        <f>VLOOKUP(A2428,Planilha2!$A$2:$D$5566,4,0)</f>
        <v>RS</v>
      </c>
    </row>
    <row r="2429" spans="1:3" x14ac:dyDescent="0.35">
      <c r="A2429">
        <v>430160</v>
      </c>
      <c r="B2429" t="str">
        <f>VLOOKUP(A2429,Planilha2!$A$2:$C$5566,3,0)</f>
        <v>BAGÉ</v>
      </c>
      <c r="C2429" t="str">
        <f>VLOOKUP(A2429,Planilha2!$A$2:$D$5566,4,0)</f>
        <v>RS</v>
      </c>
    </row>
    <row r="2430" spans="1:3" x14ac:dyDescent="0.35">
      <c r="A2430">
        <v>432232</v>
      </c>
      <c r="B2430" t="str">
        <f>VLOOKUP(A2430,Planilha2!$A$2:$C$5566,3,0)</f>
        <v>TURUÇU</v>
      </c>
      <c r="C2430" t="str">
        <f>VLOOKUP(A2430,Planilha2!$A$2:$D$5566,4,0)</f>
        <v>RS</v>
      </c>
    </row>
    <row r="2431" spans="1:3" x14ac:dyDescent="0.35">
      <c r="A2431">
        <v>431960</v>
      </c>
      <c r="B2431" t="str">
        <f>VLOOKUP(A2431,Planilha2!$A$2:$C$5566,3,0)</f>
        <v>SÃO SEPÉ</v>
      </c>
      <c r="C2431" t="str">
        <f>VLOOKUP(A2431,Planilha2!$A$2:$D$5566,4,0)</f>
        <v>RS</v>
      </c>
    </row>
    <row r="2432" spans="1:3" x14ac:dyDescent="0.35">
      <c r="A2432">
        <v>431570</v>
      </c>
      <c r="B2432" t="str">
        <f>VLOOKUP(A2432,Planilha2!$A$2:$C$5566,3,0)</f>
        <v>RIO PARDO</v>
      </c>
      <c r="C2432" t="str">
        <f>VLOOKUP(A2432,Planilha2!$A$2:$D$5566,4,0)</f>
        <v>RS</v>
      </c>
    </row>
    <row r="2433" spans="1:3" x14ac:dyDescent="0.35">
      <c r="A2433">
        <v>432166</v>
      </c>
      <c r="B2433" t="str">
        <f>VLOOKUP(A2433,Planilha2!$A$2:$C$5566,3,0)</f>
        <v>TRÊS CACHOEIRAS</v>
      </c>
      <c r="C2433" t="str">
        <f>VLOOKUP(A2433,Planilha2!$A$2:$D$5566,4,0)</f>
        <v>RS</v>
      </c>
    </row>
    <row r="2434" spans="1:3" x14ac:dyDescent="0.35">
      <c r="A2434">
        <v>431450</v>
      </c>
      <c r="B2434" t="str">
        <f>VLOOKUP(A2434,Planilha2!$A$2:$C$5566,3,0)</f>
        <v>PINHEIRO MACHADO</v>
      </c>
      <c r="C2434" t="str">
        <f>VLOOKUP(A2434,Planilha2!$A$2:$D$5566,4,0)</f>
        <v>RS</v>
      </c>
    </row>
    <row r="2435" spans="1:3" x14ac:dyDescent="0.35">
      <c r="A2435">
        <v>430010</v>
      </c>
      <c r="B2435" t="str">
        <f>VLOOKUP(A2435,Planilha2!$A$2:$C$5566,3,0)</f>
        <v>AGUDO</v>
      </c>
      <c r="C2435" t="str">
        <f>VLOOKUP(A2435,Planilha2!$A$2:$D$5566,4,0)</f>
        <v>RS</v>
      </c>
    </row>
    <row r="2436" spans="1:3" x14ac:dyDescent="0.35">
      <c r="A2436">
        <v>432065</v>
      </c>
      <c r="B2436" t="str">
        <f>VLOOKUP(A2436,Planilha2!$A$2:$C$5566,3,0)</f>
        <v>SILVEIRA MARTINS</v>
      </c>
      <c r="C2436" t="str">
        <f>VLOOKUP(A2436,Planilha2!$A$2:$D$5566,4,0)</f>
        <v>RS</v>
      </c>
    </row>
    <row r="2437" spans="1:3" x14ac:dyDescent="0.35">
      <c r="A2437">
        <v>500410</v>
      </c>
      <c r="B2437" t="str">
        <f>VLOOKUP(A2437,Planilha2!$A$2:$C$5566,3,0)</f>
        <v>GUIA LOPES DA LAGUNA</v>
      </c>
      <c r="C2437" t="str">
        <f>VLOOKUP(A2437,Planilha2!$A$2:$D$5566,4,0)</f>
        <v>MS</v>
      </c>
    </row>
    <row r="2438" spans="1:3" x14ac:dyDescent="0.35">
      <c r="A2438">
        <v>500200</v>
      </c>
      <c r="B2438" t="str">
        <f>VLOOKUP(A2438,Planilha2!$A$2:$C$5566,3,0)</f>
        <v>BATAYPORÃ</v>
      </c>
      <c r="C2438" t="str">
        <f>VLOOKUP(A2438,Planilha2!$A$2:$D$5566,4,0)</f>
        <v>MS</v>
      </c>
    </row>
    <row r="2439" spans="1:3" x14ac:dyDescent="0.35">
      <c r="A2439">
        <v>510706</v>
      </c>
      <c r="B2439" t="str">
        <f>VLOOKUP(A2439,Planilha2!$A$2:$C$5566,3,0)</f>
        <v>QUERÊNCIA</v>
      </c>
      <c r="C2439" t="str">
        <f>VLOOKUP(A2439,Planilha2!$A$2:$D$5566,4,0)</f>
        <v>MT</v>
      </c>
    </row>
    <row r="2440" spans="1:3" x14ac:dyDescent="0.35">
      <c r="A2440">
        <v>510270</v>
      </c>
      <c r="B2440" t="str">
        <f>VLOOKUP(A2440,Planilha2!$A$2:$C$5566,3,0)</f>
        <v>CANARANA</v>
      </c>
      <c r="C2440" t="str">
        <f>VLOOKUP(A2440,Planilha2!$A$2:$D$5566,4,0)</f>
        <v>MT</v>
      </c>
    </row>
    <row r="2441" spans="1:3" x14ac:dyDescent="0.35">
      <c r="A2441">
        <v>510510</v>
      </c>
      <c r="B2441" t="str">
        <f>VLOOKUP(A2441,Planilha2!$A$2:$C$5566,3,0)</f>
        <v>JUARA</v>
      </c>
      <c r="C2441" t="str">
        <f>VLOOKUP(A2441,Planilha2!$A$2:$D$5566,4,0)</f>
        <v>MT</v>
      </c>
    </row>
    <row r="2442" spans="1:3" x14ac:dyDescent="0.35">
      <c r="A2442">
        <v>510395</v>
      </c>
      <c r="B2442" t="str">
        <f>VLOOKUP(A2442,Planilha2!$A$2:$C$5566,3,0)</f>
        <v>GLÓRIA D`OESTE</v>
      </c>
      <c r="C2442" t="str">
        <f>VLOOKUP(A2442,Planilha2!$A$2:$D$5566,4,0)</f>
        <v>MT</v>
      </c>
    </row>
    <row r="2443" spans="1:3" x14ac:dyDescent="0.35">
      <c r="A2443">
        <v>510617</v>
      </c>
      <c r="B2443" t="str">
        <f>VLOOKUP(A2443,Planilha2!$A$2:$C$5566,3,0)</f>
        <v>NOVA NAZARÉ</v>
      </c>
      <c r="C2443" t="str">
        <f>VLOOKUP(A2443,Planilha2!$A$2:$D$5566,4,0)</f>
        <v>MT</v>
      </c>
    </row>
    <row r="2444" spans="1:3" x14ac:dyDescent="0.35">
      <c r="A2444">
        <v>510628</v>
      </c>
      <c r="B2444" t="str">
        <f>VLOOKUP(A2444,Planilha2!$A$2:$C$5566,3,0)</f>
        <v>NOVO SÃO JOAQUIM</v>
      </c>
      <c r="C2444" t="str">
        <f>VLOOKUP(A2444,Planilha2!$A$2:$D$5566,4,0)</f>
        <v>MT</v>
      </c>
    </row>
    <row r="2445" spans="1:3" x14ac:dyDescent="0.35">
      <c r="A2445">
        <v>510792</v>
      </c>
      <c r="B2445" t="str">
        <f>VLOOKUP(A2445,Planilha2!$A$2:$C$5566,3,0)</f>
        <v>SORRISO</v>
      </c>
      <c r="C2445" t="str">
        <f>VLOOKUP(A2445,Planilha2!$A$2:$D$5566,4,0)</f>
        <v>MT</v>
      </c>
    </row>
    <row r="2446" spans="1:3" x14ac:dyDescent="0.35">
      <c r="A2446">
        <v>510525</v>
      </c>
      <c r="B2446" t="str">
        <f>VLOOKUP(A2446,Planilha2!$A$2:$C$5566,3,0)</f>
        <v>LUCAS DO RIO VERDE</v>
      </c>
      <c r="C2446" t="str">
        <f>VLOOKUP(A2446,Planilha2!$A$2:$D$5566,4,0)</f>
        <v>MT</v>
      </c>
    </row>
    <row r="2447" spans="1:3" x14ac:dyDescent="0.35">
      <c r="A2447">
        <v>510520</v>
      </c>
      <c r="B2447" t="str">
        <f>VLOOKUP(A2447,Planilha2!$A$2:$C$5566,3,0)</f>
        <v>JUSCIMEIRA</v>
      </c>
      <c r="C2447" t="str">
        <f>VLOOKUP(A2447,Planilha2!$A$2:$D$5566,4,0)</f>
        <v>MT</v>
      </c>
    </row>
    <row r="2448" spans="1:3" x14ac:dyDescent="0.35">
      <c r="A2448">
        <v>510550</v>
      </c>
      <c r="B2448" t="str">
        <f>VLOOKUP(A2448,Planilha2!$A$2:$C$5566,3,0)</f>
        <v>VILA BELA DA SANTÍSSIMA TRINDADE</v>
      </c>
      <c r="C2448" t="str">
        <f>VLOOKUP(A2448,Planilha2!$A$2:$D$5566,4,0)</f>
        <v>MT</v>
      </c>
    </row>
    <row r="2449" spans="1:3" x14ac:dyDescent="0.35">
      <c r="A2449">
        <v>510805</v>
      </c>
      <c r="B2449" t="str">
        <f>VLOOKUP(A2449,Planilha2!$A$2:$C$5566,3,0)</f>
        <v>TERRA NOVA DO NORTE</v>
      </c>
      <c r="C2449" t="str">
        <f>VLOOKUP(A2449,Planilha2!$A$2:$D$5566,4,0)</f>
        <v>MT</v>
      </c>
    </row>
    <row r="2450" spans="1:3" x14ac:dyDescent="0.35">
      <c r="A2450">
        <v>510300</v>
      </c>
      <c r="B2450" t="str">
        <f>VLOOKUP(A2450,Planilha2!$A$2:$C$5566,3,0)</f>
        <v>CHAPADA DOS GUIMARÃES</v>
      </c>
      <c r="C2450" t="str">
        <f>VLOOKUP(A2450,Planilha2!$A$2:$D$5566,4,0)</f>
        <v>MT</v>
      </c>
    </row>
    <row r="2451" spans="1:3" x14ac:dyDescent="0.35">
      <c r="A2451">
        <v>521870</v>
      </c>
      <c r="B2451" t="str">
        <f>VLOOKUP(A2451,Planilha2!$A$2:$C$5566,3,0)</f>
        <v>RIANÁPOLIS</v>
      </c>
      <c r="C2451" t="str">
        <f>VLOOKUP(A2451,Planilha2!$A$2:$D$5566,4,0)</f>
        <v>GO</v>
      </c>
    </row>
    <row r="2452" spans="1:3" x14ac:dyDescent="0.35">
      <c r="A2452">
        <v>521180</v>
      </c>
      <c r="B2452" t="str">
        <f>VLOOKUP(A2452,Planilha2!$A$2:$C$5566,3,0)</f>
        <v>JARAGUÁ</v>
      </c>
      <c r="C2452" t="str">
        <f>VLOOKUP(A2452,Planilha2!$A$2:$D$5566,4,0)</f>
        <v>GO</v>
      </c>
    </row>
    <row r="2453" spans="1:3" x14ac:dyDescent="0.35">
      <c r="A2453">
        <v>521970</v>
      </c>
      <c r="B2453" t="str">
        <f>VLOOKUP(A2453,Planilha2!$A$2:$C$5566,3,0)</f>
        <v>SANTA TEREZINHA DE GOIÁS</v>
      </c>
      <c r="C2453" t="str">
        <f>VLOOKUP(A2453,Planilha2!$A$2:$D$5566,4,0)</f>
        <v>GO</v>
      </c>
    </row>
    <row r="2454" spans="1:3" x14ac:dyDescent="0.35">
      <c r="A2454">
        <v>521100</v>
      </c>
      <c r="B2454" t="str">
        <f>VLOOKUP(A2454,Planilha2!$A$2:$C$5566,3,0)</f>
        <v>ITAPIRAPUÃ</v>
      </c>
      <c r="C2454" t="str">
        <f>VLOOKUP(A2454,Planilha2!$A$2:$D$5566,4,0)</f>
        <v>GO</v>
      </c>
    </row>
    <row r="2455" spans="1:3" x14ac:dyDescent="0.35">
      <c r="A2455">
        <v>520250</v>
      </c>
      <c r="B2455" t="str">
        <f>VLOOKUP(A2455,Planilha2!$A$2:$C$5566,3,0)</f>
        <v>ARUANÃ</v>
      </c>
      <c r="C2455" t="str">
        <f>VLOOKUP(A2455,Planilha2!$A$2:$D$5566,4,0)</f>
        <v>GO</v>
      </c>
    </row>
    <row r="2456" spans="1:3" x14ac:dyDescent="0.35">
      <c r="A2456">
        <v>521295</v>
      </c>
      <c r="B2456" t="str">
        <f>VLOOKUP(A2456,Planilha2!$A$2:$C$5566,3,0)</f>
        <v>MATRINCHÃ</v>
      </c>
      <c r="C2456" t="str">
        <f>VLOOKUP(A2456,Planilha2!$A$2:$D$5566,4,0)</f>
        <v>GO</v>
      </c>
    </row>
    <row r="2457" spans="1:3" x14ac:dyDescent="0.35">
      <c r="A2457">
        <v>520260</v>
      </c>
      <c r="B2457" t="str">
        <f>VLOOKUP(A2457,Planilha2!$A$2:$C$5566,3,0)</f>
        <v>AURILÂNDIA</v>
      </c>
      <c r="C2457" t="str">
        <f>VLOOKUP(A2457,Planilha2!$A$2:$D$5566,4,0)</f>
        <v>GO</v>
      </c>
    </row>
    <row r="2458" spans="1:3" x14ac:dyDescent="0.35">
      <c r="A2458">
        <v>520170</v>
      </c>
      <c r="B2458" t="str">
        <f>VLOOKUP(A2458,Planilha2!$A$2:$C$5566,3,0)</f>
        <v>ARAGARÇAS</v>
      </c>
      <c r="C2458" t="str">
        <f>VLOOKUP(A2458,Planilha2!$A$2:$D$5566,4,0)</f>
        <v>GO</v>
      </c>
    </row>
    <row r="2459" spans="1:3" x14ac:dyDescent="0.35">
      <c r="A2459">
        <v>170200</v>
      </c>
      <c r="B2459" t="str">
        <f>VLOOKUP(A2459,Planilha2!$A$2:$C$5566,3,0)</f>
        <v>ARAGUAÇU</v>
      </c>
      <c r="C2459" t="str">
        <f>VLOOKUP(A2459,Planilha2!$A$2:$D$5566,4,0)</f>
        <v>TO</v>
      </c>
    </row>
    <row r="2460" spans="1:3" x14ac:dyDescent="0.35">
      <c r="A2460">
        <v>521280</v>
      </c>
      <c r="B2460" t="str">
        <f>VLOOKUP(A2460,Planilha2!$A$2:$C$5566,3,0)</f>
        <v>MARA ROSA</v>
      </c>
      <c r="C2460" t="str">
        <f>VLOOKUP(A2460,Planilha2!$A$2:$D$5566,4,0)</f>
        <v>GO</v>
      </c>
    </row>
    <row r="2461" spans="1:3" x14ac:dyDescent="0.35">
      <c r="A2461">
        <v>521460</v>
      </c>
      <c r="B2461" t="str">
        <f>VLOOKUP(A2461,Planilha2!$A$2:$C$5566,3,0)</f>
        <v>NIQUELÂNDIA</v>
      </c>
      <c r="C2461" t="str">
        <f>VLOOKUP(A2461,Planilha2!$A$2:$D$5566,4,0)</f>
        <v>GO</v>
      </c>
    </row>
    <row r="2462" spans="1:3" x14ac:dyDescent="0.35">
      <c r="A2462">
        <v>520130</v>
      </c>
      <c r="B2462" t="str">
        <f>VLOOKUP(A2462,Planilha2!$A$2:$C$5566,3,0)</f>
        <v>ANICUNS</v>
      </c>
      <c r="C2462" t="str">
        <f>VLOOKUP(A2462,Planilha2!$A$2:$D$5566,4,0)</f>
        <v>GO</v>
      </c>
    </row>
    <row r="2463" spans="1:3" x14ac:dyDescent="0.35">
      <c r="A2463">
        <v>520740</v>
      </c>
      <c r="B2463" t="str">
        <f>VLOOKUP(A2463,Planilha2!$A$2:$C$5566,3,0)</f>
        <v>EDÉIA</v>
      </c>
      <c r="C2463" t="str">
        <f>VLOOKUP(A2463,Planilha2!$A$2:$D$5566,4,0)</f>
        <v>GO</v>
      </c>
    </row>
    <row r="2464" spans="1:3" x14ac:dyDescent="0.35">
      <c r="A2464">
        <v>520760</v>
      </c>
      <c r="B2464" t="str">
        <f>VLOOKUP(A2464,Planilha2!$A$2:$C$5566,3,0)</f>
        <v>FAZENDA NOVA</v>
      </c>
      <c r="C2464" t="str">
        <f>VLOOKUP(A2464,Planilha2!$A$2:$D$5566,4,0)</f>
        <v>GO</v>
      </c>
    </row>
    <row r="2465" spans="1:3" x14ac:dyDescent="0.35">
      <c r="A2465">
        <v>522140</v>
      </c>
      <c r="B2465" t="str">
        <f>VLOOKUP(A2465,Planilha2!$A$2:$C$5566,3,0)</f>
        <v>TRINDADE</v>
      </c>
      <c r="C2465" t="str">
        <f>VLOOKUP(A2465,Planilha2!$A$2:$D$5566,4,0)</f>
        <v>GO</v>
      </c>
    </row>
    <row r="2466" spans="1:3" x14ac:dyDescent="0.35">
      <c r="A2466">
        <v>521770</v>
      </c>
      <c r="B2466" t="str">
        <f>VLOOKUP(A2466,Planilha2!$A$2:$C$5566,3,0)</f>
        <v>PONTALINA</v>
      </c>
      <c r="C2466" t="str">
        <f>VLOOKUP(A2466,Planilha2!$A$2:$D$5566,4,0)</f>
        <v>GO</v>
      </c>
    </row>
    <row r="2467" spans="1:3" x14ac:dyDescent="0.35">
      <c r="A2467">
        <v>521925</v>
      </c>
      <c r="B2467" t="str">
        <f>VLOOKUP(A2467,Planilha2!$A$2:$C$5566,3,0)</f>
        <v>SANTA FÉ DE GOIÁS</v>
      </c>
      <c r="C2467" t="str">
        <f>VLOOKUP(A2467,Planilha2!$A$2:$D$5566,4,0)</f>
        <v>GO</v>
      </c>
    </row>
    <row r="2468" spans="1:3" x14ac:dyDescent="0.35">
      <c r="A2468">
        <v>521400</v>
      </c>
      <c r="B2468" t="str">
        <f>VLOOKUP(A2468,Planilha2!$A$2:$C$5566,3,0)</f>
        <v>MOZARLÂNDIA</v>
      </c>
      <c r="C2468" t="str">
        <f>VLOOKUP(A2468,Planilha2!$A$2:$D$5566,4,0)</f>
        <v>GO</v>
      </c>
    </row>
    <row r="2469" spans="1:3" x14ac:dyDescent="0.35">
      <c r="A2469">
        <v>171510</v>
      </c>
      <c r="B2469" t="str">
        <f>VLOOKUP(A2469,Planilha2!$A$2:$C$5566,3,0)</f>
        <v>NOVO ACORDO</v>
      </c>
      <c r="C2469" t="str">
        <f>VLOOKUP(A2469,Planilha2!$A$2:$D$5566,4,0)</f>
        <v>TO</v>
      </c>
    </row>
    <row r="2470" spans="1:3" x14ac:dyDescent="0.35">
      <c r="A2470">
        <v>521060</v>
      </c>
      <c r="B2470" t="str">
        <f>VLOOKUP(A2470,Planilha2!$A$2:$C$5566,3,0)</f>
        <v>ITAGUARU</v>
      </c>
      <c r="C2470" t="str">
        <f>VLOOKUP(A2470,Planilha2!$A$2:$D$5566,4,0)</f>
        <v>GO</v>
      </c>
    </row>
    <row r="2471" spans="1:3" x14ac:dyDescent="0.35">
      <c r="A2471">
        <v>520815</v>
      </c>
      <c r="B2471" t="str">
        <f>VLOOKUP(A2471,Planilha2!$A$2:$C$5566,3,0)</f>
        <v>GAMELEIRA DE GOIÁS</v>
      </c>
      <c r="C2471" t="str">
        <f>VLOOKUP(A2471,Planilha2!$A$2:$D$5566,4,0)</f>
        <v>GO</v>
      </c>
    </row>
    <row r="2472" spans="1:3" x14ac:dyDescent="0.35">
      <c r="A2472">
        <v>230140</v>
      </c>
      <c r="B2472" t="str">
        <f>VLOOKUP(A2472,Planilha2!$A$2:$C$5566,3,0)</f>
        <v>ARATUBA</v>
      </c>
      <c r="C2472" t="str">
        <f>VLOOKUP(A2472,Planilha2!$A$2:$D$5566,4,0)</f>
        <v>CE</v>
      </c>
    </row>
    <row r="2473" spans="1:3" x14ac:dyDescent="0.35">
      <c r="A2473">
        <v>293080</v>
      </c>
      <c r="B2473" t="str">
        <f>VLOOKUP(A2473,Planilha2!$A$2:$C$5566,3,0)</f>
        <v>SOUTO SOARES</v>
      </c>
      <c r="C2473" t="str">
        <f>VLOOKUP(A2473,Planilha2!$A$2:$D$5566,4,0)</f>
        <v>BA</v>
      </c>
    </row>
    <row r="2474" spans="1:3" x14ac:dyDescent="0.35">
      <c r="A2474">
        <v>432215</v>
      </c>
      <c r="B2474" t="str">
        <f>VLOOKUP(A2474,Planilha2!$A$2:$C$5566,3,0)</f>
        <v>TUNAS</v>
      </c>
      <c r="C2474" t="str">
        <f>VLOOKUP(A2474,Planilha2!$A$2:$D$5566,4,0)</f>
        <v>RS</v>
      </c>
    </row>
    <row r="2475" spans="1:3" x14ac:dyDescent="0.35">
      <c r="A2475">
        <v>410220</v>
      </c>
      <c r="B2475" t="str">
        <f>VLOOKUP(A2475,Planilha2!$A$2:$C$5566,3,0)</f>
        <v>ATALAIA</v>
      </c>
      <c r="C2475" t="str">
        <f>VLOOKUP(A2475,Planilha2!$A$2:$D$5566,4,0)</f>
        <v>PR</v>
      </c>
    </row>
    <row r="2476" spans="1:3" x14ac:dyDescent="0.35">
      <c r="A2476">
        <v>432310</v>
      </c>
      <c r="B2476" t="str">
        <f>VLOOKUP(A2476,Planilha2!$A$2:$C$5566,3,0)</f>
        <v>VICENTE DUTRA</v>
      </c>
      <c r="C2476" t="str">
        <f>VLOOKUP(A2476,Planilha2!$A$2:$D$5566,4,0)</f>
        <v>RS</v>
      </c>
    </row>
    <row r="2477" spans="1:3" x14ac:dyDescent="0.35">
      <c r="A2477">
        <v>430580</v>
      </c>
      <c r="B2477" t="str">
        <f>VLOOKUP(A2477,Planilha2!$A$2:$C$5566,3,0)</f>
        <v>CONSTANTINA</v>
      </c>
      <c r="C2477" t="str">
        <f>VLOOKUP(A2477,Planilha2!$A$2:$D$5566,4,0)</f>
        <v>RS</v>
      </c>
    </row>
    <row r="2478" spans="1:3" x14ac:dyDescent="0.35">
      <c r="A2478">
        <v>110037</v>
      </c>
      <c r="B2478" t="str">
        <f>VLOOKUP(A2478,Planilha2!$A$2:$C$5566,3,0)</f>
        <v>ALTO ALEGRE DOS PARECIS</v>
      </c>
      <c r="C2478" t="str">
        <f>VLOOKUP(A2478,Planilha2!$A$2:$D$5566,4,0)</f>
        <v>RO</v>
      </c>
    </row>
    <row r="2479" spans="1:3" x14ac:dyDescent="0.35">
      <c r="A2479">
        <v>150580</v>
      </c>
      <c r="B2479" t="str">
        <f>VLOOKUP(A2479,Planilha2!$A$2:$C$5566,3,0)</f>
        <v>PORTEL</v>
      </c>
      <c r="C2479" t="str">
        <f>VLOOKUP(A2479,Planilha2!$A$2:$D$5566,4,0)</f>
        <v>PA</v>
      </c>
    </row>
    <row r="2480" spans="1:3" x14ac:dyDescent="0.35">
      <c r="A2480">
        <v>150100</v>
      </c>
      <c r="B2480" t="str">
        <f>VLOOKUP(A2480,Planilha2!$A$2:$C$5566,3,0)</f>
        <v>AVEIRO</v>
      </c>
      <c r="C2480" t="str">
        <f>VLOOKUP(A2480,Planilha2!$A$2:$D$5566,4,0)</f>
        <v>PA</v>
      </c>
    </row>
    <row r="2481" spans="1:3" x14ac:dyDescent="0.35">
      <c r="A2481">
        <v>150145</v>
      </c>
      <c r="B2481" t="str">
        <f>VLOOKUP(A2481,Planilha2!$A$2:$C$5566,3,0)</f>
        <v>BELTERRA</v>
      </c>
      <c r="C2481" t="str">
        <f>VLOOKUP(A2481,Planilha2!$A$2:$D$5566,4,0)</f>
        <v>PA</v>
      </c>
    </row>
    <row r="2482" spans="1:3" x14ac:dyDescent="0.35">
      <c r="A2482">
        <v>150797</v>
      </c>
      <c r="B2482" t="str">
        <f>VLOOKUP(A2482,Planilha2!$A$2:$C$5566,3,0)</f>
        <v>TERRA SANTA</v>
      </c>
      <c r="C2482" t="str">
        <f>VLOOKUP(A2482,Planilha2!$A$2:$D$5566,4,0)</f>
        <v>PA</v>
      </c>
    </row>
    <row r="2483" spans="1:3" x14ac:dyDescent="0.35">
      <c r="A2483">
        <v>150390</v>
      </c>
      <c r="B2483" t="str">
        <f>VLOOKUP(A2483,Planilha2!$A$2:$C$5566,3,0)</f>
        <v>JURUTI</v>
      </c>
      <c r="C2483" t="str">
        <f>VLOOKUP(A2483,Planilha2!$A$2:$D$5566,4,0)</f>
        <v>PA</v>
      </c>
    </row>
    <row r="2484" spans="1:3" x14ac:dyDescent="0.35">
      <c r="A2484">
        <v>150490</v>
      </c>
      <c r="B2484" t="str">
        <f>VLOOKUP(A2484,Planilha2!$A$2:$C$5566,3,0)</f>
        <v>MUANÁ</v>
      </c>
      <c r="C2484" t="str">
        <f>VLOOKUP(A2484,Planilha2!$A$2:$D$5566,4,0)</f>
        <v>PA</v>
      </c>
    </row>
    <row r="2485" spans="1:3" x14ac:dyDescent="0.35">
      <c r="A2485">
        <v>150770</v>
      </c>
      <c r="B2485" t="str">
        <f>VLOOKUP(A2485,Planilha2!$A$2:$C$5566,3,0)</f>
        <v>SÃO SEBASTIÃO DA BOA VISTA</v>
      </c>
      <c r="C2485" t="str">
        <f>VLOOKUP(A2485,Planilha2!$A$2:$D$5566,4,0)</f>
        <v>PA</v>
      </c>
    </row>
    <row r="2486" spans="1:3" x14ac:dyDescent="0.35">
      <c r="A2486">
        <v>150020</v>
      </c>
      <c r="B2486" t="str">
        <f>VLOOKUP(A2486,Planilha2!$A$2:$C$5566,3,0)</f>
        <v>ACARÁ</v>
      </c>
      <c r="C2486" t="str">
        <f>VLOOKUP(A2486,Planilha2!$A$2:$D$5566,4,0)</f>
        <v>PA</v>
      </c>
    </row>
    <row r="2487" spans="1:3" x14ac:dyDescent="0.35">
      <c r="A2487">
        <v>150275</v>
      </c>
      <c r="B2487" t="str">
        <f>VLOOKUP(A2487,Planilha2!$A$2:$C$5566,3,0)</f>
        <v>CONCÓRDIA DO PARÁ</v>
      </c>
      <c r="C2487" t="str">
        <f>VLOOKUP(A2487,Planilha2!$A$2:$D$5566,4,0)</f>
        <v>PA</v>
      </c>
    </row>
    <row r="2488" spans="1:3" x14ac:dyDescent="0.35">
      <c r="A2488">
        <v>150520</v>
      </c>
      <c r="B2488" t="str">
        <f>VLOOKUP(A2488,Planilha2!$A$2:$C$5566,3,0)</f>
        <v>OEIRAS DO PARÁ</v>
      </c>
      <c r="C2488" t="str">
        <f>VLOOKUP(A2488,Planilha2!$A$2:$D$5566,4,0)</f>
        <v>PA</v>
      </c>
    </row>
    <row r="2489" spans="1:3" x14ac:dyDescent="0.35">
      <c r="A2489">
        <v>150500</v>
      </c>
      <c r="B2489" t="str">
        <f>VLOOKUP(A2489,Planilha2!$A$2:$C$5566,3,0)</f>
        <v>NOVA TIMBOTEUA</v>
      </c>
      <c r="C2489" t="str">
        <f>VLOOKUP(A2489,Planilha2!$A$2:$D$5566,4,0)</f>
        <v>PA</v>
      </c>
    </row>
    <row r="2490" spans="1:3" x14ac:dyDescent="0.35">
      <c r="A2490">
        <v>150655</v>
      </c>
      <c r="B2490" t="str">
        <f>VLOOKUP(A2490,Planilha2!$A$2:$C$5566,3,0)</f>
        <v>SANTA LUZIA DO PARÁ</v>
      </c>
      <c r="C2490" t="str">
        <f>VLOOKUP(A2490,Planilha2!$A$2:$D$5566,4,0)</f>
        <v>PA</v>
      </c>
    </row>
    <row r="2491" spans="1:3" x14ac:dyDescent="0.35">
      <c r="A2491">
        <v>150740</v>
      </c>
      <c r="B2491" t="str">
        <f>VLOOKUP(A2491,Planilha2!$A$2:$C$5566,3,0)</f>
        <v>SÃO FRANCISCO DO PARÁ</v>
      </c>
      <c r="C2491" t="str">
        <f>VLOOKUP(A2491,Planilha2!$A$2:$D$5566,4,0)</f>
        <v>PA</v>
      </c>
    </row>
    <row r="2492" spans="1:3" x14ac:dyDescent="0.35">
      <c r="A2492">
        <v>230570</v>
      </c>
      <c r="B2492" t="str">
        <f>VLOOKUP(A2492,Planilha2!$A$2:$C$5566,3,0)</f>
        <v>IPAUMIRIM</v>
      </c>
      <c r="C2492" t="str">
        <f>VLOOKUP(A2492,Planilha2!$A$2:$D$5566,4,0)</f>
        <v>CE</v>
      </c>
    </row>
    <row r="2493" spans="1:3" x14ac:dyDescent="0.35">
      <c r="A2493">
        <v>316480</v>
      </c>
      <c r="B2493" t="str">
        <f>VLOOKUP(A2493,Planilha2!$A$2:$C$5566,3,0)</f>
        <v>SÃO SEBASTIÃO DO RIO PRETO</v>
      </c>
      <c r="C2493" t="str">
        <f>VLOOKUP(A2493,Planilha2!$A$2:$D$5566,4,0)</f>
        <v>MG</v>
      </c>
    </row>
    <row r="2494" spans="1:3" x14ac:dyDescent="0.35">
      <c r="A2494">
        <v>355630</v>
      </c>
      <c r="B2494" t="str">
        <f>VLOOKUP(A2494,Planilha2!$A$2:$C$5566,3,0)</f>
        <v>VALPARAÍSO</v>
      </c>
      <c r="C2494" t="str">
        <f>VLOOKUP(A2494,Planilha2!$A$2:$D$5566,4,0)</f>
        <v>SP</v>
      </c>
    </row>
    <row r="2495" spans="1:3" x14ac:dyDescent="0.35">
      <c r="A2495">
        <v>410470</v>
      </c>
      <c r="B2495" t="str">
        <f>VLOOKUP(A2495,Planilha2!$A$2:$C$5566,3,0)</f>
        <v>CARLÓPOLIS</v>
      </c>
      <c r="C2495" t="str">
        <f>VLOOKUP(A2495,Planilha2!$A$2:$D$5566,4,0)</f>
        <v>PR</v>
      </c>
    </row>
    <row r="2496" spans="1:3" x14ac:dyDescent="0.35">
      <c r="A2496">
        <v>430730</v>
      </c>
      <c r="B2496" t="str">
        <f>VLOOKUP(A2496,Planilha2!$A$2:$C$5566,3,0)</f>
        <v>ERVAL SECO</v>
      </c>
      <c r="C2496" t="str">
        <f>VLOOKUP(A2496,Planilha2!$A$2:$D$5566,4,0)</f>
        <v>RS</v>
      </c>
    </row>
    <row r="2497" spans="1:3" x14ac:dyDescent="0.35">
      <c r="A2497">
        <v>110094</v>
      </c>
      <c r="B2497" t="str">
        <f>VLOOKUP(A2497,Planilha2!$A$2:$C$5566,3,0)</f>
        <v>CUJUBIM</v>
      </c>
      <c r="C2497" t="str">
        <f>VLOOKUP(A2497,Planilha2!$A$2:$D$5566,4,0)</f>
        <v>RO</v>
      </c>
    </row>
    <row r="2498" spans="1:3" x14ac:dyDescent="0.35">
      <c r="A2498">
        <v>110002</v>
      </c>
      <c r="B2498" t="str">
        <f>VLOOKUP(A2498,Planilha2!$A$2:$C$5566,3,0)</f>
        <v>ARIQUEMES</v>
      </c>
      <c r="C2498" t="str">
        <f>VLOOKUP(A2498,Planilha2!$A$2:$D$5566,4,0)</f>
        <v>RO</v>
      </c>
    </row>
    <row r="2499" spans="1:3" x14ac:dyDescent="0.35">
      <c r="A2499">
        <v>130002</v>
      </c>
      <c r="B2499" t="str">
        <f>VLOOKUP(A2499,Planilha2!$A$2:$C$5566,3,0)</f>
        <v>ALVARÃES</v>
      </c>
      <c r="C2499" t="str">
        <f>VLOOKUP(A2499,Planilha2!$A$2:$D$5566,4,0)</f>
        <v>AM</v>
      </c>
    </row>
    <row r="2500" spans="1:3" x14ac:dyDescent="0.35">
      <c r="A2500">
        <v>130380</v>
      </c>
      <c r="B2500" t="str">
        <f>VLOOKUP(A2500,Planilha2!$A$2:$C$5566,3,0)</f>
        <v>SÃO GABRIEL DA CACHOEIRA</v>
      </c>
      <c r="C2500" t="str">
        <f>VLOOKUP(A2500,Planilha2!$A$2:$D$5566,4,0)</f>
        <v>AM</v>
      </c>
    </row>
    <row r="2501" spans="1:3" x14ac:dyDescent="0.35">
      <c r="A2501">
        <v>130280</v>
      </c>
      <c r="B2501" t="str">
        <f>VLOOKUP(A2501,Planilha2!$A$2:$C$5566,3,0)</f>
        <v>MARAÃ</v>
      </c>
      <c r="C2501" t="str">
        <f>VLOOKUP(A2501,Planilha2!$A$2:$D$5566,4,0)</f>
        <v>AM</v>
      </c>
    </row>
    <row r="2502" spans="1:3" x14ac:dyDescent="0.35">
      <c r="A2502">
        <v>130440</v>
      </c>
      <c r="B2502" t="str">
        <f>VLOOKUP(A2502,Planilha2!$A$2:$C$5566,3,0)</f>
        <v>URUCURITUBA</v>
      </c>
      <c r="C2502" t="str">
        <f>VLOOKUP(A2502,Planilha2!$A$2:$D$5566,4,0)</f>
        <v>AM</v>
      </c>
    </row>
    <row r="2503" spans="1:3" x14ac:dyDescent="0.35">
      <c r="A2503">
        <v>130356</v>
      </c>
      <c r="B2503" t="str">
        <f>VLOOKUP(A2503,Planilha2!$A$2:$C$5566,3,0)</f>
        <v>RIO PRETO DA EVA</v>
      </c>
      <c r="C2503" t="str">
        <f>VLOOKUP(A2503,Planilha2!$A$2:$D$5566,4,0)</f>
        <v>AM</v>
      </c>
    </row>
    <row r="2504" spans="1:3" x14ac:dyDescent="0.35">
      <c r="A2504">
        <v>130410</v>
      </c>
      <c r="B2504" t="str">
        <f>VLOOKUP(A2504,Planilha2!$A$2:$C$5566,3,0)</f>
        <v>TAPAUÁ</v>
      </c>
      <c r="C2504" t="str">
        <f>VLOOKUP(A2504,Planilha2!$A$2:$D$5566,4,0)</f>
        <v>AM</v>
      </c>
    </row>
    <row r="2505" spans="1:3" x14ac:dyDescent="0.35">
      <c r="A2505">
        <v>130290</v>
      </c>
      <c r="B2505" t="str">
        <f>VLOOKUP(A2505,Planilha2!$A$2:$C$5566,3,0)</f>
        <v>MAUÉS</v>
      </c>
      <c r="C2505" t="str">
        <f>VLOOKUP(A2505,Planilha2!$A$2:$D$5566,4,0)</f>
        <v>AM</v>
      </c>
    </row>
    <row r="2506" spans="1:3" x14ac:dyDescent="0.35">
      <c r="A2506">
        <v>130140</v>
      </c>
      <c r="B2506" t="str">
        <f>VLOOKUP(A2506,Planilha2!$A$2:$C$5566,3,0)</f>
        <v>EIRUNEPÉ</v>
      </c>
      <c r="C2506" t="str">
        <f>VLOOKUP(A2506,Planilha2!$A$2:$D$5566,4,0)</f>
        <v>AM</v>
      </c>
    </row>
    <row r="2507" spans="1:3" x14ac:dyDescent="0.35">
      <c r="A2507">
        <v>140030</v>
      </c>
      <c r="B2507" t="str">
        <f>VLOOKUP(A2507,Planilha2!$A$2:$C$5566,3,0)</f>
        <v>MUCAJAÍ</v>
      </c>
      <c r="C2507" t="str">
        <f>VLOOKUP(A2507,Planilha2!$A$2:$D$5566,4,0)</f>
        <v>RR</v>
      </c>
    </row>
    <row r="2508" spans="1:3" x14ac:dyDescent="0.35">
      <c r="A2508">
        <v>140050</v>
      </c>
      <c r="B2508" t="str">
        <f>VLOOKUP(A2508,Planilha2!$A$2:$C$5566,3,0)</f>
        <v>SÃO JOÃO DA BALIZA</v>
      </c>
      <c r="C2508" t="str">
        <f>VLOOKUP(A2508,Planilha2!$A$2:$D$5566,4,0)</f>
        <v>RR</v>
      </c>
    </row>
    <row r="2509" spans="1:3" x14ac:dyDescent="0.35">
      <c r="A2509">
        <v>150034</v>
      </c>
      <c r="B2509" t="str">
        <f>VLOOKUP(A2509,Planilha2!$A$2:$C$5566,3,0)</f>
        <v>ÁGUA AZUL DO NORTE</v>
      </c>
      <c r="C2509" t="str">
        <f>VLOOKUP(A2509,Planilha2!$A$2:$D$5566,4,0)</f>
        <v>PA</v>
      </c>
    </row>
    <row r="2510" spans="1:3" x14ac:dyDescent="0.35">
      <c r="A2510">
        <v>160015</v>
      </c>
      <c r="B2510" t="str">
        <f>VLOOKUP(A2510,Planilha2!$A$2:$C$5566,3,0)</f>
        <v>PEDRA BRANCA DO AMAPARI</v>
      </c>
      <c r="C2510" t="str">
        <f>VLOOKUP(A2510,Planilha2!$A$2:$D$5566,4,0)</f>
        <v>AP</v>
      </c>
    </row>
    <row r="2511" spans="1:3" x14ac:dyDescent="0.35">
      <c r="A2511">
        <v>160040</v>
      </c>
      <c r="B2511" t="str">
        <f>VLOOKUP(A2511,Planilha2!$A$2:$C$5566,3,0)</f>
        <v>MAZAGÃO</v>
      </c>
      <c r="C2511" t="str">
        <f>VLOOKUP(A2511,Planilha2!$A$2:$D$5566,4,0)</f>
        <v>AP</v>
      </c>
    </row>
    <row r="2512" spans="1:3" x14ac:dyDescent="0.35">
      <c r="A2512">
        <v>160020</v>
      </c>
      <c r="B2512" t="str">
        <f>VLOOKUP(A2512,Planilha2!$A$2:$C$5566,3,0)</f>
        <v>CALÇOENE</v>
      </c>
      <c r="C2512" t="str">
        <f>VLOOKUP(A2512,Planilha2!$A$2:$D$5566,4,0)</f>
        <v>AP</v>
      </c>
    </row>
    <row r="2513" spans="1:3" x14ac:dyDescent="0.35">
      <c r="A2513">
        <v>170270</v>
      </c>
      <c r="B2513" t="str">
        <f>VLOOKUP(A2513,Planilha2!$A$2:$C$5566,3,0)</f>
        <v>AURORA DO TOCANTINS</v>
      </c>
      <c r="C2513" t="str">
        <f>VLOOKUP(A2513,Planilha2!$A$2:$D$5566,4,0)</f>
        <v>TO</v>
      </c>
    </row>
    <row r="2514" spans="1:3" x14ac:dyDescent="0.35">
      <c r="A2514">
        <v>171620</v>
      </c>
      <c r="B2514" t="str">
        <f>VLOOKUP(A2514,Planilha2!$A$2:$C$5566,3,0)</f>
        <v>PARANÃ</v>
      </c>
      <c r="C2514" t="str">
        <f>VLOOKUP(A2514,Planilha2!$A$2:$D$5566,4,0)</f>
        <v>TO</v>
      </c>
    </row>
    <row r="2515" spans="1:3" x14ac:dyDescent="0.35">
      <c r="A2515">
        <v>210720</v>
      </c>
      <c r="B2515" t="str">
        <f>VLOOKUP(A2515,Planilha2!$A$2:$C$5566,3,0)</f>
        <v>NINA RODRIGUES</v>
      </c>
      <c r="C2515" t="str">
        <f>VLOOKUP(A2515,Planilha2!$A$2:$D$5566,4,0)</f>
        <v>MA</v>
      </c>
    </row>
    <row r="2516" spans="1:3" x14ac:dyDescent="0.35">
      <c r="A2516">
        <v>211210</v>
      </c>
      <c r="B2516" t="str">
        <f>VLOOKUP(A2516,Planilha2!$A$2:$C$5566,3,0)</f>
        <v>TIMBIRAS</v>
      </c>
      <c r="C2516" t="str">
        <f>VLOOKUP(A2516,Planilha2!$A$2:$D$5566,4,0)</f>
        <v>MA</v>
      </c>
    </row>
    <row r="2517" spans="1:3" x14ac:dyDescent="0.35">
      <c r="A2517">
        <v>210275</v>
      </c>
      <c r="B2517" t="str">
        <f>VLOOKUP(A2517,Planilha2!$A$2:$C$5566,3,0)</f>
        <v>CAPINZAL DO NORTE</v>
      </c>
      <c r="C2517" t="str">
        <f>VLOOKUP(A2517,Planilha2!$A$2:$D$5566,4,0)</f>
        <v>MA</v>
      </c>
    </row>
    <row r="2518" spans="1:3" x14ac:dyDescent="0.35">
      <c r="A2518">
        <v>220240</v>
      </c>
      <c r="B2518" t="str">
        <f>VLOOKUP(A2518,Planilha2!$A$2:$C$5566,3,0)</f>
        <v>CAPITÃO DE CAMPOS</v>
      </c>
      <c r="C2518" t="str">
        <f>VLOOKUP(A2518,Planilha2!$A$2:$D$5566,4,0)</f>
        <v>PI</v>
      </c>
    </row>
    <row r="2519" spans="1:3" x14ac:dyDescent="0.35">
      <c r="A2519">
        <v>221000</v>
      </c>
      <c r="B2519" t="str">
        <f>VLOOKUP(A2519,Planilha2!$A$2:$C$5566,3,0)</f>
        <v>SÃO JOÃO DO PIAUÍ</v>
      </c>
      <c r="C2519" t="str">
        <f>VLOOKUP(A2519,Planilha2!$A$2:$D$5566,4,0)</f>
        <v>PI</v>
      </c>
    </row>
    <row r="2520" spans="1:3" x14ac:dyDescent="0.35">
      <c r="A2520">
        <v>220810</v>
      </c>
      <c r="B2520" t="str">
        <f>VLOOKUP(A2520,Planilha2!$A$2:$C$5566,3,0)</f>
        <v>PIMENTEIRAS</v>
      </c>
      <c r="C2520" t="str">
        <f>VLOOKUP(A2520,Planilha2!$A$2:$D$5566,4,0)</f>
        <v>PI</v>
      </c>
    </row>
    <row r="2521" spans="1:3" x14ac:dyDescent="0.35">
      <c r="A2521">
        <v>220105</v>
      </c>
      <c r="B2521" t="str">
        <f>VLOOKUP(A2521,Planilha2!$A$2:$C$5566,3,0)</f>
        <v>ASSUNÇÃO DO PIAUÍ</v>
      </c>
      <c r="C2521" t="str">
        <f>VLOOKUP(A2521,Planilha2!$A$2:$D$5566,4,0)</f>
        <v>PI</v>
      </c>
    </row>
    <row r="2522" spans="1:3" x14ac:dyDescent="0.35">
      <c r="A2522">
        <v>220900</v>
      </c>
      <c r="B2522" t="str">
        <f>VLOOKUP(A2522,Planilha2!$A$2:$C$5566,3,0)</f>
        <v>RIO GRANDE DO PIAUÍ</v>
      </c>
      <c r="C2522" t="str">
        <f>VLOOKUP(A2522,Planilha2!$A$2:$D$5566,4,0)</f>
        <v>PI</v>
      </c>
    </row>
    <row r="2523" spans="1:3" x14ac:dyDescent="0.35">
      <c r="A2523">
        <v>220225</v>
      </c>
      <c r="B2523" t="str">
        <f>VLOOKUP(A2523,Planilha2!$A$2:$C$5566,3,0)</f>
        <v>CANAVIEIRA</v>
      </c>
      <c r="C2523" t="str">
        <f>VLOOKUP(A2523,Planilha2!$A$2:$D$5566,4,0)</f>
        <v>PI</v>
      </c>
    </row>
    <row r="2524" spans="1:3" x14ac:dyDescent="0.35">
      <c r="A2524">
        <v>220209</v>
      </c>
      <c r="B2524" t="str">
        <f>VLOOKUP(A2524,Planilha2!$A$2:$C$5566,3,0)</f>
        <v>CALDEIRÃO GRANDE DO PIAUÍ</v>
      </c>
      <c r="C2524" t="str">
        <f>VLOOKUP(A2524,Planilha2!$A$2:$D$5566,4,0)</f>
        <v>PI</v>
      </c>
    </row>
    <row r="2525" spans="1:3" x14ac:dyDescent="0.35">
      <c r="A2525">
        <v>220595</v>
      </c>
      <c r="B2525" t="str">
        <f>VLOOKUP(A2525,Planilha2!$A$2:$C$5566,3,0)</f>
        <v>MARCOLÂNDIA</v>
      </c>
      <c r="C2525" t="str">
        <f>VLOOKUP(A2525,Planilha2!$A$2:$D$5566,4,0)</f>
        <v>PI</v>
      </c>
    </row>
    <row r="2526" spans="1:3" x14ac:dyDescent="0.35">
      <c r="A2526">
        <v>230890</v>
      </c>
      <c r="B2526" t="str">
        <f>VLOOKUP(A2526,Planilha2!$A$2:$C$5566,3,0)</f>
        <v>MORRINHOS</v>
      </c>
      <c r="C2526" t="str">
        <f>VLOOKUP(A2526,Planilha2!$A$2:$D$5566,4,0)</f>
        <v>CE</v>
      </c>
    </row>
    <row r="2527" spans="1:3" x14ac:dyDescent="0.35">
      <c r="A2527">
        <v>230120</v>
      </c>
      <c r="B2527" t="str">
        <f>VLOOKUP(A2527,Planilha2!$A$2:$C$5566,3,0)</f>
        <v>ARACOIABA</v>
      </c>
      <c r="C2527" t="str">
        <f>VLOOKUP(A2527,Planilha2!$A$2:$D$5566,4,0)</f>
        <v>CE</v>
      </c>
    </row>
    <row r="2528" spans="1:3" x14ac:dyDescent="0.35">
      <c r="A2528">
        <v>230920</v>
      </c>
      <c r="B2528" t="str">
        <f>VLOOKUP(A2528,Planilha2!$A$2:$C$5566,3,0)</f>
        <v>NOVA OLINDA</v>
      </c>
      <c r="C2528" t="str">
        <f>VLOOKUP(A2528,Planilha2!$A$2:$D$5566,4,0)</f>
        <v>CE</v>
      </c>
    </row>
    <row r="2529" spans="1:3" x14ac:dyDescent="0.35">
      <c r="A2529">
        <v>230427</v>
      </c>
      <c r="B2529" t="str">
        <f>VLOOKUP(A2529,Planilha2!$A$2:$C$5566,3,0)</f>
        <v>ERERÊ</v>
      </c>
      <c r="C2529" t="str">
        <f>VLOOKUP(A2529,Planilha2!$A$2:$D$5566,4,0)</f>
        <v>CE</v>
      </c>
    </row>
    <row r="2530" spans="1:3" x14ac:dyDescent="0.35">
      <c r="A2530">
        <v>231240</v>
      </c>
      <c r="B2530" t="str">
        <f>VLOOKUP(A2530,Planilha2!$A$2:$C$5566,3,0)</f>
        <v>SÃO GONÇALO DO AMARANTE</v>
      </c>
      <c r="C2530" t="str">
        <f>VLOOKUP(A2530,Planilha2!$A$2:$D$5566,4,0)</f>
        <v>CE</v>
      </c>
    </row>
    <row r="2531" spans="1:3" x14ac:dyDescent="0.35">
      <c r="A2531">
        <v>230300</v>
      </c>
      <c r="B2531" t="str">
        <f>VLOOKUP(A2531,Planilha2!$A$2:$C$5566,3,0)</f>
        <v>CARIDADE</v>
      </c>
      <c r="C2531" t="str">
        <f>VLOOKUP(A2531,Planilha2!$A$2:$D$5566,4,0)</f>
        <v>CE</v>
      </c>
    </row>
    <row r="2532" spans="1:3" x14ac:dyDescent="0.35">
      <c r="A2532">
        <v>240170</v>
      </c>
      <c r="B2532" t="str">
        <f>VLOOKUP(A2532,Planilha2!$A$2:$C$5566,3,0)</f>
        <v>BOM JESUS</v>
      </c>
      <c r="C2532" t="str">
        <f>VLOOKUP(A2532,Planilha2!$A$2:$D$5566,4,0)</f>
        <v>RN</v>
      </c>
    </row>
    <row r="2533" spans="1:3" x14ac:dyDescent="0.35">
      <c r="A2533">
        <v>240910</v>
      </c>
      <c r="B2533" t="str">
        <f>VLOOKUP(A2533,Planilha2!$A$2:$C$5566,3,0)</f>
        <v>PASSA E FICA</v>
      </c>
      <c r="C2533" t="str">
        <f>VLOOKUP(A2533,Planilha2!$A$2:$D$5566,4,0)</f>
        <v>RN</v>
      </c>
    </row>
    <row r="2534" spans="1:3" x14ac:dyDescent="0.35">
      <c r="A2534">
        <v>240350</v>
      </c>
      <c r="B2534" t="str">
        <f>VLOOKUP(A2534,Planilha2!$A$2:$C$5566,3,0)</f>
        <v>ESPÍRITO SANTO</v>
      </c>
      <c r="C2534" t="str">
        <f>VLOOKUP(A2534,Planilha2!$A$2:$D$5566,4,0)</f>
        <v>RN</v>
      </c>
    </row>
    <row r="2535" spans="1:3" x14ac:dyDescent="0.35">
      <c r="A2535">
        <v>251550</v>
      </c>
      <c r="B2535" t="str">
        <f>VLOOKUP(A2535,Planilha2!$A$2:$C$5566,3,0)</f>
        <v>SERRA BRANCA</v>
      </c>
      <c r="C2535" t="str">
        <f>VLOOKUP(A2535,Planilha2!$A$2:$D$5566,4,0)</f>
        <v>PB</v>
      </c>
    </row>
    <row r="2536" spans="1:3" x14ac:dyDescent="0.35">
      <c r="A2536">
        <v>250320</v>
      </c>
      <c r="B2536" t="str">
        <f>VLOOKUP(A2536,Planilha2!$A$2:$C$5566,3,0)</f>
        <v>CABEDELO</v>
      </c>
      <c r="C2536" t="str">
        <f>VLOOKUP(A2536,Planilha2!$A$2:$D$5566,4,0)</f>
        <v>PB</v>
      </c>
    </row>
    <row r="2537" spans="1:3" x14ac:dyDescent="0.35">
      <c r="A2537">
        <v>251390</v>
      </c>
      <c r="B2537" t="str">
        <f>VLOOKUP(A2537,Planilha2!$A$2:$C$5566,3,0)</f>
        <v>SÃO BENTO</v>
      </c>
      <c r="C2537" t="str">
        <f>VLOOKUP(A2537,Planilha2!$A$2:$D$5566,4,0)</f>
        <v>PB</v>
      </c>
    </row>
    <row r="2538" spans="1:3" x14ac:dyDescent="0.35">
      <c r="A2538">
        <v>250240</v>
      </c>
      <c r="B2538" t="str">
        <f>VLOOKUP(A2538,Planilha2!$A$2:$C$5566,3,0)</f>
        <v>BONITO DE SANTA FÉ</v>
      </c>
      <c r="C2538" t="str">
        <f>VLOOKUP(A2538,Planilha2!$A$2:$D$5566,4,0)</f>
        <v>PB</v>
      </c>
    </row>
    <row r="2539" spans="1:3" x14ac:dyDescent="0.35">
      <c r="A2539">
        <v>251340</v>
      </c>
      <c r="B2539" t="str">
        <f>VLOOKUP(A2539,Planilha2!$A$2:$C$5566,3,0)</f>
        <v>SANTA LUZIA</v>
      </c>
      <c r="C2539" t="str">
        <f>VLOOKUP(A2539,Planilha2!$A$2:$D$5566,4,0)</f>
        <v>PB</v>
      </c>
    </row>
    <row r="2540" spans="1:3" x14ac:dyDescent="0.35">
      <c r="A2540">
        <v>250490</v>
      </c>
      <c r="B2540" t="str">
        <f>VLOOKUP(A2540,Planilha2!$A$2:$C$5566,3,0)</f>
        <v>CRUZ DO ESPÍRITO SANTO</v>
      </c>
      <c r="C2540" t="str">
        <f>VLOOKUP(A2540,Planilha2!$A$2:$D$5566,4,0)</f>
        <v>PB</v>
      </c>
    </row>
    <row r="2541" spans="1:3" x14ac:dyDescent="0.35">
      <c r="A2541">
        <v>260700</v>
      </c>
      <c r="B2541" t="str">
        <f>VLOOKUP(A2541,Planilha2!$A$2:$C$5566,3,0)</f>
        <v>INAJÁ</v>
      </c>
      <c r="C2541" t="str">
        <f>VLOOKUP(A2541,Planilha2!$A$2:$D$5566,4,0)</f>
        <v>PE</v>
      </c>
    </row>
    <row r="2542" spans="1:3" x14ac:dyDescent="0.35">
      <c r="A2542">
        <v>261040</v>
      </c>
      <c r="B2542" t="str">
        <f>VLOOKUP(A2542,Planilha2!$A$2:$C$5566,3,0)</f>
        <v>PARNAMIRIM</v>
      </c>
      <c r="C2542" t="str">
        <f>VLOOKUP(A2542,Planilha2!$A$2:$D$5566,4,0)</f>
        <v>PE</v>
      </c>
    </row>
    <row r="2543" spans="1:3" x14ac:dyDescent="0.35">
      <c r="A2543">
        <v>261520</v>
      </c>
      <c r="B2543" t="str">
        <f>VLOOKUP(A2543,Planilha2!$A$2:$C$5566,3,0)</f>
        <v>TERRA NOVA</v>
      </c>
      <c r="C2543" t="str">
        <f>VLOOKUP(A2543,Planilha2!$A$2:$D$5566,4,0)</f>
        <v>PE</v>
      </c>
    </row>
    <row r="2544" spans="1:3" x14ac:dyDescent="0.35">
      <c r="A2544">
        <v>270380</v>
      </c>
      <c r="B2544" t="str">
        <f>VLOOKUP(A2544,Planilha2!$A$2:$C$5566,3,0)</f>
        <v>JOAQUIM GOMES</v>
      </c>
      <c r="C2544" t="str">
        <f>VLOOKUP(A2544,Planilha2!$A$2:$D$5566,4,0)</f>
        <v>AL</v>
      </c>
    </row>
    <row r="2545" spans="1:3" x14ac:dyDescent="0.35">
      <c r="A2545">
        <v>270130</v>
      </c>
      <c r="B2545" t="str">
        <f>VLOOKUP(A2545,Planilha2!$A$2:$C$5566,3,0)</f>
        <v>CAJUEIRO</v>
      </c>
      <c r="C2545" t="str">
        <f>VLOOKUP(A2545,Planilha2!$A$2:$D$5566,4,0)</f>
        <v>AL</v>
      </c>
    </row>
    <row r="2546" spans="1:3" x14ac:dyDescent="0.35">
      <c r="A2546">
        <v>270240</v>
      </c>
      <c r="B2546" t="str">
        <f>VLOOKUP(A2546,Planilha2!$A$2:$C$5566,3,0)</f>
        <v>DELMIRO GOUVEIA</v>
      </c>
      <c r="C2546" t="str">
        <f>VLOOKUP(A2546,Planilha2!$A$2:$D$5566,4,0)</f>
        <v>AL</v>
      </c>
    </row>
    <row r="2547" spans="1:3" x14ac:dyDescent="0.35">
      <c r="A2547">
        <v>270800</v>
      </c>
      <c r="B2547" t="str">
        <f>VLOOKUP(A2547,Planilha2!$A$2:$C$5566,3,0)</f>
        <v>SANTANA DO IPANEMA</v>
      </c>
      <c r="C2547" t="str">
        <f>VLOOKUP(A2547,Planilha2!$A$2:$D$5566,4,0)</f>
        <v>AL</v>
      </c>
    </row>
    <row r="2548" spans="1:3" x14ac:dyDescent="0.35">
      <c r="A2548">
        <v>270255</v>
      </c>
      <c r="B2548" t="str">
        <f>VLOOKUP(A2548,Planilha2!$A$2:$C$5566,3,0)</f>
        <v>ESTRELA DE ALAGOAS</v>
      </c>
      <c r="C2548" t="str">
        <f>VLOOKUP(A2548,Planilha2!$A$2:$D$5566,4,0)</f>
        <v>AL</v>
      </c>
    </row>
    <row r="2549" spans="1:3" x14ac:dyDescent="0.35">
      <c r="A2549">
        <v>270090</v>
      </c>
      <c r="B2549" t="str">
        <f>VLOOKUP(A2549,Planilha2!$A$2:$C$5566,3,0)</f>
        <v>BELO MONTE</v>
      </c>
      <c r="C2549" t="str">
        <f>VLOOKUP(A2549,Planilha2!$A$2:$D$5566,4,0)</f>
        <v>AL</v>
      </c>
    </row>
    <row r="2550" spans="1:3" x14ac:dyDescent="0.35">
      <c r="A2550">
        <v>270350</v>
      </c>
      <c r="B2550" t="str">
        <f>VLOOKUP(A2550,Planilha2!$A$2:$C$5566,3,0)</f>
        <v>JACUÍPE</v>
      </c>
      <c r="C2550" t="str">
        <f>VLOOKUP(A2550,Planilha2!$A$2:$D$5566,4,0)</f>
        <v>AL</v>
      </c>
    </row>
    <row r="2551" spans="1:3" x14ac:dyDescent="0.35">
      <c r="A2551">
        <v>270200</v>
      </c>
      <c r="B2551" t="str">
        <f>VLOOKUP(A2551,Planilha2!$A$2:$C$5566,3,0)</f>
        <v>COITÉ DO NÓIA</v>
      </c>
      <c r="C2551" t="str">
        <f>VLOOKUP(A2551,Planilha2!$A$2:$D$5566,4,0)</f>
        <v>AL</v>
      </c>
    </row>
    <row r="2552" spans="1:3" x14ac:dyDescent="0.35">
      <c r="A2552">
        <v>270235</v>
      </c>
      <c r="B2552" t="str">
        <f>VLOOKUP(A2552,Planilha2!$A$2:$C$5566,3,0)</f>
        <v>CRAÍBAS</v>
      </c>
      <c r="C2552" t="str">
        <f>VLOOKUP(A2552,Planilha2!$A$2:$D$5566,4,0)</f>
        <v>AL</v>
      </c>
    </row>
    <row r="2553" spans="1:3" x14ac:dyDescent="0.35">
      <c r="A2553">
        <v>270260</v>
      </c>
      <c r="B2553" t="str">
        <f>VLOOKUP(A2553,Planilha2!$A$2:$C$5566,3,0)</f>
        <v>FEIRA GRANDE</v>
      </c>
      <c r="C2553" t="str">
        <f>VLOOKUP(A2553,Planilha2!$A$2:$D$5566,4,0)</f>
        <v>AL</v>
      </c>
    </row>
    <row r="2554" spans="1:3" x14ac:dyDescent="0.35">
      <c r="A2554">
        <v>270900</v>
      </c>
      <c r="B2554" t="str">
        <f>VLOOKUP(A2554,Planilha2!$A$2:$C$5566,3,0)</f>
        <v>TANQUE D`ARCA</v>
      </c>
      <c r="C2554" t="str">
        <f>VLOOKUP(A2554,Planilha2!$A$2:$D$5566,4,0)</f>
        <v>AL</v>
      </c>
    </row>
    <row r="2555" spans="1:3" x14ac:dyDescent="0.35">
      <c r="A2555">
        <v>270644</v>
      </c>
      <c r="B2555" t="str">
        <f>VLOOKUP(A2555,Planilha2!$A$2:$C$5566,3,0)</f>
        <v>PARIPUEIRA</v>
      </c>
      <c r="C2555" t="str">
        <f>VLOOKUP(A2555,Planilha2!$A$2:$D$5566,4,0)</f>
        <v>AL</v>
      </c>
    </row>
    <row r="2556" spans="1:3" x14ac:dyDescent="0.35">
      <c r="A2556">
        <v>270210</v>
      </c>
      <c r="B2556" t="str">
        <f>VLOOKUP(A2556,Planilha2!$A$2:$C$5566,3,0)</f>
        <v>COLÔNIA LEOPOLDINA</v>
      </c>
      <c r="C2556" t="str">
        <f>VLOOKUP(A2556,Planilha2!$A$2:$D$5566,4,0)</f>
        <v>AL</v>
      </c>
    </row>
    <row r="2557" spans="1:3" x14ac:dyDescent="0.35">
      <c r="A2557">
        <v>290205</v>
      </c>
      <c r="B2557" t="str">
        <f>VLOOKUP(A2557,Planilha2!$A$2:$C$5566,3,0)</f>
        <v>ARAÇAS</v>
      </c>
      <c r="C2557" t="str">
        <f>VLOOKUP(A2557,Planilha2!$A$2:$D$5566,4,0)</f>
        <v>BA</v>
      </c>
    </row>
    <row r="2558" spans="1:3" x14ac:dyDescent="0.35">
      <c r="A2558">
        <v>291770</v>
      </c>
      <c r="B2558" t="str">
        <f>VLOOKUP(A2558,Planilha2!$A$2:$C$5566,3,0)</f>
        <v>JAGUARARI</v>
      </c>
      <c r="C2558" t="str">
        <f>VLOOKUP(A2558,Planilha2!$A$2:$D$5566,4,0)</f>
        <v>BA</v>
      </c>
    </row>
    <row r="2559" spans="1:3" x14ac:dyDescent="0.35">
      <c r="A2559">
        <v>292630</v>
      </c>
      <c r="B2559" t="str">
        <f>VLOOKUP(A2559,Planilha2!$A$2:$C$5566,3,0)</f>
        <v>RIACHÃO DO JACUÍPE</v>
      </c>
      <c r="C2559" t="str">
        <f>VLOOKUP(A2559,Planilha2!$A$2:$D$5566,4,0)</f>
        <v>BA</v>
      </c>
    </row>
    <row r="2560" spans="1:3" x14ac:dyDescent="0.35">
      <c r="A2560">
        <v>290530</v>
      </c>
      <c r="B2560" t="str">
        <f>VLOOKUP(A2560,Planilha2!$A$2:$C$5566,3,0)</f>
        <v>CAFARNAUM</v>
      </c>
      <c r="C2560" t="str">
        <f>VLOOKUP(A2560,Planilha2!$A$2:$D$5566,4,0)</f>
        <v>BA</v>
      </c>
    </row>
    <row r="2561" spans="1:3" x14ac:dyDescent="0.35">
      <c r="A2561">
        <v>291060</v>
      </c>
      <c r="B2561" t="str">
        <f>VLOOKUP(A2561,Planilha2!$A$2:$C$5566,3,0)</f>
        <v>ESPLANADA</v>
      </c>
      <c r="C2561" t="str">
        <f>VLOOKUP(A2561,Planilha2!$A$2:$D$5566,4,0)</f>
        <v>BA</v>
      </c>
    </row>
    <row r="2562" spans="1:3" x14ac:dyDescent="0.35">
      <c r="A2562">
        <v>290770</v>
      </c>
      <c r="B2562" t="str">
        <f>VLOOKUP(A2562,Planilha2!$A$2:$C$5566,3,0)</f>
        <v>CHORROCHÓ</v>
      </c>
      <c r="C2562" t="str">
        <f>VLOOKUP(A2562,Planilha2!$A$2:$D$5566,4,0)</f>
        <v>BA</v>
      </c>
    </row>
    <row r="2563" spans="1:3" x14ac:dyDescent="0.35">
      <c r="A2563">
        <v>290135</v>
      </c>
      <c r="B2563" t="str">
        <f>VLOOKUP(A2563,Planilha2!$A$2:$C$5566,3,0)</f>
        <v>ANDORINHA</v>
      </c>
      <c r="C2563" t="str">
        <f>VLOOKUP(A2563,Planilha2!$A$2:$D$5566,4,0)</f>
        <v>BA</v>
      </c>
    </row>
    <row r="2564" spans="1:3" x14ac:dyDescent="0.35">
      <c r="A2564">
        <v>291875</v>
      </c>
      <c r="B2564" t="str">
        <f>VLOOKUP(A2564,Planilha2!$A$2:$C$5566,3,0)</f>
        <v>LAGOA REAL</v>
      </c>
      <c r="C2564" t="str">
        <f>VLOOKUP(A2564,Planilha2!$A$2:$D$5566,4,0)</f>
        <v>BA</v>
      </c>
    </row>
    <row r="2565" spans="1:3" x14ac:dyDescent="0.35">
      <c r="A2565">
        <v>291340</v>
      </c>
      <c r="B2565" t="str">
        <f>VLOOKUP(A2565,Planilha2!$A$2:$C$5566,3,0)</f>
        <v>IGAPORÃ</v>
      </c>
      <c r="C2565" t="str">
        <f>VLOOKUP(A2565,Planilha2!$A$2:$D$5566,4,0)</f>
        <v>BA</v>
      </c>
    </row>
    <row r="2566" spans="1:3" x14ac:dyDescent="0.35">
      <c r="A2566">
        <v>290660</v>
      </c>
      <c r="B2566" t="str">
        <f>VLOOKUP(A2566,Planilha2!$A$2:$C$5566,3,0)</f>
        <v>CANDIBA</v>
      </c>
      <c r="C2566" t="str">
        <f>VLOOKUP(A2566,Planilha2!$A$2:$D$5566,4,0)</f>
        <v>BA</v>
      </c>
    </row>
    <row r="2567" spans="1:3" x14ac:dyDescent="0.35">
      <c r="A2567">
        <v>292105</v>
      </c>
      <c r="B2567" t="str">
        <f>VLOOKUP(A2567,Planilha2!$A$2:$C$5566,3,0)</f>
        <v>MATINA</v>
      </c>
      <c r="C2567" t="str">
        <f>VLOOKUP(A2567,Planilha2!$A$2:$D$5566,4,0)</f>
        <v>BA</v>
      </c>
    </row>
    <row r="2568" spans="1:3" x14ac:dyDescent="0.35">
      <c r="A2568">
        <v>291733</v>
      </c>
      <c r="B2568" t="str">
        <f>VLOOKUP(A2568,Planilha2!$A$2:$C$5566,3,0)</f>
        <v>IUIÚ</v>
      </c>
      <c r="C2568" t="str">
        <f>VLOOKUP(A2568,Planilha2!$A$2:$D$5566,4,0)</f>
        <v>BA</v>
      </c>
    </row>
    <row r="2569" spans="1:3" x14ac:dyDescent="0.35">
      <c r="A2569">
        <v>311350</v>
      </c>
      <c r="B2569" t="str">
        <f>VLOOKUP(A2569,Planilha2!$A$2:$C$5566,3,0)</f>
        <v>CARBONITA</v>
      </c>
      <c r="C2569" t="str">
        <f>VLOOKUP(A2569,Planilha2!$A$2:$D$5566,4,0)</f>
        <v>MG</v>
      </c>
    </row>
    <row r="2570" spans="1:3" x14ac:dyDescent="0.35">
      <c r="A2570">
        <v>316530</v>
      </c>
      <c r="B2570" t="str">
        <f>VLOOKUP(A2570,Planilha2!$A$2:$C$5566,3,0)</f>
        <v>SÃO VICENTE DE MINAS</v>
      </c>
      <c r="C2570" t="str">
        <f>VLOOKUP(A2570,Planilha2!$A$2:$D$5566,4,0)</f>
        <v>MG</v>
      </c>
    </row>
    <row r="2571" spans="1:3" x14ac:dyDescent="0.35">
      <c r="A2571">
        <v>313190</v>
      </c>
      <c r="B2571" t="str">
        <f>VLOOKUP(A2571,Planilha2!$A$2:$C$5566,3,0)</f>
        <v>ITABIRITO</v>
      </c>
      <c r="C2571" t="str">
        <f>VLOOKUP(A2571,Planilha2!$A$2:$D$5566,4,0)</f>
        <v>MG</v>
      </c>
    </row>
    <row r="2572" spans="1:3" x14ac:dyDescent="0.35">
      <c r="A2572">
        <v>313010</v>
      </c>
      <c r="B2572" t="str">
        <f>VLOOKUP(A2572,Planilha2!$A$2:$C$5566,3,0)</f>
        <v>IGARAPÉ</v>
      </c>
      <c r="C2572" t="str">
        <f>VLOOKUP(A2572,Planilha2!$A$2:$D$5566,4,0)</f>
        <v>MG</v>
      </c>
    </row>
    <row r="2573" spans="1:3" x14ac:dyDescent="0.35">
      <c r="A2573">
        <v>316570</v>
      </c>
      <c r="B2573" t="str">
        <f>VLOOKUP(A2573,Planilha2!$A$2:$C$5566,3,0)</f>
        <v>SENADOR FIRMINO</v>
      </c>
      <c r="C2573" t="str">
        <f>VLOOKUP(A2573,Planilha2!$A$2:$D$5566,4,0)</f>
        <v>MG</v>
      </c>
    </row>
    <row r="2574" spans="1:3" x14ac:dyDescent="0.35">
      <c r="A2574">
        <v>315030</v>
      </c>
      <c r="B2574" t="str">
        <f>VLOOKUP(A2574,Planilha2!$A$2:$C$5566,3,0)</f>
        <v>PIEDADE DO RIO GRANDE</v>
      </c>
      <c r="C2574" t="str">
        <f>VLOOKUP(A2574,Planilha2!$A$2:$D$5566,4,0)</f>
        <v>MG</v>
      </c>
    </row>
    <row r="2575" spans="1:3" x14ac:dyDescent="0.35">
      <c r="A2575">
        <v>316700</v>
      </c>
      <c r="B2575" t="str">
        <f>VLOOKUP(A2575,Planilha2!$A$2:$C$5566,3,0)</f>
        <v>SERRANOS</v>
      </c>
      <c r="C2575" t="str">
        <f>VLOOKUP(A2575,Planilha2!$A$2:$D$5566,4,0)</f>
        <v>MG</v>
      </c>
    </row>
    <row r="2576" spans="1:3" x14ac:dyDescent="0.35">
      <c r="A2576">
        <v>311840</v>
      </c>
      <c r="B2576" t="str">
        <f>VLOOKUP(A2576,Planilha2!$A$2:$C$5566,3,0)</f>
        <v>CONSELHEIRO PENA</v>
      </c>
      <c r="C2576" t="str">
        <f>VLOOKUP(A2576,Planilha2!$A$2:$D$5566,4,0)</f>
        <v>MG</v>
      </c>
    </row>
    <row r="2577" spans="1:3" x14ac:dyDescent="0.35">
      <c r="A2577">
        <v>312660</v>
      </c>
      <c r="B2577" t="str">
        <f>VLOOKUP(A2577,Planilha2!$A$2:$C$5566,3,0)</f>
        <v>FRANCISCO DUMONT</v>
      </c>
      <c r="C2577" t="str">
        <f>VLOOKUP(A2577,Planilha2!$A$2:$D$5566,4,0)</f>
        <v>MG</v>
      </c>
    </row>
    <row r="2578" spans="1:3" x14ac:dyDescent="0.35">
      <c r="A2578">
        <v>314060</v>
      </c>
      <c r="B2578" t="str">
        <f>VLOOKUP(A2578,Planilha2!$A$2:$C$5566,3,0)</f>
        <v>MATERLÂNDIA</v>
      </c>
      <c r="C2578" t="str">
        <f>VLOOKUP(A2578,Planilha2!$A$2:$D$5566,4,0)</f>
        <v>MG</v>
      </c>
    </row>
    <row r="2579" spans="1:3" x14ac:dyDescent="0.35">
      <c r="A2579">
        <v>311610</v>
      </c>
      <c r="B2579" t="str">
        <f>VLOOKUP(A2579,Planilha2!$A$2:$C$5566,3,0)</f>
        <v>CHAPADA DO NORTE</v>
      </c>
      <c r="C2579" t="str">
        <f>VLOOKUP(A2579,Planilha2!$A$2:$D$5566,4,0)</f>
        <v>MG</v>
      </c>
    </row>
    <row r="2580" spans="1:3" x14ac:dyDescent="0.35">
      <c r="A2580">
        <v>316890</v>
      </c>
      <c r="B2580" t="str">
        <f>VLOOKUP(A2580,Planilha2!$A$2:$C$5566,3,0)</f>
        <v>TIROS</v>
      </c>
      <c r="C2580" t="str">
        <f>VLOOKUP(A2580,Planilha2!$A$2:$D$5566,4,0)</f>
        <v>MG</v>
      </c>
    </row>
    <row r="2581" spans="1:3" x14ac:dyDescent="0.35">
      <c r="A2581">
        <v>310590</v>
      </c>
      <c r="B2581" t="str">
        <f>VLOOKUP(A2581,Planilha2!$A$2:$C$5566,3,0)</f>
        <v>BARROSO</v>
      </c>
      <c r="C2581" t="str">
        <f>VLOOKUP(A2581,Planilha2!$A$2:$D$5566,4,0)</f>
        <v>MG</v>
      </c>
    </row>
    <row r="2582" spans="1:3" x14ac:dyDescent="0.35">
      <c r="A2582">
        <v>320435</v>
      </c>
      <c r="B2582" t="str">
        <f>VLOOKUP(A2582,Planilha2!$A$2:$C$5566,3,0)</f>
        <v>RIO BANANAL</v>
      </c>
      <c r="C2582" t="str">
        <f>VLOOKUP(A2582,Planilha2!$A$2:$D$5566,4,0)</f>
        <v>ES</v>
      </c>
    </row>
    <row r="2583" spans="1:3" x14ac:dyDescent="0.35">
      <c r="A2583">
        <v>330300</v>
      </c>
      <c r="B2583" t="str">
        <f>VLOOKUP(A2583,Planilha2!$A$2:$C$5566,3,0)</f>
        <v>MIRACEMA</v>
      </c>
      <c r="C2583" t="str">
        <f>VLOOKUP(A2583,Planilha2!$A$2:$D$5566,4,0)</f>
        <v>RJ</v>
      </c>
    </row>
    <row r="2584" spans="1:3" x14ac:dyDescent="0.35">
      <c r="A2584">
        <v>330415</v>
      </c>
      <c r="B2584" t="str">
        <f>VLOOKUP(A2584,Planilha2!$A$2:$C$5566,3,0)</f>
        <v>QUISSAMÃ</v>
      </c>
      <c r="C2584" t="str">
        <f>VLOOKUP(A2584,Planilha2!$A$2:$D$5566,4,0)</f>
        <v>RJ</v>
      </c>
    </row>
    <row r="2585" spans="1:3" x14ac:dyDescent="0.35">
      <c r="A2585">
        <v>355290</v>
      </c>
      <c r="B2585" t="str">
        <f>VLOOKUP(A2585,Planilha2!$A$2:$C$5566,3,0)</f>
        <v>TACIBA</v>
      </c>
      <c r="C2585" t="str">
        <f>VLOOKUP(A2585,Planilha2!$A$2:$D$5566,4,0)</f>
        <v>SP</v>
      </c>
    </row>
    <row r="2586" spans="1:3" x14ac:dyDescent="0.35">
      <c r="A2586">
        <v>352800</v>
      </c>
      <c r="B2586" t="str">
        <f>VLOOKUP(A2586,Planilha2!$A$2:$C$5566,3,0)</f>
        <v>MACATUBA</v>
      </c>
      <c r="C2586" t="str">
        <f>VLOOKUP(A2586,Planilha2!$A$2:$D$5566,4,0)</f>
        <v>SP</v>
      </c>
    </row>
    <row r="2587" spans="1:3" x14ac:dyDescent="0.35">
      <c r="A2587">
        <v>351680</v>
      </c>
      <c r="B2587" t="str">
        <f>VLOOKUP(A2587,Planilha2!$A$2:$C$5566,3,0)</f>
        <v>GASTÃO VIDIGAL</v>
      </c>
      <c r="C2587" t="str">
        <f>VLOOKUP(A2587,Planilha2!$A$2:$D$5566,4,0)</f>
        <v>SP</v>
      </c>
    </row>
    <row r="2588" spans="1:3" x14ac:dyDescent="0.35">
      <c r="A2588">
        <v>353540</v>
      </c>
      <c r="B2588" t="str">
        <f>VLOOKUP(A2588,Planilha2!$A$2:$C$5566,3,0)</f>
        <v>PANORAMA</v>
      </c>
      <c r="C2588" t="str">
        <f>VLOOKUP(A2588,Planilha2!$A$2:$D$5566,4,0)</f>
        <v>SP</v>
      </c>
    </row>
    <row r="2589" spans="1:3" x14ac:dyDescent="0.35">
      <c r="A2589">
        <v>352120</v>
      </c>
      <c r="B2589" t="str">
        <f>VLOOKUP(A2589,Planilha2!$A$2:$C$5566,3,0)</f>
        <v>IPORANGA</v>
      </c>
      <c r="C2589" t="str">
        <f>VLOOKUP(A2589,Planilha2!$A$2:$D$5566,4,0)</f>
        <v>SP</v>
      </c>
    </row>
    <row r="2590" spans="1:3" x14ac:dyDescent="0.35">
      <c r="A2590">
        <v>355580</v>
      </c>
      <c r="B2590" t="str">
        <f>VLOOKUP(A2590,Planilha2!$A$2:$C$5566,3,0)</f>
        <v>URÂNIA</v>
      </c>
      <c r="C2590" t="str">
        <f>VLOOKUP(A2590,Planilha2!$A$2:$D$5566,4,0)</f>
        <v>SP</v>
      </c>
    </row>
    <row r="2591" spans="1:3" x14ac:dyDescent="0.35">
      <c r="A2591">
        <v>412200</v>
      </c>
      <c r="B2591" t="str">
        <f>VLOOKUP(A2591,Planilha2!$A$2:$C$5566,3,0)</f>
        <v>RIO AZUL</v>
      </c>
      <c r="C2591" t="str">
        <f>VLOOKUP(A2591,Planilha2!$A$2:$D$5566,4,0)</f>
        <v>PR</v>
      </c>
    </row>
    <row r="2592" spans="1:3" x14ac:dyDescent="0.35">
      <c r="A2592">
        <v>412520</v>
      </c>
      <c r="B2592" t="str">
        <f>VLOOKUP(A2592,Planilha2!$A$2:$C$5566,3,0)</f>
        <v>SÃO JORGE D`OESTE</v>
      </c>
      <c r="C2592" t="str">
        <f>VLOOKUP(A2592,Planilha2!$A$2:$D$5566,4,0)</f>
        <v>PR</v>
      </c>
    </row>
    <row r="2593" spans="1:3" x14ac:dyDescent="0.35">
      <c r="A2593">
        <v>412880</v>
      </c>
      <c r="B2593" t="str">
        <f>VLOOKUP(A2593,Planilha2!$A$2:$C$5566,3,0)</f>
        <v>XAMBRÊ</v>
      </c>
      <c r="C2593" t="str">
        <f>VLOOKUP(A2593,Planilha2!$A$2:$D$5566,4,0)</f>
        <v>PR</v>
      </c>
    </row>
    <row r="2594" spans="1:3" x14ac:dyDescent="0.35">
      <c r="A2594">
        <v>411722</v>
      </c>
      <c r="B2594" t="str">
        <f>VLOOKUP(A2594,Planilha2!$A$2:$C$5566,3,0)</f>
        <v>NOVA SANTA ROSA</v>
      </c>
      <c r="C2594" t="str">
        <f>VLOOKUP(A2594,Planilha2!$A$2:$D$5566,4,0)</f>
        <v>PR</v>
      </c>
    </row>
    <row r="2595" spans="1:3" x14ac:dyDescent="0.35">
      <c r="A2595">
        <v>412370</v>
      </c>
      <c r="B2595" t="str">
        <f>VLOOKUP(A2595,Planilha2!$A$2:$C$5566,3,0)</f>
        <v>SANTA ISABEL DO IVAÍ</v>
      </c>
      <c r="C2595" t="str">
        <f>VLOOKUP(A2595,Planilha2!$A$2:$D$5566,4,0)</f>
        <v>PR</v>
      </c>
    </row>
    <row r="2596" spans="1:3" x14ac:dyDescent="0.35">
      <c r="A2596">
        <v>412555</v>
      </c>
      <c r="B2596" t="str">
        <f>VLOOKUP(A2596,Planilha2!$A$2:$C$5566,3,0)</f>
        <v>SÃO MANOEL DO PARANÁ</v>
      </c>
      <c r="C2596" t="str">
        <f>VLOOKUP(A2596,Planilha2!$A$2:$D$5566,4,0)</f>
        <v>PR</v>
      </c>
    </row>
    <row r="2597" spans="1:3" x14ac:dyDescent="0.35">
      <c r="A2597">
        <v>410360</v>
      </c>
      <c r="B2597" t="str">
        <f>VLOOKUP(A2597,Planilha2!$A$2:$C$5566,3,0)</f>
        <v>CAMBARÁ</v>
      </c>
      <c r="C2597" t="str">
        <f>VLOOKUP(A2597,Planilha2!$A$2:$D$5566,4,0)</f>
        <v>PR</v>
      </c>
    </row>
    <row r="2598" spans="1:3" x14ac:dyDescent="0.35">
      <c r="A2598">
        <v>412780</v>
      </c>
      <c r="B2598" t="str">
        <f>VLOOKUP(A2598,Planilha2!$A$2:$C$5566,3,0)</f>
        <v>TOMAZINA</v>
      </c>
      <c r="C2598" t="str">
        <f>VLOOKUP(A2598,Planilha2!$A$2:$D$5566,4,0)</f>
        <v>PR</v>
      </c>
    </row>
    <row r="2599" spans="1:3" x14ac:dyDescent="0.35">
      <c r="A2599">
        <v>411920</v>
      </c>
      <c r="B2599" t="str">
        <f>VLOOKUP(A2599,Planilha2!$A$2:$C$5566,3,0)</f>
        <v>PINHALÃO</v>
      </c>
      <c r="C2599" t="str">
        <f>VLOOKUP(A2599,Planilha2!$A$2:$D$5566,4,0)</f>
        <v>PR</v>
      </c>
    </row>
    <row r="2600" spans="1:3" x14ac:dyDescent="0.35">
      <c r="A2600">
        <v>410337</v>
      </c>
      <c r="B2600" t="str">
        <f>VLOOKUP(A2600,Planilha2!$A$2:$C$5566,3,0)</f>
        <v>BRASILÂNDIA DO SUL</v>
      </c>
      <c r="C2600" t="str">
        <f>VLOOKUP(A2600,Planilha2!$A$2:$D$5566,4,0)</f>
        <v>PR</v>
      </c>
    </row>
    <row r="2601" spans="1:3" x14ac:dyDescent="0.35">
      <c r="A2601">
        <v>411007</v>
      </c>
      <c r="B2601" t="str">
        <f>VLOOKUP(A2601,Planilha2!$A$2:$C$5566,3,0)</f>
        <v>IMBAÚ</v>
      </c>
      <c r="C2601" t="str">
        <f>VLOOKUP(A2601,Planilha2!$A$2:$D$5566,4,0)</f>
        <v>PR</v>
      </c>
    </row>
    <row r="2602" spans="1:3" x14ac:dyDescent="0.35">
      <c r="A2602">
        <v>411965</v>
      </c>
      <c r="B2602" t="str">
        <f>VLOOKUP(A2602,Planilha2!$A$2:$C$5566,3,0)</f>
        <v>PITANGUEIRAS</v>
      </c>
      <c r="C2602" t="str">
        <f>VLOOKUP(A2602,Planilha2!$A$2:$D$5566,4,0)</f>
        <v>PR</v>
      </c>
    </row>
    <row r="2603" spans="1:3" x14ac:dyDescent="0.35">
      <c r="A2603">
        <v>421507</v>
      </c>
      <c r="B2603" t="str">
        <f>VLOOKUP(A2603,Planilha2!$A$2:$C$5566,3,0)</f>
        <v>RIQUEZA</v>
      </c>
      <c r="C2603" t="str">
        <f>VLOOKUP(A2603,Planilha2!$A$2:$D$5566,4,0)</f>
        <v>SC</v>
      </c>
    </row>
    <row r="2604" spans="1:3" x14ac:dyDescent="0.35">
      <c r="A2604">
        <v>420020</v>
      </c>
      <c r="B2604" t="str">
        <f>VLOOKUP(A2604,Planilha2!$A$2:$C$5566,3,0)</f>
        <v>AGROLÂNDIA</v>
      </c>
      <c r="C2604" t="str">
        <f>VLOOKUP(A2604,Planilha2!$A$2:$D$5566,4,0)</f>
        <v>SC</v>
      </c>
    </row>
    <row r="2605" spans="1:3" x14ac:dyDescent="0.35">
      <c r="A2605">
        <v>421540</v>
      </c>
      <c r="B2605" t="str">
        <f>VLOOKUP(A2605,Planilha2!$A$2:$C$5566,3,0)</f>
        <v>SALTO VELOSO</v>
      </c>
      <c r="C2605" t="str">
        <f>VLOOKUP(A2605,Planilha2!$A$2:$D$5566,4,0)</f>
        <v>SC</v>
      </c>
    </row>
    <row r="2606" spans="1:3" x14ac:dyDescent="0.35">
      <c r="A2606">
        <v>421880</v>
      </c>
      <c r="B2606" t="str">
        <f>VLOOKUP(A2606,Planilha2!$A$2:$C$5566,3,0)</f>
        <v>TURVO</v>
      </c>
      <c r="C2606" t="str">
        <f>VLOOKUP(A2606,Planilha2!$A$2:$D$5566,4,0)</f>
        <v>SC</v>
      </c>
    </row>
    <row r="2607" spans="1:3" x14ac:dyDescent="0.35">
      <c r="A2607">
        <v>431177</v>
      </c>
      <c r="B2607" t="str">
        <f>VLOOKUP(A2607,Planilha2!$A$2:$C$5566,3,0)</f>
        <v>MAQUINÉ</v>
      </c>
      <c r="C2607" t="str">
        <f>VLOOKUP(A2607,Planilha2!$A$2:$D$5566,4,0)</f>
        <v>RS</v>
      </c>
    </row>
    <row r="2608" spans="1:3" x14ac:dyDescent="0.35">
      <c r="A2608">
        <v>430163</v>
      </c>
      <c r="B2608" t="str">
        <f>VLOOKUP(A2608,Planilha2!$A$2:$C$5566,3,0)</f>
        <v>BALNEÁRIO PINHAL</v>
      </c>
      <c r="C2608" t="str">
        <f>VLOOKUP(A2608,Planilha2!$A$2:$D$5566,4,0)</f>
        <v>RS</v>
      </c>
    </row>
    <row r="2609" spans="1:3" x14ac:dyDescent="0.35">
      <c r="A2609">
        <v>431760</v>
      </c>
      <c r="B2609" t="str">
        <f>VLOOKUP(A2609,Planilha2!$A$2:$C$5566,3,0)</f>
        <v>SANTO ANTÔNIO DA PATRULHA</v>
      </c>
      <c r="C2609" t="str">
        <f>VLOOKUP(A2609,Planilha2!$A$2:$D$5566,4,0)</f>
        <v>RS</v>
      </c>
    </row>
    <row r="2610" spans="1:3" x14ac:dyDescent="0.35">
      <c r="A2610">
        <v>430890</v>
      </c>
      <c r="B2610" t="str">
        <f>VLOOKUP(A2610,Planilha2!$A$2:$C$5566,3,0)</f>
        <v>GETÚLIO VARGAS</v>
      </c>
      <c r="C2610" t="str">
        <f>VLOOKUP(A2610,Planilha2!$A$2:$D$5566,4,0)</f>
        <v>RS</v>
      </c>
    </row>
    <row r="2611" spans="1:3" x14ac:dyDescent="0.35">
      <c r="A2611">
        <v>430950</v>
      </c>
      <c r="B2611" t="str">
        <f>VLOOKUP(A2611,Planilha2!$A$2:$C$5566,3,0)</f>
        <v>GUARANI DAS MISSÕES</v>
      </c>
      <c r="C2611" t="str">
        <f>VLOOKUP(A2611,Planilha2!$A$2:$D$5566,4,0)</f>
        <v>RS</v>
      </c>
    </row>
    <row r="2612" spans="1:3" x14ac:dyDescent="0.35">
      <c r="A2612">
        <v>431915</v>
      </c>
      <c r="B2612" t="str">
        <f>VLOOKUP(A2612,Planilha2!$A$2:$C$5566,3,0)</f>
        <v>SÃO MIGUEL DAS MISSÕES</v>
      </c>
      <c r="C2612" t="str">
        <f>VLOOKUP(A2612,Planilha2!$A$2:$D$5566,4,0)</f>
        <v>RS</v>
      </c>
    </row>
    <row r="2613" spans="1:3" x14ac:dyDescent="0.35">
      <c r="A2613">
        <v>432253</v>
      </c>
      <c r="B2613" t="str">
        <f>VLOOKUP(A2613,Planilha2!$A$2:$C$5566,3,0)</f>
        <v>VALE DO SOL</v>
      </c>
      <c r="C2613" t="str">
        <f>VLOOKUP(A2613,Planilha2!$A$2:$D$5566,4,0)</f>
        <v>RS</v>
      </c>
    </row>
    <row r="2614" spans="1:3" x14ac:dyDescent="0.35">
      <c r="A2614">
        <v>432230</v>
      </c>
      <c r="B2614" t="str">
        <f>VLOOKUP(A2614,Planilha2!$A$2:$C$5566,3,0)</f>
        <v>TUPARENDI</v>
      </c>
      <c r="C2614" t="str">
        <f>VLOOKUP(A2614,Planilha2!$A$2:$D$5566,4,0)</f>
        <v>RS</v>
      </c>
    </row>
    <row r="2615" spans="1:3" x14ac:dyDescent="0.35">
      <c r="A2615">
        <v>430600</v>
      </c>
      <c r="B2615" t="str">
        <f>VLOOKUP(A2615,Planilha2!$A$2:$C$5566,3,0)</f>
        <v>CRISSIUMAL</v>
      </c>
      <c r="C2615" t="str">
        <f>VLOOKUP(A2615,Planilha2!$A$2:$D$5566,4,0)</f>
        <v>RS</v>
      </c>
    </row>
    <row r="2616" spans="1:3" x14ac:dyDescent="0.35">
      <c r="A2616">
        <v>431130</v>
      </c>
      <c r="B2616" t="str">
        <f>VLOOKUP(A2616,Planilha2!$A$2:$C$5566,3,0)</f>
        <v>LAGOA VERMELHA</v>
      </c>
      <c r="C2616" t="str">
        <f>VLOOKUP(A2616,Planilha2!$A$2:$D$5566,4,0)</f>
        <v>RS</v>
      </c>
    </row>
    <row r="2617" spans="1:3" x14ac:dyDescent="0.35">
      <c r="A2617">
        <v>431225</v>
      </c>
      <c r="B2617" t="str">
        <f>VLOOKUP(A2617,Planilha2!$A$2:$C$5566,3,0)</f>
        <v>MINAS DO LEÃO</v>
      </c>
      <c r="C2617" t="str">
        <f>VLOOKUP(A2617,Planilha2!$A$2:$D$5566,4,0)</f>
        <v>RS</v>
      </c>
    </row>
    <row r="2618" spans="1:3" x14ac:dyDescent="0.35">
      <c r="A2618">
        <v>431820</v>
      </c>
      <c r="B2618" t="str">
        <f>VLOOKUP(A2618,Planilha2!$A$2:$C$5566,3,0)</f>
        <v>SÃO FRANCISCO DE PAULA</v>
      </c>
      <c r="C2618" t="str">
        <f>VLOOKUP(A2618,Planilha2!$A$2:$D$5566,4,0)</f>
        <v>RS</v>
      </c>
    </row>
    <row r="2619" spans="1:3" x14ac:dyDescent="0.35">
      <c r="A2619">
        <v>430535</v>
      </c>
      <c r="B2619" t="str">
        <f>VLOOKUP(A2619,Planilha2!$A$2:$C$5566,3,0)</f>
        <v>CHARQUEADAS</v>
      </c>
      <c r="C2619" t="str">
        <f>VLOOKUP(A2619,Planilha2!$A$2:$D$5566,4,0)</f>
        <v>RS</v>
      </c>
    </row>
    <row r="2620" spans="1:3" x14ac:dyDescent="0.35">
      <c r="A2620">
        <v>430810</v>
      </c>
      <c r="B2620" t="str">
        <f>VLOOKUP(A2620,Planilha2!$A$2:$C$5566,3,0)</f>
        <v>FELIZ</v>
      </c>
      <c r="C2620" t="str">
        <f>VLOOKUP(A2620,Planilha2!$A$2:$D$5566,4,0)</f>
        <v>RS</v>
      </c>
    </row>
    <row r="2621" spans="1:3" x14ac:dyDescent="0.35">
      <c r="A2621">
        <v>430630</v>
      </c>
      <c r="B2621" t="str">
        <f>VLOOKUP(A2621,Planilha2!$A$2:$C$5566,3,0)</f>
        <v>DAVID CANABARRO</v>
      </c>
      <c r="C2621" t="str">
        <f>VLOOKUP(A2621,Planilha2!$A$2:$D$5566,4,0)</f>
        <v>RS</v>
      </c>
    </row>
    <row r="2622" spans="1:3" x14ac:dyDescent="0.35">
      <c r="A2622">
        <v>432335</v>
      </c>
      <c r="B2622" t="str">
        <f>VLOOKUP(A2622,Planilha2!$A$2:$C$5566,3,0)</f>
        <v>VILA LÂNGARO</v>
      </c>
      <c r="C2622" t="str">
        <f>VLOOKUP(A2622,Planilha2!$A$2:$D$5566,4,0)</f>
        <v>RS</v>
      </c>
    </row>
    <row r="2623" spans="1:3" x14ac:dyDescent="0.35">
      <c r="A2623">
        <v>430005</v>
      </c>
      <c r="B2623" t="str">
        <f>VLOOKUP(A2623,Planilha2!$A$2:$C$5566,3,0)</f>
        <v>ÁGUA SANTA</v>
      </c>
      <c r="C2623" t="str">
        <f>VLOOKUP(A2623,Planilha2!$A$2:$D$5566,4,0)</f>
        <v>RS</v>
      </c>
    </row>
    <row r="2624" spans="1:3" x14ac:dyDescent="0.35">
      <c r="A2624">
        <v>431400</v>
      </c>
      <c r="B2624" t="str">
        <f>VLOOKUP(A2624,Planilha2!$A$2:$C$5566,3,0)</f>
        <v>PARAÍ</v>
      </c>
      <c r="C2624" t="str">
        <f>VLOOKUP(A2624,Planilha2!$A$2:$D$5566,4,0)</f>
        <v>RS</v>
      </c>
    </row>
    <row r="2625" spans="1:3" x14ac:dyDescent="0.35">
      <c r="A2625">
        <v>431170</v>
      </c>
      <c r="B2625" t="str">
        <f>VLOOKUP(A2625,Planilha2!$A$2:$C$5566,3,0)</f>
        <v>MACHADINHO</v>
      </c>
      <c r="C2625" t="str">
        <f>VLOOKUP(A2625,Planilha2!$A$2:$D$5566,4,0)</f>
        <v>RS</v>
      </c>
    </row>
    <row r="2626" spans="1:3" x14ac:dyDescent="0.35">
      <c r="A2626">
        <v>431330</v>
      </c>
      <c r="B2626" t="str">
        <f>VLOOKUP(A2626,Planilha2!$A$2:$C$5566,3,0)</f>
        <v>NOVA PRATA</v>
      </c>
      <c r="C2626" t="str">
        <f>VLOOKUP(A2626,Planilha2!$A$2:$D$5566,4,0)</f>
        <v>RS</v>
      </c>
    </row>
    <row r="2627" spans="1:3" x14ac:dyDescent="0.35">
      <c r="A2627">
        <v>431697</v>
      </c>
      <c r="B2627" t="str">
        <f>VLOOKUP(A2627,Planilha2!$A$2:$C$5566,3,0)</f>
        <v>SANTA MARGARIDA DO SUL</v>
      </c>
      <c r="C2627" t="str">
        <f>VLOOKUP(A2627,Planilha2!$A$2:$D$5566,4,0)</f>
        <v>RS</v>
      </c>
    </row>
    <row r="2628" spans="1:3" x14ac:dyDescent="0.35">
      <c r="A2628">
        <v>430360</v>
      </c>
      <c r="B2628" t="str">
        <f>VLOOKUP(A2628,Planilha2!$A$2:$C$5566,3,0)</f>
        <v>CAMBARÁ DO SUL</v>
      </c>
      <c r="C2628" t="str">
        <f>VLOOKUP(A2628,Planilha2!$A$2:$D$5566,4,0)</f>
        <v>RS</v>
      </c>
    </row>
    <row r="2629" spans="1:3" x14ac:dyDescent="0.35">
      <c r="A2629">
        <v>500720</v>
      </c>
      <c r="B2629" t="str">
        <f>VLOOKUP(A2629,Planilha2!$A$2:$C$5566,3,0)</f>
        <v>RIO BRILHANTE</v>
      </c>
      <c r="C2629" t="str">
        <f>VLOOKUP(A2629,Planilha2!$A$2:$D$5566,4,0)</f>
        <v>MS</v>
      </c>
    </row>
    <row r="2630" spans="1:3" x14ac:dyDescent="0.35">
      <c r="A2630">
        <v>500060</v>
      </c>
      <c r="B2630" t="str">
        <f>VLOOKUP(A2630,Planilha2!$A$2:$C$5566,3,0)</f>
        <v>AMAMBAÍ</v>
      </c>
      <c r="C2630" t="str">
        <f>VLOOKUP(A2630,Planilha2!$A$2:$D$5566,4,0)</f>
        <v>MS</v>
      </c>
    </row>
    <row r="2631" spans="1:3" x14ac:dyDescent="0.35">
      <c r="A2631">
        <v>500740</v>
      </c>
      <c r="B2631" t="str">
        <f>VLOOKUP(A2631,Planilha2!$A$2:$C$5566,3,0)</f>
        <v>RIO VERDE DE MATO GROSSO</v>
      </c>
      <c r="C2631" t="str">
        <f>VLOOKUP(A2631,Planilha2!$A$2:$D$5566,4,0)</f>
        <v>MS</v>
      </c>
    </row>
    <row r="2632" spans="1:3" x14ac:dyDescent="0.35">
      <c r="A2632">
        <v>510615</v>
      </c>
      <c r="B2632" t="str">
        <f>VLOOKUP(A2632,Planilha2!$A$2:$C$5566,3,0)</f>
        <v>NOVA BANDEIRANTES</v>
      </c>
      <c r="C2632" t="str">
        <f>VLOOKUP(A2632,Planilha2!$A$2:$D$5566,4,0)</f>
        <v>MT</v>
      </c>
    </row>
    <row r="2633" spans="1:3" x14ac:dyDescent="0.35">
      <c r="A2633">
        <v>510880</v>
      </c>
      <c r="B2633" t="str">
        <f>VLOOKUP(A2633,Planilha2!$A$2:$C$5566,3,0)</f>
        <v>NOVA GUARITA</v>
      </c>
      <c r="C2633" t="str">
        <f>VLOOKUP(A2633,Planilha2!$A$2:$D$5566,4,0)</f>
        <v>MT</v>
      </c>
    </row>
    <row r="2634" spans="1:3" x14ac:dyDescent="0.35">
      <c r="A2634">
        <v>520430</v>
      </c>
      <c r="B2634" t="str">
        <f>VLOOKUP(A2634,Planilha2!$A$2:$C$5566,3,0)</f>
        <v>CAÇU</v>
      </c>
      <c r="C2634" t="str">
        <f>VLOOKUP(A2634,Planilha2!$A$2:$D$5566,4,0)</f>
        <v>GO</v>
      </c>
    </row>
    <row r="2635" spans="1:3" x14ac:dyDescent="0.35">
      <c r="A2635">
        <v>521630</v>
      </c>
      <c r="B2635" t="str">
        <f>VLOOKUP(A2635,Planilha2!$A$2:$C$5566,3,0)</f>
        <v>PARANAIGUARA</v>
      </c>
      <c r="C2635" t="str">
        <f>VLOOKUP(A2635,Planilha2!$A$2:$D$5566,4,0)</f>
        <v>GO</v>
      </c>
    </row>
    <row r="2636" spans="1:3" x14ac:dyDescent="0.35">
      <c r="A2636">
        <v>522026</v>
      </c>
      <c r="B2636" t="str">
        <f>VLOOKUP(A2636,Planilha2!$A$2:$C$5566,3,0)</f>
        <v>SÃO MIGUEL DO PASSA QUATRO</v>
      </c>
      <c r="C2636" t="str">
        <f>VLOOKUP(A2636,Planilha2!$A$2:$D$5566,4,0)</f>
        <v>GO</v>
      </c>
    </row>
    <row r="2637" spans="1:3" x14ac:dyDescent="0.35">
      <c r="A2637">
        <v>520545</v>
      </c>
      <c r="B2637" t="str">
        <f>VLOOKUP(A2637,Planilha2!$A$2:$C$5566,3,0)</f>
        <v>CEZARINA</v>
      </c>
      <c r="C2637" t="str">
        <f>VLOOKUP(A2637,Planilha2!$A$2:$D$5566,4,0)</f>
        <v>GO</v>
      </c>
    </row>
    <row r="2638" spans="1:3" x14ac:dyDescent="0.35">
      <c r="A2638">
        <v>521720</v>
      </c>
      <c r="B2638" t="str">
        <f>VLOOKUP(A2638,Planilha2!$A$2:$C$5566,3,0)</f>
        <v>PIRANHAS</v>
      </c>
      <c r="C2638" t="str">
        <f>VLOOKUP(A2638,Planilha2!$A$2:$D$5566,4,0)</f>
        <v>GO</v>
      </c>
    </row>
    <row r="2639" spans="1:3" x14ac:dyDescent="0.35">
      <c r="A2639">
        <v>521290</v>
      </c>
      <c r="B2639" t="str">
        <f>VLOOKUP(A2639,Planilha2!$A$2:$C$5566,3,0)</f>
        <v>MARZAGÃO</v>
      </c>
      <c r="C2639" t="str">
        <f>VLOOKUP(A2639,Planilha2!$A$2:$D$5566,4,0)</f>
        <v>GO</v>
      </c>
    </row>
    <row r="2640" spans="1:3" x14ac:dyDescent="0.35">
      <c r="A2640">
        <v>520910</v>
      </c>
      <c r="B2640" t="str">
        <f>VLOOKUP(A2640,Planilha2!$A$2:$C$5566,3,0)</f>
        <v>GOIATUBA</v>
      </c>
      <c r="C2640" t="str">
        <f>VLOOKUP(A2640,Planilha2!$A$2:$D$5566,4,0)</f>
        <v>GO</v>
      </c>
    </row>
    <row r="2641" spans="1:3" x14ac:dyDescent="0.35">
      <c r="A2641">
        <v>520400</v>
      </c>
      <c r="B2641" t="str">
        <f>VLOOKUP(A2641,Planilha2!$A$2:$C$5566,3,0)</f>
        <v>CABECEIRAS</v>
      </c>
      <c r="C2641" t="str">
        <f>VLOOKUP(A2641,Planilha2!$A$2:$D$5566,4,0)</f>
        <v>GO</v>
      </c>
    </row>
    <row r="2642" spans="1:3" x14ac:dyDescent="0.35">
      <c r="A2642">
        <v>110110</v>
      </c>
      <c r="B2642" t="str">
        <f>VLOOKUP(A2642,Planilha2!$A$2:$C$5566,3,0)</f>
        <v>ITAPUÃ DO OESTE</v>
      </c>
      <c r="C2642" t="str">
        <f>VLOOKUP(A2642,Planilha2!$A$2:$D$5566,4,0)</f>
        <v>RO</v>
      </c>
    </row>
    <row r="2643" spans="1:3" x14ac:dyDescent="0.35">
      <c r="A2643">
        <v>110100</v>
      </c>
      <c r="B2643" t="str">
        <f>VLOOKUP(A2643,Planilha2!$A$2:$C$5566,3,0)</f>
        <v>GOVERNADOR JORGE TEIXEIRA</v>
      </c>
      <c r="C2643" t="str">
        <f>VLOOKUP(A2643,Planilha2!$A$2:$D$5566,4,0)</f>
        <v>RO</v>
      </c>
    </row>
    <row r="2644" spans="1:3" x14ac:dyDescent="0.35">
      <c r="A2644">
        <v>110025</v>
      </c>
      <c r="B2644" t="str">
        <f>VLOOKUP(A2644,Planilha2!$A$2:$C$5566,3,0)</f>
        <v>PRESIDENTE MÉDICI</v>
      </c>
      <c r="C2644" t="str">
        <f>VLOOKUP(A2644,Planilha2!$A$2:$D$5566,4,0)</f>
        <v>RO</v>
      </c>
    </row>
    <row r="2645" spans="1:3" x14ac:dyDescent="0.35">
      <c r="A2645">
        <v>130230</v>
      </c>
      <c r="B2645" t="str">
        <f>VLOOKUP(A2645,Planilha2!$A$2:$C$5566,3,0)</f>
        <v>JUTAÍ</v>
      </c>
      <c r="C2645" t="str">
        <f>VLOOKUP(A2645,Planilha2!$A$2:$D$5566,4,0)</f>
        <v>AM</v>
      </c>
    </row>
    <row r="2646" spans="1:3" x14ac:dyDescent="0.35">
      <c r="A2646">
        <v>150660</v>
      </c>
      <c r="B2646" t="str">
        <f>VLOOKUP(A2646,Planilha2!$A$2:$C$5566,3,0)</f>
        <v>SANTA MARIA DO PARÁ</v>
      </c>
      <c r="C2646" t="str">
        <f>VLOOKUP(A2646,Planilha2!$A$2:$D$5566,4,0)</f>
        <v>PA</v>
      </c>
    </row>
    <row r="2647" spans="1:3" x14ac:dyDescent="0.35">
      <c r="A2647">
        <v>171500</v>
      </c>
      <c r="B2647" t="str">
        <f>VLOOKUP(A2647,Planilha2!$A$2:$C$5566,3,0)</f>
        <v>NOVA ROSALÂNDIA</v>
      </c>
      <c r="C2647" t="str">
        <f>VLOOKUP(A2647,Planilha2!$A$2:$D$5566,4,0)</f>
        <v>TO</v>
      </c>
    </row>
    <row r="2648" spans="1:3" x14ac:dyDescent="0.35">
      <c r="A2648">
        <v>171888</v>
      </c>
      <c r="B2648" t="str">
        <f>VLOOKUP(A2648,Planilha2!$A$2:$C$5566,3,0)</f>
        <v>SANTA MARIA DO TOCANTINS</v>
      </c>
      <c r="C2648" t="str">
        <f>VLOOKUP(A2648,Planilha2!$A$2:$D$5566,4,0)</f>
        <v>TO</v>
      </c>
    </row>
    <row r="2649" spans="1:3" x14ac:dyDescent="0.35">
      <c r="A2649">
        <v>170255</v>
      </c>
      <c r="B2649" t="str">
        <f>VLOOKUP(A2649,Planilha2!$A$2:$C$5566,3,0)</f>
        <v>AUGUSTINÓPOLIS</v>
      </c>
      <c r="C2649" t="str">
        <f>VLOOKUP(A2649,Planilha2!$A$2:$D$5566,4,0)</f>
        <v>TO</v>
      </c>
    </row>
    <row r="2650" spans="1:3" x14ac:dyDescent="0.35">
      <c r="A2650">
        <v>172030</v>
      </c>
      <c r="B2650" t="str">
        <f>VLOOKUP(A2650,Planilha2!$A$2:$C$5566,3,0)</f>
        <v>SÃO SEBASTIÃO DO TOCANTINS</v>
      </c>
      <c r="C2650" t="str">
        <f>VLOOKUP(A2650,Planilha2!$A$2:$D$5566,4,0)</f>
        <v>TO</v>
      </c>
    </row>
    <row r="2651" spans="1:3" x14ac:dyDescent="0.35">
      <c r="A2651">
        <v>171280</v>
      </c>
      <c r="B2651" t="str">
        <f>VLOOKUP(A2651,Planilha2!$A$2:$C$5566,3,0)</f>
        <v>MAURILÂNDIA DO TOCANTINS</v>
      </c>
      <c r="C2651" t="str">
        <f>VLOOKUP(A2651,Planilha2!$A$2:$D$5566,4,0)</f>
        <v>TO</v>
      </c>
    </row>
    <row r="2652" spans="1:3" x14ac:dyDescent="0.35">
      <c r="A2652">
        <v>171420</v>
      </c>
      <c r="B2652" t="str">
        <f>VLOOKUP(A2652,Planilha2!$A$2:$C$5566,3,0)</f>
        <v>NATIVIDADE</v>
      </c>
      <c r="C2652" t="str">
        <f>VLOOKUP(A2652,Planilha2!$A$2:$D$5566,4,0)</f>
        <v>TO</v>
      </c>
    </row>
    <row r="2653" spans="1:3" x14ac:dyDescent="0.35">
      <c r="A2653">
        <v>170100</v>
      </c>
      <c r="B2653" t="str">
        <f>VLOOKUP(A2653,Planilha2!$A$2:$C$5566,3,0)</f>
        <v>ANANÁS</v>
      </c>
      <c r="C2653" t="str">
        <f>VLOOKUP(A2653,Planilha2!$A$2:$D$5566,4,0)</f>
        <v>TO</v>
      </c>
    </row>
    <row r="2654" spans="1:3" x14ac:dyDescent="0.35">
      <c r="A2654">
        <v>210462</v>
      </c>
      <c r="B2654" t="str">
        <f>VLOOKUP(A2654,Planilha2!$A$2:$C$5566,3,0)</f>
        <v>GOVERNADOR LUIZ ROCHA</v>
      </c>
      <c r="C2654" t="str">
        <f>VLOOKUP(A2654,Planilha2!$A$2:$D$5566,4,0)</f>
        <v>MA</v>
      </c>
    </row>
    <row r="2655" spans="1:3" x14ac:dyDescent="0.35">
      <c r="A2655">
        <v>210450</v>
      </c>
      <c r="B2655" t="str">
        <f>VLOOKUP(A2655,Planilha2!$A$2:$C$5566,3,0)</f>
        <v>GOVERNADOR ARCHER</v>
      </c>
      <c r="C2655" t="str">
        <f>VLOOKUP(A2655,Planilha2!$A$2:$D$5566,4,0)</f>
        <v>MA</v>
      </c>
    </row>
    <row r="2656" spans="1:3" x14ac:dyDescent="0.35">
      <c r="A2656">
        <v>210270</v>
      </c>
      <c r="B2656" t="str">
        <f>VLOOKUP(A2656,Planilha2!$A$2:$C$5566,3,0)</f>
        <v>CANTANHEDE</v>
      </c>
      <c r="C2656" t="str">
        <f>VLOOKUP(A2656,Planilha2!$A$2:$D$5566,4,0)</f>
        <v>MA</v>
      </c>
    </row>
    <row r="2657" spans="1:3" x14ac:dyDescent="0.35">
      <c r="A2657">
        <v>210955</v>
      </c>
      <c r="B2657" t="str">
        <f>VLOOKUP(A2657,Planilha2!$A$2:$C$5566,3,0)</f>
        <v>RIBAMAR FIQUENE</v>
      </c>
      <c r="C2657" t="str">
        <f>VLOOKUP(A2657,Planilha2!$A$2:$D$5566,4,0)</f>
        <v>MA</v>
      </c>
    </row>
    <row r="2658" spans="1:3" x14ac:dyDescent="0.35">
      <c r="A2658">
        <v>210043</v>
      </c>
      <c r="B2658" t="str">
        <f>VLOOKUP(A2658,Planilha2!$A$2:$C$5566,3,0)</f>
        <v>ALTO ALEGRE DO MARANHÃO</v>
      </c>
      <c r="C2658" t="str">
        <f>VLOOKUP(A2658,Planilha2!$A$2:$D$5566,4,0)</f>
        <v>MA</v>
      </c>
    </row>
    <row r="2659" spans="1:3" x14ac:dyDescent="0.35">
      <c r="A2659">
        <v>211400</v>
      </c>
      <c r="B2659" t="str">
        <f>VLOOKUP(A2659,Planilha2!$A$2:$C$5566,3,0)</f>
        <v>ZÉ DOCA</v>
      </c>
      <c r="C2659" t="str">
        <f>VLOOKUP(A2659,Planilha2!$A$2:$D$5566,4,0)</f>
        <v>MA</v>
      </c>
    </row>
    <row r="2660" spans="1:3" x14ac:dyDescent="0.35">
      <c r="A2660">
        <v>210060</v>
      </c>
      <c r="B2660" t="str">
        <f>VLOOKUP(A2660,Planilha2!$A$2:$C$5566,3,0)</f>
        <v>AMARANTE DO MARANHÃO</v>
      </c>
      <c r="C2660" t="str">
        <f>VLOOKUP(A2660,Planilha2!$A$2:$D$5566,4,0)</f>
        <v>MA</v>
      </c>
    </row>
    <row r="2661" spans="1:3" x14ac:dyDescent="0.35">
      <c r="A2661">
        <v>211070</v>
      </c>
      <c r="B2661" t="str">
        <f>VLOOKUP(A2661,Planilha2!$A$2:$C$5566,3,0)</f>
        <v>SÃO DOMINGOS DO MARANHÃO</v>
      </c>
      <c r="C2661" t="str">
        <f>VLOOKUP(A2661,Planilha2!$A$2:$D$5566,4,0)</f>
        <v>MA</v>
      </c>
    </row>
    <row r="2662" spans="1:3" x14ac:dyDescent="0.35">
      <c r="A2662">
        <v>210250</v>
      </c>
      <c r="B2662" t="str">
        <f>VLOOKUP(A2662,Planilha2!$A$2:$C$5566,3,0)</f>
        <v>CAJARI</v>
      </c>
      <c r="C2662" t="str">
        <f>VLOOKUP(A2662,Planilha2!$A$2:$D$5566,4,0)</f>
        <v>MA</v>
      </c>
    </row>
    <row r="2663" spans="1:3" x14ac:dyDescent="0.35">
      <c r="A2663">
        <v>210235</v>
      </c>
      <c r="B2663" t="str">
        <f>VLOOKUP(A2663,Planilha2!$A$2:$C$5566,3,0)</f>
        <v>BURITIRANA</v>
      </c>
      <c r="C2663" t="str">
        <f>VLOOKUP(A2663,Planilha2!$A$2:$D$5566,4,0)</f>
        <v>MA</v>
      </c>
    </row>
    <row r="2664" spans="1:3" x14ac:dyDescent="0.35">
      <c r="A2664">
        <v>210410</v>
      </c>
      <c r="B2664" t="str">
        <f>VLOOKUP(A2664,Planilha2!$A$2:$C$5566,3,0)</f>
        <v>FORTALEZA DOS NOGUEIRAS</v>
      </c>
      <c r="C2664" t="str">
        <f>VLOOKUP(A2664,Planilha2!$A$2:$D$5566,4,0)</f>
        <v>MA</v>
      </c>
    </row>
    <row r="2665" spans="1:3" x14ac:dyDescent="0.35">
      <c r="A2665">
        <v>210810</v>
      </c>
      <c r="B2665" t="str">
        <f>VLOOKUP(A2665,Planilha2!$A$2:$C$5566,3,0)</f>
        <v>PAULO RAMOS</v>
      </c>
      <c r="C2665" t="str">
        <f>VLOOKUP(A2665,Planilha2!$A$2:$D$5566,4,0)</f>
        <v>MA</v>
      </c>
    </row>
    <row r="2666" spans="1:3" x14ac:dyDescent="0.35">
      <c r="A2666">
        <v>210740</v>
      </c>
      <c r="B2666" t="str">
        <f>VLOOKUP(A2666,Planilha2!$A$2:$C$5566,3,0)</f>
        <v>OLHO D`ÁGUA DAS CUNHÃS</v>
      </c>
      <c r="C2666" t="str">
        <f>VLOOKUP(A2666,Planilha2!$A$2:$D$5566,4,0)</f>
        <v>MA</v>
      </c>
    </row>
    <row r="2667" spans="1:3" x14ac:dyDescent="0.35">
      <c r="A2667">
        <v>211300</v>
      </c>
      <c r="B2667" t="str">
        <f>VLOOKUP(A2667,Planilha2!$A$2:$C$5566,3,0)</f>
        <v>VITORINO FREIRE</v>
      </c>
      <c r="C2667" t="str">
        <f>VLOOKUP(A2667,Planilha2!$A$2:$D$5566,4,0)</f>
        <v>MA</v>
      </c>
    </row>
    <row r="2668" spans="1:3" x14ac:dyDescent="0.35">
      <c r="A2668">
        <v>211223</v>
      </c>
      <c r="B2668" t="str">
        <f>VLOOKUP(A2668,Planilha2!$A$2:$C$5566,3,0)</f>
        <v>TRIZIDELA DO VALE</v>
      </c>
      <c r="C2668" t="str">
        <f>VLOOKUP(A2668,Planilha2!$A$2:$D$5566,4,0)</f>
        <v>MA</v>
      </c>
    </row>
    <row r="2669" spans="1:3" x14ac:dyDescent="0.35">
      <c r="A2669">
        <v>210570</v>
      </c>
      <c r="B2669" t="str">
        <f>VLOOKUP(A2669,Planilha2!$A$2:$C$5566,3,0)</f>
        <v>LAGO DA PEDRA</v>
      </c>
      <c r="C2669" t="str">
        <f>VLOOKUP(A2669,Planilha2!$A$2:$D$5566,4,0)</f>
        <v>MA</v>
      </c>
    </row>
    <row r="2670" spans="1:3" x14ac:dyDescent="0.35">
      <c r="A2670">
        <v>211270</v>
      </c>
      <c r="B2670" t="str">
        <f>VLOOKUP(A2670,Planilha2!$A$2:$C$5566,3,0)</f>
        <v>VARGEM GRANDE</v>
      </c>
      <c r="C2670" t="str">
        <f>VLOOKUP(A2670,Planilha2!$A$2:$D$5566,4,0)</f>
        <v>MA</v>
      </c>
    </row>
    <row r="2671" spans="1:3" x14ac:dyDescent="0.35">
      <c r="A2671">
        <v>210090</v>
      </c>
      <c r="B2671" t="str">
        <f>VLOOKUP(A2671,Planilha2!$A$2:$C$5566,3,0)</f>
        <v>ARAIOSES</v>
      </c>
      <c r="C2671" t="str">
        <f>VLOOKUP(A2671,Planilha2!$A$2:$D$5566,4,0)</f>
        <v>MA</v>
      </c>
    </row>
    <row r="2672" spans="1:3" x14ac:dyDescent="0.35">
      <c r="A2672">
        <v>210490</v>
      </c>
      <c r="B2672" t="str">
        <f>VLOOKUP(A2672,Planilha2!$A$2:$C$5566,3,0)</f>
        <v>GUIMARÃES</v>
      </c>
      <c r="C2672" t="str">
        <f>VLOOKUP(A2672,Planilha2!$A$2:$D$5566,4,0)</f>
        <v>MA</v>
      </c>
    </row>
    <row r="2673" spans="1:3" x14ac:dyDescent="0.35">
      <c r="A2673">
        <v>210670</v>
      </c>
      <c r="B2673" t="str">
        <f>VLOOKUP(A2673,Planilha2!$A$2:$C$5566,3,0)</f>
        <v>MIRADOR</v>
      </c>
      <c r="C2673" t="str">
        <f>VLOOKUP(A2673,Planilha2!$A$2:$D$5566,4,0)</f>
        <v>MA</v>
      </c>
    </row>
    <row r="2674" spans="1:3" x14ac:dyDescent="0.35">
      <c r="A2674">
        <v>210460</v>
      </c>
      <c r="B2674" t="str">
        <f>VLOOKUP(A2674,Planilha2!$A$2:$C$5566,3,0)</f>
        <v>GOVERNADOR EUGÊNIO BARROS</v>
      </c>
      <c r="C2674" t="str">
        <f>VLOOKUP(A2674,Planilha2!$A$2:$D$5566,4,0)</f>
        <v>MA</v>
      </c>
    </row>
    <row r="2675" spans="1:3" x14ac:dyDescent="0.35">
      <c r="A2675">
        <v>210660</v>
      </c>
      <c r="B2675" t="str">
        <f>VLOOKUP(A2675,Planilha2!$A$2:$C$5566,3,0)</f>
        <v>MATÕES</v>
      </c>
      <c r="C2675" t="str">
        <f>VLOOKUP(A2675,Planilha2!$A$2:$D$5566,4,0)</f>
        <v>MA</v>
      </c>
    </row>
    <row r="2676" spans="1:3" x14ac:dyDescent="0.35">
      <c r="A2676">
        <v>210515</v>
      </c>
      <c r="B2676" t="str">
        <f>VLOOKUP(A2676,Planilha2!$A$2:$C$5566,3,0)</f>
        <v>IGARAPÉ DO MEIO</v>
      </c>
      <c r="C2676" t="str">
        <f>VLOOKUP(A2676,Planilha2!$A$2:$D$5566,4,0)</f>
        <v>MA</v>
      </c>
    </row>
    <row r="2677" spans="1:3" x14ac:dyDescent="0.35">
      <c r="A2677">
        <v>210900</v>
      </c>
      <c r="B2677" t="str">
        <f>VLOOKUP(A2677,Planilha2!$A$2:$C$5566,3,0)</f>
        <v>PORTO FRANCO</v>
      </c>
      <c r="C2677" t="str">
        <f>VLOOKUP(A2677,Planilha2!$A$2:$D$5566,4,0)</f>
        <v>MA</v>
      </c>
    </row>
    <row r="2678" spans="1:3" x14ac:dyDescent="0.35">
      <c r="A2678">
        <v>210010</v>
      </c>
      <c r="B2678" t="str">
        <f>VLOOKUP(A2678,Planilha2!$A$2:$C$5566,3,0)</f>
        <v>AFONSO CUNHA</v>
      </c>
      <c r="C2678" t="str">
        <f>VLOOKUP(A2678,Planilha2!$A$2:$D$5566,4,0)</f>
        <v>MA</v>
      </c>
    </row>
    <row r="2679" spans="1:3" x14ac:dyDescent="0.35">
      <c r="A2679">
        <v>210500</v>
      </c>
      <c r="B2679" t="str">
        <f>VLOOKUP(A2679,Planilha2!$A$2:$C$5566,3,0)</f>
        <v>HUMBERTO DE CAMPOS</v>
      </c>
      <c r="C2679" t="str">
        <f>VLOOKUP(A2679,Planilha2!$A$2:$D$5566,4,0)</f>
        <v>MA</v>
      </c>
    </row>
    <row r="2680" spans="1:3" x14ac:dyDescent="0.35">
      <c r="A2680">
        <v>210680</v>
      </c>
      <c r="B2680" t="str">
        <f>VLOOKUP(A2680,Planilha2!$A$2:$C$5566,3,0)</f>
        <v>MIRINZAL</v>
      </c>
      <c r="C2680" t="str">
        <f>VLOOKUP(A2680,Planilha2!$A$2:$D$5566,4,0)</f>
        <v>MA</v>
      </c>
    </row>
    <row r="2681" spans="1:3" x14ac:dyDescent="0.35">
      <c r="A2681">
        <v>210980</v>
      </c>
      <c r="B2681" t="str">
        <f>VLOOKUP(A2681,Planilha2!$A$2:$C$5566,3,0)</f>
        <v>SANTA HELENA</v>
      </c>
      <c r="C2681" t="str">
        <f>VLOOKUP(A2681,Planilha2!$A$2:$D$5566,4,0)</f>
        <v>MA</v>
      </c>
    </row>
    <row r="2682" spans="1:3" x14ac:dyDescent="0.35">
      <c r="A2682">
        <v>220320</v>
      </c>
      <c r="B2682" t="str">
        <f>VLOOKUP(A2682,Planilha2!$A$2:$C$5566,3,0)</f>
        <v>CURIMATÁ</v>
      </c>
      <c r="C2682" t="str">
        <f>VLOOKUP(A2682,Planilha2!$A$2:$D$5566,4,0)</f>
        <v>PI</v>
      </c>
    </row>
    <row r="2683" spans="1:3" x14ac:dyDescent="0.35">
      <c r="A2683">
        <v>221050</v>
      </c>
      <c r="B2683" t="str">
        <f>VLOOKUP(A2683,Planilha2!$A$2:$C$5566,3,0)</f>
        <v>SÃO PEDRO DO PIAUÍ</v>
      </c>
      <c r="C2683" t="str">
        <f>VLOOKUP(A2683,Planilha2!$A$2:$D$5566,4,0)</f>
        <v>PI</v>
      </c>
    </row>
    <row r="2684" spans="1:3" x14ac:dyDescent="0.35">
      <c r="A2684">
        <v>220885</v>
      </c>
      <c r="B2684" t="str">
        <f>VLOOKUP(A2684,Planilha2!$A$2:$C$5566,3,0)</f>
        <v>RIACHO FRIO</v>
      </c>
      <c r="C2684" t="str">
        <f>VLOOKUP(A2684,Planilha2!$A$2:$D$5566,4,0)</f>
        <v>PI</v>
      </c>
    </row>
    <row r="2685" spans="1:3" x14ac:dyDescent="0.35">
      <c r="A2685">
        <v>220196</v>
      </c>
      <c r="B2685" t="str">
        <f>VLOOKUP(A2685,Planilha2!$A$2:$C$5566,3,0)</f>
        <v>BRASILEIRA</v>
      </c>
      <c r="C2685" t="str">
        <f>VLOOKUP(A2685,Planilha2!$A$2:$D$5566,4,0)</f>
        <v>PI</v>
      </c>
    </row>
    <row r="2686" spans="1:3" x14ac:dyDescent="0.35">
      <c r="A2686">
        <v>220150</v>
      </c>
      <c r="B2686" t="str">
        <f>VLOOKUP(A2686,Planilha2!$A$2:$C$5566,3,0)</f>
        <v>BATALHA</v>
      </c>
      <c r="C2686" t="str">
        <f>VLOOKUP(A2686,Planilha2!$A$2:$D$5566,4,0)</f>
        <v>PI</v>
      </c>
    </row>
    <row r="2687" spans="1:3" x14ac:dyDescent="0.35">
      <c r="A2687">
        <v>220170</v>
      </c>
      <c r="B2687" t="str">
        <f>VLOOKUP(A2687,Planilha2!$A$2:$C$5566,3,0)</f>
        <v>BERTOLÍNIA</v>
      </c>
      <c r="C2687" t="str">
        <f>VLOOKUP(A2687,Planilha2!$A$2:$D$5566,4,0)</f>
        <v>PI</v>
      </c>
    </row>
    <row r="2688" spans="1:3" x14ac:dyDescent="0.35">
      <c r="A2688">
        <v>220915</v>
      </c>
      <c r="B2688" t="str">
        <f>VLOOKUP(A2688,Planilha2!$A$2:$C$5566,3,0)</f>
        <v>SANTA CRUZ DOS MILAGRES</v>
      </c>
      <c r="C2688" t="str">
        <f>VLOOKUP(A2688,Planilha2!$A$2:$D$5566,4,0)</f>
        <v>PI</v>
      </c>
    </row>
    <row r="2689" spans="1:3" x14ac:dyDescent="0.35">
      <c r="A2689">
        <v>220330</v>
      </c>
      <c r="B2689" t="str">
        <f>VLOOKUP(A2689,Planilha2!$A$2:$C$5566,3,0)</f>
        <v>DEMERVAL LOBÃO</v>
      </c>
      <c r="C2689" t="str">
        <f>VLOOKUP(A2689,Planilha2!$A$2:$D$5566,4,0)</f>
        <v>PI</v>
      </c>
    </row>
    <row r="2690" spans="1:3" x14ac:dyDescent="0.35">
      <c r="A2690">
        <v>220527</v>
      </c>
      <c r="B2690" t="str">
        <f>VLOOKUP(A2690,Planilha2!$A$2:$C$5566,3,0)</f>
        <v>JATOBÁ DO PIAUÍ</v>
      </c>
      <c r="C2690" t="str">
        <f>VLOOKUP(A2690,Planilha2!$A$2:$D$5566,4,0)</f>
        <v>PI</v>
      </c>
    </row>
    <row r="2691" spans="1:3" x14ac:dyDescent="0.35">
      <c r="A2691">
        <v>220210</v>
      </c>
      <c r="B2691" t="str">
        <f>VLOOKUP(A2691,Planilha2!$A$2:$C$5566,3,0)</f>
        <v>CAMPINAS DO PIAUÍ</v>
      </c>
      <c r="C2691" t="str">
        <f>VLOOKUP(A2691,Planilha2!$A$2:$D$5566,4,0)</f>
        <v>PI</v>
      </c>
    </row>
    <row r="2692" spans="1:3" x14ac:dyDescent="0.35">
      <c r="A2692">
        <v>220720</v>
      </c>
      <c r="B2692" t="str">
        <f>VLOOKUP(A2692,Planilha2!$A$2:$C$5566,3,0)</f>
        <v>PADRE MARCOS</v>
      </c>
      <c r="C2692" t="str">
        <f>VLOOKUP(A2692,Planilha2!$A$2:$D$5566,4,0)</f>
        <v>PI</v>
      </c>
    </row>
    <row r="2693" spans="1:3" x14ac:dyDescent="0.35">
      <c r="A2693">
        <v>220205</v>
      </c>
      <c r="B2693" t="str">
        <f>VLOOKUP(A2693,Planilha2!$A$2:$C$5566,3,0)</f>
        <v>CABECEIRAS DO PIAUÍ</v>
      </c>
      <c r="C2693" t="str">
        <f>VLOOKUP(A2693,Planilha2!$A$2:$D$5566,4,0)</f>
        <v>PI</v>
      </c>
    </row>
    <row r="2694" spans="1:3" x14ac:dyDescent="0.35">
      <c r="A2694">
        <v>231085</v>
      </c>
      <c r="B2694" t="str">
        <f>VLOOKUP(A2694,Planilha2!$A$2:$C$5566,3,0)</f>
        <v>PINDORETAMA</v>
      </c>
      <c r="C2694" t="str">
        <f>VLOOKUP(A2694,Planilha2!$A$2:$D$5566,4,0)</f>
        <v>CE</v>
      </c>
    </row>
    <row r="2695" spans="1:3" x14ac:dyDescent="0.35">
      <c r="A2695">
        <v>231400</v>
      </c>
      <c r="B2695" t="str">
        <f>VLOOKUP(A2695,Planilha2!$A$2:$C$5566,3,0)</f>
        <v>VÁRZEA ALEGRE</v>
      </c>
      <c r="C2695" t="str">
        <f>VLOOKUP(A2695,Planilha2!$A$2:$D$5566,4,0)</f>
        <v>CE</v>
      </c>
    </row>
    <row r="2696" spans="1:3" x14ac:dyDescent="0.35">
      <c r="A2696">
        <v>230090</v>
      </c>
      <c r="B2696" t="str">
        <f>VLOOKUP(A2696,Planilha2!$A$2:$C$5566,3,0)</f>
        <v>APUIARÉS</v>
      </c>
      <c r="C2696" t="str">
        <f>VLOOKUP(A2696,Planilha2!$A$2:$D$5566,4,0)</f>
        <v>CE</v>
      </c>
    </row>
    <row r="2697" spans="1:3" x14ac:dyDescent="0.35">
      <c r="A2697">
        <v>231160</v>
      </c>
      <c r="B2697" t="str">
        <f>VLOOKUP(A2697,Planilha2!$A$2:$C$5566,3,0)</f>
        <v>REDENÇÃO</v>
      </c>
      <c r="C2697" t="str">
        <f>VLOOKUP(A2697,Planilha2!$A$2:$D$5566,4,0)</f>
        <v>CE</v>
      </c>
    </row>
    <row r="2698" spans="1:3" x14ac:dyDescent="0.35">
      <c r="A2698">
        <v>231270</v>
      </c>
      <c r="B2698" t="str">
        <f>VLOOKUP(A2698,Planilha2!$A$2:$C$5566,3,0)</f>
        <v>SENADOR POMPEU</v>
      </c>
      <c r="C2698" t="str">
        <f>VLOOKUP(A2698,Planilha2!$A$2:$D$5566,4,0)</f>
        <v>CE</v>
      </c>
    </row>
    <row r="2699" spans="1:3" x14ac:dyDescent="0.35">
      <c r="A2699">
        <v>230160</v>
      </c>
      <c r="B2699" t="str">
        <f>VLOOKUP(A2699,Planilha2!$A$2:$C$5566,3,0)</f>
        <v>ASSARÉ</v>
      </c>
      <c r="C2699" t="str">
        <f>VLOOKUP(A2699,Planilha2!$A$2:$D$5566,4,0)</f>
        <v>CE</v>
      </c>
    </row>
    <row r="2700" spans="1:3" x14ac:dyDescent="0.35">
      <c r="A2700">
        <v>230930</v>
      </c>
      <c r="B2700" t="str">
        <f>VLOOKUP(A2700,Planilha2!$A$2:$C$5566,3,0)</f>
        <v>NOVA RUSSAS</v>
      </c>
      <c r="C2700" t="str">
        <f>VLOOKUP(A2700,Planilha2!$A$2:$D$5566,4,0)</f>
        <v>CE</v>
      </c>
    </row>
    <row r="2701" spans="1:3" x14ac:dyDescent="0.35">
      <c r="A2701">
        <v>230310</v>
      </c>
      <c r="B2701" t="str">
        <f>VLOOKUP(A2701,Planilha2!$A$2:$C$5566,3,0)</f>
        <v>CARIRÉ</v>
      </c>
      <c r="C2701" t="str">
        <f>VLOOKUP(A2701,Planilha2!$A$2:$D$5566,4,0)</f>
        <v>CE</v>
      </c>
    </row>
    <row r="2702" spans="1:3" x14ac:dyDescent="0.35">
      <c r="A2702">
        <v>230205</v>
      </c>
      <c r="B2702" t="str">
        <f>VLOOKUP(A2702,Planilha2!$A$2:$C$5566,3,0)</f>
        <v>BARROQUINHA</v>
      </c>
      <c r="C2702" t="str">
        <f>VLOOKUP(A2702,Planilha2!$A$2:$D$5566,4,0)</f>
        <v>CE</v>
      </c>
    </row>
    <row r="2703" spans="1:3" x14ac:dyDescent="0.35">
      <c r="A2703">
        <v>230600</v>
      </c>
      <c r="B2703" t="str">
        <f>VLOOKUP(A2703,Planilha2!$A$2:$C$5566,3,0)</f>
        <v>IRACEMA</v>
      </c>
      <c r="C2703" t="str">
        <f>VLOOKUP(A2703,Planilha2!$A$2:$D$5566,4,0)</f>
        <v>CE</v>
      </c>
    </row>
    <row r="2704" spans="1:3" x14ac:dyDescent="0.35">
      <c r="A2704">
        <v>230670</v>
      </c>
      <c r="B2704" t="str">
        <f>VLOOKUP(A2704,Planilha2!$A$2:$C$5566,3,0)</f>
        <v>JAGUARETAMA</v>
      </c>
      <c r="C2704" t="str">
        <f>VLOOKUP(A2704,Planilha2!$A$2:$D$5566,4,0)</f>
        <v>CE</v>
      </c>
    </row>
    <row r="2705" spans="1:3" x14ac:dyDescent="0.35">
      <c r="A2705">
        <v>230840</v>
      </c>
      <c r="B2705" t="str">
        <f>VLOOKUP(A2705,Planilha2!$A$2:$C$5566,3,0)</f>
        <v>MISSÃO VELHA</v>
      </c>
      <c r="C2705" t="str">
        <f>VLOOKUP(A2705,Planilha2!$A$2:$D$5566,4,0)</f>
        <v>CE</v>
      </c>
    </row>
    <row r="2706" spans="1:3" x14ac:dyDescent="0.35">
      <c r="A2706">
        <v>240090</v>
      </c>
      <c r="B2706" t="str">
        <f>VLOOKUP(A2706,Planilha2!$A$2:$C$5566,3,0)</f>
        <v>ANTÔNIO MARTINS</v>
      </c>
      <c r="C2706" t="str">
        <f>VLOOKUP(A2706,Planilha2!$A$2:$D$5566,4,0)</f>
        <v>RN</v>
      </c>
    </row>
    <row r="2707" spans="1:3" x14ac:dyDescent="0.35">
      <c r="A2707">
        <v>241360</v>
      </c>
      <c r="B2707" t="str">
        <f>VLOOKUP(A2707,Planilha2!$A$2:$C$5566,3,0)</f>
        <v>SEVERIANO MELO</v>
      </c>
      <c r="C2707" t="str">
        <f>VLOOKUP(A2707,Planilha2!$A$2:$D$5566,4,0)</f>
        <v>RN</v>
      </c>
    </row>
    <row r="2708" spans="1:3" x14ac:dyDescent="0.35">
      <c r="A2708">
        <v>240520</v>
      </c>
      <c r="B2708" t="str">
        <f>VLOOKUP(A2708,Planilha2!$A$2:$C$5566,3,0)</f>
        <v>JANDUÍS</v>
      </c>
      <c r="C2708" t="str">
        <f>VLOOKUP(A2708,Planilha2!$A$2:$D$5566,4,0)</f>
        <v>RN</v>
      </c>
    </row>
    <row r="2709" spans="1:3" x14ac:dyDescent="0.35">
      <c r="A2709">
        <v>241120</v>
      </c>
      <c r="B2709" t="str">
        <f>VLOOKUP(A2709,Planilha2!$A$2:$C$5566,3,0)</f>
        <v>SANTA CRUZ</v>
      </c>
      <c r="C2709" t="str">
        <f>VLOOKUP(A2709,Planilha2!$A$2:$D$5566,4,0)</f>
        <v>RN</v>
      </c>
    </row>
    <row r="2710" spans="1:3" x14ac:dyDescent="0.35">
      <c r="A2710">
        <v>240030</v>
      </c>
      <c r="B2710" t="str">
        <f>VLOOKUP(A2710,Planilha2!$A$2:$C$5566,3,0)</f>
        <v>AFONSO BEZERRA</v>
      </c>
      <c r="C2710" t="str">
        <f>VLOOKUP(A2710,Planilha2!$A$2:$D$5566,4,0)</f>
        <v>RN</v>
      </c>
    </row>
    <row r="2711" spans="1:3" x14ac:dyDescent="0.35">
      <c r="A2711">
        <v>240430</v>
      </c>
      <c r="B2711" t="str">
        <f>VLOOKUP(A2711,Planilha2!$A$2:$C$5566,3,0)</f>
        <v>GOVERNADOR DIX-SEPT ROSADO</v>
      </c>
      <c r="C2711" t="str">
        <f>VLOOKUP(A2711,Planilha2!$A$2:$D$5566,4,0)</f>
        <v>RN</v>
      </c>
    </row>
    <row r="2712" spans="1:3" x14ac:dyDescent="0.35">
      <c r="A2712">
        <v>240440</v>
      </c>
      <c r="B2712" t="str">
        <f>VLOOKUP(A2712,Planilha2!$A$2:$C$5566,3,0)</f>
        <v>GROSSOS</v>
      </c>
      <c r="C2712" t="str">
        <f>VLOOKUP(A2712,Planilha2!$A$2:$D$5566,4,0)</f>
        <v>RN</v>
      </c>
    </row>
    <row r="2713" spans="1:3" x14ac:dyDescent="0.35">
      <c r="A2713">
        <v>241290</v>
      </c>
      <c r="B2713" t="str">
        <f>VLOOKUP(A2713,Planilha2!$A$2:$C$5566,3,0)</f>
        <v>SÃO TOMÉ</v>
      </c>
      <c r="C2713" t="str">
        <f>VLOOKUP(A2713,Planilha2!$A$2:$D$5566,4,0)</f>
        <v>RN</v>
      </c>
    </row>
    <row r="2714" spans="1:3" x14ac:dyDescent="0.35">
      <c r="A2714">
        <v>240380</v>
      </c>
      <c r="B2714" t="str">
        <f>VLOOKUP(A2714,Planilha2!$A$2:$C$5566,3,0)</f>
        <v>FLORÂNIA</v>
      </c>
      <c r="C2714" t="str">
        <f>VLOOKUP(A2714,Planilha2!$A$2:$D$5566,4,0)</f>
        <v>RN</v>
      </c>
    </row>
    <row r="2715" spans="1:3" x14ac:dyDescent="0.35">
      <c r="A2715">
        <v>240250</v>
      </c>
      <c r="B2715" t="str">
        <f>VLOOKUP(A2715,Planilha2!$A$2:$C$5566,3,0)</f>
        <v>CARNAUBAIS</v>
      </c>
      <c r="C2715" t="str">
        <f>VLOOKUP(A2715,Planilha2!$A$2:$D$5566,4,0)</f>
        <v>RN</v>
      </c>
    </row>
    <row r="2716" spans="1:3" x14ac:dyDescent="0.35">
      <c r="A2716">
        <v>241280</v>
      </c>
      <c r="B2716" t="str">
        <f>VLOOKUP(A2716,Planilha2!$A$2:$C$5566,3,0)</f>
        <v>SÃO RAFAEL</v>
      </c>
      <c r="C2716" t="str">
        <f>VLOOKUP(A2716,Planilha2!$A$2:$D$5566,4,0)</f>
        <v>RN</v>
      </c>
    </row>
    <row r="2717" spans="1:3" x14ac:dyDescent="0.35">
      <c r="A2717">
        <v>240600</v>
      </c>
      <c r="B2717" t="str">
        <f>VLOOKUP(A2717,Planilha2!$A$2:$C$5566,3,0)</f>
        <v>JOSÉ DA PENHA</v>
      </c>
      <c r="C2717" t="str">
        <f>VLOOKUP(A2717,Planilha2!$A$2:$D$5566,4,0)</f>
        <v>RN</v>
      </c>
    </row>
    <row r="2718" spans="1:3" x14ac:dyDescent="0.35">
      <c r="A2718">
        <v>240725</v>
      </c>
      <c r="B2718" t="str">
        <f>VLOOKUP(A2718,Planilha2!$A$2:$C$5566,3,0)</f>
        <v>MAJOR SALES</v>
      </c>
      <c r="C2718" t="str">
        <f>VLOOKUP(A2718,Planilha2!$A$2:$D$5566,4,0)</f>
        <v>RN</v>
      </c>
    </row>
    <row r="2719" spans="1:3" x14ac:dyDescent="0.35">
      <c r="A2719">
        <v>241330</v>
      </c>
      <c r="B2719" t="str">
        <f>VLOOKUP(A2719,Planilha2!$A$2:$C$5566,3,0)</f>
        <v>SERRA DE SÃO BENTO</v>
      </c>
      <c r="C2719" t="str">
        <f>VLOOKUP(A2719,Planilha2!$A$2:$D$5566,4,0)</f>
        <v>RN</v>
      </c>
    </row>
    <row r="2720" spans="1:3" x14ac:dyDescent="0.35">
      <c r="A2720">
        <v>241440</v>
      </c>
      <c r="B2720" t="str">
        <f>VLOOKUP(A2720,Planilha2!$A$2:$C$5566,3,0)</f>
        <v>TOUROS</v>
      </c>
      <c r="C2720" t="str">
        <f>VLOOKUP(A2720,Planilha2!$A$2:$D$5566,4,0)</f>
        <v>RN</v>
      </c>
    </row>
    <row r="2721" spans="1:3" x14ac:dyDescent="0.35">
      <c r="A2721">
        <v>251350</v>
      </c>
      <c r="B2721" t="str">
        <f>VLOOKUP(A2721,Planilha2!$A$2:$C$5566,3,0)</f>
        <v>SANTANA DE MANGUEIRA</v>
      </c>
      <c r="C2721" t="str">
        <f>VLOOKUP(A2721,Planilha2!$A$2:$D$5566,4,0)</f>
        <v>PB</v>
      </c>
    </row>
    <row r="2722" spans="1:3" x14ac:dyDescent="0.35">
      <c r="A2722">
        <v>250020</v>
      </c>
      <c r="B2722" t="str">
        <f>VLOOKUP(A2722,Planilha2!$A$2:$C$5566,3,0)</f>
        <v>AGUIAR</v>
      </c>
      <c r="C2722" t="str">
        <f>VLOOKUP(A2722,Planilha2!$A$2:$D$5566,4,0)</f>
        <v>PB</v>
      </c>
    </row>
    <row r="2723" spans="1:3" x14ac:dyDescent="0.35">
      <c r="A2723">
        <v>251610</v>
      </c>
      <c r="B2723" t="str">
        <f>VLOOKUP(A2723,Planilha2!$A$2:$C$5566,3,0)</f>
        <v>SOLEDADE</v>
      </c>
      <c r="C2723" t="str">
        <f>VLOOKUP(A2723,Planilha2!$A$2:$D$5566,4,0)</f>
        <v>PB</v>
      </c>
    </row>
    <row r="2724" spans="1:3" x14ac:dyDescent="0.35">
      <c r="A2724">
        <v>250640</v>
      </c>
      <c r="B2724" t="str">
        <f>VLOOKUP(A2724,Planilha2!$A$2:$C$5566,3,0)</f>
        <v>GURINHÉM</v>
      </c>
      <c r="C2724" t="str">
        <f>VLOOKUP(A2724,Planilha2!$A$2:$D$5566,4,0)</f>
        <v>PB</v>
      </c>
    </row>
    <row r="2725" spans="1:3" x14ac:dyDescent="0.35">
      <c r="A2725">
        <v>250970</v>
      </c>
      <c r="B2725" t="str">
        <f>VLOOKUP(A2725,Planilha2!$A$2:$C$5566,3,0)</f>
        <v>MONTEIRO</v>
      </c>
      <c r="C2725" t="str">
        <f>VLOOKUP(A2725,Planilha2!$A$2:$D$5566,4,0)</f>
        <v>PB</v>
      </c>
    </row>
    <row r="2726" spans="1:3" x14ac:dyDescent="0.35">
      <c r="A2726">
        <v>250130</v>
      </c>
      <c r="B2726" t="str">
        <f>VLOOKUP(A2726,Planilha2!$A$2:$C$5566,3,0)</f>
        <v>AROEIRAS</v>
      </c>
      <c r="C2726" t="str">
        <f>VLOOKUP(A2726,Planilha2!$A$2:$D$5566,4,0)</f>
        <v>PB</v>
      </c>
    </row>
    <row r="2727" spans="1:3" x14ac:dyDescent="0.35">
      <c r="A2727">
        <v>251460</v>
      </c>
      <c r="B2727" t="str">
        <f>VLOOKUP(A2727,Planilha2!$A$2:$C$5566,3,0)</f>
        <v>SÃO JOSÉ DO BONFIM</v>
      </c>
      <c r="C2727" t="str">
        <f>VLOOKUP(A2727,Planilha2!$A$2:$D$5566,4,0)</f>
        <v>PB</v>
      </c>
    </row>
    <row r="2728" spans="1:3" x14ac:dyDescent="0.35">
      <c r="A2728">
        <v>250157</v>
      </c>
      <c r="B2728" t="str">
        <f>VLOOKUP(A2728,Planilha2!$A$2:$C$5566,3,0)</f>
        <v>BARRA DE SANTANA</v>
      </c>
      <c r="C2728" t="str">
        <f>VLOOKUP(A2728,Planilha2!$A$2:$D$5566,4,0)</f>
        <v>PB</v>
      </c>
    </row>
    <row r="2729" spans="1:3" x14ac:dyDescent="0.35">
      <c r="A2729">
        <v>250053</v>
      </c>
      <c r="B2729" t="str">
        <f>VLOOKUP(A2729,Planilha2!$A$2:$C$5566,3,0)</f>
        <v>ALCANTIL</v>
      </c>
      <c r="C2729" t="str">
        <f>VLOOKUP(A2729,Planilha2!$A$2:$D$5566,4,0)</f>
        <v>PB</v>
      </c>
    </row>
    <row r="2730" spans="1:3" x14ac:dyDescent="0.35">
      <c r="A2730">
        <v>250450</v>
      </c>
      <c r="B2730" t="str">
        <f>VLOOKUP(A2730,Planilha2!$A$2:$C$5566,3,0)</f>
        <v>CONDADO</v>
      </c>
      <c r="C2730" t="str">
        <f>VLOOKUP(A2730,Planilha2!$A$2:$D$5566,4,0)</f>
        <v>PB</v>
      </c>
    </row>
    <row r="2731" spans="1:3" x14ac:dyDescent="0.35">
      <c r="A2731">
        <v>250770</v>
      </c>
      <c r="B2731" t="str">
        <f>VLOOKUP(A2731,Planilha2!$A$2:$C$5566,3,0)</f>
        <v>JUAZEIRINHO</v>
      </c>
      <c r="C2731" t="str">
        <f>VLOOKUP(A2731,Planilha2!$A$2:$D$5566,4,0)</f>
        <v>PB</v>
      </c>
    </row>
    <row r="2732" spans="1:3" x14ac:dyDescent="0.35">
      <c r="A2732">
        <v>260810</v>
      </c>
      <c r="B2732" t="str">
        <f>VLOOKUP(A2732,Planilha2!$A$2:$C$5566,3,0)</f>
        <v>JOÃO ALFREDO</v>
      </c>
      <c r="C2732" t="str">
        <f>VLOOKUP(A2732,Planilha2!$A$2:$D$5566,4,0)</f>
        <v>PE</v>
      </c>
    </row>
    <row r="2733" spans="1:3" x14ac:dyDescent="0.35">
      <c r="A2733">
        <v>260750</v>
      </c>
      <c r="B2733" t="str">
        <f>VLOOKUP(A2733,Planilha2!$A$2:$C$5566,3,0)</f>
        <v>ITAÍBA</v>
      </c>
      <c r="C2733" t="str">
        <f>VLOOKUP(A2733,Planilha2!$A$2:$D$5566,4,0)</f>
        <v>PE</v>
      </c>
    </row>
    <row r="2734" spans="1:3" x14ac:dyDescent="0.35">
      <c r="A2734">
        <v>261200</v>
      </c>
      <c r="B2734" t="str">
        <f>VLOOKUP(A2734,Planilha2!$A$2:$C$5566,3,0)</f>
        <v>SAIRÉ</v>
      </c>
      <c r="C2734" t="str">
        <f>VLOOKUP(A2734,Planilha2!$A$2:$D$5566,4,0)</f>
        <v>PE</v>
      </c>
    </row>
    <row r="2735" spans="1:3" x14ac:dyDescent="0.35">
      <c r="A2735">
        <v>261240</v>
      </c>
      <c r="B2735" t="str">
        <f>VLOOKUP(A2735,Planilha2!$A$2:$C$5566,3,0)</f>
        <v>SANHARÓ</v>
      </c>
      <c r="C2735" t="str">
        <f>VLOOKUP(A2735,Planilha2!$A$2:$D$5566,4,0)</f>
        <v>PE</v>
      </c>
    </row>
    <row r="2736" spans="1:3" x14ac:dyDescent="0.35">
      <c r="A2736">
        <v>261290</v>
      </c>
      <c r="B2736" t="str">
        <f>VLOOKUP(A2736,Planilha2!$A$2:$C$5566,3,0)</f>
        <v>SÃO BENEDITO DO SUL</v>
      </c>
      <c r="C2736" t="str">
        <f>VLOOKUP(A2736,Planilha2!$A$2:$D$5566,4,0)</f>
        <v>PE</v>
      </c>
    </row>
    <row r="2737" spans="1:3" x14ac:dyDescent="0.35">
      <c r="A2737">
        <v>260490</v>
      </c>
      <c r="B2737" t="str">
        <f>VLOOKUP(A2737,Planilha2!$A$2:$C$5566,3,0)</f>
        <v>CUMARU</v>
      </c>
      <c r="C2737" t="str">
        <f>VLOOKUP(A2737,Planilha2!$A$2:$D$5566,4,0)</f>
        <v>PE</v>
      </c>
    </row>
    <row r="2738" spans="1:3" x14ac:dyDescent="0.35">
      <c r="A2738">
        <v>260550</v>
      </c>
      <c r="B2738" t="str">
        <f>VLOOKUP(A2738,Planilha2!$A$2:$C$5566,3,0)</f>
        <v>FERREIROS</v>
      </c>
      <c r="C2738" t="str">
        <f>VLOOKUP(A2738,Planilha2!$A$2:$D$5566,4,0)</f>
        <v>PE</v>
      </c>
    </row>
    <row r="2739" spans="1:3" x14ac:dyDescent="0.35">
      <c r="A2739">
        <v>260280</v>
      </c>
      <c r="B2739" t="str">
        <f>VLOOKUP(A2739,Planilha2!$A$2:$C$5566,3,0)</f>
        <v>BUÍQUE</v>
      </c>
      <c r="C2739" t="str">
        <f>VLOOKUP(A2739,Planilha2!$A$2:$D$5566,4,0)</f>
        <v>PE</v>
      </c>
    </row>
    <row r="2740" spans="1:3" x14ac:dyDescent="0.35">
      <c r="A2740">
        <v>260470</v>
      </c>
      <c r="B2740" t="str">
        <f>VLOOKUP(A2740,Planilha2!$A$2:$C$5566,3,0)</f>
        <v>CORRENTES</v>
      </c>
      <c r="C2740" t="str">
        <f>VLOOKUP(A2740,Planilha2!$A$2:$D$5566,4,0)</f>
        <v>PE</v>
      </c>
    </row>
    <row r="2741" spans="1:3" x14ac:dyDescent="0.35">
      <c r="A2741">
        <v>260020</v>
      </c>
      <c r="B2741" t="str">
        <f>VLOOKUP(A2741,Planilha2!$A$2:$C$5566,3,0)</f>
        <v>AFRÂNIO</v>
      </c>
      <c r="C2741" t="str">
        <f>VLOOKUP(A2741,Planilha2!$A$2:$D$5566,4,0)</f>
        <v>PE</v>
      </c>
    </row>
    <row r="2742" spans="1:3" x14ac:dyDescent="0.35">
      <c r="A2742">
        <v>260390</v>
      </c>
      <c r="B2742" t="str">
        <f>VLOOKUP(A2742,Planilha2!$A$2:$C$5566,3,0)</f>
        <v>CARNAÍBA</v>
      </c>
      <c r="C2742" t="str">
        <f>VLOOKUP(A2742,Planilha2!$A$2:$D$5566,4,0)</f>
        <v>PE</v>
      </c>
    </row>
    <row r="2743" spans="1:3" x14ac:dyDescent="0.35">
      <c r="A2743">
        <v>260690</v>
      </c>
      <c r="B2743" t="str">
        <f>VLOOKUP(A2743,Planilha2!$A$2:$C$5566,3,0)</f>
        <v>IGUARACI</v>
      </c>
      <c r="C2743" t="str">
        <f>VLOOKUP(A2743,Planilha2!$A$2:$D$5566,4,0)</f>
        <v>PE</v>
      </c>
    </row>
    <row r="2744" spans="1:3" x14ac:dyDescent="0.35">
      <c r="A2744">
        <v>261030</v>
      </c>
      <c r="B2744" t="str">
        <f>VLOOKUP(A2744,Planilha2!$A$2:$C$5566,3,0)</f>
        <v>PARANATAMA</v>
      </c>
      <c r="C2744" t="str">
        <f>VLOOKUP(A2744,Planilha2!$A$2:$D$5566,4,0)</f>
        <v>PE</v>
      </c>
    </row>
    <row r="2745" spans="1:3" x14ac:dyDescent="0.35">
      <c r="A2745">
        <v>260860</v>
      </c>
      <c r="B2745" t="str">
        <f>VLOOKUP(A2745,Planilha2!$A$2:$C$5566,3,0)</f>
        <v>LAGOA DO OURO</v>
      </c>
      <c r="C2745" t="str">
        <f>VLOOKUP(A2745,Planilha2!$A$2:$D$5566,4,0)</f>
        <v>PE</v>
      </c>
    </row>
    <row r="2746" spans="1:3" x14ac:dyDescent="0.35">
      <c r="A2746">
        <v>261350</v>
      </c>
      <c r="B2746" t="str">
        <f>VLOOKUP(A2746,Planilha2!$A$2:$C$5566,3,0)</f>
        <v>SÃO JOSÉ DO BELMONTE</v>
      </c>
      <c r="C2746" t="str">
        <f>VLOOKUP(A2746,Planilha2!$A$2:$D$5566,4,0)</f>
        <v>PE</v>
      </c>
    </row>
    <row r="2747" spans="1:3" x14ac:dyDescent="0.35">
      <c r="A2747">
        <v>260250</v>
      </c>
      <c r="B2747" t="str">
        <f>VLOOKUP(A2747,Planilha2!$A$2:$C$5566,3,0)</f>
        <v>BREJINHO</v>
      </c>
      <c r="C2747" t="str">
        <f>VLOOKUP(A2747,Planilha2!$A$2:$D$5566,4,0)</f>
        <v>PE</v>
      </c>
    </row>
    <row r="2748" spans="1:3" x14ac:dyDescent="0.35">
      <c r="A2748">
        <v>260610</v>
      </c>
      <c r="B2748" t="str">
        <f>VLOOKUP(A2748,Planilha2!$A$2:$C$5566,3,0)</f>
        <v>GLÓRIA DO GOITÁ</v>
      </c>
      <c r="C2748" t="str">
        <f>VLOOKUP(A2748,Planilha2!$A$2:$D$5566,4,0)</f>
        <v>PE</v>
      </c>
    </row>
    <row r="2749" spans="1:3" x14ac:dyDescent="0.35">
      <c r="A2749">
        <v>260010</v>
      </c>
      <c r="B2749" t="str">
        <f>VLOOKUP(A2749,Planilha2!$A$2:$C$5566,3,0)</f>
        <v>AFOGADOS DA INGAZEIRA</v>
      </c>
      <c r="C2749" t="str">
        <f>VLOOKUP(A2749,Planilha2!$A$2:$D$5566,4,0)</f>
        <v>PE</v>
      </c>
    </row>
    <row r="2750" spans="1:3" x14ac:dyDescent="0.35">
      <c r="A2750">
        <v>280520</v>
      </c>
      <c r="B2750" t="str">
        <f>VLOOKUP(A2750,Planilha2!$A$2:$C$5566,3,0)</f>
        <v>PINHÃO</v>
      </c>
      <c r="C2750" t="str">
        <f>VLOOKUP(A2750,Planilha2!$A$2:$D$5566,4,0)</f>
        <v>SE</v>
      </c>
    </row>
    <row r="2751" spans="1:3" x14ac:dyDescent="0.35">
      <c r="A2751">
        <v>280190</v>
      </c>
      <c r="B2751" t="str">
        <f>VLOOKUP(A2751,Planilha2!$A$2:$C$5566,3,0)</f>
        <v>CUMBE</v>
      </c>
      <c r="C2751" t="str">
        <f>VLOOKUP(A2751,Planilha2!$A$2:$D$5566,4,0)</f>
        <v>SE</v>
      </c>
    </row>
    <row r="2752" spans="1:3" x14ac:dyDescent="0.35">
      <c r="A2752">
        <v>280630</v>
      </c>
      <c r="B2752" t="str">
        <f>VLOOKUP(A2752,Planilha2!$A$2:$C$5566,3,0)</f>
        <v>SANTA LUZIA DO ITANHY</v>
      </c>
      <c r="C2752" t="str">
        <f>VLOOKUP(A2752,Planilha2!$A$2:$D$5566,4,0)</f>
        <v>SE</v>
      </c>
    </row>
    <row r="2753" spans="1:3" x14ac:dyDescent="0.35">
      <c r="A2753">
        <v>280400</v>
      </c>
      <c r="B2753" t="str">
        <f>VLOOKUP(A2753,Planilha2!$A$2:$C$5566,3,0)</f>
        <v>MARUIM</v>
      </c>
      <c r="C2753" t="str">
        <f>VLOOKUP(A2753,Planilha2!$A$2:$D$5566,4,0)</f>
        <v>SE</v>
      </c>
    </row>
    <row r="2754" spans="1:3" x14ac:dyDescent="0.35">
      <c r="A2754">
        <v>280130</v>
      </c>
      <c r="B2754" t="str">
        <f>VLOOKUP(A2754,Planilha2!$A$2:$C$5566,3,0)</f>
        <v>CAPELA</v>
      </c>
      <c r="C2754" t="str">
        <f>VLOOKUP(A2754,Planilha2!$A$2:$D$5566,4,0)</f>
        <v>SE</v>
      </c>
    </row>
    <row r="2755" spans="1:3" x14ac:dyDescent="0.35">
      <c r="A2755">
        <v>280050</v>
      </c>
      <c r="B2755" t="str">
        <f>VLOOKUP(A2755,Planilha2!$A$2:$C$5566,3,0)</f>
        <v>AREIA BRANCA</v>
      </c>
      <c r="C2755" t="str">
        <f>VLOOKUP(A2755,Planilha2!$A$2:$D$5566,4,0)</f>
        <v>SE</v>
      </c>
    </row>
    <row r="2756" spans="1:3" x14ac:dyDescent="0.35">
      <c r="A2756">
        <v>280560</v>
      </c>
      <c r="B2756" t="str">
        <f>VLOOKUP(A2756,Planilha2!$A$2:$C$5566,3,0)</f>
        <v>PORTO DA FOLHA</v>
      </c>
      <c r="C2756" t="str">
        <f>VLOOKUP(A2756,Planilha2!$A$2:$D$5566,4,0)</f>
        <v>SE</v>
      </c>
    </row>
    <row r="2757" spans="1:3" x14ac:dyDescent="0.35">
      <c r="A2757">
        <v>280610</v>
      </c>
      <c r="B2757" t="str">
        <f>VLOOKUP(A2757,Planilha2!$A$2:$C$5566,3,0)</f>
        <v>ROSÁRIO DO CATETE</v>
      </c>
      <c r="C2757" t="str">
        <f>VLOOKUP(A2757,Planilha2!$A$2:$D$5566,4,0)</f>
        <v>SE</v>
      </c>
    </row>
    <row r="2758" spans="1:3" x14ac:dyDescent="0.35">
      <c r="A2758">
        <v>280660</v>
      </c>
      <c r="B2758" t="str">
        <f>VLOOKUP(A2758,Planilha2!$A$2:$C$5566,3,0)</f>
        <v>SANTO AMARO DAS BROTAS</v>
      </c>
      <c r="C2758" t="str">
        <f>VLOOKUP(A2758,Planilha2!$A$2:$D$5566,4,0)</f>
        <v>SE</v>
      </c>
    </row>
    <row r="2759" spans="1:3" x14ac:dyDescent="0.35">
      <c r="A2759">
        <v>290470</v>
      </c>
      <c r="B2759" t="str">
        <f>VLOOKUP(A2759,Planilha2!$A$2:$C$5566,3,0)</f>
        <v>BUERAREMA</v>
      </c>
      <c r="C2759" t="str">
        <f>VLOOKUP(A2759,Planilha2!$A$2:$D$5566,4,0)</f>
        <v>BA</v>
      </c>
    </row>
    <row r="2760" spans="1:3" x14ac:dyDescent="0.35">
      <c r="A2760">
        <v>291430</v>
      </c>
      <c r="B2760" t="str">
        <f>VLOOKUP(A2760,Planilha2!$A$2:$C$5566,3,0)</f>
        <v>IRAMAIA</v>
      </c>
      <c r="C2760" t="str">
        <f>VLOOKUP(A2760,Planilha2!$A$2:$D$5566,4,0)</f>
        <v>BA</v>
      </c>
    </row>
    <row r="2761" spans="1:3" x14ac:dyDescent="0.35">
      <c r="A2761">
        <v>292240</v>
      </c>
      <c r="B2761" t="str">
        <f>VLOOKUP(A2761,Planilha2!$A$2:$C$5566,3,0)</f>
        <v>MUTUÍPE</v>
      </c>
      <c r="C2761" t="str">
        <f>VLOOKUP(A2761,Planilha2!$A$2:$D$5566,4,0)</f>
        <v>BA</v>
      </c>
    </row>
    <row r="2762" spans="1:3" x14ac:dyDescent="0.35">
      <c r="A2762">
        <v>291992</v>
      </c>
      <c r="B2762" t="str">
        <f>VLOOKUP(A2762,Planilha2!$A$2:$C$5566,3,0)</f>
        <v>MADRE DE DEUS</v>
      </c>
      <c r="C2762" t="str">
        <f>VLOOKUP(A2762,Planilha2!$A$2:$D$5566,4,0)</f>
        <v>BA</v>
      </c>
    </row>
    <row r="2763" spans="1:3" x14ac:dyDescent="0.35">
      <c r="A2763">
        <v>292080</v>
      </c>
      <c r="B2763" t="str">
        <f>VLOOKUP(A2763,Planilha2!$A$2:$C$5566,3,0)</f>
        <v>MARCIONÍLIO SOUZA</v>
      </c>
      <c r="C2763" t="str">
        <f>VLOOKUP(A2763,Planilha2!$A$2:$D$5566,4,0)</f>
        <v>BA</v>
      </c>
    </row>
    <row r="2764" spans="1:3" x14ac:dyDescent="0.35">
      <c r="A2764">
        <v>292130</v>
      </c>
      <c r="B2764" t="str">
        <f>VLOOKUP(A2764,Planilha2!$A$2:$C$5566,3,0)</f>
        <v>MILAGRES</v>
      </c>
      <c r="C2764" t="str">
        <f>VLOOKUP(A2764,Planilha2!$A$2:$D$5566,4,0)</f>
        <v>BA</v>
      </c>
    </row>
    <row r="2765" spans="1:3" x14ac:dyDescent="0.35">
      <c r="A2765">
        <v>292930</v>
      </c>
      <c r="B2765" t="str">
        <f>VLOOKUP(A2765,Planilha2!$A$2:$C$5566,3,0)</f>
        <v>SÃO GONÇALO DOS CAMPOS</v>
      </c>
      <c r="C2765" t="str">
        <f>VLOOKUP(A2765,Planilha2!$A$2:$D$5566,4,0)</f>
        <v>BA</v>
      </c>
    </row>
    <row r="2766" spans="1:3" x14ac:dyDescent="0.35">
      <c r="A2766">
        <v>293150</v>
      </c>
      <c r="B2766" t="str">
        <f>VLOOKUP(A2766,Planilha2!$A$2:$C$5566,3,0)</f>
        <v>TEOFILÂNDIA</v>
      </c>
      <c r="C2766" t="str">
        <f>VLOOKUP(A2766,Planilha2!$A$2:$D$5566,4,0)</f>
        <v>BA</v>
      </c>
    </row>
    <row r="2767" spans="1:3" x14ac:dyDescent="0.35">
      <c r="A2767">
        <v>290360</v>
      </c>
      <c r="B2767" t="str">
        <f>VLOOKUP(A2767,Planilha2!$A$2:$C$5566,3,0)</f>
        <v>BIRITINGA</v>
      </c>
      <c r="C2767" t="str">
        <f>VLOOKUP(A2767,Planilha2!$A$2:$D$5566,4,0)</f>
        <v>BA</v>
      </c>
    </row>
    <row r="2768" spans="1:3" x14ac:dyDescent="0.35">
      <c r="A2768">
        <v>292405</v>
      </c>
      <c r="B2768" t="str">
        <f>VLOOKUP(A2768,Planilha2!$A$2:$C$5566,3,0)</f>
        <v>PÉ DE SERRA</v>
      </c>
      <c r="C2768" t="str">
        <f>VLOOKUP(A2768,Planilha2!$A$2:$D$5566,4,0)</f>
        <v>BA</v>
      </c>
    </row>
    <row r="2769" spans="1:3" x14ac:dyDescent="0.35">
      <c r="A2769">
        <v>291960</v>
      </c>
      <c r="B2769" t="str">
        <f>VLOOKUP(A2769,Planilha2!$A$2:$C$5566,3,0)</f>
        <v>MACAJUBA</v>
      </c>
      <c r="C2769" t="str">
        <f>VLOOKUP(A2769,Planilha2!$A$2:$D$5566,4,0)</f>
        <v>BA</v>
      </c>
    </row>
    <row r="2770" spans="1:3" x14ac:dyDescent="0.35">
      <c r="A2770">
        <v>291835</v>
      </c>
      <c r="B2770" t="str">
        <f>VLOOKUP(A2770,Planilha2!$A$2:$C$5566,3,0)</f>
        <v>JOÃO DOURADO</v>
      </c>
      <c r="C2770" t="str">
        <f>VLOOKUP(A2770,Planilha2!$A$2:$D$5566,4,0)</f>
        <v>BA</v>
      </c>
    </row>
    <row r="2771" spans="1:3" x14ac:dyDescent="0.35">
      <c r="A2771">
        <v>292550</v>
      </c>
      <c r="B2771" t="str">
        <f>VLOOKUP(A2771,Planilha2!$A$2:$C$5566,3,0)</f>
        <v>PRADO</v>
      </c>
      <c r="C2771" t="str">
        <f>VLOOKUP(A2771,Planilha2!$A$2:$D$5566,4,0)</f>
        <v>BA</v>
      </c>
    </row>
    <row r="2772" spans="1:3" x14ac:dyDescent="0.35">
      <c r="A2772">
        <v>291370</v>
      </c>
      <c r="B2772" t="str">
        <f>VLOOKUP(A2772,Planilha2!$A$2:$C$5566,3,0)</f>
        <v>INHAMBUPE</v>
      </c>
      <c r="C2772" t="str">
        <f>VLOOKUP(A2772,Planilha2!$A$2:$D$5566,4,0)</f>
        <v>BA</v>
      </c>
    </row>
    <row r="2773" spans="1:3" x14ac:dyDescent="0.35">
      <c r="A2773">
        <v>292290</v>
      </c>
      <c r="B2773" t="str">
        <f>VLOOKUP(A2773,Planilha2!$A$2:$C$5566,3,0)</f>
        <v>NOVA SOURE</v>
      </c>
      <c r="C2773" t="str">
        <f>VLOOKUP(A2773,Planilha2!$A$2:$D$5566,4,0)</f>
        <v>BA</v>
      </c>
    </row>
    <row r="2774" spans="1:3" x14ac:dyDescent="0.35">
      <c r="A2774">
        <v>291810</v>
      </c>
      <c r="B2774" t="str">
        <f>VLOOKUP(A2774,Planilha2!$A$2:$C$5566,3,0)</f>
        <v>JEREMOABO</v>
      </c>
      <c r="C2774" t="str">
        <f>VLOOKUP(A2774,Planilha2!$A$2:$D$5566,4,0)</f>
        <v>BA</v>
      </c>
    </row>
    <row r="2775" spans="1:3" x14ac:dyDescent="0.35">
      <c r="A2775">
        <v>291085</v>
      </c>
      <c r="B2775" t="str">
        <f>VLOOKUP(A2775,Planilha2!$A$2:$C$5566,3,0)</f>
        <v>FILADÉLFIA</v>
      </c>
      <c r="C2775" t="str">
        <f>VLOOKUP(A2775,Planilha2!$A$2:$D$5566,4,0)</f>
        <v>BA</v>
      </c>
    </row>
    <row r="2776" spans="1:3" x14ac:dyDescent="0.35">
      <c r="A2776">
        <v>260875</v>
      </c>
      <c r="B2776" t="str">
        <f>VLOOKUP(A2776,Planilha2!$A$2:$C$5566,3,0)</f>
        <v>LAGOA GRANDE</v>
      </c>
      <c r="C2776" t="str">
        <f>VLOOKUP(A2776,Planilha2!$A$2:$D$5566,4,0)</f>
        <v>PE</v>
      </c>
    </row>
    <row r="2777" spans="1:3" x14ac:dyDescent="0.35">
      <c r="A2777">
        <v>292370</v>
      </c>
      <c r="B2777" t="str">
        <f>VLOOKUP(A2777,Planilha2!$A$2:$C$5566,3,0)</f>
        <v>PARATINGA</v>
      </c>
      <c r="C2777" t="str">
        <f>VLOOKUP(A2777,Planilha2!$A$2:$D$5566,4,0)</f>
        <v>BA</v>
      </c>
    </row>
    <row r="2778" spans="1:3" x14ac:dyDescent="0.35">
      <c r="A2778">
        <v>292160</v>
      </c>
      <c r="B2778" t="str">
        <f>VLOOKUP(A2778,Planilha2!$A$2:$C$5566,3,0)</f>
        <v>MORPARÁ</v>
      </c>
      <c r="C2778" t="str">
        <f>VLOOKUP(A2778,Planilha2!$A$2:$D$5566,4,0)</f>
        <v>BA</v>
      </c>
    </row>
    <row r="2779" spans="1:3" x14ac:dyDescent="0.35">
      <c r="A2779">
        <v>290250</v>
      </c>
      <c r="B2779" t="str">
        <f>VLOOKUP(A2779,Planilha2!$A$2:$C$5566,3,0)</f>
        <v>BAIANÓPOLIS</v>
      </c>
      <c r="C2779" t="str">
        <f>VLOOKUP(A2779,Planilha2!$A$2:$D$5566,4,0)</f>
        <v>BA</v>
      </c>
    </row>
    <row r="2780" spans="1:3" x14ac:dyDescent="0.35">
      <c r="A2780">
        <v>290280</v>
      </c>
      <c r="B2780" t="str">
        <f>VLOOKUP(A2780,Planilha2!$A$2:$C$5566,3,0)</f>
        <v>BARRA DA ESTIVA</v>
      </c>
      <c r="C2780" t="str">
        <f>VLOOKUP(A2780,Planilha2!$A$2:$D$5566,4,0)</f>
        <v>BA</v>
      </c>
    </row>
    <row r="2781" spans="1:3" x14ac:dyDescent="0.35">
      <c r="A2781">
        <v>292680</v>
      </c>
      <c r="B2781" t="str">
        <f>VLOOKUP(A2781,Planilha2!$A$2:$C$5566,3,0)</f>
        <v>RIO DO ANTÔNIO</v>
      </c>
      <c r="C2781" t="str">
        <f>VLOOKUP(A2781,Planilha2!$A$2:$D$5566,4,0)</f>
        <v>BA</v>
      </c>
    </row>
    <row r="2782" spans="1:3" x14ac:dyDescent="0.35">
      <c r="A2782">
        <v>290410</v>
      </c>
      <c r="B2782" t="str">
        <f>VLOOKUP(A2782,Planilha2!$A$2:$C$5566,3,0)</f>
        <v>BOQUIRA</v>
      </c>
      <c r="C2782" t="str">
        <f>VLOOKUP(A2782,Planilha2!$A$2:$D$5566,4,0)</f>
        <v>BA</v>
      </c>
    </row>
    <row r="2783" spans="1:3" x14ac:dyDescent="0.35">
      <c r="A2783">
        <v>290670</v>
      </c>
      <c r="B2783" t="str">
        <f>VLOOKUP(A2783,Planilha2!$A$2:$C$5566,3,0)</f>
        <v>CÂNDIDO SALES</v>
      </c>
      <c r="C2783" t="str">
        <f>VLOOKUP(A2783,Planilha2!$A$2:$D$5566,4,0)</f>
        <v>BA</v>
      </c>
    </row>
    <row r="2784" spans="1:3" x14ac:dyDescent="0.35">
      <c r="A2784">
        <v>291345</v>
      </c>
      <c r="B2784" t="str">
        <f>VLOOKUP(A2784,Planilha2!$A$2:$C$5566,3,0)</f>
        <v>IGRAPIÚNA</v>
      </c>
      <c r="C2784" t="str">
        <f>VLOOKUP(A2784,Planilha2!$A$2:$D$5566,4,0)</f>
        <v>BA</v>
      </c>
    </row>
    <row r="2785" spans="1:3" x14ac:dyDescent="0.35">
      <c r="A2785">
        <v>291270</v>
      </c>
      <c r="B2785" t="str">
        <f>VLOOKUP(A2785,Planilha2!$A$2:$C$5566,3,0)</f>
        <v>IBIRAPITANGA</v>
      </c>
      <c r="C2785" t="str">
        <f>VLOOKUP(A2785,Planilha2!$A$2:$D$5566,4,0)</f>
        <v>BA</v>
      </c>
    </row>
    <row r="2786" spans="1:3" x14ac:dyDescent="0.35">
      <c r="A2786">
        <v>291290</v>
      </c>
      <c r="B2786" t="str">
        <f>VLOOKUP(A2786,Planilha2!$A$2:$C$5566,3,0)</f>
        <v>IBIRATAIA</v>
      </c>
      <c r="C2786" t="str">
        <f>VLOOKUP(A2786,Planilha2!$A$2:$D$5566,4,0)</f>
        <v>BA</v>
      </c>
    </row>
    <row r="2787" spans="1:3" x14ac:dyDescent="0.35">
      <c r="A2787">
        <v>290430</v>
      </c>
      <c r="B2787" t="str">
        <f>VLOOKUP(A2787,Planilha2!$A$2:$C$5566,3,0)</f>
        <v>BREJÕES</v>
      </c>
      <c r="C2787" t="str">
        <f>VLOOKUP(A2787,Planilha2!$A$2:$D$5566,4,0)</f>
        <v>BA</v>
      </c>
    </row>
    <row r="2788" spans="1:3" x14ac:dyDescent="0.35">
      <c r="A2788">
        <v>291830</v>
      </c>
      <c r="B2788" t="str">
        <f>VLOOKUP(A2788,Planilha2!$A$2:$C$5566,3,0)</f>
        <v>JITAÚNA</v>
      </c>
      <c r="C2788" t="str">
        <f>VLOOKUP(A2788,Planilha2!$A$2:$D$5566,4,0)</f>
        <v>BA</v>
      </c>
    </row>
    <row r="2789" spans="1:3" x14ac:dyDescent="0.35">
      <c r="A2789">
        <v>291670</v>
      </c>
      <c r="B2789" t="str">
        <f>VLOOKUP(A2789,Planilha2!$A$2:$C$5566,3,0)</f>
        <v>ITAQUARA</v>
      </c>
      <c r="C2789" t="str">
        <f>VLOOKUP(A2789,Planilha2!$A$2:$D$5566,4,0)</f>
        <v>BA</v>
      </c>
    </row>
    <row r="2790" spans="1:3" x14ac:dyDescent="0.35">
      <c r="A2790">
        <v>292860</v>
      </c>
      <c r="B2790" t="str">
        <f>VLOOKUP(A2790,Planilha2!$A$2:$C$5566,3,0)</f>
        <v>SANTO AMARO</v>
      </c>
      <c r="C2790" t="str">
        <f>VLOOKUP(A2790,Planilha2!$A$2:$D$5566,4,0)</f>
        <v>BA</v>
      </c>
    </row>
    <row r="2791" spans="1:3" x14ac:dyDescent="0.35">
      <c r="A2791">
        <v>292490</v>
      </c>
      <c r="B2791" t="str">
        <f>VLOOKUP(A2791,Planilha2!$A$2:$C$5566,3,0)</f>
        <v>PLANALTINO</v>
      </c>
      <c r="C2791" t="str">
        <f>VLOOKUP(A2791,Planilha2!$A$2:$D$5566,4,0)</f>
        <v>BA</v>
      </c>
    </row>
    <row r="2792" spans="1:3" x14ac:dyDescent="0.35">
      <c r="A2792">
        <v>292010</v>
      </c>
      <c r="B2792" t="str">
        <f>VLOOKUP(A2792,Planilha2!$A$2:$C$5566,3,0)</f>
        <v>MAIRI</v>
      </c>
      <c r="C2792" t="str">
        <f>VLOOKUP(A2792,Planilha2!$A$2:$D$5566,4,0)</f>
        <v>BA</v>
      </c>
    </row>
    <row r="2793" spans="1:3" x14ac:dyDescent="0.35">
      <c r="A2793">
        <v>315590</v>
      </c>
      <c r="B2793" t="str">
        <f>VLOOKUP(A2793,Planilha2!$A$2:$C$5566,3,0)</f>
        <v>RIO PRETO</v>
      </c>
      <c r="C2793" t="str">
        <f>VLOOKUP(A2793,Planilha2!$A$2:$D$5566,4,0)</f>
        <v>MG</v>
      </c>
    </row>
    <row r="2794" spans="1:3" x14ac:dyDescent="0.35">
      <c r="A2794">
        <v>310680</v>
      </c>
      <c r="B2794" t="str">
        <f>VLOOKUP(A2794,Planilha2!$A$2:$C$5566,3,0)</f>
        <v>BIAS FORTES</v>
      </c>
      <c r="C2794" t="str">
        <f>VLOOKUP(A2794,Planilha2!$A$2:$D$5566,4,0)</f>
        <v>MG</v>
      </c>
    </row>
    <row r="2795" spans="1:3" x14ac:dyDescent="0.35">
      <c r="A2795">
        <v>316750</v>
      </c>
      <c r="B2795" t="str">
        <f>VLOOKUP(A2795,Planilha2!$A$2:$C$5566,3,0)</f>
        <v>SIMÃO PEREIRA</v>
      </c>
      <c r="C2795" t="str">
        <f>VLOOKUP(A2795,Planilha2!$A$2:$D$5566,4,0)</f>
        <v>MG</v>
      </c>
    </row>
    <row r="2796" spans="1:3" x14ac:dyDescent="0.35">
      <c r="A2796">
        <v>315560</v>
      </c>
      <c r="B2796" t="str">
        <f>VLOOKUP(A2796,Planilha2!$A$2:$C$5566,3,0)</f>
        <v>RIO PARDO DE MINAS</v>
      </c>
      <c r="C2796" t="str">
        <f>VLOOKUP(A2796,Planilha2!$A$2:$D$5566,4,0)</f>
        <v>MG</v>
      </c>
    </row>
    <row r="2797" spans="1:3" x14ac:dyDescent="0.35">
      <c r="A2797">
        <v>312707</v>
      </c>
      <c r="B2797" t="str">
        <f>VLOOKUP(A2797,Planilha2!$A$2:$C$5566,3,0)</f>
        <v>FRUTA DE LEITE</v>
      </c>
      <c r="C2797" t="str">
        <f>VLOOKUP(A2797,Planilha2!$A$2:$D$5566,4,0)</f>
        <v>MG</v>
      </c>
    </row>
    <row r="2798" spans="1:3" x14ac:dyDescent="0.35">
      <c r="A2798">
        <v>293105</v>
      </c>
      <c r="B2798" t="str">
        <f>VLOOKUP(A2798,Planilha2!$A$2:$C$5566,3,0)</f>
        <v>TANQUE NOVO</v>
      </c>
      <c r="C2798" t="str">
        <f>VLOOKUP(A2798,Planilha2!$A$2:$D$5566,4,0)</f>
        <v>BA</v>
      </c>
    </row>
    <row r="2799" spans="1:3" x14ac:dyDescent="0.35">
      <c r="A2799">
        <v>314760</v>
      </c>
      <c r="B2799" t="str">
        <f>VLOOKUP(A2799,Planilha2!$A$2:$C$5566,3,0)</f>
        <v>PASSA QUATRO</v>
      </c>
      <c r="C2799" t="str">
        <f>VLOOKUP(A2799,Planilha2!$A$2:$D$5566,4,0)</f>
        <v>MG</v>
      </c>
    </row>
    <row r="2800" spans="1:3" x14ac:dyDescent="0.35">
      <c r="A2800">
        <v>311545</v>
      </c>
      <c r="B2800" t="str">
        <f>VLOOKUP(A2800,Planilha2!$A$2:$C$5566,3,0)</f>
        <v>CATUJI</v>
      </c>
      <c r="C2800" t="str">
        <f>VLOOKUP(A2800,Planilha2!$A$2:$D$5566,4,0)</f>
        <v>MG</v>
      </c>
    </row>
    <row r="2801" spans="1:3" x14ac:dyDescent="0.35">
      <c r="A2801">
        <v>310950</v>
      </c>
      <c r="B2801" t="str">
        <f>VLOOKUP(A2801,Planilha2!$A$2:$C$5566,3,0)</f>
        <v>CABO VERDE</v>
      </c>
      <c r="C2801" t="str">
        <f>VLOOKUP(A2801,Planilha2!$A$2:$D$5566,4,0)</f>
        <v>MG</v>
      </c>
    </row>
    <row r="2802" spans="1:3" x14ac:dyDescent="0.35">
      <c r="A2802">
        <v>314053</v>
      </c>
      <c r="B2802" t="str">
        <f>VLOOKUP(A2802,Planilha2!$A$2:$C$5566,3,0)</f>
        <v>MARTINS SOARES</v>
      </c>
      <c r="C2802" t="str">
        <f>VLOOKUP(A2802,Planilha2!$A$2:$D$5566,4,0)</f>
        <v>MG</v>
      </c>
    </row>
    <row r="2803" spans="1:3" x14ac:dyDescent="0.35">
      <c r="A2803">
        <v>312420</v>
      </c>
      <c r="B2803" t="str">
        <f>VLOOKUP(A2803,Planilha2!$A$2:$C$5566,3,0)</f>
        <v>ESPERA FELIZ</v>
      </c>
      <c r="C2803" t="str">
        <f>VLOOKUP(A2803,Planilha2!$A$2:$D$5566,4,0)</f>
        <v>MG</v>
      </c>
    </row>
    <row r="2804" spans="1:3" x14ac:dyDescent="0.35">
      <c r="A2804">
        <v>313120</v>
      </c>
      <c r="B2804" t="str">
        <f>VLOOKUP(A2804,Planilha2!$A$2:$C$5566,3,0)</f>
        <v>IPANEMA</v>
      </c>
      <c r="C2804" t="str">
        <f>VLOOKUP(A2804,Planilha2!$A$2:$D$5566,4,0)</f>
        <v>MG</v>
      </c>
    </row>
    <row r="2805" spans="1:3" x14ac:dyDescent="0.35">
      <c r="A2805">
        <v>316255</v>
      </c>
      <c r="B2805" t="str">
        <f>VLOOKUP(A2805,Planilha2!$A$2:$C$5566,3,0)</f>
        <v>SÃO JOÃO DO MANHUAÇU</v>
      </c>
      <c r="C2805" t="str">
        <f>VLOOKUP(A2805,Planilha2!$A$2:$D$5566,4,0)</f>
        <v>MG</v>
      </c>
    </row>
    <row r="2806" spans="1:3" x14ac:dyDescent="0.35">
      <c r="A2806">
        <v>315890</v>
      </c>
      <c r="B2806" t="str">
        <f>VLOOKUP(A2806,Planilha2!$A$2:$C$5566,3,0)</f>
        <v>SANTANA DO MANHUAÇU</v>
      </c>
      <c r="C2806" t="str">
        <f>VLOOKUP(A2806,Planilha2!$A$2:$D$5566,4,0)</f>
        <v>MG</v>
      </c>
    </row>
    <row r="2807" spans="1:3" x14ac:dyDescent="0.35">
      <c r="A2807">
        <v>311290</v>
      </c>
      <c r="B2807" t="str">
        <f>VLOOKUP(A2807,Planilha2!$A$2:$C$5566,3,0)</f>
        <v>CAPUTIRA</v>
      </c>
      <c r="C2807" t="str">
        <f>VLOOKUP(A2807,Planilha2!$A$2:$D$5566,4,0)</f>
        <v>MG</v>
      </c>
    </row>
    <row r="2808" spans="1:3" x14ac:dyDescent="0.35">
      <c r="A2808">
        <v>315870</v>
      </c>
      <c r="B2808" t="str">
        <f>VLOOKUP(A2808,Planilha2!$A$2:$C$5566,3,0)</f>
        <v>SANTANA DO GARAMBÉU</v>
      </c>
      <c r="C2808" t="str">
        <f>VLOOKUP(A2808,Planilha2!$A$2:$D$5566,4,0)</f>
        <v>MG</v>
      </c>
    </row>
    <row r="2809" spans="1:3" x14ac:dyDescent="0.35">
      <c r="A2809">
        <v>312270</v>
      </c>
      <c r="B2809" t="str">
        <f>VLOOKUP(A2809,Planilha2!$A$2:$C$5566,3,0)</f>
        <v>DOM SILVÉRIO</v>
      </c>
      <c r="C2809" t="str">
        <f>VLOOKUP(A2809,Planilha2!$A$2:$D$5566,4,0)</f>
        <v>MG</v>
      </c>
    </row>
    <row r="2810" spans="1:3" x14ac:dyDescent="0.35">
      <c r="A2810">
        <v>315310</v>
      </c>
      <c r="B2810" t="str">
        <f>VLOOKUP(A2810,Planilha2!$A$2:$C$5566,3,0)</f>
        <v>PRESIDENTE BERNARDES</v>
      </c>
      <c r="C2810" t="str">
        <f>VLOOKUP(A2810,Planilha2!$A$2:$D$5566,4,0)</f>
        <v>MG</v>
      </c>
    </row>
    <row r="2811" spans="1:3" x14ac:dyDescent="0.35">
      <c r="A2811">
        <v>310820</v>
      </c>
      <c r="B2811" t="str">
        <f>VLOOKUP(A2811,Planilha2!$A$2:$C$5566,3,0)</f>
        <v>BONFINÓPOLIS DE MINAS</v>
      </c>
      <c r="C2811" t="str">
        <f>VLOOKUP(A2811,Planilha2!$A$2:$D$5566,4,0)</f>
        <v>MG</v>
      </c>
    </row>
    <row r="2812" spans="1:3" x14ac:dyDescent="0.35">
      <c r="A2812">
        <v>317047</v>
      </c>
      <c r="B2812" t="str">
        <f>VLOOKUP(A2812,Planilha2!$A$2:$C$5566,3,0)</f>
        <v>URUANA DE MINAS</v>
      </c>
      <c r="C2812" t="str">
        <f>VLOOKUP(A2812,Planilha2!$A$2:$D$5566,4,0)</f>
        <v>MG</v>
      </c>
    </row>
    <row r="2813" spans="1:3" x14ac:dyDescent="0.35">
      <c r="A2813">
        <v>315710</v>
      </c>
      <c r="B2813" t="str">
        <f>VLOOKUP(A2813,Planilha2!$A$2:$C$5566,3,0)</f>
        <v>SALTO DA DIVISA</v>
      </c>
      <c r="C2813" t="str">
        <f>VLOOKUP(A2813,Planilha2!$A$2:$D$5566,4,0)</f>
        <v>MG</v>
      </c>
    </row>
    <row r="2814" spans="1:3" x14ac:dyDescent="0.35">
      <c r="A2814">
        <v>312235</v>
      </c>
      <c r="B2814" t="str">
        <f>VLOOKUP(A2814,Planilha2!$A$2:$C$5566,3,0)</f>
        <v>DIVISA ALEGRE</v>
      </c>
      <c r="C2814" t="str">
        <f>VLOOKUP(A2814,Planilha2!$A$2:$D$5566,4,0)</f>
        <v>MG</v>
      </c>
    </row>
    <row r="2815" spans="1:3" x14ac:dyDescent="0.35">
      <c r="A2815">
        <v>314870</v>
      </c>
      <c r="B2815" t="str">
        <f>VLOOKUP(A2815,Planilha2!$A$2:$C$5566,3,0)</f>
        <v>PEDRA AZUL</v>
      </c>
      <c r="C2815" t="str">
        <f>VLOOKUP(A2815,Planilha2!$A$2:$D$5566,4,0)</f>
        <v>MG</v>
      </c>
    </row>
    <row r="2816" spans="1:3" x14ac:dyDescent="0.35">
      <c r="A2816">
        <v>310100</v>
      </c>
      <c r="B2816" t="str">
        <f>VLOOKUP(A2816,Planilha2!$A$2:$C$5566,3,0)</f>
        <v>ÁGUAS VERMELHAS</v>
      </c>
      <c r="C2816" t="str">
        <f>VLOOKUP(A2816,Planilha2!$A$2:$D$5566,4,0)</f>
        <v>MG</v>
      </c>
    </row>
    <row r="2817" spans="1:3" x14ac:dyDescent="0.35">
      <c r="A2817">
        <v>315410</v>
      </c>
      <c r="B2817" t="str">
        <f>VLOOKUP(A2817,Planilha2!$A$2:$C$5566,3,0)</f>
        <v>RECREIO</v>
      </c>
      <c r="C2817" t="str">
        <f>VLOOKUP(A2817,Planilha2!$A$2:$D$5566,4,0)</f>
        <v>MG</v>
      </c>
    </row>
    <row r="2818" spans="1:3" x14ac:dyDescent="0.35">
      <c r="A2818">
        <v>313580</v>
      </c>
      <c r="B2818" t="str">
        <f>VLOOKUP(A2818,Planilha2!$A$2:$C$5566,3,0)</f>
        <v>JEQUITINHONHA</v>
      </c>
      <c r="C2818" t="str">
        <f>VLOOKUP(A2818,Planilha2!$A$2:$D$5566,4,0)</f>
        <v>MG</v>
      </c>
    </row>
    <row r="2819" spans="1:3" x14ac:dyDescent="0.35">
      <c r="A2819">
        <v>315960</v>
      </c>
      <c r="B2819" t="str">
        <f>VLOOKUP(A2819,Planilha2!$A$2:$C$5566,3,0)</f>
        <v>SANTA RITA DO SAPUCAÍ</v>
      </c>
      <c r="C2819" t="str">
        <f>VLOOKUP(A2819,Planilha2!$A$2:$D$5566,4,0)</f>
        <v>MG</v>
      </c>
    </row>
    <row r="2820" spans="1:3" x14ac:dyDescent="0.35">
      <c r="A2820">
        <v>317220</v>
      </c>
      <c r="B2820" t="str">
        <f>VLOOKUP(A2820,Planilha2!$A$2:$C$5566,3,0)</f>
        <v>WENCESLAU BRAZ</v>
      </c>
      <c r="C2820" t="str">
        <f>VLOOKUP(A2820,Planilha2!$A$2:$D$5566,4,0)</f>
        <v>MG</v>
      </c>
    </row>
    <row r="2821" spans="1:3" x14ac:dyDescent="0.35">
      <c r="A2821">
        <v>314440</v>
      </c>
      <c r="B2821" t="str">
        <f>VLOOKUP(A2821,Planilha2!$A$2:$C$5566,3,0)</f>
        <v>NATÉRCIA</v>
      </c>
      <c r="C2821" t="str">
        <f>VLOOKUP(A2821,Planilha2!$A$2:$D$5566,4,0)</f>
        <v>MG</v>
      </c>
    </row>
    <row r="2822" spans="1:3" x14ac:dyDescent="0.35">
      <c r="A2822">
        <v>313360</v>
      </c>
      <c r="B2822" t="str">
        <f>VLOOKUP(A2822,Planilha2!$A$2:$C$5566,3,0)</f>
        <v>ITAPEVA</v>
      </c>
      <c r="C2822" t="str">
        <f>VLOOKUP(A2822,Planilha2!$A$2:$D$5566,4,0)</f>
        <v>MG</v>
      </c>
    </row>
    <row r="2823" spans="1:3" x14ac:dyDescent="0.35">
      <c r="A2823">
        <v>312050</v>
      </c>
      <c r="B2823" t="str">
        <f>VLOOKUP(A2823,Planilha2!$A$2:$C$5566,3,0)</f>
        <v>CRISTINA</v>
      </c>
      <c r="C2823" t="str">
        <f>VLOOKUP(A2823,Planilha2!$A$2:$D$5566,4,0)</f>
        <v>MG</v>
      </c>
    </row>
    <row r="2824" spans="1:3" x14ac:dyDescent="0.35">
      <c r="A2824">
        <v>313450</v>
      </c>
      <c r="B2824" t="str">
        <f>VLOOKUP(A2824,Planilha2!$A$2:$C$5566,3,0)</f>
        <v>ITUTINGA</v>
      </c>
      <c r="C2824" t="str">
        <f>VLOOKUP(A2824,Planilha2!$A$2:$D$5566,4,0)</f>
        <v>MG</v>
      </c>
    </row>
    <row r="2825" spans="1:3" x14ac:dyDescent="0.35">
      <c r="A2825">
        <v>313430</v>
      </c>
      <c r="B2825" t="str">
        <f>VLOOKUP(A2825,Planilha2!$A$2:$C$5566,3,0)</f>
        <v>ITUMIRIM</v>
      </c>
      <c r="C2825" t="str">
        <f>VLOOKUP(A2825,Planilha2!$A$2:$D$5566,4,0)</f>
        <v>MG</v>
      </c>
    </row>
    <row r="2826" spans="1:3" x14ac:dyDescent="0.35">
      <c r="A2826">
        <v>314460</v>
      </c>
      <c r="B2826" t="str">
        <f>VLOOKUP(A2826,Planilha2!$A$2:$C$5566,3,0)</f>
        <v>NEPOMUCENO</v>
      </c>
      <c r="C2826" t="str">
        <f>VLOOKUP(A2826,Planilha2!$A$2:$D$5566,4,0)</f>
        <v>MG</v>
      </c>
    </row>
    <row r="2827" spans="1:3" x14ac:dyDescent="0.35">
      <c r="A2827">
        <v>312020</v>
      </c>
      <c r="B2827" t="str">
        <f>VLOOKUP(A2827,Planilha2!$A$2:$C$5566,3,0)</f>
        <v>CRISTAIS</v>
      </c>
      <c r="C2827" t="str">
        <f>VLOOKUP(A2827,Planilha2!$A$2:$D$5566,4,0)</f>
        <v>MG</v>
      </c>
    </row>
    <row r="2828" spans="1:3" x14ac:dyDescent="0.35">
      <c r="A2828">
        <v>310080</v>
      </c>
      <c r="B2828" t="str">
        <f>VLOOKUP(A2828,Planilha2!$A$2:$C$5566,3,0)</f>
        <v>AGUANIL</v>
      </c>
      <c r="C2828" t="str">
        <f>VLOOKUP(A2828,Planilha2!$A$2:$D$5566,4,0)</f>
        <v>MG</v>
      </c>
    </row>
    <row r="2829" spans="1:3" x14ac:dyDescent="0.35">
      <c r="A2829">
        <v>314770</v>
      </c>
      <c r="B2829" t="str">
        <f>VLOOKUP(A2829,Planilha2!$A$2:$C$5566,3,0)</f>
        <v>PASSA TEMPO</v>
      </c>
      <c r="C2829" t="str">
        <f>VLOOKUP(A2829,Planilha2!$A$2:$D$5566,4,0)</f>
        <v>MG</v>
      </c>
    </row>
    <row r="2830" spans="1:3" x14ac:dyDescent="0.35">
      <c r="A2830">
        <v>315140</v>
      </c>
      <c r="B2830" t="str">
        <f>VLOOKUP(A2830,Planilha2!$A$2:$C$5566,3,0)</f>
        <v>PITANGUI</v>
      </c>
      <c r="C2830" t="str">
        <f>VLOOKUP(A2830,Planilha2!$A$2:$D$5566,4,0)</f>
        <v>MG</v>
      </c>
    </row>
    <row r="2831" spans="1:3" x14ac:dyDescent="0.35">
      <c r="A2831">
        <v>310420</v>
      </c>
      <c r="B2831" t="str">
        <f>VLOOKUP(A2831,Planilha2!$A$2:$C$5566,3,0)</f>
        <v>ARCOS</v>
      </c>
      <c r="C2831" t="str">
        <f>VLOOKUP(A2831,Planilha2!$A$2:$D$5566,4,0)</f>
        <v>MG</v>
      </c>
    </row>
    <row r="2832" spans="1:3" x14ac:dyDescent="0.35">
      <c r="A2832">
        <v>314810</v>
      </c>
      <c r="B2832" t="str">
        <f>VLOOKUP(A2832,Planilha2!$A$2:$C$5566,3,0)</f>
        <v>PATROCÍNIO</v>
      </c>
      <c r="C2832" t="str">
        <f>VLOOKUP(A2832,Planilha2!$A$2:$D$5566,4,0)</f>
        <v>MG</v>
      </c>
    </row>
    <row r="2833" spans="1:3" x14ac:dyDescent="0.35">
      <c r="A2833">
        <v>310090</v>
      </c>
      <c r="B2833" t="str">
        <f>VLOOKUP(A2833,Planilha2!$A$2:$C$5566,3,0)</f>
        <v>ÁGUAS FORMOSAS</v>
      </c>
      <c r="C2833" t="str">
        <f>VLOOKUP(A2833,Planilha2!$A$2:$D$5566,4,0)</f>
        <v>MG</v>
      </c>
    </row>
    <row r="2834" spans="1:3" x14ac:dyDescent="0.35">
      <c r="A2834">
        <v>317050</v>
      </c>
      <c r="B2834" t="str">
        <f>VLOOKUP(A2834,Planilha2!$A$2:$C$5566,3,0)</f>
        <v>URUCÂNIA</v>
      </c>
      <c r="C2834" t="str">
        <f>VLOOKUP(A2834,Planilha2!$A$2:$D$5566,4,0)</f>
        <v>MG</v>
      </c>
    </row>
    <row r="2835" spans="1:3" x14ac:dyDescent="0.35">
      <c r="A2835">
        <v>310480</v>
      </c>
      <c r="B2835" t="str">
        <f>VLOOKUP(A2835,Planilha2!$A$2:$C$5566,3,0)</f>
        <v>AUGUSTO DE LIMA</v>
      </c>
      <c r="C2835" t="str">
        <f>VLOOKUP(A2835,Planilha2!$A$2:$D$5566,4,0)</f>
        <v>MG</v>
      </c>
    </row>
    <row r="2836" spans="1:3" x14ac:dyDescent="0.35">
      <c r="A2836">
        <v>310200</v>
      </c>
      <c r="B2836" t="str">
        <f>VLOOKUP(A2836,Planilha2!$A$2:$C$5566,3,0)</f>
        <v>ALTEROSA</v>
      </c>
      <c r="C2836" t="str">
        <f>VLOOKUP(A2836,Planilha2!$A$2:$D$5566,4,0)</f>
        <v>MG</v>
      </c>
    </row>
    <row r="2837" spans="1:3" x14ac:dyDescent="0.35">
      <c r="A2837">
        <v>310410</v>
      </c>
      <c r="B2837" t="str">
        <f>VLOOKUP(A2837,Planilha2!$A$2:$C$5566,3,0)</f>
        <v>ARCEBURGO</v>
      </c>
      <c r="C2837" t="str">
        <f>VLOOKUP(A2837,Planilha2!$A$2:$D$5566,4,0)</f>
        <v>MG</v>
      </c>
    </row>
    <row r="2838" spans="1:3" x14ac:dyDescent="0.35">
      <c r="A2838">
        <v>311110</v>
      </c>
      <c r="B2838" t="str">
        <f>VLOOKUP(A2838,Planilha2!$A$2:$C$5566,3,0)</f>
        <v>CAMPINA VERDE</v>
      </c>
      <c r="C2838" t="str">
        <f>VLOOKUP(A2838,Planilha2!$A$2:$D$5566,4,0)</f>
        <v>MG</v>
      </c>
    </row>
    <row r="2839" spans="1:3" x14ac:dyDescent="0.35">
      <c r="A2839">
        <v>315580</v>
      </c>
      <c r="B2839" t="str">
        <f>VLOOKUP(A2839,Planilha2!$A$2:$C$5566,3,0)</f>
        <v>RIO POMBA</v>
      </c>
      <c r="C2839" t="str">
        <f>VLOOKUP(A2839,Planilha2!$A$2:$D$5566,4,0)</f>
        <v>MG</v>
      </c>
    </row>
    <row r="2840" spans="1:3" x14ac:dyDescent="0.35">
      <c r="A2840">
        <v>316900</v>
      </c>
      <c r="B2840" t="str">
        <f>VLOOKUP(A2840,Planilha2!$A$2:$C$5566,3,0)</f>
        <v>TOCANTINS</v>
      </c>
      <c r="C2840" t="str">
        <f>VLOOKUP(A2840,Planilha2!$A$2:$D$5566,4,0)</f>
        <v>MG</v>
      </c>
    </row>
    <row r="2841" spans="1:3" x14ac:dyDescent="0.35">
      <c r="A2841">
        <v>315630</v>
      </c>
      <c r="B2841" t="str">
        <f>VLOOKUP(A2841,Planilha2!$A$2:$C$5566,3,0)</f>
        <v>RODEIRO</v>
      </c>
      <c r="C2841" t="str">
        <f>VLOOKUP(A2841,Planilha2!$A$2:$D$5566,4,0)</f>
        <v>MG</v>
      </c>
    </row>
    <row r="2842" spans="1:3" x14ac:dyDescent="0.35">
      <c r="A2842">
        <v>315150</v>
      </c>
      <c r="B2842" t="str">
        <f>VLOOKUP(A2842,Planilha2!$A$2:$C$5566,3,0)</f>
        <v>PIUMHI</v>
      </c>
      <c r="C2842" t="str">
        <f>VLOOKUP(A2842,Planilha2!$A$2:$D$5566,4,0)</f>
        <v>MG</v>
      </c>
    </row>
    <row r="2843" spans="1:3" x14ac:dyDescent="0.35">
      <c r="A2843">
        <v>316220</v>
      </c>
      <c r="B2843" t="str">
        <f>VLOOKUP(A2843,Planilha2!$A$2:$C$5566,3,0)</f>
        <v>SÃO JOÃO BATISTA DO GLÓRIA</v>
      </c>
      <c r="C2843" t="str">
        <f>VLOOKUP(A2843,Planilha2!$A$2:$D$5566,4,0)</f>
        <v>MG</v>
      </c>
    </row>
    <row r="2844" spans="1:3" x14ac:dyDescent="0.35">
      <c r="A2844">
        <v>314690</v>
      </c>
      <c r="B2844" t="str">
        <f>VLOOKUP(A2844,Planilha2!$A$2:$C$5566,3,0)</f>
        <v>PAPAGAIOS</v>
      </c>
      <c r="C2844" t="str">
        <f>VLOOKUP(A2844,Planilha2!$A$2:$D$5566,4,0)</f>
        <v>MG</v>
      </c>
    </row>
    <row r="2845" spans="1:3" x14ac:dyDescent="0.35">
      <c r="A2845">
        <v>310990</v>
      </c>
      <c r="B2845" t="str">
        <f>VLOOKUP(A2845,Planilha2!$A$2:$C$5566,3,0)</f>
        <v>CAETANÓPOLIS</v>
      </c>
      <c r="C2845" t="str">
        <f>VLOOKUP(A2845,Planilha2!$A$2:$D$5566,4,0)</f>
        <v>MG</v>
      </c>
    </row>
    <row r="2846" spans="1:3" x14ac:dyDescent="0.35">
      <c r="A2846">
        <v>311250</v>
      </c>
      <c r="B2846" t="str">
        <f>VLOOKUP(A2846,Planilha2!$A$2:$C$5566,3,0)</f>
        <v>CAPIM BRANCO</v>
      </c>
      <c r="C2846" t="str">
        <f>VLOOKUP(A2846,Planilha2!$A$2:$D$5566,4,0)</f>
        <v>MG</v>
      </c>
    </row>
    <row r="2847" spans="1:3" x14ac:dyDescent="0.35">
      <c r="A2847">
        <v>320450</v>
      </c>
      <c r="B2847" t="str">
        <f>VLOOKUP(A2847,Planilha2!$A$2:$C$5566,3,0)</f>
        <v>SANTA LEOPOLDINA</v>
      </c>
      <c r="C2847" t="str">
        <f>VLOOKUP(A2847,Planilha2!$A$2:$D$5566,4,0)</f>
        <v>ES</v>
      </c>
    </row>
    <row r="2848" spans="1:3" x14ac:dyDescent="0.35">
      <c r="A2848">
        <v>320280</v>
      </c>
      <c r="B2848" t="str">
        <f>VLOOKUP(A2848,Planilha2!$A$2:$C$5566,3,0)</f>
        <v>ITAPEMIRIM</v>
      </c>
      <c r="C2848" t="str">
        <f>VLOOKUP(A2848,Planilha2!$A$2:$D$5566,4,0)</f>
        <v>ES</v>
      </c>
    </row>
    <row r="2849" spans="1:3" x14ac:dyDescent="0.35">
      <c r="A2849">
        <v>320400</v>
      </c>
      <c r="B2849" t="str">
        <f>VLOOKUP(A2849,Planilha2!$A$2:$C$5566,3,0)</f>
        <v>PANCAS</v>
      </c>
      <c r="C2849" t="str">
        <f>VLOOKUP(A2849,Planilha2!$A$2:$D$5566,4,0)</f>
        <v>ES</v>
      </c>
    </row>
    <row r="2850" spans="1:3" x14ac:dyDescent="0.35">
      <c r="A2850">
        <v>330290</v>
      </c>
      <c r="B2850" t="str">
        <f>VLOOKUP(A2850,Planilha2!$A$2:$C$5566,3,0)</f>
        <v>MIGUEL PEREIRA</v>
      </c>
      <c r="C2850" t="str">
        <f>VLOOKUP(A2850,Planilha2!$A$2:$D$5566,4,0)</f>
        <v>RJ</v>
      </c>
    </row>
    <row r="2851" spans="1:3" x14ac:dyDescent="0.35">
      <c r="A2851">
        <v>330575</v>
      </c>
      <c r="B2851" t="str">
        <f>VLOOKUP(A2851,Planilha2!$A$2:$C$5566,3,0)</f>
        <v>TANGUÁ</v>
      </c>
      <c r="C2851" t="str">
        <f>VLOOKUP(A2851,Planilha2!$A$2:$D$5566,4,0)</f>
        <v>RJ</v>
      </c>
    </row>
    <row r="2852" spans="1:3" x14ac:dyDescent="0.35">
      <c r="A2852">
        <v>350970</v>
      </c>
      <c r="B2852" t="str">
        <f>VLOOKUP(A2852,Planilha2!$A$2:$C$5566,3,0)</f>
        <v>CAMPOS DO JORDÃO</v>
      </c>
      <c r="C2852" t="str">
        <f>VLOOKUP(A2852,Planilha2!$A$2:$D$5566,4,0)</f>
        <v>SP</v>
      </c>
    </row>
    <row r="2853" spans="1:3" x14ac:dyDescent="0.35">
      <c r="A2853">
        <v>350040</v>
      </c>
      <c r="B2853" t="str">
        <f>VLOOKUP(A2853,Planilha2!$A$2:$C$5566,3,0)</f>
        <v>ÁGUAS DA PRATA</v>
      </c>
      <c r="C2853" t="str">
        <f>VLOOKUP(A2853,Planilha2!$A$2:$D$5566,4,0)</f>
        <v>SP</v>
      </c>
    </row>
    <row r="2854" spans="1:3" x14ac:dyDescent="0.35">
      <c r="A2854">
        <v>351210</v>
      </c>
      <c r="B2854" t="str">
        <f>VLOOKUP(A2854,Planilha2!$A$2:$C$5566,3,0)</f>
        <v>COLÔMBIA</v>
      </c>
      <c r="C2854" t="str">
        <f>VLOOKUP(A2854,Planilha2!$A$2:$D$5566,4,0)</f>
        <v>SP</v>
      </c>
    </row>
    <row r="2855" spans="1:3" x14ac:dyDescent="0.35">
      <c r="A2855">
        <v>352115</v>
      </c>
      <c r="B2855" t="str">
        <f>VLOOKUP(A2855,Planilha2!$A$2:$C$5566,3,0)</f>
        <v>IPIGUÁ</v>
      </c>
      <c r="C2855" t="str">
        <f>VLOOKUP(A2855,Planilha2!$A$2:$D$5566,4,0)</f>
        <v>SP</v>
      </c>
    </row>
    <row r="2856" spans="1:3" x14ac:dyDescent="0.35">
      <c r="A2856">
        <v>351130</v>
      </c>
      <c r="B2856" t="str">
        <f>VLOOKUP(A2856,Planilha2!$A$2:$C$5566,3,0)</f>
        <v>CEDRAL</v>
      </c>
      <c r="C2856" t="str">
        <f>VLOOKUP(A2856,Planilha2!$A$2:$D$5566,4,0)</f>
        <v>SP</v>
      </c>
    </row>
    <row r="2857" spans="1:3" x14ac:dyDescent="0.35">
      <c r="A2857">
        <v>351690</v>
      </c>
      <c r="B2857" t="str">
        <f>VLOOKUP(A2857,Planilha2!$A$2:$C$5566,3,0)</f>
        <v>GENERAL SALGADO</v>
      </c>
      <c r="C2857" t="str">
        <f>VLOOKUP(A2857,Planilha2!$A$2:$D$5566,4,0)</f>
        <v>SP</v>
      </c>
    </row>
    <row r="2858" spans="1:3" x14ac:dyDescent="0.35">
      <c r="A2858">
        <v>354030</v>
      </c>
      <c r="B2858" t="str">
        <f>VLOOKUP(A2858,Planilha2!$A$2:$C$5566,3,0)</f>
        <v>PONTES GESTAL</v>
      </c>
      <c r="C2858" t="str">
        <f>VLOOKUP(A2858,Planilha2!$A$2:$D$5566,4,0)</f>
        <v>SP</v>
      </c>
    </row>
    <row r="2859" spans="1:3" x14ac:dyDescent="0.35">
      <c r="A2859">
        <v>352190</v>
      </c>
      <c r="B2859" t="str">
        <f>VLOOKUP(A2859,Planilha2!$A$2:$C$5566,3,0)</f>
        <v>ITAJOBI</v>
      </c>
      <c r="C2859" t="str">
        <f>VLOOKUP(A2859,Planilha2!$A$2:$D$5566,4,0)</f>
        <v>SP</v>
      </c>
    </row>
    <row r="2860" spans="1:3" x14ac:dyDescent="0.35">
      <c r="A2860">
        <v>355520</v>
      </c>
      <c r="B2860" t="str">
        <f>VLOOKUP(A2860,Planilha2!$A$2:$C$5566,3,0)</f>
        <v>TURIÚBA</v>
      </c>
      <c r="C2860" t="str">
        <f>VLOOKUP(A2860,Planilha2!$A$2:$D$5566,4,0)</f>
        <v>SP</v>
      </c>
    </row>
    <row r="2861" spans="1:3" x14ac:dyDescent="0.35">
      <c r="A2861">
        <v>354515</v>
      </c>
      <c r="B2861" t="str">
        <f>VLOOKUP(A2861,Planilha2!$A$2:$C$5566,3,0)</f>
        <v>SALTINHO</v>
      </c>
      <c r="C2861" t="str">
        <f>VLOOKUP(A2861,Planilha2!$A$2:$D$5566,4,0)</f>
        <v>SP</v>
      </c>
    </row>
    <row r="2862" spans="1:3" x14ac:dyDescent="0.35">
      <c r="A2862">
        <v>352620</v>
      </c>
      <c r="B2862" t="str">
        <f>VLOOKUP(A2862,Planilha2!$A$2:$C$5566,3,0)</f>
        <v>JUQUITIBA</v>
      </c>
      <c r="C2862" t="str">
        <f>VLOOKUP(A2862,Planilha2!$A$2:$D$5566,4,0)</f>
        <v>SP</v>
      </c>
    </row>
    <row r="2863" spans="1:3" x14ac:dyDescent="0.35">
      <c r="A2863">
        <v>352380</v>
      </c>
      <c r="B2863" t="str">
        <f>VLOOKUP(A2863,Planilha2!$A$2:$C$5566,3,0)</f>
        <v>ITOBI</v>
      </c>
      <c r="C2863" t="str">
        <f>VLOOKUP(A2863,Planilha2!$A$2:$D$5566,4,0)</f>
        <v>SP</v>
      </c>
    </row>
    <row r="2864" spans="1:3" x14ac:dyDescent="0.35">
      <c r="A2864">
        <v>352350</v>
      </c>
      <c r="B2864" t="str">
        <f>VLOOKUP(A2864,Planilha2!$A$2:$C$5566,3,0)</f>
        <v>ITATINGA</v>
      </c>
      <c r="C2864" t="str">
        <f>VLOOKUP(A2864,Planilha2!$A$2:$D$5566,4,0)</f>
        <v>SP</v>
      </c>
    </row>
    <row r="2865" spans="1:3" x14ac:dyDescent="0.35">
      <c r="A2865">
        <v>354105</v>
      </c>
      <c r="B2865" t="str">
        <f>VLOOKUP(A2865,Planilha2!$A$2:$C$5566,3,0)</f>
        <v>PRATÂNIA</v>
      </c>
      <c r="C2865" t="str">
        <f>VLOOKUP(A2865,Planilha2!$A$2:$D$5566,4,0)</f>
        <v>SP</v>
      </c>
    </row>
    <row r="2866" spans="1:3" x14ac:dyDescent="0.35">
      <c r="A2866">
        <v>351685</v>
      </c>
      <c r="B2866" t="str">
        <f>VLOOKUP(A2866,Planilha2!$A$2:$C$5566,3,0)</f>
        <v>GAVIÃO PEIXOTO</v>
      </c>
      <c r="C2866" t="str">
        <f>VLOOKUP(A2866,Planilha2!$A$2:$D$5566,4,0)</f>
        <v>SP</v>
      </c>
    </row>
    <row r="2867" spans="1:3" x14ac:dyDescent="0.35">
      <c r="A2867">
        <v>411270</v>
      </c>
      <c r="B2867" t="str">
        <f>VLOOKUP(A2867,Planilha2!$A$2:$C$5566,3,0)</f>
        <v>JATAIZINHO</v>
      </c>
      <c r="C2867" t="str">
        <f>VLOOKUP(A2867,Planilha2!$A$2:$D$5566,4,0)</f>
        <v>PR</v>
      </c>
    </row>
    <row r="2868" spans="1:3" x14ac:dyDescent="0.35">
      <c r="A2868">
        <v>350790</v>
      </c>
      <c r="B2868" t="str">
        <f>VLOOKUP(A2868,Planilha2!$A$2:$C$5566,3,0)</f>
        <v>BROTAS</v>
      </c>
      <c r="C2868" t="str">
        <f>VLOOKUP(A2868,Planilha2!$A$2:$D$5566,4,0)</f>
        <v>SP</v>
      </c>
    </row>
    <row r="2869" spans="1:3" x14ac:dyDescent="0.35">
      <c r="A2869">
        <v>350520</v>
      </c>
      <c r="B2869" t="str">
        <f>VLOOKUP(A2869,Planilha2!$A$2:$C$5566,3,0)</f>
        <v>BARIRI</v>
      </c>
      <c r="C2869" t="str">
        <f>VLOOKUP(A2869,Planilha2!$A$2:$D$5566,4,0)</f>
        <v>SP</v>
      </c>
    </row>
    <row r="2870" spans="1:3" x14ac:dyDescent="0.35">
      <c r="A2870">
        <v>353890</v>
      </c>
      <c r="B2870" t="str">
        <f>VLOOKUP(A2870,Planilha2!$A$2:$C$5566,3,0)</f>
        <v>PIRAJUÍ</v>
      </c>
      <c r="C2870" t="str">
        <f>VLOOKUP(A2870,Planilha2!$A$2:$D$5566,4,0)</f>
        <v>SP</v>
      </c>
    </row>
    <row r="2871" spans="1:3" x14ac:dyDescent="0.35">
      <c r="A2871">
        <v>350720</v>
      </c>
      <c r="B2871" t="str">
        <f>VLOOKUP(A2871,Planilha2!$A$2:$C$5566,3,0)</f>
        <v>BORÁ</v>
      </c>
      <c r="C2871" t="str">
        <f>VLOOKUP(A2871,Planilha2!$A$2:$D$5566,4,0)</f>
        <v>SP</v>
      </c>
    </row>
    <row r="2872" spans="1:3" x14ac:dyDescent="0.35">
      <c r="A2872">
        <v>353550</v>
      </c>
      <c r="B2872" t="str">
        <f>VLOOKUP(A2872,Planilha2!$A$2:$C$5566,3,0)</f>
        <v>PARAGUAÇU PAULISTA</v>
      </c>
      <c r="C2872" t="str">
        <f>VLOOKUP(A2872,Planilha2!$A$2:$D$5566,4,0)</f>
        <v>SP</v>
      </c>
    </row>
    <row r="2873" spans="1:3" x14ac:dyDescent="0.35">
      <c r="A2873">
        <v>351950</v>
      </c>
      <c r="B2873" t="str">
        <f>VLOOKUP(A2873,Planilha2!$A$2:$C$5566,3,0)</f>
        <v>IBIRAREMA</v>
      </c>
      <c r="C2873" t="str">
        <f>VLOOKUP(A2873,Planilha2!$A$2:$D$5566,4,0)</f>
        <v>SP</v>
      </c>
    </row>
    <row r="2874" spans="1:3" x14ac:dyDescent="0.35">
      <c r="A2874">
        <v>355160</v>
      </c>
      <c r="B2874" t="str">
        <f>VLOOKUP(A2874,Planilha2!$A$2:$C$5566,3,0)</f>
        <v>SERRA NEGRA</v>
      </c>
      <c r="C2874" t="str">
        <f>VLOOKUP(A2874,Planilha2!$A$2:$D$5566,4,0)</f>
        <v>SP</v>
      </c>
    </row>
    <row r="2875" spans="1:3" x14ac:dyDescent="0.35">
      <c r="A2875">
        <v>353310</v>
      </c>
      <c r="B2875" t="str">
        <f>VLOOKUP(A2875,Planilha2!$A$2:$C$5566,3,0)</f>
        <v>NOVA GUATAPORANGA</v>
      </c>
      <c r="C2875" t="str">
        <f>VLOOKUP(A2875,Planilha2!$A$2:$D$5566,4,0)</f>
        <v>SP</v>
      </c>
    </row>
    <row r="2876" spans="1:3" x14ac:dyDescent="0.35">
      <c r="A2876">
        <v>352290</v>
      </c>
      <c r="B2876" t="str">
        <f>VLOOKUP(A2876,Planilha2!$A$2:$C$5566,3,0)</f>
        <v>ITAPUÍ</v>
      </c>
      <c r="C2876" t="str">
        <f>VLOOKUP(A2876,Planilha2!$A$2:$D$5566,4,0)</f>
        <v>SP</v>
      </c>
    </row>
    <row r="2877" spans="1:3" x14ac:dyDescent="0.35">
      <c r="A2877">
        <v>352680</v>
      </c>
      <c r="B2877" t="str">
        <f>VLOOKUP(A2877,Planilha2!$A$2:$C$5566,3,0)</f>
        <v>LENÇÓIS PAULISTA</v>
      </c>
      <c r="C2877" t="str">
        <f>VLOOKUP(A2877,Planilha2!$A$2:$D$5566,4,0)</f>
        <v>SP</v>
      </c>
    </row>
    <row r="2878" spans="1:3" x14ac:dyDescent="0.35">
      <c r="A2878">
        <v>355490</v>
      </c>
      <c r="B2878" t="str">
        <f>VLOOKUP(A2878,Planilha2!$A$2:$C$5566,3,0)</f>
        <v>TRÊS FRONTEIRAS</v>
      </c>
      <c r="C2878" t="str">
        <f>VLOOKUP(A2878,Planilha2!$A$2:$D$5566,4,0)</f>
        <v>SP</v>
      </c>
    </row>
    <row r="2879" spans="1:3" x14ac:dyDescent="0.35">
      <c r="A2879">
        <v>353590</v>
      </c>
      <c r="B2879" t="str">
        <f>VLOOKUP(A2879,Planilha2!$A$2:$C$5566,3,0)</f>
        <v>PARANAPUÃ</v>
      </c>
      <c r="C2879" t="str">
        <f>VLOOKUP(A2879,Planilha2!$A$2:$D$5566,4,0)</f>
        <v>SP</v>
      </c>
    </row>
    <row r="2880" spans="1:3" x14ac:dyDescent="0.35">
      <c r="A2880">
        <v>352820</v>
      </c>
      <c r="B2880" t="str">
        <f>VLOOKUP(A2880,Planilha2!$A$2:$C$5566,3,0)</f>
        <v>MACEDÔNIA</v>
      </c>
      <c r="C2880" t="str">
        <f>VLOOKUP(A2880,Planilha2!$A$2:$D$5566,4,0)</f>
        <v>SP</v>
      </c>
    </row>
    <row r="2881" spans="1:3" x14ac:dyDescent="0.35">
      <c r="A2881">
        <v>354380</v>
      </c>
      <c r="B2881" t="str">
        <f>VLOOKUP(A2881,Planilha2!$A$2:$C$5566,3,0)</f>
        <v>RINÓPOLIS</v>
      </c>
      <c r="C2881" t="str">
        <f>VLOOKUP(A2881,Planilha2!$A$2:$D$5566,4,0)</f>
        <v>SP</v>
      </c>
    </row>
    <row r="2882" spans="1:3" x14ac:dyDescent="0.35">
      <c r="A2882">
        <v>352780</v>
      </c>
      <c r="B2882" t="str">
        <f>VLOOKUP(A2882,Planilha2!$A$2:$C$5566,3,0)</f>
        <v>LUPÉRCIO</v>
      </c>
      <c r="C2882" t="str">
        <f>VLOOKUP(A2882,Planilha2!$A$2:$D$5566,4,0)</f>
        <v>SP</v>
      </c>
    </row>
    <row r="2883" spans="1:3" x14ac:dyDescent="0.35">
      <c r="A2883">
        <v>353750</v>
      </c>
      <c r="B2883" t="str">
        <f>VLOOKUP(A2883,Planilha2!$A$2:$C$5566,3,0)</f>
        <v>PEREIRAS</v>
      </c>
      <c r="C2883" t="str">
        <f>VLOOKUP(A2883,Planilha2!$A$2:$D$5566,4,0)</f>
        <v>SP</v>
      </c>
    </row>
    <row r="2884" spans="1:3" x14ac:dyDescent="0.35">
      <c r="A2884">
        <v>354190</v>
      </c>
      <c r="B2884" t="str">
        <f>VLOOKUP(A2884,Planilha2!$A$2:$C$5566,3,0)</f>
        <v>QUELUZ</v>
      </c>
      <c r="C2884" t="str">
        <f>VLOOKUP(A2884,Planilha2!$A$2:$D$5566,4,0)</f>
        <v>SP</v>
      </c>
    </row>
    <row r="2885" spans="1:3" x14ac:dyDescent="0.35">
      <c r="A2885">
        <v>354430</v>
      </c>
      <c r="B2885" t="str">
        <f>VLOOKUP(A2885,Planilha2!$A$2:$C$5566,3,0)</f>
        <v>ROSEIRA</v>
      </c>
      <c r="C2885" t="str">
        <f>VLOOKUP(A2885,Planilha2!$A$2:$D$5566,4,0)</f>
        <v>SP</v>
      </c>
    </row>
    <row r="2886" spans="1:3" x14ac:dyDescent="0.35">
      <c r="A2886">
        <v>353190</v>
      </c>
      <c r="B2886" t="str">
        <f>VLOOKUP(A2886,Planilha2!$A$2:$C$5566,3,0)</f>
        <v>MORRO AGUDO</v>
      </c>
      <c r="C2886" t="str">
        <f>VLOOKUP(A2886,Planilha2!$A$2:$D$5566,4,0)</f>
        <v>SP</v>
      </c>
    </row>
    <row r="2887" spans="1:3" x14ac:dyDescent="0.35">
      <c r="A2887">
        <v>352460</v>
      </c>
      <c r="B2887" t="str">
        <f>VLOOKUP(A2887,Planilha2!$A$2:$C$5566,3,0)</f>
        <v>JACUPIRANGA</v>
      </c>
      <c r="C2887" t="str">
        <f>VLOOKUP(A2887,Planilha2!$A$2:$D$5566,4,0)</f>
        <v>SP</v>
      </c>
    </row>
    <row r="2888" spans="1:3" x14ac:dyDescent="0.35">
      <c r="A2888">
        <v>350110</v>
      </c>
      <c r="B2888" t="str">
        <f>VLOOKUP(A2888,Planilha2!$A$2:$C$5566,3,0)</f>
        <v>ALTO ALEGRE</v>
      </c>
      <c r="C2888" t="str">
        <f>VLOOKUP(A2888,Planilha2!$A$2:$D$5566,4,0)</f>
        <v>SP</v>
      </c>
    </row>
    <row r="2889" spans="1:3" x14ac:dyDescent="0.35">
      <c r="A2889">
        <v>355690</v>
      </c>
      <c r="B2889" t="str">
        <f>VLOOKUP(A2889,Planilha2!$A$2:$C$5566,3,0)</f>
        <v>VISTA ALEGRE DO ALTO</v>
      </c>
      <c r="C2889" t="str">
        <f>VLOOKUP(A2889,Planilha2!$A$2:$D$5566,4,0)</f>
        <v>SP</v>
      </c>
    </row>
    <row r="2890" spans="1:3" x14ac:dyDescent="0.35">
      <c r="A2890">
        <v>351860</v>
      </c>
      <c r="B2890" t="str">
        <f>VLOOKUP(A2890,Planilha2!$A$2:$C$5566,3,0)</f>
        <v>GUARIBA</v>
      </c>
      <c r="C2890" t="str">
        <f>VLOOKUP(A2890,Planilha2!$A$2:$D$5566,4,0)</f>
        <v>SP</v>
      </c>
    </row>
    <row r="2891" spans="1:3" x14ac:dyDescent="0.35">
      <c r="A2891">
        <v>355020</v>
      </c>
      <c r="B2891" t="str">
        <f>VLOOKUP(A2891,Planilha2!$A$2:$C$5566,3,0)</f>
        <v>SÃO MIGUEL ARCANJO</v>
      </c>
      <c r="C2891" t="str">
        <f>VLOOKUP(A2891,Planilha2!$A$2:$D$5566,4,0)</f>
        <v>SP</v>
      </c>
    </row>
    <row r="2892" spans="1:3" x14ac:dyDescent="0.35">
      <c r="A2892">
        <v>351460</v>
      </c>
      <c r="B2892" t="str">
        <f>VLOOKUP(A2892,Planilha2!$A$2:$C$5566,3,0)</f>
        <v>DUMONT</v>
      </c>
      <c r="C2892" t="str">
        <f>VLOOKUP(A2892,Planilha2!$A$2:$D$5566,4,0)</f>
        <v>SP</v>
      </c>
    </row>
    <row r="2893" spans="1:3" x14ac:dyDescent="0.35">
      <c r="A2893">
        <v>350780</v>
      </c>
      <c r="B2893" t="str">
        <f>VLOOKUP(A2893,Planilha2!$A$2:$C$5566,3,0)</f>
        <v>BRODOWSKI</v>
      </c>
      <c r="C2893" t="str">
        <f>VLOOKUP(A2893,Planilha2!$A$2:$D$5566,4,0)</f>
        <v>SP</v>
      </c>
    </row>
    <row r="2894" spans="1:3" x14ac:dyDescent="0.35">
      <c r="A2894">
        <v>353790</v>
      </c>
      <c r="B2894" t="str">
        <f>VLOOKUP(A2894,Planilha2!$A$2:$C$5566,3,0)</f>
        <v>PILAR DO SUL</v>
      </c>
      <c r="C2894" t="str">
        <f>VLOOKUP(A2894,Planilha2!$A$2:$D$5566,4,0)</f>
        <v>SP</v>
      </c>
    </row>
    <row r="2895" spans="1:3" x14ac:dyDescent="0.35">
      <c r="A2895">
        <v>351440</v>
      </c>
      <c r="B2895" t="str">
        <f>VLOOKUP(A2895,Planilha2!$A$2:$C$5566,3,0)</f>
        <v>DRACENA</v>
      </c>
      <c r="C2895" t="str">
        <f>VLOOKUP(A2895,Planilha2!$A$2:$D$5566,4,0)</f>
        <v>SP</v>
      </c>
    </row>
    <row r="2896" spans="1:3" x14ac:dyDescent="0.35">
      <c r="A2896">
        <v>354425</v>
      </c>
      <c r="B2896" t="str">
        <f>VLOOKUP(A2896,Planilha2!$A$2:$C$5566,3,0)</f>
        <v>ROSANA</v>
      </c>
      <c r="C2896" t="str">
        <f>VLOOKUP(A2896,Planilha2!$A$2:$D$5566,4,0)</f>
        <v>SP</v>
      </c>
    </row>
    <row r="2897" spans="1:3" x14ac:dyDescent="0.35">
      <c r="A2897">
        <v>351920</v>
      </c>
      <c r="B2897" t="str">
        <f>VLOOKUP(A2897,Planilha2!$A$2:$C$5566,3,0)</f>
        <v>IACRI</v>
      </c>
      <c r="C2897" t="str">
        <f>VLOOKUP(A2897,Planilha2!$A$2:$D$5566,4,0)</f>
        <v>SP</v>
      </c>
    </row>
    <row r="2898" spans="1:3" x14ac:dyDescent="0.35">
      <c r="A2898">
        <v>351900</v>
      </c>
      <c r="B2898" t="str">
        <f>VLOOKUP(A2898,Planilha2!$A$2:$C$5566,3,0)</f>
        <v>HERCULÂNDIA</v>
      </c>
      <c r="C2898" t="str">
        <f>VLOOKUP(A2898,Planilha2!$A$2:$D$5566,4,0)</f>
        <v>SP</v>
      </c>
    </row>
    <row r="2899" spans="1:3" x14ac:dyDescent="0.35">
      <c r="A2899">
        <v>411620</v>
      </c>
      <c r="B2899" t="str">
        <f>VLOOKUP(A2899,Planilha2!$A$2:$C$5566,3,0)</f>
        <v>MORRETES</v>
      </c>
      <c r="C2899" t="str">
        <f>VLOOKUP(A2899,Planilha2!$A$2:$D$5566,4,0)</f>
        <v>PR</v>
      </c>
    </row>
    <row r="2900" spans="1:3" x14ac:dyDescent="0.35">
      <c r="A2900">
        <v>410160</v>
      </c>
      <c r="B2900" t="str">
        <f>VLOOKUP(A2900,Planilha2!$A$2:$C$5566,3,0)</f>
        <v>ARAPOTI</v>
      </c>
      <c r="C2900" t="str">
        <f>VLOOKUP(A2900,Planilha2!$A$2:$D$5566,4,0)</f>
        <v>PR</v>
      </c>
    </row>
    <row r="2901" spans="1:3" x14ac:dyDescent="0.35">
      <c r="A2901">
        <v>410304</v>
      </c>
      <c r="B2901" t="str">
        <f>VLOOKUP(A2901,Planilha2!$A$2:$C$5566,3,0)</f>
        <v>BOA VENTURA DE SÃO ROQUE</v>
      </c>
      <c r="C2901" t="str">
        <f>VLOOKUP(A2901,Planilha2!$A$2:$D$5566,4,0)</f>
        <v>PR</v>
      </c>
    </row>
    <row r="2902" spans="1:3" x14ac:dyDescent="0.35">
      <c r="A2902">
        <v>410645</v>
      </c>
      <c r="B2902" t="str">
        <f>VLOOKUP(A2902,Planilha2!$A$2:$C$5566,3,0)</f>
        <v>CORONEL DOMINGOS SOARES</v>
      </c>
      <c r="C2902" t="str">
        <f>VLOOKUP(A2902,Planilha2!$A$2:$D$5566,4,0)</f>
        <v>PR</v>
      </c>
    </row>
    <row r="2903" spans="1:3" x14ac:dyDescent="0.35">
      <c r="A2903">
        <v>411120</v>
      </c>
      <c r="B2903" t="str">
        <f>VLOOKUP(A2903,Planilha2!$A$2:$C$5566,3,0)</f>
        <v>ITAPEJARA D`OESTE</v>
      </c>
      <c r="C2903" t="str">
        <f>VLOOKUP(A2903,Planilha2!$A$2:$D$5566,4,0)</f>
        <v>PR</v>
      </c>
    </row>
    <row r="2904" spans="1:3" x14ac:dyDescent="0.35">
      <c r="A2904">
        <v>411850</v>
      </c>
      <c r="B2904" t="str">
        <f>VLOOKUP(A2904,Planilha2!$A$2:$C$5566,3,0)</f>
        <v>PATO BRANCO</v>
      </c>
      <c r="C2904" t="str">
        <f>VLOOKUP(A2904,Planilha2!$A$2:$D$5566,4,0)</f>
        <v>PR</v>
      </c>
    </row>
    <row r="2905" spans="1:3" x14ac:dyDescent="0.35">
      <c r="A2905">
        <v>411800</v>
      </c>
      <c r="B2905" t="str">
        <f>VLOOKUP(A2905,Planilha2!$A$2:$C$5566,3,0)</f>
        <v>PARAÍSO DO NORTE</v>
      </c>
      <c r="C2905" t="str">
        <f>VLOOKUP(A2905,Planilha2!$A$2:$D$5566,4,0)</f>
        <v>PR</v>
      </c>
    </row>
    <row r="2906" spans="1:3" x14ac:dyDescent="0.35">
      <c r="A2906">
        <v>412100</v>
      </c>
      <c r="B2906" t="str">
        <f>VLOOKUP(A2906,Planilha2!$A$2:$C$5566,3,0)</f>
        <v>QUERÊNCIA DO NORTE</v>
      </c>
      <c r="C2906" t="str">
        <f>VLOOKUP(A2906,Planilha2!$A$2:$D$5566,4,0)</f>
        <v>PR</v>
      </c>
    </row>
    <row r="2907" spans="1:3" x14ac:dyDescent="0.35">
      <c r="A2907">
        <v>412575</v>
      </c>
      <c r="B2907" t="str">
        <f>VLOOKUP(A2907,Planilha2!$A$2:$C$5566,3,0)</f>
        <v>SÃO PEDRO DO IGUAÇU</v>
      </c>
      <c r="C2907" t="str">
        <f>VLOOKUP(A2907,Planilha2!$A$2:$D$5566,4,0)</f>
        <v>PR</v>
      </c>
    </row>
    <row r="2908" spans="1:3" x14ac:dyDescent="0.35">
      <c r="A2908">
        <v>412795</v>
      </c>
      <c r="B2908" t="str">
        <f>VLOOKUP(A2908,Planilha2!$A$2:$C$5566,3,0)</f>
        <v>TUPÃSSI</v>
      </c>
      <c r="C2908" t="str">
        <f>VLOOKUP(A2908,Planilha2!$A$2:$D$5566,4,0)</f>
        <v>PR</v>
      </c>
    </row>
    <row r="2909" spans="1:3" x14ac:dyDescent="0.35">
      <c r="A2909">
        <v>410670</v>
      </c>
      <c r="B2909" t="str">
        <f>VLOOKUP(A2909,Planilha2!$A$2:$C$5566,3,0)</f>
        <v>CRUZEIRO DO SUL</v>
      </c>
      <c r="C2909" t="str">
        <f>VLOOKUP(A2909,Planilha2!$A$2:$D$5566,4,0)</f>
        <v>PR</v>
      </c>
    </row>
    <row r="2910" spans="1:3" x14ac:dyDescent="0.35">
      <c r="A2910">
        <v>411540</v>
      </c>
      <c r="B2910" t="str">
        <f>VLOOKUP(A2910,Planilha2!$A$2:$C$5566,3,0)</f>
        <v>MARMELEIRO</v>
      </c>
      <c r="C2910" t="str">
        <f>VLOOKUP(A2910,Planilha2!$A$2:$D$5566,4,0)</f>
        <v>PR</v>
      </c>
    </row>
    <row r="2911" spans="1:3" x14ac:dyDescent="0.35">
      <c r="A2911">
        <v>412490</v>
      </c>
      <c r="B2911" t="str">
        <f>VLOOKUP(A2911,Planilha2!$A$2:$C$5566,3,0)</f>
        <v>SÃO JOÃO DO CAIUÁ</v>
      </c>
      <c r="C2911" t="str">
        <f>VLOOKUP(A2911,Planilha2!$A$2:$D$5566,4,0)</f>
        <v>PR</v>
      </c>
    </row>
    <row r="2912" spans="1:3" x14ac:dyDescent="0.35">
      <c r="A2912">
        <v>410300</v>
      </c>
      <c r="B2912" t="str">
        <f>VLOOKUP(A2912,Planilha2!$A$2:$C$5566,3,0)</f>
        <v>BOA ESPERANÇA</v>
      </c>
      <c r="C2912" t="str">
        <f>VLOOKUP(A2912,Planilha2!$A$2:$D$5566,4,0)</f>
        <v>PR</v>
      </c>
    </row>
    <row r="2913" spans="1:3" x14ac:dyDescent="0.35">
      <c r="A2913">
        <v>410770</v>
      </c>
      <c r="B2913" t="str">
        <f>VLOOKUP(A2913,Planilha2!$A$2:$C$5566,3,0)</f>
        <v>FÊNIX</v>
      </c>
      <c r="C2913" t="str">
        <f>VLOOKUP(A2913,Planilha2!$A$2:$D$5566,4,0)</f>
        <v>PR</v>
      </c>
    </row>
    <row r="2914" spans="1:3" x14ac:dyDescent="0.35">
      <c r="A2914">
        <v>412250</v>
      </c>
      <c r="B2914" t="str">
        <f>VLOOKUP(A2914,Planilha2!$A$2:$C$5566,3,0)</f>
        <v>RONCADOR</v>
      </c>
      <c r="C2914" t="str">
        <f>VLOOKUP(A2914,Planilha2!$A$2:$D$5566,4,0)</f>
        <v>PR</v>
      </c>
    </row>
    <row r="2915" spans="1:3" x14ac:dyDescent="0.35">
      <c r="A2915">
        <v>410660</v>
      </c>
      <c r="B2915" t="str">
        <f>VLOOKUP(A2915,Planilha2!$A$2:$C$5566,3,0)</f>
        <v>CRUZEIRO DO OESTE</v>
      </c>
      <c r="C2915" t="str">
        <f>VLOOKUP(A2915,Planilha2!$A$2:$D$5566,4,0)</f>
        <v>PR</v>
      </c>
    </row>
    <row r="2916" spans="1:3" x14ac:dyDescent="0.35">
      <c r="A2916">
        <v>411720</v>
      </c>
      <c r="B2916" t="str">
        <f>VLOOKUP(A2916,Planilha2!$A$2:$C$5566,3,0)</f>
        <v>NOVA OLÍMPIA</v>
      </c>
      <c r="C2916" t="str">
        <f>VLOOKUP(A2916,Planilha2!$A$2:$D$5566,4,0)</f>
        <v>PR</v>
      </c>
    </row>
    <row r="2917" spans="1:3" x14ac:dyDescent="0.35">
      <c r="A2917">
        <v>412862</v>
      </c>
      <c r="B2917" t="str">
        <f>VLOOKUP(A2917,Planilha2!$A$2:$C$5566,3,0)</f>
        <v>ALTO PARAÍSO</v>
      </c>
      <c r="C2917" t="str">
        <f>VLOOKUP(A2917,Planilha2!$A$2:$D$5566,4,0)</f>
        <v>PR</v>
      </c>
    </row>
    <row r="2918" spans="1:3" x14ac:dyDescent="0.35">
      <c r="A2918">
        <v>410870</v>
      </c>
      <c r="B2918" t="str">
        <f>VLOOKUP(A2918,Planilha2!$A$2:$C$5566,3,0)</f>
        <v>GRANDES RIOS</v>
      </c>
      <c r="C2918" t="str">
        <f>VLOOKUP(A2918,Planilha2!$A$2:$D$5566,4,0)</f>
        <v>PR</v>
      </c>
    </row>
    <row r="2919" spans="1:3" x14ac:dyDescent="0.35">
      <c r="A2919">
        <v>410330</v>
      </c>
      <c r="B2919" t="str">
        <f>VLOOKUP(A2919,Planilha2!$A$2:$C$5566,3,0)</f>
        <v>BORRAZÓPOLIS</v>
      </c>
      <c r="C2919" t="str">
        <f>VLOOKUP(A2919,Planilha2!$A$2:$D$5566,4,0)</f>
        <v>PR</v>
      </c>
    </row>
    <row r="2920" spans="1:3" x14ac:dyDescent="0.35">
      <c r="A2920">
        <v>411910</v>
      </c>
      <c r="B2920" t="str">
        <f>VLOOKUP(A2920,Planilha2!$A$2:$C$5566,3,0)</f>
        <v>PIÊN</v>
      </c>
      <c r="C2920" t="str">
        <f>VLOOKUP(A2920,Planilha2!$A$2:$D$5566,4,0)</f>
        <v>PR</v>
      </c>
    </row>
    <row r="2921" spans="1:3" x14ac:dyDescent="0.35">
      <c r="A2921">
        <v>411320</v>
      </c>
      <c r="B2921" t="str">
        <f>VLOOKUP(A2921,Planilha2!$A$2:$C$5566,3,0)</f>
        <v>LAPA</v>
      </c>
      <c r="C2921" t="str">
        <f>VLOOKUP(A2921,Planilha2!$A$2:$D$5566,4,0)</f>
        <v>PR</v>
      </c>
    </row>
    <row r="2922" spans="1:3" x14ac:dyDescent="0.35">
      <c r="A2922">
        <v>411125</v>
      </c>
      <c r="B2922" t="str">
        <f>VLOOKUP(A2922,Planilha2!$A$2:$C$5566,3,0)</f>
        <v>ITAPERUÇU</v>
      </c>
      <c r="C2922" t="str">
        <f>VLOOKUP(A2922,Planilha2!$A$2:$D$5566,4,0)</f>
        <v>PR</v>
      </c>
    </row>
    <row r="2923" spans="1:3" x14ac:dyDescent="0.35">
      <c r="A2923">
        <v>410340</v>
      </c>
      <c r="B2923" t="str">
        <f>VLOOKUP(A2923,Planilha2!$A$2:$C$5566,3,0)</f>
        <v>CAFEARA</v>
      </c>
      <c r="C2923" t="str">
        <f>VLOOKUP(A2923,Planilha2!$A$2:$D$5566,4,0)</f>
        <v>PR</v>
      </c>
    </row>
    <row r="2924" spans="1:3" x14ac:dyDescent="0.35">
      <c r="A2924">
        <v>411190</v>
      </c>
      <c r="B2924" t="str">
        <f>VLOOKUP(A2924,Planilha2!$A$2:$C$5566,3,0)</f>
        <v>JAGUAPITÃ</v>
      </c>
      <c r="C2924" t="str">
        <f>VLOOKUP(A2924,Planilha2!$A$2:$D$5566,4,0)</f>
        <v>PR</v>
      </c>
    </row>
    <row r="2925" spans="1:3" x14ac:dyDescent="0.35">
      <c r="A2925">
        <v>412796</v>
      </c>
      <c r="B2925" t="str">
        <f>VLOOKUP(A2925,Planilha2!$A$2:$C$5566,3,0)</f>
        <v>TURVO</v>
      </c>
      <c r="C2925" t="str">
        <f>VLOOKUP(A2925,Planilha2!$A$2:$D$5566,4,0)</f>
        <v>PR</v>
      </c>
    </row>
    <row r="2926" spans="1:3" x14ac:dyDescent="0.35">
      <c r="A2926">
        <v>410680</v>
      </c>
      <c r="B2926" t="str">
        <f>VLOOKUP(A2926,Planilha2!$A$2:$C$5566,3,0)</f>
        <v>CRUZ MACHADO</v>
      </c>
      <c r="C2926" t="str">
        <f>VLOOKUP(A2926,Planilha2!$A$2:$D$5566,4,0)</f>
        <v>PR</v>
      </c>
    </row>
    <row r="2927" spans="1:3" x14ac:dyDescent="0.35">
      <c r="A2927">
        <v>411340</v>
      </c>
      <c r="B2927" t="str">
        <f>VLOOKUP(A2927,Planilha2!$A$2:$C$5566,3,0)</f>
        <v>LEÓPOLIS</v>
      </c>
      <c r="C2927" t="str">
        <f>VLOOKUP(A2927,Planilha2!$A$2:$D$5566,4,0)</f>
        <v>PR</v>
      </c>
    </row>
    <row r="2928" spans="1:3" x14ac:dyDescent="0.35">
      <c r="A2928">
        <v>412600</v>
      </c>
      <c r="B2928" t="str">
        <f>VLOOKUP(A2928,Planilha2!$A$2:$C$5566,3,0)</f>
        <v>SÃO SEBASTIÃO DA AMOREIRA</v>
      </c>
      <c r="C2928" t="str">
        <f>VLOOKUP(A2928,Planilha2!$A$2:$D$5566,4,0)</f>
        <v>PR</v>
      </c>
    </row>
    <row r="2929" spans="1:3" x14ac:dyDescent="0.35">
      <c r="A2929">
        <v>412720</v>
      </c>
      <c r="B2929" t="str">
        <f>VLOOKUP(A2929,Planilha2!$A$2:$C$5566,3,0)</f>
        <v>TERRA BOA</v>
      </c>
      <c r="C2929" t="str">
        <f>VLOOKUP(A2929,Planilha2!$A$2:$D$5566,4,0)</f>
        <v>PR</v>
      </c>
    </row>
    <row r="2930" spans="1:3" x14ac:dyDescent="0.35">
      <c r="A2930">
        <v>412830</v>
      </c>
      <c r="B2930" t="str">
        <f>VLOOKUP(A2930,Planilha2!$A$2:$C$5566,3,0)</f>
        <v>UNIFLOR</v>
      </c>
      <c r="C2930" t="str">
        <f>VLOOKUP(A2930,Planilha2!$A$2:$D$5566,4,0)</f>
        <v>PR</v>
      </c>
    </row>
    <row r="2931" spans="1:3" x14ac:dyDescent="0.35">
      <c r="A2931">
        <v>421920</v>
      </c>
      <c r="B2931" t="str">
        <f>VLOOKUP(A2931,Planilha2!$A$2:$C$5566,3,0)</f>
        <v>VIDAL RAMOS</v>
      </c>
      <c r="C2931" t="str">
        <f>VLOOKUP(A2931,Planilha2!$A$2:$D$5566,4,0)</f>
        <v>SC</v>
      </c>
    </row>
    <row r="2932" spans="1:3" x14ac:dyDescent="0.35">
      <c r="A2932">
        <v>420570</v>
      </c>
      <c r="B2932" t="str">
        <f>VLOOKUP(A2932,Planilha2!$A$2:$C$5566,3,0)</f>
        <v>GAROPABA</v>
      </c>
      <c r="C2932" t="str">
        <f>VLOOKUP(A2932,Planilha2!$A$2:$D$5566,4,0)</f>
        <v>SC</v>
      </c>
    </row>
    <row r="2933" spans="1:3" x14ac:dyDescent="0.35">
      <c r="A2933">
        <v>421140</v>
      </c>
      <c r="B2933" t="str">
        <f>VLOOKUP(A2933,Planilha2!$A$2:$C$5566,3,0)</f>
        <v>NOVA ERECHIM</v>
      </c>
      <c r="C2933" t="str">
        <f>VLOOKUP(A2933,Planilha2!$A$2:$D$5566,4,0)</f>
        <v>SC</v>
      </c>
    </row>
    <row r="2934" spans="1:3" x14ac:dyDescent="0.35">
      <c r="A2934">
        <v>421290</v>
      </c>
      <c r="B2934" t="str">
        <f>VLOOKUP(A2934,Planilha2!$A$2:$C$5566,3,0)</f>
        <v>PINHALZINHO</v>
      </c>
      <c r="C2934" t="str">
        <f>VLOOKUP(A2934,Planilha2!$A$2:$D$5566,4,0)</f>
        <v>SC</v>
      </c>
    </row>
    <row r="2935" spans="1:3" x14ac:dyDescent="0.35">
      <c r="A2935">
        <v>421210</v>
      </c>
      <c r="B2935" t="str">
        <f>VLOOKUP(A2935,Planilha2!$A$2:$C$5566,3,0)</f>
        <v>PALMITOS</v>
      </c>
      <c r="C2935" t="str">
        <f>VLOOKUP(A2935,Planilha2!$A$2:$D$5566,4,0)</f>
        <v>SC</v>
      </c>
    </row>
    <row r="2936" spans="1:3" x14ac:dyDescent="0.35">
      <c r="A2936">
        <v>421810</v>
      </c>
      <c r="B2936" t="str">
        <f>VLOOKUP(A2936,Planilha2!$A$2:$C$5566,3,0)</f>
        <v>TIMBÉ DO SUL</v>
      </c>
      <c r="C2936" t="str">
        <f>VLOOKUP(A2936,Planilha2!$A$2:$D$5566,4,0)</f>
        <v>SC</v>
      </c>
    </row>
    <row r="2937" spans="1:3" x14ac:dyDescent="0.35">
      <c r="A2937">
        <v>420150</v>
      </c>
      <c r="B2937" t="str">
        <f>VLOOKUP(A2937,Planilha2!$A$2:$C$5566,3,0)</f>
        <v>ARMAZÉM</v>
      </c>
      <c r="C2937" t="str">
        <f>VLOOKUP(A2937,Planilha2!$A$2:$D$5566,4,0)</f>
        <v>SC</v>
      </c>
    </row>
    <row r="2938" spans="1:3" x14ac:dyDescent="0.35">
      <c r="A2938">
        <v>420970</v>
      </c>
      <c r="B2938" t="str">
        <f>VLOOKUP(A2938,Planilha2!$A$2:$C$5566,3,0)</f>
        <v>LEBON RÉGIS</v>
      </c>
      <c r="C2938" t="str">
        <f>VLOOKUP(A2938,Planilha2!$A$2:$D$5566,4,0)</f>
        <v>SC</v>
      </c>
    </row>
    <row r="2939" spans="1:3" x14ac:dyDescent="0.35">
      <c r="A2939">
        <v>420560</v>
      </c>
      <c r="B2939" t="str">
        <f>VLOOKUP(A2939,Planilha2!$A$2:$C$5566,3,0)</f>
        <v>GALVÃO</v>
      </c>
      <c r="C2939" t="str">
        <f>VLOOKUP(A2939,Planilha2!$A$2:$D$5566,4,0)</f>
        <v>SC</v>
      </c>
    </row>
    <row r="2940" spans="1:3" x14ac:dyDescent="0.35">
      <c r="A2940">
        <v>420210</v>
      </c>
      <c r="B2940" t="str">
        <f>VLOOKUP(A2940,Planilha2!$A$2:$C$5566,3,0)</f>
        <v>BARRA VELHA</v>
      </c>
      <c r="C2940" t="str">
        <f>VLOOKUP(A2940,Planilha2!$A$2:$D$5566,4,0)</f>
        <v>SC</v>
      </c>
    </row>
    <row r="2941" spans="1:3" x14ac:dyDescent="0.35">
      <c r="A2941">
        <v>420285</v>
      </c>
      <c r="B2941" t="str">
        <f>VLOOKUP(A2941,Planilha2!$A$2:$C$5566,3,0)</f>
        <v>BRAÇO DO TROMBUDO</v>
      </c>
      <c r="C2941" t="str">
        <f>VLOOKUP(A2941,Planilha2!$A$2:$D$5566,4,0)</f>
        <v>SC</v>
      </c>
    </row>
    <row r="2942" spans="1:3" x14ac:dyDescent="0.35">
      <c r="A2942">
        <v>420220</v>
      </c>
      <c r="B2942" t="str">
        <f>VLOOKUP(A2942,Planilha2!$A$2:$C$5566,3,0)</f>
        <v>BENEDITO NOVO</v>
      </c>
      <c r="C2942" t="str">
        <f>VLOOKUP(A2942,Planilha2!$A$2:$D$5566,4,0)</f>
        <v>SC</v>
      </c>
    </row>
    <row r="2943" spans="1:3" x14ac:dyDescent="0.35">
      <c r="A2943">
        <v>421380</v>
      </c>
      <c r="B2943" t="str">
        <f>VLOOKUP(A2943,Planilha2!$A$2:$C$5566,3,0)</f>
        <v>PRAIA GRANDE</v>
      </c>
      <c r="C2943" t="str">
        <f>VLOOKUP(A2943,Planilha2!$A$2:$D$5566,4,0)</f>
        <v>SC</v>
      </c>
    </row>
    <row r="2944" spans="1:3" x14ac:dyDescent="0.35">
      <c r="A2944">
        <v>421640</v>
      </c>
      <c r="B2944" t="str">
        <f>VLOOKUP(A2944,Planilha2!$A$2:$C$5566,3,0)</f>
        <v>SÃO JOÃO DO SUL</v>
      </c>
      <c r="C2944" t="str">
        <f>VLOOKUP(A2944,Planilha2!$A$2:$D$5566,4,0)</f>
        <v>SC</v>
      </c>
    </row>
    <row r="2945" spans="1:3" x14ac:dyDescent="0.35">
      <c r="A2945" s="2">
        <v>421265</v>
      </c>
      <c r="B2945" t="str">
        <f>VLOOKUP(A2945,[1]IBGE!A$2:B$27,2,0)</f>
        <v>Pescaria Brava</v>
      </c>
      <c r="C2945" t="str">
        <f>VLOOKUP(A2945,[1]IBGE!A$2:C$27,3,0)</f>
        <v>SC</v>
      </c>
    </row>
    <row r="2946" spans="1:3" x14ac:dyDescent="0.35">
      <c r="A2946">
        <v>420450</v>
      </c>
      <c r="B2946" t="str">
        <f>VLOOKUP(A2946,Planilha2!$A$2:$C$5566,3,0)</f>
        <v>CORUPÁ</v>
      </c>
      <c r="C2946" t="str">
        <f>VLOOKUP(A2946,Planilha2!$A$2:$D$5566,4,0)</f>
        <v>SC</v>
      </c>
    </row>
    <row r="2947" spans="1:3" x14ac:dyDescent="0.35">
      <c r="A2947">
        <v>421145</v>
      </c>
      <c r="B2947" t="str">
        <f>VLOOKUP(A2947,Planilha2!$A$2:$C$5566,3,0)</f>
        <v>NOVA ITABERABA</v>
      </c>
      <c r="C2947" t="str">
        <f>VLOOKUP(A2947,Planilha2!$A$2:$D$5566,4,0)</f>
        <v>SC</v>
      </c>
    </row>
    <row r="2948" spans="1:3" x14ac:dyDescent="0.35">
      <c r="A2948">
        <v>432320</v>
      </c>
      <c r="B2948" t="str">
        <f>VLOOKUP(A2948,Planilha2!$A$2:$C$5566,3,0)</f>
        <v>VICTOR GRAEFF</v>
      </c>
      <c r="C2948" t="str">
        <f>VLOOKUP(A2948,Planilha2!$A$2:$D$5566,4,0)</f>
        <v>RS</v>
      </c>
    </row>
    <row r="2949" spans="1:3" x14ac:dyDescent="0.35">
      <c r="A2949">
        <v>431265</v>
      </c>
      <c r="B2949" t="str">
        <f>VLOOKUP(A2949,Planilha2!$A$2:$C$5566,3,0)</f>
        <v>NÃO-ME-TOQUE</v>
      </c>
      <c r="C2949" t="str">
        <f>VLOOKUP(A2949,Planilha2!$A$2:$D$5566,4,0)</f>
        <v>RS</v>
      </c>
    </row>
    <row r="2950" spans="1:3" x14ac:dyDescent="0.35">
      <c r="A2950">
        <v>431530</v>
      </c>
      <c r="B2950" t="str">
        <f>VLOOKUP(A2950,Planilha2!$A$2:$C$5566,3,0)</f>
        <v>QUARAÍ</v>
      </c>
      <c r="C2950" t="str">
        <f>VLOOKUP(A2950,Planilha2!$A$2:$D$5566,4,0)</f>
        <v>RS</v>
      </c>
    </row>
    <row r="2951" spans="1:3" x14ac:dyDescent="0.35">
      <c r="A2951">
        <v>430710</v>
      </c>
      <c r="B2951" t="str">
        <f>VLOOKUP(A2951,Planilha2!$A$2:$C$5566,3,0)</f>
        <v>HERVAL</v>
      </c>
      <c r="C2951" t="str">
        <f>VLOOKUP(A2951,Planilha2!$A$2:$D$5566,4,0)</f>
        <v>RS</v>
      </c>
    </row>
    <row r="2952" spans="1:3" x14ac:dyDescent="0.35">
      <c r="A2952">
        <v>431238</v>
      </c>
      <c r="B2952" t="str">
        <f>VLOOKUP(A2952,Planilha2!$A$2:$C$5566,3,0)</f>
        <v>MONTE BELO DO SUL</v>
      </c>
      <c r="C2952" t="str">
        <f>VLOOKUP(A2952,Planilha2!$A$2:$D$5566,4,0)</f>
        <v>RS</v>
      </c>
    </row>
    <row r="2953" spans="1:3" x14ac:dyDescent="0.35">
      <c r="A2953">
        <v>432280</v>
      </c>
      <c r="B2953" t="str">
        <f>VLOOKUP(A2953,Planilha2!$A$2:$C$5566,3,0)</f>
        <v>VERANÓPOLIS</v>
      </c>
      <c r="C2953" t="str">
        <f>VLOOKUP(A2953,Planilha2!$A$2:$D$5566,4,0)</f>
        <v>RS</v>
      </c>
    </row>
    <row r="2954" spans="1:3" x14ac:dyDescent="0.35">
      <c r="A2954">
        <v>431810</v>
      </c>
      <c r="B2954" t="str">
        <f>VLOOKUP(A2954,Planilha2!$A$2:$C$5566,3,0)</f>
        <v>SÃO FRANCISCO DE ASSIS</v>
      </c>
      <c r="C2954" t="str">
        <f>VLOOKUP(A2954,Planilha2!$A$2:$D$5566,4,0)</f>
        <v>RS</v>
      </c>
    </row>
    <row r="2955" spans="1:3" x14ac:dyDescent="0.35">
      <c r="A2955">
        <v>431980</v>
      </c>
      <c r="B2955" t="str">
        <f>VLOOKUP(A2955,Planilha2!$A$2:$C$5566,3,0)</f>
        <v>SÃO VICENTE DO SUL</v>
      </c>
      <c r="C2955" t="str">
        <f>VLOOKUP(A2955,Planilha2!$A$2:$D$5566,4,0)</f>
        <v>RS</v>
      </c>
    </row>
    <row r="2956" spans="1:3" x14ac:dyDescent="0.35">
      <c r="A2956">
        <v>431940</v>
      </c>
      <c r="B2956" t="str">
        <f>VLOOKUP(A2956,Planilha2!$A$2:$C$5566,3,0)</f>
        <v>SÃO PEDRO DO SUL</v>
      </c>
      <c r="C2956" t="str">
        <f>VLOOKUP(A2956,Planilha2!$A$2:$D$5566,4,0)</f>
        <v>RS</v>
      </c>
    </row>
    <row r="2957" spans="1:3" x14ac:dyDescent="0.35">
      <c r="A2957">
        <v>431912</v>
      </c>
      <c r="B2957" t="str">
        <f>VLOOKUP(A2957,Planilha2!$A$2:$C$5566,3,0)</f>
        <v>SÃO MARTINHO DA SERRA</v>
      </c>
      <c r="C2957" t="str">
        <f>VLOOKUP(A2957,Planilha2!$A$2:$D$5566,4,0)</f>
        <v>RS</v>
      </c>
    </row>
    <row r="2958" spans="1:3" x14ac:dyDescent="0.35">
      <c r="A2958">
        <v>500210</v>
      </c>
      <c r="B2958" t="str">
        <f>VLOOKUP(A2958,Planilha2!$A$2:$C$5566,3,0)</f>
        <v>BELA VISTA</v>
      </c>
      <c r="C2958" t="str">
        <f>VLOOKUP(A2958,Planilha2!$A$2:$D$5566,4,0)</f>
        <v>MS</v>
      </c>
    </row>
    <row r="2959" spans="1:3" x14ac:dyDescent="0.35">
      <c r="A2959">
        <v>500560</v>
      </c>
      <c r="B2959" t="str">
        <f>VLOOKUP(A2959,Planilha2!$A$2:$C$5566,3,0)</f>
        <v>MIRANDA</v>
      </c>
      <c r="C2959" t="str">
        <f>VLOOKUP(A2959,Planilha2!$A$2:$D$5566,4,0)</f>
        <v>MS</v>
      </c>
    </row>
    <row r="2960" spans="1:3" x14ac:dyDescent="0.35">
      <c r="A2960">
        <v>500375</v>
      </c>
      <c r="B2960" t="str">
        <f>VLOOKUP(A2960,Planilha2!$A$2:$C$5566,3,0)</f>
        <v>ELDORADO</v>
      </c>
      <c r="C2960" t="str">
        <f>VLOOKUP(A2960,Planilha2!$A$2:$D$5566,4,0)</f>
        <v>MS</v>
      </c>
    </row>
    <row r="2961" spans="1:3" x14ac:dyDescent="0.35">
      <c r="A2961">
        <v>500480</v>
      </c>
      <c r="B2961" t="str">
        <f>VLOOKUP(A2961,Planilha2!$A$2:$C$5566,3,0)</f>
        <v>JAPORÃ</v>
      </c>
      <c r="C2961" t="str">
        <f>VLOOKUP(A2961,Planilha2!$A$2:$D$5566,4,0)</f>
        <v>MS</v>
      </c>
    </row>
    <row r="2962" spans="1:3" x14ac:dyDescent="0.35">
      <c r="A2962">
        <v>500630</v>
      </c>
      <c r="B2962" t="str">
        <f>VLOOKUP(A2962,Planilha2!$A$2:$C$5566,3,0)</f>
        <v>PARANAÍBA</v>
      </c>
      <c r="C2962" t="str">
        <f>VLOOKUP(A2962,Planilha2!$A$2:$D$5566,4,0)</f>
        <v>MS</v>
      </c>
    </row>
    <row r="2963" spans="1:3" x14ac:dyDescent="0.35">
      <c r="A2963">
        <v>500600</v>
      </c>
      <c r="B2963" t="str">
        <f>VLOOKUP(A2963,Planilha2!$A$2:$C$5566,3,0)</f>
        <v>NOVA ALVORADA DO SUL</v>
      </c>
      <c r="C2963" t="str">
        <f>VLOOKUP(A2963,Planilha2!$A$2:$D$5566,4,0)</f>
        <v>MS</v>
      </c>
    </row>
    <row r="2964" spans="1:3" x14ac:dyDescent="0.35">
      <c r="A2964">
        <v>510718</v>
      </c>
      <c r="B2964" t="str">
        <f>VLOOKUP(A2964,Planilha2!$A$2:$C$5566,3,0)</f>
        <v>RIBEIRÃO CASCALHEIRA</v>
      </c>
      <c r="C2964" t="str">
        <f>VLOOKUP(A2964,Planilha2!$A$2:$D$5566,4,0)</f>
        <v>MT</v>
      </c>
    </row>
    <row r="2965" spans="1:3" x14ac:dyDescent="0.35">
      <c r="A2965">
        <v>510621</v>
      </c>
      <c r="B2965" t="str">
        <f>VLOOKUP(A2965,Planilha2!$A$2:$C$5566,3,0)</f>
        <v>NOVA CANAÃ DO NORTE</v>
      </c>
      <c r="C2965" t="str">
        <f>VLOOKUP(A2965,Planilha2!$A$2:$D$5566,4,0)</f>
        <v>MT</v>
      </c>
    </row>
    <row r="2966" spans="1:3" x14ac:dyDescent="0.35">
      <c r="A2966">
        <v>510260</v>
      </c>
      <c r="B2966" t="str">
        <f>VLOOKUP(A2966,Planilha2!$A$2:$C$5566,3,0)</f>
        <v>CAMPINÁPOLIS</v>
      </c>
      <c r="C2966" t="str">
        <f>VLOOKUP(A2966,Planilha2!$A$2:$D$5566,4,0)</f>
        <v>MT</v>
      </c>
    </row>
    <row r="2967" spans="1:3" x14ac:dyDescent="0.35">
      <c r="A2967">
        <v>510625</v>
      </c>
      <c r="B2967" t="str">
        <f>VLOOKUP(A2967,Planilha2!$A$2:$C$5566,3,0)</f>
        <v>NOVA XAVANTINA</v>
      </c>
      <c r="C2967" t="str">
        <f>VLOOKUP(A2967,Planilha2!$A$2:$D$5566,4,0)</f>
        <v>MT</v>
      </c>
    </row>
    <row r="2968" spans="1:3" x14ac:dyDescent="0.35">
      <c r="A2968">
        <v>510035</v>
      </c>
      <c r="B2968" t="str">
        <f>VLOOKUP(A2968,Planilha2!$A$2:$C$5566,3,0)</f>
        <v>ALTO BOA VISTA</v>
      </c>
      <c r="C2968" t="str">
        <f>VLOOKUP(A2968,Planilha2!$A$2:$D$5566,4,0)</f>
        <v>MT</v>
      </c>
    </row>
    <row r="2969" spans="1:3" x14ac:dyDescent="0.35">
      <c r="A2969">
        <v>510390</v>
      </c>
      <c r="B2969" t="str">
        <f>VLOOKUP(A2969,Planilha2!$A$2:$C$5566,3,0)</f>
        <v>GENERAL CARNEIRO</v>
      </c>
      <c r="C2969" t="str">
        <f>VLOOKUP(A2969,Planilha2!$A$2:$D$5566,4,0)</f>
        <v>MT</v>
      </c>
    </row>
    <row r="2970" spans="1:3" x14ac:dyDescent="0.35">
      <c r="A2970">
        <v>510787</v>
      </c>
      <c r="B2970" t="str">
        <f>VLOOKUP(A2970,Planilha2!$A$2:$C$5566,3,0)</f>
        <v>SAPEZAL</v>
      </c>
      <c r="C2970" t="str">
        <f>VLOOKUP(A2970,Planilha2!$A$2:$D$5566,4,0)</f>
        <v>MT</v>
      </c>
    </row>
    <row r="2971" spans="1:3" x14ac:dyDescent="0.35">
      <c r="A2971">
        <v>510060</v>
      </c>
      <c r="B2971" t="str">
        <f>VLOOKUP(A2971,Planilha2!$A$2:$C$5566,3,0)</f>
        <v>ALTO TAQUARI</v>
      </c>
      <c r="C2971" t="str">
        <f>VLOOKUP(A2971,Planilha2!$A$2:$D$5566,4,0)</f>
        <v>MT</v>
      </c>
    </row>
    <row r="2972" spans="1:3" x14ac:dyDescent="0.35">
      <c r="A2972">
        <v>510420</v>
      </c>
      <c r="B2972" t="str">
        <f>VLOOKUP(A2972,Planilha2!$A$2:$C$5566,3,0)</f>
        <v>GUIRATINGA</v>
      </c>
      <c r="C2972" t="str">
        <f>VLOOKUP(A2972,Planilha2!$A$2:$D$5566,4,0)</f>
        <v>MT</v>
      </c>
    </row>
    <row r="2973" spans="1:3" x14ac:dyDescent="0.35">
      <c r="A2973">
        <v>510682</v>
      </c>
      <c r="B2973" t="str">
        <f>VLOOKUP(A2973,Planilha2!$A$2:$C$5566,3,0)</f>
        <v>PORTO ESPERIDIÃO</v>
      </c>
      <c r="C2973" t="str">
        <f>VLOOKUP(A2973,Planilha2!$A$2:$D$5566,4,0)</f>
        <v>MT</v>
      </c>
    </row>
    <row r="2974" spans="1:3" x14ac:dyDescent="0.35">
      <c r="A2974">
        <v>520540</v>
      </c>
      <c r="B2974" t="str">
        <f>VLOOKUP(A2974,Planilha2!$A$2:$C$5566,3,0)</f>
        <v>CERES</v>
      </c>
      <c r="C2974" t="str">
        <f>VLOOKUP(A2974,Planilha2!$A$2:$D$5566,4,0)</f>
        <v>GO</v>
      </c>
    </row>
    <row r="2975" spans="1:3" x14ac:dyDescent="0.35">
      <c r="A2975">
        <v>521350</v>
      </c>
      <c r="B2975" t="str">
        <f>VLOOKUP(A2975,Planilha2!$A$2:$C$5566,3,0)</f>
        <v>MONTE ALEGRE DE GOIÁS</v>
      </c>
      <c r="C2975" t="str">
        <f>VLOOKUP(A2975,Planilha2!$A$2:$D$5566,4,0)</f>
        <v>GO</v>
      </c>
    </row>
    <row r="2976" spans="1:3" x14ac:dyDescent="0.35">
      <c r="A2976">
        <v>520490</v>
      </c>
      <c r="B2976" t="str">
        <f>VLOOKUP(A2976,Planilha2!$A$2:$C$5566,3,0)</f>
        <v>CAMPOS BELOS</v>
      </c>
      <c r="C2976" t="str">
        <f>VLOOKUP(A2976,Planilha2!$A$2:$D$5566,4,0)</f>
        <v>GO</v>
      </c>
    </row>
    <row r="2977" spans="1:3" x14ac:dyDescent="0.35">
      <c r="A2977">
        <v>521830</v>
      </c>
      <c r="B2977" t="str">
        <f>VLOOKUP(A2977,Planilha2!$A$2:$C$5566,3,0)</f>
        <v>POSSE</v>
      </c>
      <c r="C2977" t="str">
        <f>VLOOKUP(A2977,Planilha2!$A$2:$D$5566,4,0)</f>
        <v>GO</v>
      </c>
    </row>
    <row r="2978" spans="1:3" x14ac:dyDescent="0.35">
      <c r="A2978">
        <v>292905</v>
      </c>
      <c r="B2978" t="str">
        <f>VLOOKUP(A2978,Planilha2!$A$2:$C$5566,3,0)</f>
        <v>SÃO FÉLIX DO CORIBE</v>
      </c>
      <c r="C2978" t="str">
        <f>VLOOKUP(A2978,Planilha2!$A$2:$D$5566,4,0)</f>
        <v>BA</v>
      </c>
    </row>
    <row r="2979" spans="1:3" x14ac:dyDescent="0.35">
      <c r="A2979">
        <v>521520</v>
      </c>
      <c r="B2979" t="str">
        <f>VLOOKUP(A2979,Planilha2!$A$2:$C$5566,3,0)</f>
        <v>NOVO BRASIL</v>
      </c>
      <c r="C2979" t="str">
        <f>VLOOKUP(A2979,Planilha2!$A$2:$D$5566,4,0)</f>
        <v>GO</v>
      </c>
    </row>
    <row r="2980" spans="1:3" x14ac:dyDescent="0.35">
      <c r="A2980">
        <v>521370</v>
      </c>
      <c r="B2980" t="str">
        <f>VLOOKUP(A2980,Planilha2!$A$2:$C$5566,3,0)</f>
        <v>MONTES CLAROS DE GOIÁS</v>
      </c>
      <c r="C2980" t="str">
        <f>VLOOKUP(A2980,Planilha2!$A$2:$D$5566,4,0)</f>
        <v>GO</v>
      </c>
    </row>
    <row r="2981" spans="1:3" x14ac:dyDescent="0.35">
      <c r="A2981">
        <v>520330</v>
      </c>
      <c r="B2981" t="str">
        <f>VLOOKUP(A2981,Planilha2!$A$2:$C$5566,3,0)</f>
        <v>BELA VISTA DE GOIÁS</v>
      </c>
      <c r="C2981" t="str">
        <f>VLOOKUP(A2981,Planilha2!$A$2:$D$5566,4,0)</f>
        <v>GO</v>
      </c>
    </row>
    <row r="2982" spans="1:3" x14ac:dyDescent="0.35">
      <c r="A2982">
        <v>520620</v>
      </c>
      <c r="B2982" t="str">
        <f>VLOOKUP(A2982,Planilha2!$A$2:$C$5566,3,0)</f>
        <v>CRISTALINA</v>
      </c>
      <c r="C2982" t="str">
        <f>VLOOKUP(A2982,Planilha2!$A$2:$D$5566,4,0)</f>
        <v>GO</v>
      </c>
    </row>
    <row r="2983" spans="1:3" x14ac:dyDescent="0.35">
      <c r="A2983">
        <v>521680</v>
      </c>
      <c r="B2983" t="str">
        <f>VLOOKUP(A2983,Planilha2!$A$2:$C$5566,3,0)</f>
        <v>PETROLINA DE GOIÁS</v>
      </c>
      <c r="C2983" t="str">
        <f>VLOOKUP(A2983,Planilha2!$A$2:$D$5566,4,0)</f>
        <v>GO</v>
      </c>
    </row>
    <row r="2984" spans="1:3" x14ac:dyDescent="0.35">
      <c r="A2984">
        <v>230445</v>
      </c>
      <c r="B2984" t="str">
        <f>VLOOKUP(A2984,Planilha2!$A$2:$C$5566,3,0)</f>
        <v>FORTIM</v>
      </c>
      <c r="C2984" t="str">
        <f>VLOOKUP(A2984,Planilha2!$A$2:$D$5566,4,0)</f>
        <v>CE</v>
      </c>
    </row>
    <row r="2985" spans="1:3" x14ac:dyDescent="0.35">
      <c r="A2985">
        <v>411000</v>
      </c>
      <c r="B2985" t="str">
        <f>VLOOKUP(A2985,Planilha2!$A$2:$C$5566,3,0)</f>
        <v>IGUARAÇU</v>
      </c>
      <c r="C2985" t="str">
        <f>VLOOKUP(A2985,Planilha2!$A$2:$D$5566,4,0)</f>
        <v>PR</v>
      </c>
    </row>
    <row r="2986" spans="1:3" x14ac:dyDescent="0.35">
      <c r="A2986">
        <v>130040</v>
      </c>
      <c r="B2986" t="str">
        <f>VLOOKUP(A2986,Planilha2!$A$2:$C$5566,3,0)</f>
        <v>BARCELOS</v>
      </c>
      <c r="C2986" t="str">
        <f>VLOOKUP(A2986,Planilha2!$A$2:$D$5566,4,0)</f>
        <v>AM</v>
      </c>
    </row>
    <row r="2987" spans="1:3" x14ac:dyDescent="0.35">
      <c r="A2987">
        <v>500124</v>
      </c>
      <c r="B2987" t="str">
        <f>VLOOKUP(A2987,Planilha2!$A$2:$C$5566,3,0)</f>
        <v>ARAL MOREIRA</v>
      </c>
      <c r="C2987" t="str">
        <f>VLOOKUP(A2987,Planilha2!$A$2:$D$5566,4,0)</f>
        <v>MS</v>
      </c>
    </row>
    <row r="2988" spans="1:3" x14ac:dyDescent="0.35">
      <c r="A2988">
        <v>140028</v>
      </c>
      <c r="B2988" t="str">
        <f>VLOOKUP(A2988,Planilha2!$A$2:$C$5566,3,0)</f>
        <v>IRACEMA</v>
      </c>
      <c r="C2988" t="str">
        <f>VLOOKUP(A2988,Planilha2!$A$2:$D$5566,4,0)</f>
        <v>RR</v>
      </c>
    </row>
    <row r="2989" spans="1:3" x14ac:dyDescent="0.35">
      <c r="A2989">
        <v>431575</v>
      </c>
      <c r="B2989" t="str">
        <f>VLOOKUP(A2989,Planilha2!$A$2:$C$5566,3,0)</f>
        <v>RIOZINHO</v>
      </c>
      <c r="C2989" t="str">
        <f>VLOOKUP(A2989,Planilha2!$A$2:$D$5566,4,0)</f>
        <v>RS</v>
      </c>
    </row>
    <row r="2990" spans="1:3" x14ac:dyDescent="0.35">
      <c r="A2990">
        <v>312960</v>
      </c>
      <c r="B2990" t="str">
        <f>VLOOKUP(A2990,Planilha2!$A$2:$C$5566,3,0)</f>
        <v>IBIAÍ</v>
      </c>
      <c r="C2990" t="str">
        <f>VLOOKUP(A2990,Planilha2!$A$2:$D$5566,4,0)</f>
        <v>MG</v>
      </c>
    </row>
    <row r="2991" spans="1:3" x14ac:dyDescent="0.35">
      <c r="A2991">
        <v>411360</v>
      </c>
      <c r="B2991" t="str">
        <f>VLOOKUP(A2991,Planilha2!$A$2:$C$5566,3,0)</f>
        <v>LOBATO</v>
      </c>
      <c r="C2991" t="str">
        <f>VLOOKUP(A2991,Planilha2!$A$2:$D$5566,4,0)</f>
        <v>PR</v>
      </c>
    </row>
    <row r="2992" spans="1:3" x14ac:dyDescent="0.35">
      <c r="A2992">
        <v>430050</v>
      </c>
      <c r="B2992" t="str">
        <f>VLOOKUP(A2992,Planilha2!$A$2:$C$5566,3,0)</f>
        <v>ALPESTRE</v>
      </c>
      <c r="C2992" t="str">
        <f>VLOOKUP(A2992,Planilha2!$A$2:$D$5566,4,0)</f>
        <v>RS</v>
      </c>
    </row>
    <row r="2993" spans="1:3" x14ac:dyDescent="0.35">
      <c r="A2993">
        <v>520650</v>
      </c>
      <c r="B2993" t="str">
        <f>VLOOKUP(A2993,Planilha2!$A$2:$C$5566,3,0)</f>
        <v>CROMÍNIA</v>
      </c>
      <c r="C2993" t="str">
        <f>VLOOKUP(A2993,Planilha2!$A$2:$D$5566,4,0)</f>
        <v>GO</v>
      </c>
    </row>
    <row r="2994" spans="1:3" x14ac:dyDescent="0.35">
      <c r="A2994">
        <v>150563</v>
      </c>
      <c r="B2994" t="str">
        <f>VLOOKUP(A2994,Planilha2!$A$2:$C$5566,3,0)</f>
        <v>PIÇARRA</v>
      </c>
      <c r="C2994" t="str">
        <f>VLOOKUP(A2994,Planilha2!$A$2:$D$5566,4,0)</f>
        <v>PA</v>
      </c>
    </row>
    <row r="2995" spans="1:3" x14ac:dyDescent="0.35">
      <c r="A2995">
        <v>150050</v>
      </c>
      <c r="B2995" t="str">
        <f>VLOOKUP(A2995,Planilha2!$A$2:$C$5566,3,0)</f>
        <v>ALMEIRIM</v>
      </c>
      <c r="C2995" t="str">
        <f>VLOOKUP(A2995,Planilha2!$A$2:$D$5566,4,0)</f>
        <v>PA</v>
      </c>
    </row>
    <row r="2996" spans="1:3" x14ac:dyDescent="0.35">
      <c r="A2996">
        <v>150805</v>
      </c>
      <c r="B2996" t="str">
        <f>VLOOKUP(A2996,Planilha2!$A$2:$C$5566,3,0)</f>
        <v>TRAIRÃO</v>
      </c>
      <c r="C2996" t="str">
        <f>VLOOKUP(A2996,Planilha2!$A$2:$D$5566,4,0)</f>
        <v>PA</v>
      </c>
    </row>
    <row r="2997" spans="1:3" x14ac:dyDescent="0.35">
      <c r="A2997">
        <v>150445</v>
      </c>
      <c r="B2997" t="str">
        <f>VLOOKUP(A2997,Planilha2!$A$2:$C$5566,3,0)</f>
        <v>MEDICILÂNDIA</v>
      </c>
      <c r="C2997" t="str">
        <f>VLOOKUP(A2997,Planilha2!$A$2:$D$5566,4,0)</f>
        <v>PA</v>
      </c>
    </row>
    <row r="2998" spans="1:3" x14ac:dyDescent="0.35">
      <c r="A2998">
        <v>150250</v>
      </c>
      <c r="B2998" t="str">
        <f>VLOOKUP(A2998,Planilha2!$A$2:$C$5566,3,0)</f>
        <v>CHAVES</v>
      </c>
      <c r="C2998" t="str">
        <f>VLOOKUP(A2998,Planilha2!$A$2:$D$5566,4,0)</f>
        <v>PA</v>
      </c>
    </row>
    <row r="2999" spans="1:3" x14ac:dyDescent="0.35">
      <c r="A2999">
        <v>150710</v>
      </c>
      <c r="B2999" t="str">
        <f>VLOOKUP(A2999,Planilha2!$A$2:$C$5566,3,0)</f>
        <v>SÃO CAETANO DE ODIVELAS</v>
      </c>
      <c r="C2999" t="str">
        <f>VLOOKUP(A2999,Planilha2!$A$2:$D$5566,4,0)</f>
        <v>PA</v>
      </c>
    </row>
    <row r="3000" spans="1:3" x14ac:dyDescent="0.35">
      <c r="A3000">
        <v>150110</v>
      </c>
      <c r="B3000" t="str">
        <f>VLOOKUP(A3000,Planilha2!$A$2:$C$5566,3,0)</f>
        <v>BAGRE</v>
      </c>
      <c r="C3000" t="str">
        <f>VLOOKUP(A3000,Planilha2!$A$2:$D$5566,4,0)</f>
        <v>PA</v>
      </c>
    </row>
    <row r="3001" spans="1:3" x14ac:dyDescent="0.35">
      <c r="A3001">
        <v>150310</v>
      </c>
      <c r="B3001" t="str">
        <f>VLOOKUP(A3001,Planilha2!$A$2:$C$5566,3,0)</f>
        <v>GURUPÁ</v>
      </c>
      <c r="C3001" t="str">
        <f>VLOOKUP(A3001,Planilha2!$A$2:$D$5566,4,0)</f>
        <v>PA</v>
      </c>
    </row>
    <row r="3002" spans="1:3" x14ac:dyDescent="0.35">
      <c r="A3002">
        <v>410610</v>
      </c>
      <c r="B3002" t="str">
        <f>VLOOKUP(A3002,Planilha2!$A$2:$C$5566,3,0)</f>
        <v>CONSELHEIRO MAIRINCK</v>
      </c>
      <c r="C3002" t="str">
        <f>VLOOKUP(A3002,Planilha2!$A$2:$D$5566,4,0)</f>
        <v>PR</v>
      </c>
    </row>
    <row r="3003" spans="1:3" x14ac:dyDescent="0.35">
      <c r="A3003">
        <v>110015</v>
      </c>
      <c r="B3003" t="str">
        <f>VLOOKUP(A3003,Planilha2!$A$2:$C$5566,3,0)</f>
        <v>OURO PRETO DO OESTE</v>
      </c>
      <c r="C3003" t="str">
        <f>VLOOKUP(A3003,Planilha2!$A$2:$D$5566,4,0)</f>
        <v>RO</v>
      </c>
    </row>
    <row r="3004" spans="1:3" x14ac:dyDescent="0.35">
      <c r="A3004">
        <v>130220</v>
      </c>
      <c r="B3004" t="str">
        <f>VLOOKUP(A3004,Planilha2!$A$2:$C$5566,3,0)</f>
        <v>JURUÁ</v>
      </c>
      <c r="C3004" t="str">
        <f>VLOOKUP(A3004,Planilha2!$A$2:$D$5566,4,0)</f>
        <v>AM</v>
      </c>
    </row>
    <row r="3005" spans="1:3" x14ac:dyDescent="0.35">
      <c r="A3005">
        <v>130150</v>
      </c>
      <c r="B3005" t="str">
        <f>VLOOKUP(A3005,Planilha2!$A$2:$C$5566,3,0)</f>
        <v>ENVIRA</v>
      </c>
      <c r="C3005" t="str">
        <f>VLOOKUP(A3005,Planilha2!$A$2:$D$5566,4,0)</f>
        <v>AM</v>
      </c>
    </row>
    <row r="3006" spans="1:3" x14ac:dyDescent="0.35">
      <c r="A3006">
        <v>130370</v>
      </c>
      <c r="B3006" t="str">
        <f>VLOOKUP(A3006,Planilha2!$A$2:$C$5566,3,0)</f>
        <v>SANTO ANTÔNIO DO IÇÁ</v>
      </c>
      <c r="C3006" t="str">
        <f>VLOOKUP(A3006,Planilha2!$A$2:$D$5566,4,0)</f>
        <v>AM</v>
      </c>
    </row>
    <row r="3007" spans="1:3" x14ac:dyDescent="0.35">
      <c r="A3007">
        <v>130068</v>
      </c>
      <c r="B3007" t="str">
        <f>VLOOKUP(A3007,Planilha2!$A$2:$C$5566,3,0)</f>
        <v>BOA VISTA DO RAMOS</v>
      </c>
      <c r="C3007" t="str">
        <f>VLOOKUP(A3007,Planilha2!$A$2:$D$5566,4,0)</f>
        <v>AM</v>
      </c>
    </row>
    <row r="3008" spans="1:3" x14ac:dyDescent="0.35">
      <c r="A3008">
        <v>130080</v>
      </c>
      <c r="B3008" t="str">
        <f>VLOOKUP(A3008,Planilha2!$A$2:$C$5566,3,0)</f>
        <v>BORBA</v>
      </c>
      <c r="C3008" t="str">
        <f>VLOOKUP(A3008,Planilha2!$A$2:$D$5566,4,0)</f>
        <v>AM</v>
      </c>
    </row>
    <row r="3009" spans="1:3" x14ac:dyDescent="0.35">
      <c r="A3009">
        <v>130330</v>
      </c>
      <c r="B3009" t="str">
        <f>VLOOKUP(A3009,Planilha2!$A$2:$C$5566,3,0)</f>
        <v>NOVO ARIPUANÃ</v>
      </c>
      <c r="C3009" t="str">
        <f>VLOOKUP(A3009,Planilha2!$A$2:$D$5566,4,0)</f>
        <v>AM</v>
      </c>
    </row>
    <row r="3010" spans="1:3" x14ac:dyDescent="0.35">
      <c r="A3010">
        <v>130200</v>
      </c>
      <c r="B3010" t="str">
        <f>VLOOKUP(A3010,Planilha2!$A$2:$C$5566,3,0)</f>
        <v>ITAPIRANGA</v>
      </c>
      <c r="C3010" t="str">
        <f>VLOOKUP(A3010,Planilha2!$A$2:$D$5566,4,0)</f>
        <v>AM</v>
      </c>
    </row>
    <row r="3011" spans="1:3" x14ac:dyDescent="0.35">
      <c r="A3011">
        <v>130300</v>
      </c>
      <c r="B3011" t="str">
        <f>VLOOKUP(A3011,Planilha2!$A$2:$C$5566,3,0)</f>
        <v>NHAMUNDÁ</v>
      </c>
      <c r="C3011" t="str">
        <f>VLOOKUP(A3011,Planilha2!$A$2:$D$5566,4,0)</f>
        <v>AM</v>
      </c>
    </row>
    <row r="3012" spans="1:3" x14ac:dyDescent="0.35">
      <c r="A3012">
        <v>140020</v>
      </c>
      <c r="B3012" t="str">
        <f>VLOOKUP(A3012,Planilha2!$A$2:$C$5566,3,0)</f>
        <v>CARACARAÍ</v>
      </c>
      <c r="C3012" t="str">
        <f>VLOOKUP(A3012,Planilha2!$A$2:$D$5566,4,0)</f>
        <v>RR</v>
      </c>
    </row>
    <row r="3013" spans="1:3" x14ac:dyDescent="0.35">
      <c r="A3013">
        <v>140045</v>
      </c>
      <c r="B3013" t="str">
        <f>VLOOKUP(A3013,Planilha2!$A$2:$C$5566,3,0)</f>
        <v>PACARAIMA</v>
      </c>
      <c r="C3013" t="str">
        <f>VLOOKUP(A3013,Planilha2!$A$2:$D$5566,4,0)</f>
        <v>RR</v>
      </c>
    </row>
    <row r="3014" spans="1:3" x14ac:dyDescent="0.35">
      <c r="A3014">
        <v>140015</v>
      </c>
      <c r="B3014" t="str">
        <f>VLOOKUP(A3014,Planilha2!$A$2:$C$5566,3,0)</f>
        <v>BONFIM</v>
      </c>
      <c r="C3014" t="str">
        <f>VLOOKUP(A3014,Planilha2!$A$2:$D$5566,4,0)</f>
        <v>RR</v>
      </c>
    </row>
    <row r="3015" spans="1:3" x14ac:dyDescent="0.35">
      <c r="A3015">
        <v>220400</v>
      </c>
      <c r="B3015" t="str">
        <f>VLOOKUP(A3015,Planilha2!$A$2:$C$5566,3,0)</f>
        <v>FRANCINÓPOLIS</v>
      </c>
      <c r="C3015" t="str">
        <f>VLOOKUP(A3015,Planilha2!$A$2:$D$5566,4,0)</f>
        <v>PI</v>
      </c>
    </row>
    <row r="3016" spans="1:3" x14ac:dyDescent="0.35">
      <c r="A3016">
        <v>220965</v>
      </c>
      <c r="B3016" t="str">
        <f>VLOOKUP(A3016,Planilha2!$A$2:$C$5566,3,0)</f>
        <v>SÃO FRANCISCO DE ASSIS DO PIAUÍ</v>
      </c>
      <c r="C3016" t="str">
        <f>VLOOKUP(A3016,Planilha2!$A$2:$D$5566,4,0)</f>
        <v>PI</v>
      </c>
    </row>
    <row r="3017" spans="1:3" x14ac:dyDescent="0.35">
      <c r="A3017">
        <v>220880</v>
      </c>
      <c r="B3017" t="str">
        <f>VLOOKUP(A3017,Planilha2!$A$2:$C$5566,3,0)</f>
        <v>REGENERAÇÃO</v>
      </c>
      <c r="C3017" t="str">
        <f>VLOOKUP(A3017,Planilha2!$A$2:$D$5566,4,0)</f>
        <v>PI</v>
      </c>
    </row>
    <row r="3018" spans="1:3" x14ac:dyDescent="0.35">
      <c r="A3018">
        <v>221063</v>
      </c>
      <c r="B3018" t="str">
        <f>VLOOKUP(A3018,Planilha2!$A$2:$C$5566,3,0)</f>
        <v>SEBASTIÃO LEAL</v>
      </c>
      <c r="C3018" t="str">
        <f>VLOOKUP(A3018,Planilha2!$A$2:$D$5566,4,0)</f>
        <v>PI</v>
      </c>
    </row>
    <row r="3019" spans="1:3" x14ac:dyDescent="0.35">
      <c r="A3019">
        <v>220110</v>
      </c>
      <c r="B3019" t="str">
        <f>VLOOKUP(A3019,Planilha2!$A$2:$C$5566,3,0)</f>
        <v>AVELINO LOPES</v>
      </c>
      <c r="C3019" t="str">
        <f>VLOOKUP(A3019,Planilha2!$A$2:$D$5566,4,0)</f>
        <v>PI</v>
      </c>
    </row>
    <row r="3020" spans="1:3" x14ac:dyDescent="0.35">
      <c r="A3020">
        <v>220910</v>
      </c>
      <c r="B3020" t="str">
        <f>VLOOKUP(A3020,Planilha2!$A$2:$C$5566,3,0)</f>
        <v>SANTA CRUZ DO PIAUÍ</v>
      </c>
      <c r="C3020" t="str">
        <f>VLOOKUP(A3020,Planilha2!$A$2:$D$5566,4,0)</f>
        <v>PI</v>
      </c>
    </row>
    <row r="3021" spans="1:3" x14ac:dyDescent="0.35">
      <c r="A3021">
        <v>220755</v>
      </c>
      <c r="B3021" t="str">
        <f>VLOOKUP(A3021,Planilha2!$A$2:$C$5566,3,0)</f>
        <v>PAQUETÁ</v>
      </c>
      <c r="C3021" t="str">
        <f>VLOOKUP(A3021,Planilha2!$A$2:$D$5566,4,0)</f>
        <v>PI</v>
      </c>
    </row>
    <row r="3022" spans="1:3" x14ac:dyDescent="0.35">
      <c r="A3022">
        <v>240680</v>
      </c>
      <c r="B3022" t="str">
        <f>VLOOKUP(A3022,Planilha2!$A$2:$C$5566,3,0)</f>
        <v>LAJES PINTADAS</v>
      </c>
      <c r="C3022" t="str">
        <f>VLOOKUP(A3022,Planilha2!$A$2:$D$5566,4,0)</f>
        <v>RN</v>
      </c>
    </row>
    <row r="3023" spans="1:3" x14ac:dyDescent="0.35">
      <c r="A3023">
        <v>241480</v>
      </c>
      <c r="B3023" t="str">
        <f>VLOOKUP(A3023,Planilha2!$A$2:$C$5566,3,0)</f>
        <v>VERA CRUZ</v>
      </c>
      <c r="C3023" t="str">
        <f>VLOOKUP(A3023,Planilha2!$A$2:$D$5566,4,0)</f>
        <v>RN</v>
      </c>
    </row>
    <row r="3024" spans="1:3" x14ac:dyDescent="0.35">
      <c r="A3024">
        <v>251210</v>
      </c>
      <c r="B3024" t="str">
        <f>VLOOKUP(A3024,Planilha2!$A$2:$C$5566,3,0)</f>
        <v>POMBAL</v>
      </c>
      <c r="C3024" t="str">
        <f>VLOOKUP(A3024,Planilha2!$A$2:$D$5566,4,0)</f>
        <v>PB</v>
      </c>
    </row>
    <row r="3025" spans="1:3" x14ac:dyDescent="0.35">
      <c r="A3025">
        <v>250060</v>
      </c>
      <c r="B3025" t="str">
        <f>VLOOKUP(A3025,Planilha2!$A$2:$C$5566,3,0)</f>
        <v>ALHANDRA</v>
      </c>
      <c r="C3025" t="str">
        <f>VLOOKUP(A3025,Planilha2!$A$2:$D$5566,4,0)</f>
        <v>PB</v>
      </c>
    </row>
    <row r="3026" spans="1:3" x14ac:dyDescent="0.35">
      <c r="A3026">
        <v>250670</v>
      </c>
      <c r="B3026" t="str">
        <f>VLOOKUP(A3026,Planilha2!$A$2:$C$5566,3,0)</f>
        <v>IMACULADA</v>
      </c>
      <c r="C3026" t="str">
        <f>VLOOKUP(A3026,Planilha2!$A$2:$D$5566,4,0)</f>
        <v>PB</v>
      </c>
    </row>
    <row r="3027" spans="1:3" x14ac:dyDescent="0.35">
      <c r="A3027">
        <v>261360</v>
      </c>
      <c r="B3027" t="str">
        <f>VLOOKUP(A3027,Planilha2!$A$2:$C$5566,3,0)</f>
        <v>SÃO JOSÉ DO EGITO</v>
      </c>
      <c r="C3027" t="str">
        <f>VLOOKUP(A3027,Planilha2!$A$2:$D$5566,4,0)</f>
        <v>PE</v>
      </c>
    </row>
    <row r="3028" spans="1:3" x14ac:dyDescent="0.35">
      <c r="A3028">
        <v>260710</v>
      </c>
      <c r="B3028" t="str">
        <f>VLOOKUP(A3028,Planilha2!$A$2:$C$5566,3,0)</f>
        <v>INGAZEIRA</v>
      </c>
      <c r="C3028" t="str">
        <f>VLOOKUP(A3028,Planilha2!$A$2:$D$5566,4,0)</f>
        <v>PE</v>
      </c>
    </row>
    <row r="3029" spans="1:3" x14ac:dyDescent="0.35">
      <c r="A3029">
        <v>270050</v>
      </c>
      <c r="B3029" t="str">
        <f>VLOOKUP(A3029,Planilha2!$A$2:$C$5566,3,0)</f>
        <v>BARRA DE SANTO ANTÔNIO</v>
      </c>
      <c r="C3029" t="str">
        <f>VLOOKUP(A3029,Planilha2!$A$2:$D$5566,4,0)</f>
        <v>AL</v>
      </c>
    </row>
    <row r="3030" spans="1:3" x14ac:dyDescent="0.35">
      <c r="A3030">
        <v>270760</v>
      </c>
      <c r="B3030" t="str">
        <f>VLOOKUP(A3030,Planilha2!$A$2:$C$5566,3,0)</f>
        <v>QUEBRANGULO</v>
      </c>
      <c r="C3030" t="str">
        <f>VLOOKUP(A3030,Planilha2!$A$2:$D$5566,4,0)</f>
        <v>AL</v>
      </c>
    </row>
    <row r="3031" spans="1:3" x14ac:dyDescent="0.35">
      <c r="A3031">
        <v>270480</v>
      </c>
      <c r="B3031" t="str">
        <f>VLOOKUP(A3031,Planilha2!$A$2:$C$5566,3,0)</f>
        <v>MARIBONDO</v>
      </c>
      <c r="C3031" t="str">
        <f>VLOOKUP(A3031,Planilha2!$A$2:$D$5566,4,0)</f>
        <v>AL</v>
      </c>
    </row>
    <row r="3032" spans="1:3" x14ac:dyDescent="0.35">
      <c r="A3032">
        <v>270020</v>
      </c>
      <c r="B3032" t="str">
        <f>VLOOKUP(A3032,Planilha2!$A$2:$C$5566,3,0)</f>
        <v>ANADIA</v>
      </c>
      <c r="C3032" t="str">
        <f>VLOOKUP(A3032,Planilha2!$A$2:$D$5566,4,0)</f>
        <v>AL</v>
      </c>
    </row>
    <row r="3033" spans="1:3" x14ac:dyDescent="0.35">
      <c r="A3033">
        <v>220020</v>
      </c>
      <c r="B3033" t="str">
        <f>VLOOKUP(A3033,Planilha2!$A$2:$C$5566,3,0)</f>
        <v>ÁGUA BRANCA</v>
      </c>
      <c r="C3033" t="str">
        <f>VLOOKUP(A3033,Planilha2!$A$2:$D$5566,4,0)</f>
        <v>PI</v>
      </c>
    </row>
    <row r="3034" spans="1:3" x14ac:dyDescent="0.35">
      <c r="A3034">
        <v>291380</v>
      </c>
      <c r="B3034" t="str">
        <f>VLOOKUP(A3034,Planilha2!$A$2:$C$5566,3,0)</f>
        <v>IPECAETÁ</v>
      </c>
      <c r="C3034" t="str">
        <f>VLOOKUP(A3034,Planilha2!$A$2:$D$5566,4,0)</f>
        <v>BA</v>
      </c>
    </row>
    <row r="3035" spans="1:3" x14ac:dyDescent="0.35">
      <c r="A3035">
        <v>290150</v>
      </c>
      <c r="B3035" t="str">
        <f>VLOOKUP(A3035,Planilha2!$A$2:$C$5566,3,0)</f>
        <v>ANGUERA</v>
      </c>
      <c r="C3035" t="str">
        <f>VLOOKUP(A3035,Planilha2!$A$2:$D$5566,4,0)</f>
        <v>BA</v>
      </c>
    </row>
    <row r="3036" spans="1:3" x14ac:dyDescent="0.35">
      <c r="A3036">
        <v>290240</v>
      </c>
      <c r="B3036" t="str">
        <f>VLOOKUP(A3036,Planilha2!$A$2:$C$5566,3,0)</f>
        <v>AURELINO LEAL</v>
      </c>
      <c r="C3036" t="str">
        <f>VLOOKUP(A3036,Planilha2!$A$2:$D$5566,4,0)</f>
        <v>BA</v>
      </c>
    </row>
    <row r="3037" spans="1:3" x14ac:dyDescent="0.35">
      <c r="A3037">
        <v>292610</v>
      </c>
      <c r="B3037" t="str">
        <f>VLOOKUP(A3037,Planilha2!$A$2:$C$5566,3,0)</f>
        <v>RETIROLÂNDIA</v>
      </c>
      <c r="C3037" t="str">
        <f>VLOOKUP(A3037,Planilha2!$A$2:$D$5566,4,0)</f>
        <v>BA</v>
      </c>
    </row>
    <row r="3038" spans="1:3" x14ac:dyDescent="0.35">
      <c r="A3038">
        <v>293060</v>
      </c>
      <c r="B3038" t="str">
        <f>VLOOKUP(A3038,Planilha2!$A$2:$C$5566,3,0)</f>
        <v>SERROLÂNDIA</v>
      </c>
      <c r="C3038" t="str">
        <f>VLOOKUP(A3038,Planilha2!$A$2:$D$5566,4,0)</f>
        <v>BA</v>
      </c>
    </row>
    <row r="3039" spans="1:3" x14ac:dyDescent="0.35">
      <c r="A3039">
        <v>292670</v>
      </c>
      <c r="B3039" t="str">
        <f>VLOOKUP(A3039,Planilha2!$A$2:$C$5566,3,0)</f>
        <v>RIO DE CONTAS</v>
      </c>
      <c r="C3039" t="str">
        <f>VLOOKUP(A3039,Planilha2!$A$2:$D$5566,4,0)</f>
        <v>BA</v>
      </c>
    </row>
    <row r="3040" spans="1:3" x14ac:dyDescent="0.35">
      <c r="A3040">
        <v>292467</v>
      </c>
      <c r="B3040" t="str">
        <f>VLOOKUP(A3040,Planilha2!$A$2:$C$5566,3,0)</f>
        <v>PIRAÍ DO NORTE</v>
      </c>
      <c r="C3040" t="str">
        <f>VLOOKUP(A3040,Planilha2!$A$2:$D$5566,4,0)</f>
        <v>BA</v>
      </c>
    </row>
    <row r="3041" spans="1:3" x14ac:dyDescent="0.35">
      <c r="A3041">
        <v>311730</v>
      </c>
      <c r="B3041" t="str">
        <f>VLOOKUP(A3041,Planilha2!$A$2:$C$5566,3,0)</f>
        <v>CONCEIÇÃO DAS ALAGOAS</v>
      </c>
      <c r="C3041" t="str">
        <f>VLOOKUP(A3041,Planilha2!$A$2:$D$5566,4,0)</f>
        <v>MG</v>
      </c>
    </row>
    <row r="3042" spans="1:3" x14ac:dyDescent="0.35">
      <c r="A3042">
        <v>311787</v>
      </c>
      <c r="B3042" t="str">
        <f>VLOOKUP(A3042,Planilha2!$A$2:$C$5566,3,0)</f>
        <v>CONFINS</v>
      </c>
      <c r="C3042" t="str">
        <f>VLOOKUP(A3042,Planilha2!$A$2:$D$5566,4,0)</f>
        <v>MG</v>
      </c>
    </row>
    <row r="3043" spans="1:3" x14ac:dyDescent="0.35">
      <c r="A3043">
        <v>312910</v>
      </c>
      <c r="B3043" t="str">
        <f>VLOOKUP(A3043,Planilha2!$A$2:$C$5566,3,0)</f>
        <v>GURINHATÃ</v>
      </c>
      <c r="C3043" t="str">
        <f>VLOOKUP(A3043,Planilha2!$A$2:$D$5566,4,0)</f>
        <v>MG</v>
      </c>
    </row>
    <row r="3044" spans="1:3" x14ac:dyDescent="0.35">
      <c r="A3044">
        <v>312580</v>
      </c>
      <c r="B3044" t="str">
        <f>VLOOKUP(A3044,Planilha2!$A$2:$C$5566,3,0)</f>
        <v>FERNANDES TOURINHO</v>
      </c>
      <c r="C3044" t="str">
        <f>VLOOKUP(A3044,Planilha2!$A$2:$D$5566,4,0)</f>
        <v>MG</v>
      </c>
    </row>
    <row r="3045" spans="1:3" x14ac:dyDescent="0.35">
      <c r="A3045">
        <v>312950</v>
      </c>
      <c r="B3045" t="str">
        <f>VLOOKUP(A3045,Planilha2!$A$2:$C$5566,3,0)</f>
        <v>IBIÁ</v>
      </c>
      <c r="C3045" t="str">
        <f>VLOOKUP(A3045,Planilha2!$A$2:$D$5566,4,0)</f>
        <v>MG</v>
      </c>
    </row>
    <row r="3046" spans="1:3" x14ac:dyDescent="0.35">
      <c r="A3046">
        <v>312737</v>
      </c>
      <c r="B3046" t="str">
        <f>VLOOKUP(A3046,Planilha2!$A$2:$C$5566,3,0)</f>
        <v>GOIABEIRA</v>
      </c>
      <c r="C3046" t="str">
        <f>VLOOKUP(A3046,Planilha2!$A$2:$D$5566,4,0)</f>
        <v>MG</v>
      </c>
    </row>
    <row r="3047" spans="1:3" x14ac:dyDescent="0.35">
      <c r="A3047">
        <v>312750</v>
      </c>
      <c r="B3047" t="str">
        <f>VLOOKUP(A3047,Planilha2!$A$2:$C$5566,3,0)</f>
        <v>GONZAGA</v>
      </c>
      <c r="C3047" t="str">
        <f>VLOOKUP(A3047,Planilha2!$A$2:$D$5566,4,0)</f>
        <v>MG</v>
      </c>
    </row>
    <row r="3048" spans="1:3" x14ac:dyDescent="0.35">
      <c r="A3048">
        <v>314150</v>
      </c>
      <c r="B3048" t="str">
        <f>VLOOKUP(A3048,Planilha2!$A$2:$C$5566,3,0)</f>
        <v>MENDES PIMENTEL</v>
      </c>
      <c r="C3048" t="str">
        <f>VLOOKUP(A3048,Planilha2!$A$2:$D$5566,4,0)</f>
        <v>MG</v>
      </c>
    </row>
    <row r="3049" spans="1:3" x14ac:dyDescent="0.35">
      <c r="A3049">
        <v>311950</v>
      </c>
      <c r="B3049" t="str">
        <f>VLOOKUP(A3049,Planilha2!$A$2:$C$5566,3,0)</f>
        <v>CORONEL MURTA</v>
      </c>
      <c r="C3049" t="str">
        <f>VLOOKUP(A3049,Planilha2!$A$2:$D$5566,4,0)</f>
        <v>MG</v>
      </c>
    </row>
    <row r="3050" spans="1:3" x14ac:dyDescent="0.35">
      <c r="A3050">
        <v>315810</v>
      </c>
      <c r="B3050" t="str">
        <f>VLOOKUP(A3050,Planilha2!$A$2:$C$5566,3,0)</f>
        <v>SANTA MARIA DO SALTO</v>
      </c>
      <c r="C3050" t="str">
        <f>VLOOKUP(A3050,Planilha2!$A$2:$D$5566,4,0)</f>
        <v>MG</v>
      </c>
    </row>
    <row r="3051" spans="1:3" x14ac:dyDescent="0.35">
      <c r="A3051">
        <v>320506</v>
      </c>
      <c r="B3051" t="str">
        <f>VLOOKUP(A3051,Planilha2!$A$2:$C$5566,3,0)</f>
        <v>VENDA NOVA DO IMIGRANTE</v>
      </c>
      <c r="C3051" t="str">
        <f>VLOOKUP(A3051,Planilha2!$A$2:$D$5566,4,0)</f>
        <v>ES</v>
      </c>
    </row>
    <row r="3052" spans="1:3" x14ac:dyDescent="0.35">
      <c r="A3052">
        <v>320503</v>
      </c>
      <c r="B3052" t="str">
        <f>VLOOKUP(A3052,Planilha2!$A$2:$C$5566,3,0)</f>
        <v>VARGEM ALTA</v>
      </c>
      <c r="C3052" t="str">
        <f>VLOOKUP(A3052,Planilha2!$A$2:$D$5566,4,0)</f>
        <v>ES</v>
      </c>
    </row>
    <row r="3053" spans="1:3" x14ac:dyDescent="0.35">
      <c r="A3053">
        <v>320100</v>
      </c>
      <c r="B3053" t="str">
        <f>VLOOKUP(A3053,Planilha2!$A$2:$C$5566,3,0)</f>
        <v>BOA ESPERANÇA</v>
      </c>
      <c r="C3053" t="str">
        <f>VLOOKUP(A3053,Planilha2!$A$2:$D$5566,4,0)</f>
        <v>ES</v>
      </c>
    </row>
    <row r="3054" spans="1:3" x14ac:dyDescent="0.35">
      <c r="A3054">
        <v>320230</v>
      </c>
      <c r="B3054" t="str">
        <f>VLOOKUP(A3054,Planilha2!$A$2:$C$5566,3,0)</f>
        <v>GUAÇUÍ</v>
      </c>
      <c r="C3054" t="str">
        <f>VLOOKUP(A3054,Planilha2!$A$2:$D$5566,4,0)</f>
        <v>ES</v>
      </c>
    </row>
    <row r="3055" spans="1:3" x14ac:dyDescent="0.35">
      <c r="A3055">
        <v>353282</v>
      </c>
      <c r="B3055" t="str">
        <f>VLOOKUP(A3055,Planilha2!$A$2:$C$5566,3,0)</f>
        <v>NOVA CAMPINA</v>
      </c>
      <c r="C3055" t="str">
        <f>VLOOKUP(A3055,Planilha2!$A$2:$D$5566,4,0)</f>
        <v>SP</v>
      </c>
    </row>
    <row r="3056" spans="1:3" x14ac:dyDescent="0.35">
      <c r="A3056">
        <v>353220</v>
      </c>
      <c r="B3056" t="str">
        <f>VLOOKUP(A3056,Planilha2!$A$2:$C$5566,3,0)</f>
        <v>NARANDIBA</v>
      </c>
      <c r="C3056" t="str">
        <f>VLOOKUP(A3056,Planilha2!$A$2:$D$5566,4,0)</f>
        <v>SP</v>
      </c>
    </row>
    <row r="3057" spans="1:3" x14ac:dyDescent="0.35">
      <c r="A3057">
        <v>353210</v>
      </c>
      <c r="B3057" t="str">
        <f>VLOOKUP(A3057,Planilha2!$A$2:$C$5566,3,0)</f>
        <v>MURUTINGA DO SUL</v>
      </c>
      <c r="C3057" t="str">
        <f>VLOOKUP(A3057,Planilha2!$A$2:$D$5566,4,0)</f>
        <v>SP</v>
      </c>
    </row>
    <row r="3058" spans="1:3" x14ac:dyDescent="0.35">
      <c r="A3058">
        <v>352870</v>
      </c>
      <c r="B3058" t="str">
        <f>VLOOKUP(A3058,Planilha2!$A$2:$C$5566,3,0)</f>
        <v>MARABÁ PAULISTA</v>
      </c>
      <c r="C3058" t="str">
        <f>VLOOKUP(A3058,Planilha2!$A$2:$D$5566,4,0)</f>
        <v>SP</v>
      </c>
    </row>
    <row r="3059" spans="1:3" x14ac:dyDescent="0.35">
      <c r="A3059">
        <v>352770</v>
      </c>
      <c r="B3059" t="str">
        <f>VLOOKUP(A3059,Planilha2!$A$2:$C$5566,3,0)</f>
        <v>LUIZIÂNIA</v>
      </c>
      <c r="C3059" t="str">
        <f>VLOOKUP(A3059,Planilha2!$A$2:$D$5566,4,0)</f>
        <v>SP</v>
      </c>
    </row>
    <row r="3060" spans="1:3" x14ac:dyDescent="0.35">
      <c r="A3060">
        <v>410290</v>
      </c>
      <c r="B3060" t="str">
        <f>VLOOKUP(A3060,Planilha2!$A$2:$C$5566,3,0)</f>
        <v>BITURUNA</v>
      </c>
      <c r="C3060" t="str">
        <f>VLOOKUP(A3060,Planilha2!$A$2:$D$5566,4,0)</f>
        <v>PR</v>
      </c>
    </row>
    <row r="3061" spans="1:3" x14ac:dyDescent="0.35">
      <c r="A3061">
        <v>410322</v>
      </c>
      <c r="B3061" t="str">
        <f>VLOOKUP(A3061,Planilha2!$A$2:$C$5566,3,0)</f>
        <v>BOM SUCESSO DO SUL</v>
      </c>
      <c r="C3061" t="str">
        <f>VLOOKUP(A3061,Planilha2!$A$2:$D$5566,4,0)</f>
        <v>PR</v>
      </c>
    </row>
    <row r="3062" spans="1:3" x14ac:dyDescent="0.35">
      <c r="A3062">
        <v>412460</v>
      </c>
      <c r="B3062" t="str">
        <f>VLOOKUP(A3062,Planilha2!$A$2:$C$5566,3,0)</f>
        <v>SÃO CARLOS DO IVAÍ</v>
      </c>
      <c r="C3062" t="str">
        <f>VLOOKUP(A3062,Planilha2!$A$2:$D$5566,4,0)</f>
        <v>PR</v>
      </c>
    </row>
    <row r="3063" spans="1:3" x14ac:dyDescent="0.35">
      <c r="A3063">
        <v>411040</v>
      </c>
      <c r="B3063" t="str">
        <f>VLOOKUP(A3063,Planilha2!$A$2:$C$5566,3,0)</f>
        <v>INDIANÓPOLIS</v>
      </c>
      <c r="C3063" t="str">
        <f>VLOOKUP(A3063,Planilha2!$A$2:$D$5566,4,0)</f>
        <v>PR</v>
      </c>
    </row>
    <row r="3064" spans="1:3" x14ac:dyDescent="0.35">
      <c r="A3064">
        <v>412680</v>
      </c>
      <c r="B3064" t="str">
        <f>VLOOKUP(A3064,Planilha2!$A$2:$C$5566,3,0)</f>
        <v>TAPEJARA</v>
      </c>
      <c r="C3064" t="str">
        <f>VLOOKUP(A3064,Planilha2!$A$2:$D$5566,4,0)</f>
        <v>PR</v>
      </c>
    </row>
    <row r="3065" spans="1:3" x14ac:dyDescent="0.35">
      <c r="A3065">
        <v>410920</v>
      </c>
      <c r="B3065" t="str">
        <f>VLOOKUP(A3065,Planilha2!$A$2:$C$5566,3,0)</f>
        <v>GUARACI</v>
      </c>
      <c r="C3065" t="str">
        <f>VLOOKUP(A3065,Planilha2!$A$2:$D$5566,4,0)</f>
        <v>PR</v>
      </c>
    </row>
    <row r="3066" spans="1:3" x14ac:dyDescent="0.35">
      <c r="A3066">
        <v>412640</v>
      </c>
      <c r="B3066" t="str">
        <f>VLOOKUP(A3066,Planilha2!$A$2:$C$5566,3,0)</f>
        <v>SERTANEJA</v>
      </c>
      <c r="C3066" t="str">
        <f>VLOOKUP(A3066,Planilha2!$A$2:$D$5566,4,0)</f>
        <v>PR</v>
      </c>
    </row>
    <row r="3067" spans="1:3" x14ac:dyDescent="0.35">
      <c r="A3067">
        <v>410185</v>
      </c>
      <c r="B3067" t="str">
        <f>VLOOKUP(A3067,Planilha2!$A$2:$C$5566,3,0)</f>
        <v>ARIRANHA DO IVAÍ</v>
      </c>
      <c r="C3067" t="str">
        <f>VLOOKUP(A3067,Planilha2!$A$2:$D$5566,4,0)</f>
        <v>PR</v>
      </c>
    </row>
    <row r="3068" spans="1:3" x14ac:dyDescent="0.35">
      <c r="A3068">
        <v>420070</v>
      </c>
      <c r="B3068" t="str">
        <f>VLOOKUP(A3068,Planilha2!$A$2:$C$5566,3,0)</f>
        <v>ALFREDO WAGNER</v>
      </c>
      <c r="C3068" t="str">
        <f>VLOOKUP(A3068,Planilha2!$A$2:$D$5566,4,0)</f>
        <v>SC</v>
      </c>
    </row>
    <row r="3069" spans="1:3" x14ac:dyDescent="0.35">
      <c r="A3069">
        <v>420010</v>
      </c>
      <c r="B3069" t="str">
        <f>VLOOKUP(A3069,Planilha2!$A$2:$C$5566,3,0)</f>
        <v>ABELARDO LUZ</v>
      </c>
      <c r="C3069" t="str">
        <f>VLOOKUP(A3069,Planilha2!$A$2:$D$5566,4,0)</f>
        <v>SC</v>
      </c>
    </row>
    <row r="3070" spans="1:3" x14ac:dyDescent="0.35">
      <c r="A3070">
        <v>421223</v>
      </c>
      <c r="B3070" t="str">
        <f>VLOOKUP(A3070,Planilha2!$A$2:$C$5566,3,0)</f>
        <v>PARAÍSO</v>
      </c>
      <c r="C3070" t="str">
        <f>VLOOKUP(A3070,Planilha2!$A$2:$D$5566,4,0)</f>
        <v>SC</v>
      </c>
    </row>
    <row r="3071" spans="1:3" x14ac:dyDescent="0.35">
      <c r="A3071">
        <v>420260</v>
      </c>
      <c r="B3071" t="str">
        <f>VLOOKUP(A3071,Planilha2!$A$2:$C$5566,3,0)</f>
        <v>BOM RETIRO</v>
      </c>
      <c r="C3071" t="str">
        <f>VLOOKUP(A3071,Planilha2!$A$2:$D$5566,4,0)</f>
        <v>SC</v>
      </c>
    </row>
    <row r="3072" spans="1:3" x14ac:dyDescent="0.35">
      <c r="A3072">
        <v>431970</v>
      </c>
      <c r="B3072" t="str">
        <f>VLOOKUP(A3072,Planilha2!$A$2:$C$5566,3,0)</f>
        <v>SÃO VALENTIM</v>
      </c>
      <c r="C3072" t="str">
        <f>VLOOKUP(A3072,Planilha2!$A$2:$D$5566,4,0)</f>
        <v>RS</v>
      </c>
    </row>
    <row r="3073" spans="1:3" x14ac:dyDescent="0.35">
      <c r="A3073">
        <v>430140</v>
      </c>
      <c r="B3073" t="str">
        <f>VLOOKUP(A3073,Planilha2!$A$2:$C$5566,3,0)</f>
        <v>ARVOREZINHA</v>
      </c>
      <c r="C3073" t="str">
        <f>VLOOKUP(A3073,Planilha2!$A$2:$D$5566,4,0)</f>
        <v>RS</v>
      </c>
    </row>
    <row r="3074" spans="1:3" x14ac:dyDescent="0.35">
      <c r="A3074">
        <v>430030</v>
      </c>
      <c r="B3074" t="str">
        <f>VLOOKUP(A3074,Planilha2!$A$2:$C$5566,3,0)</f>
        <v>ALECRIM</v>
      </c>
      <c r="C3074" t="str">
        <f>VLOOKUP(A3074,Planilha2!$A$2:$D$5566,4,0)</f>
        <v>RS</v>
      </c>
    </row>
    <row r="3075" spans="1:3" x14ac:dyDescent="0.35">
      <c r="A3075">
        <v>431910</v>
      </c>
      <c r="B3075" t="str">
        <f>VLOOKUP(A3075,Planilha2!$A$2:$C$5566,3,0)</f>
        <v>SÃO MARTINHO</v>
      </c>
      <c r="C3075" t="str">
        <f>VLOOKUP(A3075,Planilha2!$A$2:$D$5566,4,0)</f>
        <v>RS</v>
      </c>
    </row>
    <row r="3076" spans="1:3" x14ac:dyDescent="0.35">
      <c r="A3076">
        <v>432135</v>
      </c>
      <c r="B3076" t="str">
        <f>VLOOKUP(A3076,Planilha2!$A$2:$C$5566,3,0)</f>
        <v>TAVARES</v>
      </c>
      <c r="C3076" t="str">
        <f>VLOOKUP(A3076,Planilha2!$A$2:$D$5566,4,0)</f>
        <v>RS</v>
      </c>
    </row>
    <row r="3077" spans="1:3" x14ac:dyDescent="0.35">
      <c r="A3077">
        <v>430105</v>
      </c>
      <c r="B3077" t="str">
        <f>VLOOKUP(A3077,Planilha2!$A$2:$C$5566,3,0)</f>
        <v>ARROIO DO SAL</v>
      </c>
      <c r="C3077" t="str">
        <f>VLOOKUP(A3077,Planilha2!$A$2:$D$5566,4,0)</f>
        <v>RS</v>
      </c>
    </row>
    <row r="3078" spans="1:3" x14ac:dyDescent="0.35">
      <c r="A3078">
        <v>432140</v>
      </c>
      <c r="B3078" t="str">
        <f>VLOOKUP(A3078,Planilha2!$A$2:$C$5566,3,0)</f>
        <v>TENENTE PORTELA</v>
      </c>
      <c r="C3078" t="str">
        <f>VLOOKUP(A3078,Planilha2!$A$2:$D$5566,4,0)</f>
        <v>RS</v>
      </c>
    </row>
    <row r="3079" spans="1:3" x14ac:dyDescent="0.35">
      <c r="A3079">
        <v>430632</v>
      </c>
      <c r="B3079" t="str">
        <f>VLOOKUP(A3079,Planilha2!$A$2:$C$5566,3,0)</f>
        <v>DERRUBADAS</v>
      </c>
      <c r="C3079" t="str">
        <f>VLOOKUP(A3079,Planilha2!$A$2:$D$5566,4,0)</f>
        <v>RS</v>
      </c>
    </row>
    <row r="3080" spans="1:3" x14ac:dyDescent="0.35">
      <c r="A3080">
        <v>431937</v>
      </c>
      <c r="B3080" t="str">
        <f>VLOOKUP(A3080,Planilha2!$A$2:$C$5566,3,0)</f>
        <v>SÃO PEDRO DO BUTIÁ</v>
      </c>
      <c r="C3080" t="str">
        <f>VLOOKUP(A3080,Planilha2!$A$2:$D$5566,4,0)</f>
        <v>RS</v>
      </c>
    </row>
    <row r="3081" spans="1:3" x14ac:dyDescent="0.35">
      <c r="A3081">
        <v>431595</v>
      </c>
      <c r="B3081" t="str">
        <f>VLOOKUP(A3081,Planilha2!$A$2:$C$5566,3,0)</f>
        <v>ROLADOR</v>
      </c>
      <c r="C3081" t="str">
        <f>VLOOKUP(A3081,Planilha2!$A$2:$D$5566,4,0)</f>
        <v>RS</v>
      </c>
    </row>
    <row r="3082" spans="1:3" x14ac:dyDescent="0.35">
      <c r="A3082">
        <v>430693</v>
      </c>
      <c r="B3082" t="str">
        <f>VLOOKUP(A3082,Planilha2!$A$2:$C$5566,3,0)</f>
        <v>ENTRE-IJUÍS</v>
      </c>
      <c r="C3082" t="str">
        <f>VLOOKUP(A3082,Planilha2!$A$2:$D$5566,4,0)</f>
        <v>RS</v>
      </c>
    </row>
    <row r="3083" spans="1:3" x14ac:dyDescent="0.35">
      <c r="A3083">
        <v>431790</v>
      </c>
      <c r="B3083" t="str">
        <f>VLOOKUP(A3083,Planilha2!$A$2:$C$5566,3,0)</f>
        <v>SANTO CRISTO</v>
      </c>
      <c r="C3083" t="str">
        <f>VLOOKUP(A3083,Planilha2!$A$2:$D$5566,4,0)</f>
        <v>RS</v>
      </c>
    </row>
    <row r="3084" spans="1:3" x14ac:dyDescent="0.35">
      <c r="A3084">
        <v>430807</v>
      </c>
      <c r="B3084" t="str">
        <f>VLOOKUP(A3084,Planilha2!$A$2:$C$5566,3,0)</f>
        <v>FAZENDA VILANOVA</v>
      </c>
      <c r="C3084" t="str">
        <f>VLOOKUP(A3084,Planilha2!$A$2:$D$5566,4,0)</f>
        <v>RS</v>
      </c>
    </row>
    <row r="3085" spans="1:3" x14ac:dyDescent="0.35">
      <c r="A3085">
        <v>431036</v>
      </c>
      <c r="B3085" t="str">
        <f>VLOOKUP(A3085,Planilha2!$A$2:$C$5566,3,0)</f>
        <v>IMIGRANTE</v>
      </c>
      <c r="C3085" t="str">
        <f>VLOOKUP(A3085,Planilha2!$A$2:$D$5566,4,0)</f>
        <v>RS</v>
      </c>
    </row>
    <row r="3086" spans="1:3" x14ac:dyDescent="0.35">
      <c r="A3086">
        <v>430558</v>
      </c>
      <c r="B3086" t="str">
        <f>VLOOKUP(A3086,Planilha2!$A$2:$C$5566,3,0)</f>
        <v>COLINAS</v>
      </c>
      <c r="C3086" t="str">
        <f>VLOOKUP(A3086,Planilha2!$A$2:$D$5566,4,0)</f>
        <v>RS</v>
      </c>
    </row>
    <row r="3087" spans="1:3" x14ac:dyDescent="0.35">
      <c r="A3087">
        <v>430260</v>
      </c>
      <c r="B3087" t="str">
        <f>VLOOKUP(A3087,Planilha2!$A$2:$C$5566,3,0)</f>
        <v>BRAGA</v>
      </c>
      <c r="C3087" t="str">
        <f>VLOOKUP(A3087,Planilha2!$A$2:$D$5566,4,0)</f>
        <v>RS</v>
      </c>
    </row>
    <row r="3088" spans="1:3" x14ac:dyDescent="0.35">
      <c r="A3088">
        <v>431643</v>
      </c>
      <c r="B3088" t="str">
        <f>VLOOKUP(A3088,Planilha2!$A$2:$C$5566,3,0)</f>
        <v>SALDANHA MARINHO</v>
      </c>
      <c r="C3088" t="str">
        <f>VLOOKUP(A3088,Planilha2!$A$2:$D$5566,4,0)</f>
        <v>RS</v>
      </c>
    </row>
    <row r="3089" spans="1:3" x14ac:dyDescent="0.35">
      <c r="A3089">
        <v>430955</v>
      </c>
      <c r="B3089" t="str">
        <f>VLOOKUP(A3089,Planilha2!$A$2:$C$5566,3,0)</f>
        <v>HARMONIA</v>
      </c>
      <c r="C3089" t="str">
        <f>VLOOKUP(A3089,Planilha2!$A$2:$D$5566,4,0)</f>
        <v>RS</v>
      </c>
    </row>
    <row r="3090" spans="1:3" x14ac:dyDescent="0.35">
      <c r="A3090">
        <v>431162</v>
      </c>
      <c r="B3090" t="str">
        <f>VLOOKUP(A3090,Planilha2!$A$2:$C$5566,3,0)</f>
        <v>LINDOLFO COLLOR</v>
      </c>
      <c r="C3090" t="str">
        <f>VLOOKUP(A3090,Planilha2!$A$2:$D$5566,4,0)</f>
        <v>RS</v>
      </c>
    </row>
    <row r="3091" spans="1:3" x14ac:dyDescent="0.35">
      <c r="A3091">
        <v>431247</v>
      </c>
      <c r="B3091" t="str">
        <f>VLOOKUP(A3091,Planilha2!$A$2:$C$5566,3,0)</f>
        <v>MORRO REUTER</v>
      </c>
      <c r="C3091" t="str">
        <f>VLOOKUP(A3091,Planilha2!$A$2:$D$5566,4,0)</f>
        <v>RS</v>
      </c>
    </row>
    <row r="3092" spans="1:3" x14ac:dyDescent="0.35">
      <c r="A3092">
        <v>431220</v>
      </c>
      <c r="B3092" t="str">
        <f>VLOOKUP(A3092,Planilha2!$A$2:$C$5566,3,0)</f>
        <v>MAXIMILIANO DE ALMEIDA</v>
      </c>
      <c r="C3092" t="str">
        <f>VLOOKUP(A3092,Planilha2!$A$2:$D$5566,4,0)</f>
        <v>RS</v>
      </c>
    </row>
    <row r="3093" spans="1:3" x14ac:dyDescent="0.35">
      <c r="A3093">
        <v>431213</v>
      </c>
      <c r="B3093" t="str">
        <f>VLOOKUP(A3093,Planilha2!$A$2:$C$5566,3,0)</f>
        <v>MATO CASTELHANO</v>
      </c>
      <c r="C3093" t="str">
        <f>VLOOKUP(A3093,Planilha2!$A$2:$D$5566,4,0)</f>
        <v>RS</v>
      </c>
    </row>
    <row r="3094" spans="1:3" x14ac:dyDescent="0.35">
      <c r="A3094">
        <v>430620</v>
      </c>
      <c r="B3094" t="str">
        <f>VLOOKUP(A3094,Planilha2!$A$2:$C$5566,3,0)</f>
        <v>CRUZEIRO DO SUL</v>
      </c>
      <c r="C3094" t="str">
        <f>VLOOKUP(A3094,Planilha2!$A$2:$D$5566,4,0)</f>
        <v>RS</v>
      </c>
    </row>
    <row r="3095" spans="1:3" x14ac:dyDescent="0.35">
      <c r="A3095">
        <v>431205</v>
      </c>
      <c r="B3095" t="str">
        <f>VLOOKUP(A3095,Planilha2!$A$2:$C$5566,3,0)</f>
        <v>MARQUES DE SOUZA</v>
      </c>
      <c r="C3095" t="str">
        <f>VLOOKUP(A3095,Planilha2!$A$2:$D$5566,4,0)</f>
        <v>RS</v>
      </c>
    </row>
    <row r="3096" spans="1:3" x14ac:dyDescent="0.35">
      <c r="A3096">
        <v>500460</v>
      </c>
      <c r="B3096" t="str">
        <f>VLOOKUP(A3096,Planilha2!$A$2:$C$5566,3,0)</f>
        <v>ITAQUIRAÍ</v>
      </c>
      <c r="C3096" t="str">
        <f>VLOOKUP(A3096,Planilha2!$A$2:$D$5566,4,0)</f>
        <v>MS</v>
      </c>
    </row>
    <row r="3097" spans="1:3" x14ac:dyDescent="0.35">
      <c r="A3097">
        <v>500220</v>
      </c>
      <c r="B3097" t="str">
        <f>VLOOKUP(A3097,Planilha2!$A$2:$C$5566,3,0)</f>
        <v>BONITO</v>
      </c>
      <c r="C3097" t="str">
        <f>VLOOKUP(A3097,Planilha2!$A$2:$D$5566,4,0)</f>
        <v>MS</v>
      </c>
    </row>
    <row r="3098" spans="1:3" x14ac:dyDescent="0.35">
      <c r="A3098">
        <v>500290</v>
      </c>
      <c r="B3098" t="str">
        <f>VLOOKUP(A3098,Planilha2!$A$2:$C$5566,3,0)</f>
        <v>CASSILÂNDIA</v>
      </c>
      <c r="C3098" t="str">
        <f>VLOOKUP(A3098,Planilha2!$A$2:$D$5566,4,0)</f>
        <v>MS</v>
      </c>
    </row>
    <row r="3099" spans="1:3" x14ac:dyDescent="0.35">
      <c r="A3099">
        <v>500085</v>
      </c>
      <c r="B3099" t="str">
        <f>VLOOKUP(A3099,Planilha2!$A$2:$C$5566,3,0)</f>
        <v>ANGÉLICA</v>
      </c>
      <c r="C3099" t="str">
        <f>VLOOKUP(A3099,Planilha2!$A$2:$D$5566,4,0)</f>
        <v>MS</v>
      </c>
    </row>
    <row r="3100" spans="1:3" x14ac:dyDescent="0.35">
      <c r="A3100">
        <v>500790</v>
      </c>
      <c r="B3100" t="str">
        <f>VLOOKUP(A3100,Planilha2!$A$2:$C$5566,3,0)</f>
        <v>SIDROLÂNDIA</v>
      </c>
      <c r="C3100" t="str">
        <f>VLOOKUP(A3100,Planilha2!$A$2:$D$5566,4,0)</f>
        <v>MS</v>
      </c>
    </row>
    <row r="3101" spans="1:3" x14ac:dyDescent="0.35">
      <c r="A3101">
        <v>520520</v>
      </c>
      <c r="B3101" t="str">
        <f>VLOOKUP(A3101,Planilha2!$A$2:$C$5566,3,0)</f>
        <v>CATURAÍ</v>
      </c>
      <c r="C3101" t="str">
        <f>VLOOKUP(A3101,Planilha2!$A$2:$D$5566,4,0)</f>
        <v>GO</v>
      </c>
    </row>
    <row r="3102" spans="1:3" x14ac:dyDescent="0.35">
      <c r="A3102">
        <v>520310</v>
      </c>
      <c r="B3102" t="str">
        <f>VLOOKUP(A3102,Planilha2!$A$2:$C$5566,3,0)</f>
        <v>BALIZA</v>
      </c>
      <c r="C3102" t="str">
        <f>VLOOKUP(A3102,Planilha2!$A$2:$D$5566,4,0)</f>
        <v>GO</v>
      </c>
    </row>
    <row r="3103" spans="1:3" x14ac:dyDescent="0.35">
      <c r="A3103">
        <v>521300</v>
      </c>
      <c r="B3103" t="str">
        <f>VLOOKUP(A3103,Planilha2!$A$2:$C$5566,3,0)</f>
        <v>MAURILÂNDIA</v>
      </c>
      <c r="C3103" t="str">
        <f>VLOOKUP(A3103,Planilha2!$A$2:$D$5566,4,0)</f>
        <v>GO</v>
      </c>
    </row>
    <row r="3104" spans="1:3" x14ac:dyDescent="0.35">
      <c r="A3104">
        <v>521850</v>
      </c>
      <c r="B3104" t="str">
        <f>VLOOKUP(A3104,Planilha2!$A$2:$C$5566,3,0)</f>
        <v>QUIRINÓPOLIS</v>
      </c>
      <c r="C3104" t="str">
        <f>VLOOKUP(A3104,Planilha2!$A$2:$D$5566,4,0)</f>
        <v>GO</v>
      </c>
    </row>
    <row r="3105" spans="1:3" x14ac:dyDescent="0.35">
      <c r="A3105">
        <v>520970</v>
      </c>
      <c r="B3105" t="str">
        <f>VLOOKUP(A3105,Planilha2!$A$2:$C$5566,3,0)</f>
        <v>HIDROLÂNDIA</v>
      </c>
      <c r="C3105" t="str">
        <f>VLOOKUP(A3105,Planilha2!$A$2:$D$5566,4,0)</f>
        <v>GO</v>
      </c>
    </row>
    <row r="3106" spans="1:3" x14ac:dyDescent="0.35">
      <c r="A3106">
        <v>520350</v>
      </c>
      <c r="B3106" t="str">
        <f>VLOOKUP(A3106,Planilha2!$A$2:$C$5566,3,0)</f>
        <v>BOM JESUS DE GOIÁS</v>
      </c>
      <c r="C3106" t="str">
        <f>VLOOKUP(A3106,Planilha2!$A$2:$D$5566,4,0)</f>
        <v>GO</v>
      </c>
    </row>
    <row r="3107" spans="1:3" x14ac:dyDescent="0.35">
      <c r="A3107">
        <v>311180</v>
      </c>
      <c r="B3107" t="str">
        <f>VLOOKUP(A3107,Planilha2!$A$2:$C$5566,3,0)</f>
        <v>CANÁPOLIS</v>
      </c>
      <c r="C3107" t="str">
        <f>VLOOKUP(A3107,Planilha2!$A$2:$D$5566,4,0)</f>
        <v>MG</v>
      </c>
    </row>
    <row r="3108" spans="1:3" x14ac:dyDescent="0.35">
      <c r="A3108">
        <v>510670</v>
      </c>
      <c r="B3108" t="str">
        <f>VLOOKUP(A3108,Planilha2!$A$2:$C$5566,3,0)</f>
        <v>PONTE BRANCA</v>
      </c>
      <c r="C3108" t="str">
        <f>VLOOKUP(A3108,Planilha2!$A$2:$D$5566,4,0)</f>
        <v>MT</v>
      </c>
    </row>
    <row r="3109" spans="1:3" x14ac:dyDescent="0.35">
      <c r="A3109">
        <v>110170</v>
      </c>
      <c r="B3109" t="str">
        <f>VLOOKUP(A3109,Planilha2!$A$2:$C$5566,3,0)</f>
        <v>URUPÁ</v>
      </c>
      <c r="C3109" t="str">
        <f>VLOOKUP(A3109,Planilha2!$A$2:$D$5566,4,0)</f>
        <v>RO</v>
      </c>
    </row>
    <row r="3110" spans="1:3" x14ac:dyDescent="0.35">
      <c r="A3110">
        <v>120038</v>
      </c>
      <c r="B3110" t="str">
        <f>VLOOKUP(A3110,Planilha2!$A$2:$C$5566,3,0)</f>
        <v>PLÁCIDO DE CASTRO</v>
      </c>
      <c r="C3110" t="str">
        <f>VLOOKUP(A3110,Planilha2!$A$2:$D$5566,4,0)</f>
        <v>AC</v>
      </c>
    </row>
    <row r="3111" spans="1:3" x14ac:dyDescent="0.35">
      <c r="A3111">
        <v>120013</v>
      </c>
      <c r="B3111" t="str">
        <f>VLOOKUP(A3111,Planilha2!$A$2:$C$5566,3,0)</f>
        <v>BUJARI</v>
      </c>
      <c r="C3111" t="str">
        <f>VLOOKUP(A3111,Planilha2!$A$2:$D$5566,4,0)</f>
        <v>AC</v>
      </c>
    </row>
    <row r="3112" spans="1:3" x14ac:dyDescent="0.35">
      <c r="A3112">
        <v>130070</v>
      </c>
      <c r="B3112" t="str">
        <f>VLOOKUP(A3112,Planilha2!$A$2:$C$5566,3,0)</f>
        <v>BOCA DO ACRE</v>
      </c>
      <c r="C3112" t="str">
        <f>VLOOKUP(A3112,Planilha2!$A$2:$D$5566,4,0)</f>
        <v>AM</v>
      </c>
    </row>
    <row r="3113" spans="1:3" x14ac:dyDescent="0.35">
      <c r="A3113">
        <v>171250</v>
      </c>
      <c r="B3113" t="str">
        <f>VLOOKUP(A3113,Planilha2!$A$2:$C$5566,3,0)</f>
        <v>MARIANÓPOLIS DO TOCANTINS</v>
      </c>
      <c r="C3113" t="str">
        <f>VLOOKUP(A3113,Planilha2!$A$2:$D$5566,4,0)</f>
        <v>TO</v>
      </c>
    </row>
    <row r="3114" spans="1:3" x14ac:dyDescent="0.35">
      <c r="A3114">
        <v>170560</v>
      </c>
      <c r="B3114" t="str">
        <f>VLOOKUP(A3114,Planilha2!$A$2:$C$5566,3,0)</f>
        <v>CONCEIÇÃO DO TOCANTINS</v>
      </c>
      <c r="C3114" t="str">
        <f>VLOOKUP(A3114,Planilha2!$A$2:$D$5566,4,0)</f>
        <v>TO</v>
      </c>
    </row>
    <row r="3115" spans="1:3" x14ac:dyDescent="0.35">
      <c r="A3115">
        <v>211030</v>
      </c>
      <c r="B3115" t="str">
        <f>VLOOKUP(A3115,Planilha2!$A$2:$C$5566,3,0)</f>
        <v>SANTO ANTÔNIO DOS LOPES</v>
      </c>
      <c r="C3115" t="str">
        <f>VLOOKUP(A3115,Planilha2!$A$2:$D$5566,4,0)</f>
        <v>MA</v>
      </c>
    </row>
    <row r="3116" spans="1:3" x14ac:dyDescent="0.35">
      <c r="A3116">
        <v>210940</v>
      </c>
      <c r="B3116" t="str">
        <f>VLOOKUP(A3116,Planilha2!$A$2:$C$5566,3,0)</f>
        <v>PRIMEIRA CRUZ</v>
      </c>
      <c r="C3116" t="str">
        <f>VLOOKUP(A3116,Planilha2!$A$2:$D$5566,4,0)</f>
        <v>MA</v>
      </c>
    </row>
    <row r="3117" spans="1:3" x14ac:dyDescent="0.35">
      <c r="A3117">
        <v>210730</v>
      </c>
      <c r="B3117" t="str">
        <f>VLOOKUP(A3117,Planilha2!$A$2:$C$5566,3,0)</f>
        <v>NOVA IORQUE</v>
      </c>
      <c r="C3117" t="str">
        <f>VLOOKUP(A3117,Planilha2!$A$2:$D$5566,4,0)</f>
        <v>MA</v>
      </c>
    </row>
    <row r="3118" spans="1:3" x14ac:dyDescent="0.35">
      <c r="A3118">
        <v>210545</v>
      </c>
      <c r="B3118" t="str">
        <f>VLOOKUP(A3118,Planilha2!$A$2:$C$5566,3,0)</f>
        <v>JATOBÁ</v>
      </c>
      <c r="C3118" t="str">
        <f>VLOOKUP(A3118,Planilha2!$A$2:$D$5566,4,0)</f>
        <v>MA</v>
      </c>
    </row>
    <row r="3119" spans="1:3" x14ac:dyDescent="0.35">
      <c r="A3119">
        <v>210890</v>
      </c>
      <c r="B3119" t="str">
        <f>VLOOKUP(A3119,Planilha2!$A$2:$C$5566,3,0)</f>
        <v>POÇÃO DE PEDRAS</v>
      </c>
      <c r="C3119" t="str">
        <f>VLOOKUP(A3119,Planilha2!$A$2:$D$5566,4,0)</f>
        <v>MA</v>
      </c>
    </row>
    <row r="3120" spans="1:3" x14ac:dyDescent="0.35">
      <c r="A3120">
        <v>210594</v>
      </c>
      <c r="B3120" t="str">
        <f>VLOOKUP(A3120,Planilha2!$A$2:$C$5566,3,0)</f>
        <v>LAGO DOS RODRIGUES</v>
      </c>
      <c r="C3120" t="str">
        <f>VLOOKUP(A3120,Planilha2!$A$2:$D$5566,4,0)</f>
        <v>MA</v>
      </c>
    </row>
    <row r="3121" spans="1:3" x14ac:dyDescent="0.35">
      <c r="A3121">
        <v>210290</v>
      </c>
      <c r="B3121" t="str">
        <f>VLOOKUP(A3121,Planilha2!$A$2:$C$5566,3,0)</f>
        <v>CARUTAPERA</v>
      </c>
      <c r="C3121" t="str">
        <f>VLOOKUP(A3121,Planilha2!$A$2:$D$5566,4,0)</f>
        <v>MA</v>
      </c>
    </row>
    <row r="3122" spans="1:3" x14ac:dyDescent="0.35">
      <c r="A3122">
        <v>210430</v>
      </c>
      <c r="B3122" t="str">
        <f>VLOOKUP(A3122,Planilha2!$A$2:$C$5566,3,0)</f>
        <v>GODOFREDO VIANA</v>
      </c>
      <c r="C3122" t="str">
        <f>VLOOKUP(A3122,Planilha2!$A$2:$D$5566,4,0)</f>
        <v>MA</v>
      </c>
    </row>
    <row r="3123" spans="1:3" x14ac:dyDescent="0.35">
      <c r="A3123">
        <v>210640</v>
      </c>
      <c r="B3123" t="str">
        <f>VLOOKUP(A3123,Planilha2!$A$2:$C$5566,3,0)</f>
        <v>MATA ROMA</v>
      </c>
      <c r="C3123" t="str">
        <f>VLOOKUP(A3123,Planilha2!$A$2:$D$5566,4,0)</f>
        <v>MA</v>
      </c>
    </row>
    <row r="3124" spans="1:3" x14ac:dyDescent="0.35">
      <c r="A3124">
        <v>210800</v>
      </c>
      <c r="B3124" t="str">
        <f>VLOOKUP(A3124,Planilha2!$A$2:$C$5566,3,0)</f>
        <v>PASTOS BONS</v>
      </c>
      <c r="C3124" t="str">
        <f>VLOOKUP(A3124,Planilha2!$A$2:$D$5566,4,0)</f>
        <v>MA</v>
      </c>
    </row>
    <row r="3125" spans="1:3" x14ac:dyDescent="0.35">
      <c r="A3125">
        <v>211085</v>
      </c>
      <c r="B3125" t="str">
        <f>VLOOKUP(A3125,Planilha2!$A$2:$C$5566,3,0)</f>
        <v>SÃO FRANCISCO DO BREJÃO</v>
      </c>
      <c r="C3125" t="str">
        <f>VLOOKUP(A3125,Planilha2!$A$2:$D$5566,4,0)</f>
        <v>MA</v>
      </c>
    </row>
    <row r="3126" spans="1:3" x14ac:dyDescent="0.35">
      <c r="A3126">
        <v>210407</v>
      </c>
      <c r="B3126" t="str">
        <f>VLOOKUP(A3126,Planilha2!$A$2:$C$5566,3,0)</f>
        <v>FEIRA NOVA DO MARANHÃO</v>
      </c>
      <c r="C3126" t="str">
        <f>VLOOKUP(A3126,Planilha2!$A$2:$D$5566,4,0)</f>
        <v>MA</v>
      </c>
    </row>
    <row r="3127" spans="1:3" x14ac:dyDescent="0.35">
      <c r="A3127">
        <v>210040</v>
      </c>
      <c r="B3127" t="str">
        <f>VLOOKUP(A3127,Planilha2!$A$2:$C$5566,3,0)</f>
        <v>ALTAMIRA DO MARANHÃO</v>
      </c>
      <c r="C3127" t="str">
        <f>VLOOKUP(A3127,Planilha2!$A$2:$D$5566,4,0)</f>
        <v>MA</v>
      </c>
    </row>
    <row r="3128" spans="1:3" x14ac:dyDescent="0.35">
      <c r="A3128">
        <v>211227</v>
      </c>
      <c r="B3128" t="str">
        <f>VLOOKUP(A3128,Planilha2!$A$2:$C$5566,3,0)</f>
        <v>TUFILÂNDIA</v>
      </c>
      <c r="C3128" t="str">
        <f>VLOOKUP(A3128,Planilha2!$A$2:$D$5566,4,0)</f>
        <v>MA</v>
      </c>
    </row>
    <row r="3129" spans="1:3" x14ac:dyDescent="0.35">
      <c r="A3129">
        <v>210177</v>
      </c>
      <c r="B3129" t="str">
        <f>VLOOKUP(A3129,Planilha2!$A$2:$C$5566,3,0)</f>
        <v>BELA VISTA DO MARANHÃO</v>
      </c>
      <c r="C3129" t="str">
        <f>VLOOKUP(A3129,Planilha2!$A$2:$D$5566,4,0)</f>
        <v>MA</v>
      </c>
    </row>
    <row r="3130" spans="1:3" x14ac:dyDescent="0.35">
      <c r="A3130">
        <v>211065</v>
      </c>
      <c r="B3130" t="str">
        <f>VLOOKUP(A3130,Planilha2!$A$2:$C$5566,3,0)</f>
        <v>SÃO DOMINGOS DO AZEITÃO</v>
      </c>
      <c r="C3130" t="str">
        <f>VLOOKUP(A3130,Planilha2!$A$2:$D$5566,4,0)</f>
        <v>MA</v>
      </c>
    </row>
    <row r="3131" spans="1:3" x14ac:dyDescent="0.35">
      <c r="A3131">
        <v>211110</v>
      </c>
      <c r="B3131" t="str">
        <f>VLOOKUP(A3131,Planilha2!$A$2:$C$5566,3,0)</f>
        <v>SÃO JOÃO DOS PATOS</v>
      </c>
      <c r="C3131" t="str">
        <f>VLOOKUP(A3131,Planilha2!$A$2:$D$5566,4,0)</f>
        <v>MA</v>
      </c>
    </row>
    <row r="3132" spans="1:3" x14ac:dyDescent="0.35">
      <c r="A3132">
        <v>210215</v>
      </c>
      <c r="B3132" t="str">
        <f>VLOOKUP(A3132,Planilha2!$A$2:$C$5566,3,0)</f>
        <v>BREJO DE AREIA</v>
      </c>
      <c r="C3132" t="str">
        <f>VLOOKUP(A3132,Planilha2!$A$2:$D$5566,4,0)</f>
        <v>MA</v>
      </c>
    </row>
    <row r="3133" spans="1:3" x14ac:dyDescent="0.35">
      <c r="A3133">
        <v>220570</v>
      </c>
      <c r="B3133" t="str">
        <f>VLOOKUP(A3133,Planilha2!$A$2:$C$5566,3,0)</f>
        <v>LUÍS CORREIA</v>
      </c>
      <c r="C3133" t="str">
        <f>VLOOKUP(A3133,Planilha2!$A$2:$D$5566,4,0)</f>
        <v>PI</v>
      </c>
    </row>
    <row r="3134" spans="1:3" x14ac:dyDescent="0.35">
      <c r="A3134">
        <v>220585</v>
      </c>
      <c r="B3134" t="str">
        <f>VLOOKUP(A3134,Planilha2!$A$2:$C$5566,3,0)</f>
        <v>MADEIRO</v>
      </c>
      <c r="C3134" t="str">
        <f>VLOOKUP(A3134,Planilha2!$A$2:$D$5566,4,0)</f>
        <v>PI</v>
      </c>
    </row>
    <row r="3135" spans="1:3" x14ac:dyDescent="0.35">
      <c r="A3135">
        <v>220470</v>
      </c>
      <c r="B3135" t="str">
        <f>VLOOKUP(A3135,Planilha2!$A$2:$C$5566,3,0)</f>
        <v>INHUMA</v>
      </c>
      <c r="C3135" t="str">
        <f>VLOOKUP(A3135,Planilha2!$A$2:$D$5566,4,0)</f>
        <v>PI</v>
      </c>
    </row>
    <row r="3136" spans="1:3" x14ac:dyDescent="0.35">
      <c r="A3136">
        <v>220430</v>
      </c>
      <c r="B3136" t="str">
        <f>VLOOKUP(A3136,Planilha2!$A$2:$C$5566,3,0)</f>
        <v>FRONTEIRAS</v>
      </c>
      <c r="C3136" t="str">
        <f>VLOOKUP(A3136,Planilha2!$A$2:$D$5566,4,0)</f>
        <v>PI</v>
      </c>
    </row>
    <row r="3137" spans="1:3" x14ac:dyDescent="0.35">
      <c r="A3137">
        <v>221080</v>
      </c>
      <c r="B3137" t="str">
        <f>VLOOKUP(A3137,Planilha2!$A$2:$C$5566,3,0)</f>
        <v>SIMPLÍCIO MENDES</v>
      </c>
      <c r="C3137" t="str">
        <f>VLOOKUP(A3137,Planilha2!$A$2:$D$5566,4,0)</f>
        <v>PI</v>
      </c>
    </row>
    <row r="3138" spans="1:3" x14ac:dyDescent="0.35">
      <c r="A3138">
        <v>220435</v>
      </c>
      <c r="B3138" t="str">
        <f>VLOOKUP(A3138,Planilha2!$A$2:$C$5566,3,0)</f>
        <v>GEMINIANO</v>
      </c>
      <c r="C3138" t="str">
        <f>VLOOKUP(A3138,Planilha2!$A$2:$D$5566,4,0)</f>
        <v>PI</v>
      </c>
    </row>
    <row r="3139" spans="1:3" x14ac:dyDescent="0.35">
      <c r="A3139">
        <v>231355</v>
      </c>
      <c r="B3139" t="str">
        <f>VLOOKUP(A3139,Planilha2!$A$2:$C$5566,3,0)</f>
        <v>TURURU</v>
      </c>
      <c r="C3139" t="str">
        <f>VLOOKUP(A3139,Planilha2!$A$2:$D$5566,4,0)</f>
        <v>CE</v>
      </c>
    </row>
    <row r="3140" spans="1:3" x14ac:dyDescent="0.35">
      <c r="A3140">
        <v>230465</v>
      </c>
      <c r="B3140" t="str">
        <f>VLOOKUP(A3140,Planilha2!$A$2:$C$5566,3,0)</f>
        <v>GRAÇA</v>
      </c>
      <c r="C3140" t="str">
        <f>VLOOKUP(A3140,Planilha2!$A$2:$D$5566,4,0)</f>
        <v>CE</v>
      </c>
    </row>
    <row r="3141" spans="1:3" x14ac:dyDescent="0.35">
      <c r="A3141">
        <v>230450</v>
      </c>
      <c r="B3141" t="str">
        <f>VLOOKUP(A3141,Planilha2!$A$2:$C$5566,3,0)</f>
        <v>FRECHEIRINHA</v>
      </c>
      <c r="C3141" t="str">
        <f>VLOOKUP(A3141,Planilha2!$A$2:$D$5566,4,0)</f>
        <v>CE</v>
      </c>
    </row>
    <row r="3142" spans="1:3" x14ac:dyDescent="0.35">
      <c r="A3142">
        <v>231120</v>
      </c>
      <c r="B3142" t="str">
        <f>VLOOKUP(A3142,Planilha2!$A$2:$C$5566,3,0)</f>
        <v>POTENGI</v>
      </c>
      <c r="C3142" t="str">
        <f>VLOOKUP(A3142,Planilha2!$A$2:$D$5566,4,0)</f>
        <v>CE</v>
      </c>
    </row>
    <row r="3143" spans="1:3" x14ac:dyDescent="0.35">
      <c r="A3143">
        <v>240050</v>
      </c>
      <c r="B3143" t="str">
        <f>VLOOKUP(A3143,Planilha2!$A$2:$C$5566,3,0)</f>
        <v>ALEXANDRIA</v>
      </c>
      <c r="C3143" t="str">
        <f>VLOOKUP(A3143,Planilha2!$A$2:$D$5566,4,0)</f>
        <v>RN</v>
      </c>
    </row>
    <row r="3144" spans="1:3" x14ac:dyDescent="0.35">
      <c r="A3144">
        <v>240270</v>
      </c>
      <c r="B3144" t="str">
        <f>VLOOKUP(A3144,Planilha2!$A$2:$C$5566,3,0)</f>
        <v>CERRO CORÁ</v>
      </c>
      <c r="C3144" t="str">
        <f>VLOOKUP(A3144,Planilha2!$A$2:$D$5566,4,0)</f>
        <v>RN</v>
      </c>
    </row>
    <row r="3145" spans="1:3" x14ac:dyDescent="0.35">
      <c r="A3145">
        <v>240570</v>
      </c>
      <c r="B3145" t="str">
        <f>VLOOKUP(A3145,Planilha2!$A$2:$C$5566,3,0)</f>
        <v>JARDIM DO SERIDÓ</v>
      </c>
      <c r="C3145" t="str">
        <f>VLOOKUP(A3145,Planilha2!$A$2:$D$5566,4,0)</f>
        <v>RN</v>
      </c>
    </row>
    <row r="3146" spans="1:3" x14ac:dyDescent="0.35">
      <c r="A3146">
        <v>241445</v>
      </c>
      <c r="B3146" t="str">
        <f>VLOOKUP(A3146,Planilha2!$A$2:$C$5566,3,0)</f>
        <v>TRIUNFO POTIGUAR</v>
      </c>
      <c r="C3146" t="str">
        <f>VLOOKUP(A3146,Planilha2!$A$2:$D$5566,4,0)</f>
        <v>RN</v>
      </c>
    </row>
    <row r="3147" spans="1:3" x14ac:dyDescent="0.35">
      <c r="A3147">
        <v>241025</v>
      </c>
      <c r="B3147" t="str">
        <f>VLOOKUP(A3147,Planilha2!$A$2:$C$5566,3,0)</f>
        <v>PORTO DO MANGUE</v>
      </c>
      <c r="C3147" t="str">
        <f>VLOOKUP(A3147,Planilha2!$A$2:$D$5566,4,0)</f>
        <v>RN</v>
      </c>
    </row>
    <row r="3148" spans="1:3" x14ac:dyDescent="0.35">
      <c r="A3148">
        <v>241250</v>
      </c>
      <c r="B3148" t="str">
        <f>VLOOKUP(A3148,Planilha2!$A$2:$C$5566,3,0)</f>
        <v>SÃO MIGUEL</v>
      </c>
      <c r="C3148" t="str">
        <f>VLOOKUP(A3148,Planilha2!$A$2:$D$5566,4,0)</f>
        <v>RN</v>
      </c>
    </row>
    <row r="3149" spans="1:3" x14ac:dyDescent="0.35">
      <c r="A3149">
        <v>241100</v>
      </c>
      <c r="B3149" t="str">
        <f>VLOOKUP(A3149,Planilha2!$A$2:$C$5566,3,0)</f>
        <v>RODOLFO FERNANDES</v>
      </c>
      <c r="C3149" t="str">
        <f>VLOOKUP(A3149,Planilha2!$A$2:$D$5566,4,0)</f>
        <v>RN</v>
      </c>
    </row>
    <row r="3150" spans="1:3" x14ac:dyDescent="0.35">
      <c r="A3150">
        <v>240185</v>
      </c>
      <c r="B3150" t="str">
        <f>VLOOKUP(A3150,Planilha2!$A$2:$C$5566,3,0)</f>
        <v>CAIÇARA DO NORTE</v>
      </c>
      <c r="C3150" t="str">
        <f>VLOOKUP(A3150,Planilha2!$A$2:$D$5566,4,0)</f>
        <v>RN</v>
      </c>
    </row>
    <row r="3151" spans="1:3" x14ac:dyDescent="0.35">
      <c r="A3151">
        <v>250100</v>
      </c>
      <c r="B3151" t="str">
        <f>VLOOKUP(A3151,Planilha2!$A$2:$C$5566,3,0)</f>
        <v>ARARUNA</v>
      </c>
      <c r="C3151" t="str">
        <f>VLOOKUP(A3151,Planilha2!$A$2:$D$5566,4,0)</f>
        <v>PB</v>
      </c>
    </row>
    <row r="3152" spans="1:3" x14ac:dyDescent="0.35">
      <c r="A3152">
        <v>251450</v>
      </c>
      <c r="B3152" t="str">
        <f>VLOOKUP(A3152,Planilha2!$A$2:$C$5566,3,0)</f>
        <v>SÃO JOSÉ DE PIRANHAS</v>
      </c>
      <c r="C3152" t="str">
        <f>VLOOKUP(A3152,Planilha2!$A$2:$D$5566,4,0)</f>
        <v>PB</v>
      </c>
    </row>
    <row r="3153" spans="1:3" x14ac:dyDescent="0.35">
      <c r="A3153">
        <v>250080</v>
      </c>
      <c r="B3153" t="str">
        <f>VLOOKUP(A3153,Planilha2!$A$2:$C$5566,3,0)</f>
        <v>ARAÇAGI</v>
      </c>
      <c r="C3153" t="str">
        <f>VLOOKUP(A3153,Planilha2!$A$2:$D$5566,4,0)</f>
        <v>PB</v>
      </c>
    </row>
    <row r="3154" spans="1:3" x14ac:dyDescent="0.35">
      <c r="A3154">
        <v>251180</v>
      </c>
      <c r="B3154" t="str">
        <f>VLOOKUP(A3154,Planilha2!$A$2:$C$5566,3,0)</f>
        <v>PIRPIRITUBA</v>
      </c>
      <c r="C3154" t="str">
        <f>VLOOKUP(A3154,Planilha2!$A$2:$D$5566,4,0)</f>
        <v>PB</v>
      </c>
    </row>
    <row r="3155" spans="1:3" x14ac:dyDescent="0.35">
      <c r="A3155">
        <v>250030</v>
      </c>
      <c r="B3155" t="str">
        <f>VLOOKUP(A3155,Planilha2!$A$2:$C$5566,3,0)</f>
        <v>ALAGOA GRANDE</v>
      </c>
      <c r="C3155" t="str">
        <f>VLOOKUP(A3155,Planilha2!$A$2:$D$5566,4,0)</f>
        <v>PB</v>
      </c>
    </row>
    <row r="3156" spans="1:3" x14ac:dyDescent="0.35">
      <c r="A3156">
        <v>251650</v>
      </c>
      <c r="B3156" t="str">
        <f>VLOOKUP(A3156,Planilha2!$A$2:$C$5566,3,0)</f>
        <v>TAPEROÁ</v>
      </c>
      <c r="C3156" t="str">
        <f>VLOOKUP(A3156,Planilha2!$A$2:$D$5566,4,0)</f>
        <v>PB</v>
      </c>
    </row>
    <row r="3157" spans="1:3" x14ac:dyDescent="0.35">
      <c r="A3157">
        <v>250933</v>
      </c>
      <c r="B3157" t="str">
        <f>VLOOKUP(A3157,Planilha2!$A$2:$C$5566,3,0)</f>
        <v>MATINHAS</v>
      </c>
      <c r="C3157" t="str">
        <f>VLOOKUP(A3157,Planilha2!$A$2:$D$5566,4,0)</f>
        <v>PB</v>
      </c>
    </row>
    <row r="3158" spans="1:3" x14ac:dyDescent="0.35">
      <c r="A3158">
        <v>250905</v>
      </c>
      <c r="B3158" t="str">
        <f>VLOOKUP(A3158,Planilha2!$A$2:$C$5566,3,0)</f>
        <v>MARCAÇÃO</v>
      </c>
      <c r="C3158" t="str">
        <f>VLOOKUP(A3158,Planilha2!$A$2:$D$5566,4,0)</f>
        <v>PB</v>
      </c>
    </row>
    <row r="3159" spans="1:3" x14ac:dyDescent="0.35">
      <c r="A3159">
        <v>251276</v>
      </c>
      <c r="B3159" t="str">
        <f>VLOOKUP(A3159,Planilha2!$A$2:$C$5566,3,0)</f>
        <v>RIACHÃO DO POÇO</v>
      </c>
      <c r="C3159" t="str">
        <f>VLOOKUP(A3159,Planilha2!$A$2:$D$5566,4,0)</f>
        <v>PB</v>
      </c>
    </row>
    <row r="3160" spans="1:3" x14ac:dyDescent="0.35">
      <c r="A3160">
        <v>251490</v>
      </c>
      <c r="B3160" t="str">
        <f>VLOOKUP(A3160,Planilha2!$A$2:$C$5566,3,0)</f>
        <v>SÃO MAMEDE</v>
      </c>
      <c r="C3160" t="str">
        <f>VLOOKUP(A3160,Planilha2!$A$2:$D$5566,4,0)</f>
        <v>PB</v>
      </c>
    </row>
    <row r="3161" spans="1:3" x14ac:dyDescent="0.35">
      <c r="A3161">
        <v>250420</v>
      </c>
      <c r="B3161" t="str">
        <f>VLOOKUP(A3161,Planilha2!$A$2:$C$5566,3,0)</f>
        <v>CATINGUEIRA</v>
      </c>
      <c r="C3161" t="str">
        <f>VLOOKUP(A3161,Planilha2!$A$2:$D$5566,4,0)</f>
        <v>PB</v>
      </c>
    </row>
    <row r="3162" spans="1:3" x14ac:dyDescent="0.35">
      <c r="A3162">
        <v>260480</v>
      </c>
      <c r="B3162" t="str">
        <f>VLOOKUP(A3162,Planilha2!$A$2:$C$5566,3,0)</f>
        <v>CORTÊS</v>
      </c>
      <c r="C3162" t="str">
        <f>VLOOKUP(A3162,Planilha2!$A$2:$D$5566,4,0)</f>
        <v>PE</v>
      </c>
    </row>
    <row r="3163" spans="1:3" x14ac:dyDescent="0.35">
      <c r="A3163">
        <v>260580</v>
      </c>
      <c r="B3163" t="str">
        <f>VLOOKUP(A3163,Planilha2!$A$2:$C$5566,3,0)</f>
        <v>FREI MIGUELINHO</v>
      </c>
      <c r="C3163" t="str">
        <f>VLOOKUP(A3163,Planilha2!$A$2:$D$5566,4,0)</f>
        <v>PE</v>
      </c>
    </row>
    <row r="3164" spans="1:3" x14ac:dyDescent="0.35">
      <c r="A3164">
        <v>261650</v>
      </c>
      <c r="B3164" t="str">
        <f>VLOOKUP(A3164,Planilha2!$A$2:$C$5566,3,0)</f>
        <v>XEXÉU</v>
      </c>
      <c r="C3164" t="str">
        <f>VLOOKUP(A3164,Planilha2!$A$2:$D$5566,4,0)</f>
        <v>PE</v>
      </c>
    </row>
    <row r="3165" spans="1:3" x14ac:dyDescent="0.35">
      <c r="A3165">
        <v>260150</v>
      </c>
      <c r="B3165" t="str">
        <f>VLOOKUP(A3165,Planilha2!$A$2:$C$5566,3,0)</f>
        <v>BELÉM DE MARIA</v>
      </c>
      <c r="C3165" t="str">
        <f>VLOOKUP(A3165,Planilha2!$A$2:$D$5566,4,0)</f>
        <v>PE</v>
      </c>
    </row>
    <row r="3166" spans="1:3" x14ac:dyDescent="0.35">
      <c r="A3166">
        <v>261550</v>
      </c>
      <c r="B3166" t="str">
        <f>VLOOKUP(A3166,Planilha2!$A$2:$C$5566,3,0)</f>
        <v>TRACUNHAÉM</v>
      </c>
      <c r="C3166" t="str">
        <f>VLOOKUP(A3166,Planilha2!$A$2:$D$5566,4,0)</f>
        <v>PE</v>
      </c>
    </row>
    <row r="3167" spans="1:3" x14ac:dyDescent="0.35">
      <c r="A3167">
        <v>261440</v>
      </c>
      <c r="B3167" t="str">
        <f>VLOOKUP(A3167,Planilha2!$A$2:$C$5566,3,0)</f>
        <v>SOLIDÃO</v>
      </c>
      <c r="C3167" t="str">
        <f>VLOOKUP(A3167,Planilha2!$A$2:$D$5566,4,0)</f>
        <v>PE</v>
      </c>
    </row>
    <row r="3168" spans="1:3" x14ac:dyDescent="0.35">
      <c r="A3168">
        <v>260230</v>
      </c>
      <c r="B3168" t="str">
        <f>VLOOKUP(A3168,Planilha2!$A$2:$C$5566,3,0)</f>
        <v>BONITO</v>
      </c>
      <c r="C3168" t="str">
        <f>VLOOKUP(A3168,Planilha2!$A$2:$D$5566,4,0)</f>
        <v>PE</v>
      </c>
    </row>
    <row r="3169" spans="1:3" x14ac:dyDescent="0.35">
      <c r="A3169">
        <v>260880</v>
      </c>
      <c r="B3169" t="str">
        <f>VLOOKUP(A3169,Planilha2!$A$2:$C$5566,3,0)</f>
        <v>LAJEDO</v>
      </c>
      <c r="C3169" t="str">
        <f>VLOOKUP(A3169,Planilha2!$A$2:$D$5566,4,0)</f>
        <v>PE</v>
      </c>
    </row>
    <row r="3170" spans="1:3" x14ac:dyDescent="0.35">
      <c r="A3170">
        <v>261620</v>
      </c>
      <c r="B3170" t="str">
        <f>VLOOKUP(A3170,Planilha2!$A$2:$C$5566,3,0)</f>
        <v>VERTENTES</v>
      </c>
      <c r="C3170" t="str">
        <f>VLOOKUP(A3170,Planilha2!$A$2:$D$5566,4,0)</f>
        <v>PE</v>
      </c>
    </row>
    <row r="3171" spans="1:3" x14ac:dyDescent="0.35">
      <c r="A3171">
        <v>251310</v>
      </c>
      <c r="B3171" t="str">
        <f>VLOOKUP(A3171,Planilha2!$A$2:$C$5566,3,0)</f>
        <v>SALGADO DE SÃO FÉLIX</v>
      </c>
      <c r="C3171" t="str">
        <f>VLOOKUP(A3171,Planilha2!$A$2:$D$5566,4,0)</f>
        <v>PB</v>
      </c>
    </row>
    <row r="3172" spans="1:3" x14ac:dyDescent="0.35">
      <c r="A3172">
        <v>261140</v>
      </c>
      <c r="B3172" t="str">
        <f>VLOOKUP(A3172,Planilha2!$A$2:$C$5566,3,0)</f>
        <v>PRIMAVERA</v>
      </c>
      <c r="C3172" t="str">
        <f>VLOOKUP(A3172,Planilha2!$A$2:$D$5566,4,0)</f>
        <v>PE</v>
      </c>
    </row>
    <row r="3173" spans="1:3" x14ac:dyDescent="0.35">
      <c r="A3173">
        <v>280760</v>
      </c>
      <c r="B3173" t="str">
        <f>VLOOKUP(A3173,Planilha2!$A$2:$C$5566,3,0)</f>
        <v>UMBAÚBA</v>
      </c>
      <c r="C3173" t="str">
        <f>VLOOKUP(A3173,Planilha2!$A$2:$D$5566,4,0)</f>
        <v>SE</v>
      </c>
    </row>
    <row r="3174" spans="1:3" x14ac:dyDescent="0.35">
      <c r="A3174">
        <v>280470</v>
      </c>
      <c r="B3174" t="str">
        <f>VLOOKUP(A3174,Planilha2!$A$2:$C$5566,3,0)</f>
        <v>NOSSA SENHORA DE LOURDES</v>
      </c>
      <c r="C3174" t="str">
        <f>VLOOKUP(A3174,Planilha2!$A$2:$D$5566,4,0)</f>
        <v>SE</v>
      </c>
    </row>
    <row r="3175" spans="1:3" x14ac:dyDescent="0.35">
      <c r="A3175">
        <v>280680</v>
      </c>
      <c r="B3175" t="str">
        <f>VLOOKUP(A3175,Planilha2!$A$2:$C$5566,3,0)</f>
        <v>SÃO DOMINGOS</v>
      </c>
      <c r="C3175" t="str">
        <f>VLOOKUP(A3175,Planilha2!$A$2:$D$5566,4,0)</f>
        <v>SE</v>
      </c>
    </row>
    <row r="3176" spans="1:3" x14ac:dyDescent="0.35">
      <c r="A3176">
        <v>280700</v>
      </c>
      <c r="B3176" t="str">
        <f>VLOOKUP(A3176,Planilha2!$A$2:$C$5566,3,0)</f>
        <v>SÃO MIGUEL DO ALEIXO</v>
      </c>
      <c r="C3176" t="str">
        <f>VLOOKUP(A3176,Planilha2!$A$2:$D$5566,4,0)</f>
        <v>SE</v>
      </c>
    </row>
    <row r="3177" spans="1:3" x14ac:dyDescent="0.35">
      <c r="A3177">
        <v>290920</v>
      </c>
      <c r="B3177" t="str">
        <f>VLOOKUP(A3177,Planilha2!$A$2:$C$5566,3,0)</f>
        <v>CORONEL JOÃO SÁ</v>
      </c>
      <c r="C3177" t="str">
        <f>VLOOKUP(A3177,Planilha2!$A$2:$D$5566,4,0)</f>
        <v>BA</v>
      </c>
    </row>
    <row r="3178" spans="1:3" x14ac:dyDescent="0.35">
      <c r="A3178">
        <v>280100</v>
      </c>
      <c r="B3178" t="str">
        <f>VLOOKUP(A3178,Planilha2!$A$2:$C$5566,3,0)</f>
        <v>CAMPO DO BRITO</v>
      </c>
      <c r="C3178" t="str">
        <f>VLOOKUP(A3178,Planilha2!$A$2:$D$5566,4,0)</f>
        <v>SE</v>
      </c>
    </row>
    <row r="3179" spans="1:3" x14ac:dyDescent="0.35">
      <c r="A3179">
        <v>280040</v>
      </c>
      <c r="B3179" t="str">
        <f>VLOOKUP(A3179,Planilha2!$A$2:$C$5566,3,0)</f>
        <v>ARAUÁ</v>
      </c>
      <c r="C3179" t="str">
        <f>VLOOKUP(A3179,Planilha2!$A$2:$D$5566,4,0)</f>
        <v>SE</v>
      </c>
    </row>
    <row r="3180" spans="1:3" x14ac:dyDescent="0.35">
      <c r="A3180">
        <v>291855</v>
      </c>
      <c r="B3180" t="str">
        <f>VLOOKUP(A3180,Planilha2!$A$2:$C$5566,3,0)</f>
        <v>JUSSARI</v>
      </c>
      <c r="C3180" t="str">
        <f>VLOOKUP(A3180,Planilha2!$A$2:$D$5566,4,0)</f>
        <v>BA</v>
      </c>
    </row>
    <row r="3181" spans="1:3" x14ac:dyDescent="0.35">
      <c r="A3181">
        <v>291520</v>
      </c>
      <c r="B3181" t="str">
        <f>VLOOKUP(A3181,Planilha2!$A$2:$C$5566,3,0)</f>
        <v>ITAGIBÁ</v>
      </c>
      <c r="C3181" t="str">
        <f>VLOOKUP(A3181,Planilha2!$A$2:$D$5566,4,0)</f>
        <v>BA</v>
      </c>
    </row>
    <row r="3182" spans="1:3" x14ac:dyDescent="0.35">
      <c r="A3182">
        <v>290110</v>
      </c>
      <c r="B3182" t="str">
        <f>VLOOKUP(A3182,Planilha2!$A$2:$C$5566,3,0)</f>
        <v>AMÉLIA RODRIGUES</v>
      </c>
      <c r="C3182" t="str">
        <f>VLOOKUP(A3182,Planilha2!$A$2:$D$5566,4,0)</f>
        <v>BA</v>
      </c>
    </row>
    <row r="3183" spans="1:3" x14ac:dyDescent="0.35">
      <c r="A3183">
        <v>292150</v>
      </c>
      <c r="B3183" t="str">
        <f>VLOOKUP(A3183,Planilha2!$A$2:$C$5566,3,0)</f>
        <v>MONTE SANTO</v>
      </c>
      <c r="C3183" t="str">
        <f>VLOOKUP(A3183,Planilha2!$A$2:$D$5566,4,0)</f>
        <v>BA</v>
      </c>
    </row>
    <row r="3184" spans="1:3" x14ac:dyDescent="0.35">
      <c r="A3184">
        <v>292980</v>
      </c>
      <c r="B3184" t="str">
        <f>VLOOKUP(A3184,Planilha2!$A$2:$C$5566,3,0)</f>
        <v>SAÚDE</v>
      </c>
      <c r="C3184" t="str">
        <f>VLOOKUP(A3184,Planilha2!$A$2:$D$5566,4,0)</f>
        <v>BA</v>
      </c>
    </row>
    <row r="3185" spans="1:3" x14ac:dyDescent="0.35">
      <c r="A3185">
        <v>292937</v>
      </c>
      <c r="B3185" t="str">
        <f>VLOOKUP(A3185,Planilha2!$A$2:$C$5566,3,0)</f>
        <v>SÃO JOSÉ DO JACUÍPE</v>
      </c>
      <c r="C3185" t="str">
        <f>VLOOKUP(A3185,Planilha2!$A$2:$D$5566,4,0)</f>
        <v>BA</v>
      </c>
    </row>
    <row r="3186" spans="1:3" x14ac:dyDescent="0.35">
      <c r="A3186">
        <v>293360</v>
      </c>
      <c r="B3186" t="str">
        <f>VLOOKUP(A3186,Planilha2!$A$2:$C$5566,3,0)</f>
        <v>XIQUE-XIQUE</v>
      </c>
      <c r="C3186" t="str">
        <f>VLOOKUP(A3186,Planilha2!$A$2:$D$5566,4,0)</f>
        <v>BA</v>
      </c>
    </row>
    <row r="3187" spans="1:3" x14ac:dyDescent="0.35">
      <c r="A3187">
        <v>293325</v>
      </c>
      <c r="B3187" t="str">
        <f>VLOOKUP(A3187,Planilha2!$A$2:$C$5566,3,0)</f>
        <v>VEREDA</v>
      </c>
      <c r="C3187" t="str">
        <f>VLOOKUP(A3187,Planilha2!$A$2:$D$5566,4,0)</f>
        <v>BA</v>
      </c>
    </row>
    <row r="3188" spans="1:3" x14ac:dyDescent="0.35">
      <c r="A3188">
        <v>314430</v>
      </c>
      <c r="B3188" t="str">
        <f>VLOOKUP(A3188,Planilha2!$A$2:$C$5566,3,0)</f>
        <v>NANUQUE</v>
      </c>
      <c r="C3188" t="str">
        <f>VLOOKUP(A3188,Planilha2!$A$2:$D$5566,4,0)</f>
        <v>MG</v>
      </c>
    </row>
    <row r="3189" spans="1:3" x14ac:dyDescent="0.35">
      <c r="A3189">
        <v>291600</v>
      </c>
      <c r="B3189" t="str">
        <f>VLOOKUP(A3189,Planilha2!$A$2:$C$5566,3,0)</f>
        <v>ITANHÉM</v>
      </c>
      <c r="C3189" t="str">
        <f>VLOOKUP(A3189,Planilha2!$A$2:$D$5566,4,0)</f>
        <v>BA</v>
      </c>
    </row>
    <row r="3190" spans="1:3" x14ac:dyDescent="0.35">
      <c r="A3190">
        <v>290035</v>
      </c>
      <c r="B3190" t="str">
        <f>VLOOKUP(A3190,Planilha2!$A$2:$C$5566,3,0)</f>
        <v>ADUSTINA</v>
      </c>
      <c r="C3190" t="str">
        <f>VLOOKUP(A3190,Planilha2!$A$2:$D$5566,4,0)</f>
        <v>BA</v>
      </c>
    </row>
    <row r="3191" spans="1:3" x14ac:dyDescent="0.35">
      <c r="A3191">
        <v>291140</v>
      </c>
      <c r="B3191" t="str">
        <f>VLOOKUP(A3191,Planilha2!$A$2:$C$5566,3,0)</f>
        <v>GLÓRIA</v>
      </c>
      <c r="C3191" t="str">
        <f>VLOOKUP(A3191,Planilha2!$A$2:$D$5566,4,0)</f>
        <v>BA</v>
      </c>
    </row>
    <row r="3192" spans="1:3" x14ac:dyDescent="0.35">
      <c r="A3192">
        <v>292710</v>
      </c>
      <c r="B3192" t="str">
        <f>VLOOKUP(A3192,Planilha2!$A$2:$C$5566,3,0)</f>
        <v>RODELAS</v>
      </c>
      <c r="C3192" t="str">
        <f>VLOOKUP(A3192,Planilha2!$A$2:$D$5566,4,0)</f>
        <v>BA</v>
      </c>
    </row>
    <row r="3193" spans="1:3" x14ac:dyDescent="0.35">
      <c r="A3193">
        <v>291700</v>
      </c>
      <c r="B3193" t="str">
        <f>VLOOKUP(A3193,Planilha2!$A$2:$C$5566,3,0)</f>
        <v>ITIÚBA</v>
      </c>
      <c r="C3193" t="str">
        <f>VLOOKUP(A3193,Planilha2!$A$2:$D$5566,4,0)</f>
        <v>BA</v>
      </c>
    </row>
    <row r="3194" spans="1:3" x14ac:dyDescent="0.35">
      <c r="A3194">
        <v>290970</v>
      </c>
      <c r="B3194" t="str">
        <f>VLOOKUP(A3194,Planilha2!$A$2:$C$5566,3,0)</f>
        <v>CRISTÓPOLIS</v>
      </c>
      <c r="C3194" t="str">
        <f>VLOOKUP(A3194,Planilha2!$A$2:$D$5566,4,0)</f>
        <v>BA</v>
      </c>
    </row>
    <row r="3195" spans="1:3" x14ac:dyDescent="0.35">
      <c r="A3195">
        <v>290480</v>
      </c>
      <c r="B3195" t="str">
        <f>VLOOKUP(A3195,Planilha2!$A$2:$C$5566,3,0)</f>
        <v>CAATIBA</v>
      </c>
      <c r="C3195" t="str">
        <f>VLOOKUP(A3195,Planilha2!$A$2:$D$5566,4,0)</f>
        <v>BA</v>
      </c>
    </row>
    <row r="3196" spans="1:3" x14ac:dyDescent="0.35">
      <c r="A3196">
        <v>292145</v>
      </c>
      <c r="B3196" t="str">
        <f>VLOOKUP(A3196,Planilha2!$A$2:$C$5566,3,0)</f>
        <v>MIRANTE</v>
      </c>
      <c r="C3196" t="str">
        <f>VLOOKUP(A3196,Planilha2!$A$2:$D$5566,4,0)</f>
        <v>BA</v>
      </c>
    </row>
    <row r="3197" spans="1:3" x14ac:dyDescent="0.35">
      <c r="A3197">
        <v>293350</v>
      </c>
      <c r="B3197" t="str">
        <f>VLOOKUP(A3197,Planilha2!$A$2:$C$5566,3,0)</f>
        <v>WENCESLAU GUIMARÃES</v>
      </c>
      <c r="C3197" t="str">
        <f>VLOOKUP(A3197,Planilha2!$A$2:$D$5566,4,0)</f>
        <v>BA</v>
      </c>
    </row>
    <row r="3198" spans="1:3" x14ac:dyDescent="0.35">
      <c r="A3198">
        <v>290330</v>
      </c>
      <c r="B3198" t="str">
        <f>VLOOKUP(A3198,Planilha2!$A$2:$C$5566,3,0)</f>
        <v>BARRO PRETO</v>
      </c>
      <c r="C3198" t="str">
        <f>VLOOKUP(A3198,Planilha2!$A$2:$D$5566,4,0)</f>
        <v>BA</v>
      </c>
    </row>
    <row r="3199" spans="1:3" x14ac:dyDescent="0.35">
      <c r="A3199">
        <v>292790</v>
      </c>
      <c r="B3199" t="str">
        <f>VLOOKUP(A3199,Planilha2!$A$2:$C$5566,3,0)</f>
        <v>SANTA INÊS</v>
      </c>
      <c r="C3199" t="str">
        <f>VLOOKUP(A3199,Planilha2!$A$2:$D$5566,4,0)</f>
        <v>BA</v>
      </c>
    </row>
    <row r="3200" spans="1:3" x14ac:dyDescent="0.35">
      <c r="A3200">
        <v>291570</v>
      </c>
      <c r="B3200" t="str">
        <f>VLOOKUP(A3200,Planilha2!$A$2:$C$5566,3,0)</f>
        <v>ITAMARI</v>
      </c>
      <c r="C3200" t="str">
        <f>VLOOKUP(A3200,Planilha2!$A$2:$D$5566,4,0)</f>
        <v>BA</v>
      </c>
    </row>
    <row r="3201" spans="1:3" x14ac:dyDescent="0.35">
      <c r="A3201">
        <v>290370</v>
      </c>
      <c r="B3201" t="str">
        <f>VLOOKUP(A3201,Planilha2!$A$2:$C$5566,3,0)</f>
        <v>BOA NOVA</v>
      </c>
      <c r="C3201" t="str">
        <f>VLOOKUP(A3201,Planilha2!$A$2:$D$5566,4,0)</f>
        <v>BA</v>
      </c>
    </row>
    <row r="3202" spans="1:3" x14ac:dyDescent="0.35">
      <c r="A3202">
        <v>292940</v>
      </c>
      <c r="B3202" t="str">
        <f>VLOOKUP(A3202,Planilha2!$A$2:$C$5566,3,0)</f>
        <v>SÃO MIGUEL DAS MATAS</v>
      </c>
      <c r="C3202" t="str">
        <f>VLOOKUP(A3202,Planilha2!$A$2:$D$5566,4,0)</f>
        <v>BA</v>
      </c>
    </row>
    <row r="3203" spans="1:3" x14ac:dyDescent="0.35">
      <c r="A3203">
        <v>292060</v>
      </c>
      <c r="B3203" t="str">
        <f>VLOOKUP(A3203,Planilha2!$A$2:$C$5566,3,0)</f>
        <v>MARAGOGIPE</v>
      </c>
      <c r="C3203" t="str">
        <f>VLOOKUP(A3203,Planilha2!$A$2:$D$5566,4,0)</f>
        <v>BA</v>
      </c>
    </row>
    <row r="3204" spans="1:3" x14ac:dyDescent="0.35">
      <c r="A3204">
        <v>290790</v>
      </c>
      <c r="B3204" t="str">
        <f>VLOOKUP(A3204,Planilha2!$A$2:$C$5566,3,0)</f>
        <v>CIPÓ</v>
      </c>
      <c r="C3204" t="str">
        <f>VLOOKUP(A3204,Planilha2!$A$2:$D$5566,4,0)</f>
        <v>BA</v>
      </c>
    </row>
    <row r="3205" spans="1:3" x14ac:dyDescent="0.35">
      <c r="A3205">
        <v>293245</v>
      </c>
      <c r="B3205" t="str">
        <f>VLOOKUP(A3205,Planilha2!$A$2:$C$5566,3,0)</f>
        <v>UMBURANAS</v>
      </c>
      <c r="C3205" t="str">
        <f>VLOOKUP(A3205,Planilha2!$A$2:$D$5566,4,0)</f>
        <v>BA</v>
      </c>
    </row>
    <row r="3206" spans="1:3" x14ac:dyDescent="0.35">
      <c r="A3206">
        <v>292275</v>
      </c>
      <c r="B3206" t="str">
        <f>VLOOKUP(A3206,Planilha2!$A$2:$C$5566,3,0)</f>
        <v>NOVA IBIÁ</v>
      </c>
      <c r="C3206" t="str">
        <f>VLOOKUP(A3206,Planilha2!$A$2:$D$5566,4,0)</f>
        <v>BA</v>
      </c>
    </row>
    <row r="3207" spans="1:3" x14ac:dyDescent="0.35">
      <c r="A3207">
        <v>293250</v>
      </c>
      <c r="B3207" t="str">
        <f>VLOOKUP(A3207,Planilha2!$A$2:$C$5566,3,0)</f>
        <v>UNA</v>
      </c>
      <c r="C3207" t="str">
        <f>VLOOKUP(A3207,Planilha2!$A$2:$D$5566,4,0)</f>
        <v>BA</v>
      </c>
    </row>
    <row r="3208" spans="1:3" x14ac:dyDescent="0.35">
      <c r="A3208">
        <v>314020</v>
      </c>
      <c r="B3208" t="str">
        <f>VLOOKUP(A3208,Planilha2!$A$2:$C$5566,3,0)</f>
        <v>MARIPÁ DE MINAS</v>
      </c>
      <c r="C3208" t="str">
        <f>VLOOKUP(A3208,Planilha2!$A$2:$D$5566,4,0)</f>
        <v>MG</v>
      </c>
    </row>
    <row r="3209" spans="1:3" x14ac:dyDescent="0.35">
      <c r="A3209">
        <v>315730</v>
      </c>
      <c r="B3209" t="str">
        <f>VLOOKUP(A3209,Planilha2!$A$2:$C$5566,3,0)</f>
        <v>SANTA BÁRBARA DO TUGÚRIO</v>
      </c>
      <c r="C3209" t="str">
        <f>VLOOKUP(A3209,Planilha2!$A$2:$D$5566,4,0)</f>
        <v>MG</v>
      </c>
    </row>
    <row r="3210" spans="1:3" x14ac:dyDescent="0.35">
      <c r="A3210">
        <v>313980</v>
      </c>
      <c r="B3210" t="str">
        <f>VLOOKUP(A3210,Planilha2!$A$2:$C$5566,3,0)</f>
        <v>MAR DE ESPANHA</v>
      </c>
      <c r="C3210" t="str">
        <f>VLOOKUP(A3210,Planilha2!$A$2:$D$5566,4,0)</f>
        <v>MG</v>
      </c>
    </row>
    <row r="3211" spans="1:3" x14ac:dyDescent="0.35">
      <c r="A3211">
        <v>310280</v>
      </c>
      <c r="B3211" t="str">
        <f>VLOOKUP(A3211,Planilha2!$A$2:$C$5566,3,0)</f>
        <v>ANDRELÂNDIA</v>
      </c>
      <c r="C3211" t="str">
        <f>VLOOKUP(A3211,Planilha2!$A$2:$D$5566,4,0)</f>
        <v>MG</v>
      </c>
    </row>
    <row r="3212" spans="1:3" x14ac:dyDescent="0.35">
      <c r="A3212">
        <v>310330</v>
      </c>
      <c r="B3212" t="str">
        <f>VLOOKUP(A3212,Planilha2!$A$2:$C$5566,3,0)</f>
        <v>ARACITABA</v>
      </c>
      <c r="C3212" t="str">
        <f>VLOOKUP(A3212,Planilha2!$A$2:$D$5566,4,0)</f>
        <v>MG</v>
      </c>
    </row>
    <row r="3213" spans="1:3" x14ac:dyDescent="0.35">
      <c r="A3213">
        <v>312670</v>
      </c>
      <c r="B3213" t="str">
        <f>VLOOKUP(A3213,Planilha2!$A$2:$C$5566,3,0)</f>
        <v>FRANCISCO SÁ</v>
      </c>
      <c r="C3213" t="str">
        <f>VLOOKUP(A3213,Planilha2!$A$2:$D$5566,4,0)</f>
        <v>MG</v>
      </c>
    </row>
    <row r="3214" spans="1:3" x14ac:dyDescent="0.35">
      <c r="A3214">
        <v>315737</v>
      </c>
      <c r="B3214" t="str">
        <f>VLOOKUP(A3214,Planilha2!$A$2:$C$5566,3,0)</f>
        <v>SANTA CRUZ DE SALINAS</v>
      </c>
      <c r="C3214" t="str">
        <f>VLOOKUP(A3214,Planilha2!$A$2:$D$5566,4,0)</f>
        <v>MG</v>
      </c>
    </row>
    <row r="3215" spans="1:3" x14ac:dyDescent="0.35">
      <c r="A3215">
        <v>313505</v>
      </c>
      <c r="B3215" t="str">
        <f>VLOOKUP(A3215,Planilha2!$A$2:$C$5566,3,0)</f>
        <v>JAÍBA</v>
      </c>
      <c r="C3215" t="str">
        <f>VLOOKUP(A3215,Planilha2!$A$2:$D$5566,4,0)</f>
        <v>MG</v>
      </c>
    </row>
    <row r="3216" spans="1:3" x14ac:dyDescent="0.35">
      <c r="A3216">
        <v>312087</v>
      </c>
      <c r="B3216" t="str">
        <f>VLOOKUP(A3216,Planilha2!$A$2:$C$5566,3,0)</f>
        <v>CURRAL DE DENTRO</v>
      </c>
      <c r="C3216" t="str">
        <f>VLOOKUP(A3216,Planilha2!$A$2:$D$5566,4,0)</f>
        <v>MG</v>
      </c>
    </row>
    <row r="3217" spans="1:3" x14ac:dyDescent="0.35">
      <c r="A3217">
        <v>317065</v>
      </c>
      <c r="B3217" t="str">
        <f>VLOOKUP(A3217,Planilha2!$A$2:$C$5566,3,0)</f>
        <v>VARGEM GRANDE DO RIO PARDO</v>
      </c>
      <c r="C3217" t="str">
        <f>VLOOKUP(A3217,Planilha2!$A$2:$D$5566,4,0)</f>
        <v>MG</v>
      </c>
    </row>
    <row r="3218" spans="1:3" x14ac:dyDescent="0.35">
      <c r="A3218">
        <v>310860</v>
      </c>
      <c r="B3218" t="str">
        <f>VLOOKUP(A3218,Planilha2!$A$2:$C$5566,3,0)</f>
        <v>BRASÍLIA DE MINAS</v>
      </c>
      <c r="C3218" t="str">
        <f>VLOOKUP(A3218,Planilha2!$A$2:$D$5566,4,0)</f>
        <v>MG</v>
      </c>
    </row>
    <row r="3219" spans="1:3" x14ac:dyDescent="0.35">
      <c r="A3219">
        <v>313065</v>
      </c>
      <c r="B3219" t="str">
        <f>VLOOKUP(A3219,Planilha2!$A$2:$C$5566,3,0)</f>
        <v>INDAIABIRA</v>
      </c>
      <c r="C3219" t="str">
        <f>VLOOKUP(A3219,Planilha2!$A$2:$D$5566,4,0)</f>
        <v>MG</v>
      </c>
    </row>
    <row r="3220" spans="1:3" x14ac:dyDescent="0.35">
      <c r="A3220">
        <v>313990</v>
      </c>
      <c r="B3220" t="str">
        <f>VLOOKUP(A3220,Planilha2!$A$2:$C$5566,3,0)</f>
        <v>MARIA DA FÉ</v>
      </c>
      <c r="C3220" t="str">
        <f>VLOOKUP(A3220,Planilha2!$A$2:$D$5566,4,0)</f>
        <v>MG</v>
      </c>
    </row>
    <row r="3221" spans="1:3" x14ac:dyDescent="0.35">
      <c r="A3221">
        <v>311870</v>
      </c>
      <c r="B3221" t="str">
        <f>VLOOKUP(A3221,Planilha2!$A$2:$C$5566,3,0)</f>
        <v>COQUEIRAL</v>
      </c>
      <c r="C3221" t="str">
        <f>VLOOKUP(A3221,Planilha2!$A$2:$D$5566,4,0)</f>
        <v>MG</v>
      </c>
    </row>
    <row r="3222" spans="1:3" x14ac:dyDescent="0.35">
      <c r="A3222">
        <v>311300</v>
      </c>
      <c r="B3222" t="str">
        <f>VLOOKUP(A3222,Planilha2!$A$2:$C$5566,3,0)</f>
        <v>CARAÍ</v>
      </c>
      <c r="C3222" t="str">
        <f>VLOOKUP(A3222,Planilha2!$A$2:$D$5566,4,0)</f>
        <v>MG</v>
      </c>
    </row>
    <row r="3223" spans="1:3" x14ac:dyDescent="0.35">
      <c r="A3223">
        <v>311010</v>
      </c>
      <c r="B3223" t="str">
        <f>VLOOKUP(A3223,Planilha2!$A$2:$C$5566,3,0)</f>
        <v>CAIANA</v>
      </c>
      <c r="C3223" t="str">
        <f>VLOOKUP(A3223,Planilha2!$A$2:$D$5566,4,0)</f>
        <v>MG</v>
      </c>
    </row>
    <row r="3224" spans="1:3" x14ac:dyDescent="0.35">
      <c r="A3224">
        <v>316920</v>
      </c>
      <c r="B3224" t="str">
        <f>VLOOKUP(A3224,Planilha2!$A$2:$C$5566,3,0)</f>
        <v>TOMBOS</v>
      </c>
      <c r="C3224" t="str">
        <f>VLOOKUP(A3224,Planilha2!$A$2:$D$5566,4,0)</f>
        <v>MG</v>
      </c>
    </row>
    <row r="3225" spans="1:3" x14ac:dyDescent="0.35">
      <c r="A3225">
        <v>310445</v>
      </c>
      <c r="B3225" t="str">
        <f>VLOOKUP(A3225,Planilha2!$A$2:$C$5566,3,0)</f>
        <v>ARICANDUVA</v>
      </c>
      <c r="C3225" t="str">
        <f>VLOOKUP(A3225,Planilha2!$A$2:$D$5566,4,0)</f>
        <v>MG</v>
      </c>
    </row>
    <row r="3226" spans="1:3" x14ac:dyDescent="0.35">
      <c r="A3226">
        <v>313250</v>
      </c>
      <c r="B3226" t="str">
        <f>VLOOKUP(A3226,Planilha2!$A$2:$C$5566,3,0)</f>
        <v>ITAMARANDIBA</v>
      </c>
      <c r="C3226" t="str">
        <f>VLOOKUP(A3226,Planilha2!$A$2:$D$5566,4,0)</f>
        <v>MG</v>
      </c>
    </row>
    <row r="3227" spans="1:3" x14ac:dyDescent="0.35">
      <c r="A3227">
        <v>315550</v>
      </c>
      <c r="B3227" t="str">
        <f>VLOOKUP(A3227,Planilha2!$A$2:$C$5566,3,0)</f>
        <v>RIO PARANAÍBA</v>
      </c>
      <c r="C3227" t="str">
        <f>VLOOKUP(A3227,Planilha2!$A$2:$D$5566,4,0)</f>
        <v>MG</v>
      </c>
    </row>
    <row r="3228" spans="1:3" x14ac:dyDescent="0.35">
      <c r="A3228">
        <v>316850</v>
      </c>
      <c r="B3228" t="str">
        <f>VLOOKUP(A3228,Planilha2!$A$2:$C$5566,3,0)</f>
        <v>TEIXEIRAS</v>
      </c>
      <c r="C3228" t="str">
        <f>VLOOKUP(A3228,Planilha2!$A$2:$D$5566,4,0)</f>
        <v>MG</v>
      </c>
    </row>
    <row r="3229" spans="1:3" x14ac:dyDescent="0.35">
      <c r="A3229">
        <v>315230</v>
      </c>
      <c r="B3229" t="str">
        <f>VLOOKUP(A3229,Planilha2!$A$2:$C$5566,3,0)</f>
        <v>PORTO FIRME</v>
      </c>
      <c r="C3229" t="str">
        <f>VLOOKUP(A3229,Planilha2!$A$2:$D$5566,4,0)</f>
        <v>MG</v>
      </c>
    </row>
    <row r="3230" spans="1:3" x14ac:dyDescent="0.35">
      <c r="A3230">
        <v>314220</v>
      </c>
      <c r="B3230" t="str">
        <f>VLOOKUP(A3230,Planilha2!$A$2:$C$5566,3,0)</f>
        <v>MIRAÍ</v>
      </c>
      <c r="C3230" t="str">
        <f>VLOOKUP(A3230,Planilha2!$A$2:$D$5566,4,0)</f>
        <v>MG</v>
      </c>
    </row>
    <row r="3231" spans="1:3" x14ac:dyDescent="0.35">
      <c r="A3231">
        <v>315280</v>
      </c>
      <c r="B3231" t="str">
        <f>VLOOKUP(A3231,Planilha2!$A$2:$C$5566,3,0)</f>
        <v>PRATA</v>
      </c>
      <c r="C3231" t="str">
        <f>VLOOKUP(A3231,Planilha2!$A$2:$D$5566,4,0)</f>
        <v>MG</v>
      </c>
    </row>
    <row r="3232" spans="1:3" x14ac:dyDescent="0.35">
      <c r="A3232">
        <v>312350</v>
      </c>
      <c r="B3232" t="str">
        <f>VLOOKUP(A3232,Planilha2!$A$2:$C$5566,3,0)</f>
        <v>DOURADOQUARA</v>
      </c>
      <c r="C3232" t="str">
        <f>VLOOKUP(A3232,Planilha2!$A$2:$D$5566,4,0)</f>
        <v>MG</v>
      </c>
    </row>
    <row r="3233" spans="1:3" x14ac:dyDescent="0.35">
      <c r="A3233">
        <v>314980</v>
      </c>
      <c r="B3233" t="str">
        <f>VLOOKUP(A3233,Planilha2!$A$2:$C$5566,3,0)</f>
        <v>PERDIZES</v>
      </c>
      <c r="C3233" t="str">
        <f>VLOOKUP(A3233,Planilha2!$A$2:$D$5566,4,0)</f>
        <v>MG</v>
      </c>
    </row>
    <row r="3234" spans="1:3" x14ac:dyDescent="0.35">
      <c r="A3234">
        <v>314995</v>
      </c>
      <c r="B3234" t="str">
        <f>VLOOKUP(A3234,Planilha2!$A$2:$C$5566,3,0)</f>
        <v>PERIQUITO</v>
      </c>
      <c r="C3234" t="str">
        <f>VLOOKUP(A3234,Planilha2!$A$2:$D$5566,4,0)</f>
        <v>MG</v>
      </c>
    </row>
    <row r="3235" spans="1:3" x14ac:dyDescent="0.35">
      <c r="A3235">
        <v>317000</v>
      </c>
      <c r="B3235" t="str">
        <f>VLOOKUP(A3235,Planilha2!$A$2:$C$5566,3,0)</f>
        <v>UBAÍ</v>
      </c>
      <c r="C3235" t="str">
        <f>VLOOKUP(A3235,Planilha2!$A$2:$D$5566,4,0)</f>
        <v>MG</v>
      </c>
    </row>
    <row r="3236" spans="1:3" x14ac:dyDescent="0.35">
      <c r="A3236">
        <v>314230</v>
      </c>
      <c r="B3236" t="str">
        <f>VLOOKUP(A3236,Planilha2!$A$2:$C$5566,3,0)</f>
        <v>MOEDA</v>
      </c>
      <c r="C3236" t="str">
        <f>VLOOKUP(A3236,Planilha2!$A$2:$D$5566,4,0)</f>
        <v>MG</v>
      </c>
    </row>
    <row r="3237" spans="1:3" x14ac:dyDescent="0.35">
      <c r="A3237">
        <v>310910</v>
      </c>
      <c r="B3237" t="str">
        <f>VLOOKUP(A3237,Planilha2!$A$2:$C$5566,3,0)</f>
        <v>BUENO BRANDÃO</v>
      </c>
      <c r="C3237" t="str">
        <f>VLOOKUP(A3237,Planilha2!$A$2:$D$5566,4,0)</f>
        <v>MG</v>
      </c>
    </row>
    <row r="3238" spans="1:3" x14ac:dyDescent="0.35">
      <c r="A3238">
        <v>311780</v>
      </c>
      <c r="B3238" t="str">
        <f>VLOOKUP(A3238,Planilha2!$A$2:$C$5566,3,0)</f>
        <v>CONCEIÇÃO DOS OUROS</v>
      </c>
      <c r="C3238" t="str">
        <f>VLOOKUP(A3238,Planilha2!$A$2:$D$5566,4,0)</f>
        <v>MG</v>
      </c>
    </row>
    <row r="3239" spans="1:3" x14ac:dyDescent="0.35">
      <c r="A3239">
        <v>312440</v>
      </c>
      <c r="B3239" t="str">
        <f>VLOOKUP(A3239,Planilha2!$A$2:$C$5566,3,0)</f>
        <v>ESPÍRITO SANTO DO DOURADO</v>
      </c>
      <c r="C3239" t="str">
        <f>VLOOKUP(A3239,Planilha2!$A$2:$D$5566,4,0)</f>
        <v>MG</v>
      </c>
    </row>
    <row r="3240" spans="1:3" x14ac:dyDescent="0.35">
      <c r="A3240">
        <v>316200</v>
      </c>
      <c r="B3240" t="str">
        <f>VLOOKUP(A3240,Planilha2!$A$2:$C$5566,3,0)</f>
        <v>SÃO GONÇALO DO SAPUCAÍ</v>
      </c>
      <c r="C3240" t="str">
        <f>VLOOKUP(A3240,Planilha2!$A$2:$D$5566,4,0)</f>
        <v>MG</v>
      </c>
    </row>
    <row r="3241" spans="1:3" x14ac:dyDescent="0.35">
      <c r="A3241">
        <v>313870</v>
      </c>
      <c r="B3241" t="str">
        <f>VLOOKUP(A3241,Planilha2!$A$2:$C$5566,3,0)</f>
        <v>LUMINÁRIAS</v>
      </c>
      <c r="C3241" t="str">
        <f>VLOOKUP(A3241,Planilha2!$A$2:$D$5566,4,0)</f>
        <v>MG</v>
      </c>
    </row>
    <row r="3242" spans="1:3" x14ac:dyDescent="0.35">
      <c r="A3242">
        <v>316780</v>
      </c>
      <c r="B3242" t="str">
        <f>VLOOKUP(A3242,Planilha2!$A$2:$C$5566,3,0)</f>
        <v>SOLEDADE DE MINAS</v>
      </c>
      <c r="C3242" t="str">
        <f>VLOOKUP(A3242,Planilha2!$A$2:$D$5566,4,0)</f>
        <v>MG</v>
      </c>
    </row>
    <row r="3243" spans="1:3" x14ac:dyDescent="0.35">
      <c r="A3243">
        <v>312730</v>
      </c>
      <c r="B3243" t="str">
        <f>VLOOKUP(A3243,Planilha2!$A$2:$C$5566,3,0)</f>
        <v>GALILÉIA</v>
      </c>
      <c r="C3243" t="str">
        <f>VLOOKUP(A3243,Planilha2!$A$2:$D$5566,4,0)</f>
        <v>MG</v>
      </c>
    </row>
    <row r="3244" spans="1:3" x14ac:dyDescent="0.35">
      <c r="A3244">
        <v>316180</v>
      </c>
      <c r="B3244" t="str">
        <f>VLOOKUP(A3244,Planilha2!$A$2:$C$5566,3,0)</f>
        <v>SÃO GONÇALO DO PARÁ</v>
      </c>
      <c r="C3244" t="str">
        <f>VLOOKUP(A3244,Planilha2!$A$2:$D$5566,4,0)</f>
        <v>MG</v>
      </c>
    </row>
    <row r="3245" spans="1:3" x14ac:dyDescent="0.35">
      <c r="A3245">
        <v>311660</v>
      </c>
      <c r="B3245" t="str">
        <f>VLOOKUP(A3245,Planilha2!$A$2:$C$5566,3,0)</f>
        <v>CLÁUDIO</v>
      </c>
      <c r="C3245" t="str">
        <f>VLOOKUP(A3245,Planilha2!$A$2:$D$5566,4,0)</f>
        <v>MG</v>
      </c>
    </row>
    <row r="3246" spans="1:3" x14ac:dyDescent="0.35">
      <c r="A3246">
        <v>315880</v>
      </c>
      <c r="B3246" t="str">
        <f>VLOOKUP(A3246,Planilha2!$A$2:$C$5566,3,0)</f>
        <v>SANTANA DO JACARÉ</v>
      </c>
      <c r="C3246" t="str">
        <f>VLOOKUP(A3246,Planilha2!$A$2:$D$5566,4,0)</f>
        <v>MG</v>
      </c>
    </row>
    <row r="3247" spans="1:3" x14ac:dyDescent="0.35">
      <c r="A3247">
        <v>311995</v>
      </c>
      <c r="B3247" t="str">
        <f>VLOOKUP(A3247,Planilha2!$A$2:$C$5566,3,0)</f>
        <v>CÓRREGO FUNDO</v>
      </c>
      <c r="C3247" t="str">
        <f>VLOOKUP(A3247,Planilha2!$A$2:$D$5566,4,0)</f>
        <v>MG</v>
      </c>
    </row>
    <row r="3248" spans="1:3" x14ac:dyDescent="0.35">
      <c r="A3248">
        <v>310290</v>
      </c>
      <c r="B3248" t="str">
        <f>VLOOKUP(A3248,Planilha2!$A$2:$C$5566,3,0)</f>
        <v>ANTÔNIO CARLOS</v>
      </c>
      <c r="C3248" t="str">
        <f>VLOOKUP(A3248,Planilha2!$A$2:$D$5566,4,0)</f>
        <v>MG</v>
      </c>
    </row>
    <row r="3249" spans="1:3" x14ac:dyDescent="0.35">
      <c r="A3249">
        <v>312150</v>
      </c>
      <c r="B3249" t="str">
        <f>VLOOKUP(A3249,Planilha2!$A$2:$C$5566,3,0)</f>
        <v>DESTERRO DO MELO</v>
      </c>
      <c r="C3249" t="str">
        <f>VLOOKUP(A3249,Planilha2!$A$2:$D$5566,4,0)</f>
        <v>MG</v>
      </c>
    </row>
    <row r="3250" spans="1:3" x14ac:dyDescent="0.35">
      <c r="A3250">
        <v>311540</v>
      </c>
      <c r="B3250" t="str">
        <f>VLOOKUP(A3250,Planilha2!$A$2:$C$5566,3,0)</f>
        <v>CATAS ALTAS DA NORUEGA</v>
      </c>
      <c r="C3250" t="str">
        <f>VLOOKUP(A3250,Planilha2!$A$2:$D$5566,4,0)</f>
        <v>MG</v>
      </c>
    </row>
    <row r="3251" spans="1:3" x14ac:dyDescent="0.35">
      <c r="A3251">
        <v>315500</v>
      </c>
      <c r="B3251" t="str">
        <f>VLOOKUP(A3251,Planilha2!$A$2:$C$5566,3,0)</f>
        <v>RIO DOCE</v>
      </c>
      <c r="C3251" t="str">
        <f>VLOOKUP(A3251,Planilha2!$A$2:$D$5566,4,0)</f>
        <v>MG</v>
      </c>
    </row>
    <row r="3252" spans="1:3" x14ac:dyDescent="0.35">
      <c r="A3252">
        <v>313550</v>
      </c>
      <c r="B3252" t="str">
        <f>VLOOKUP(A3252,Planilha2!$A$2:$C$5566,3,0)</f>
        <v>JEQUERI</v>
      </c>
      <c r="C3252" t="str">
        <f>VLOOKUP(A3252,Planilha2!$A$2:$D$5566,4,0)</f>
        <v>MG</v>
      </c>
    </row>
    <row r="3253" spans="1:3" x14ac:dyDescent="0.35">
      <c r="A3253">
        <v>311535</v>
      </c>
      <c r="B3253" t="str">
        <f>VLOOKUP(A3253,Planilha2!$A$2:$C$5566,3,0)</f>
        <v>CATAS ALTAS</v>
      </c>
      <c r="C3253" t="str">
        <f>VLOOKUP(A3253,Planilha2!$A$2:$D$5566,4,0)</f>
        <v>MG</v>
      </c>
    </row>
    <row r="3254" spans="1:3" x14ac:dyDescent="0.35">
      <c r="A3254">
        <v>316390</v>
      </c>
      <c r="B3254" t="str">
        <f>VLOOKUP(A3254,Planilha2!$A$2:$C$5566,3,0)</f>
        <v>SÃO PEDRO DA UNIÃO</v>
      </c>
      <c r="C3254" t="str">
        <f>VLOOKUP(A3254,Planilha2!$A$2:$D$5566,4,0)</f>
        <v>MG</v>
      </c>
    </row>
    <row r="3255" spans="1:3" x14ac:dyDescent="0.35">
      <c r="A3255">
        <v>317005</v>
      </c>
      <c r="B3255" t="str">
        <f>VLOOKUP(A3255,Planilha2!$A$2:$C$5566,3,0)</f>
        <v>UBAPORANGA</v>
      </c>
      <c r="C3255" t="str">
        <f>VLOOKUP(A3255,Planilha2!$A$2:$D$5566,4,0)</f>
        <v>MG</v>
      </c>
    </row>
    <row r="3256" spans="1:3" x14ac:dyDescent="0.35">
      <c r="A3256">
        <v>317115</v>
      </c>
      <c r="B3256" t="str">
        <f>VLOOKUP(A3256,Planilha2!$A$2:$C$5566,3,0)</f>
        <v>VERMELHO NOVO</v>
      </c>
      <c r="C3256" t="str">
        <f>VLOOKUP(A3256,Planilha2!$A$2:$D$5566,4,0)</f>
        <v>MG</v>
      </c>
    </row>
    <row r="3257" spans="1:3" x14ac:dyDescent="0.35">
      <c r="A3257">
        <v>312900</v>
      </c>
      <c r="B3257" t="str">
        <f>VLOOKUP(A3257,Planilha2!$A$2:$C$5566,3,0)</f>
        <v>GUIRICEMA</v>
      </c>
      <c r="C3257" t="str">
        <f>VLOOKUP(A3257,Planilha2!$A$2:$D$5566,4,0)</f>
        <v>MG</v>
      </c>
    </row>
    <row r="3258" spans="1:3" x14ac:dyDescent="0.35">
      <c r="A3258">
        <v>312400</v>
      </c>
      <c r="B3258" t="str">
        <f>VLOOKUP(A3258,Planilha2!$A$2:$C$5566,3,0)</f>
        <v>ERVÁLIA</v>
      </c>
      <c r="C3258" t="str">
        <f>VLOOKUP(A3258,Planilha2!$A$2:$D$5566,4,0)</f>
        <v>MG</v>
      </c>
    </row>
    <row r="3259" spans="1:3" x14ac:dyDescent="0.35">
      <c r="A3259">
        <v>313290</v>
      </c>
      <c r="B3259" t="str">
        <f>VLOOKUP(A3259,Planilha2!$A$2:$C$5566,3,0)</f>
        <v>ITAMOGI</v>
      </c>
      <c r="C3259" t="str">
        <f>VLOOKUP(A3259,Planilha2!$A$2:$D$5566,4,0)</f>
        <v>MG</v>
      </c>
    </row>
    <row r="3260" spans="1:3" x14ac:dyDescent="0.35">
      <c r="A3260">
        <v>313000</v>
      </c>
      <c r="B3260" t="str">
        <f>VLOOKUP(A3260,Planilha2!$A$2:$C$5566,3,0)</f>
        <v>IBITURUNA</v>
      </c>
      <c r="C3260" t="str">
        <f>VLOOKUP(A3260,Planilha2!$A$2:$D$5566,4,0)</f>
        <v>MG</v>
      </c>
    </row>
    <row r="3261" spans="1:3" x14ac:dyDescent="0.35">
      <c r="A3261">
        <v>313110</v>
      </c>
      <c r="B3261" t="str">
        <f>VLOOKUP(A3261,Planilha2!$A$2:$C$5566,3,0)</f>
        <v>INIMUTABA</v>
      </c>
      <c r="C3261" t="str">
        <f>VLOOKUP(A3261,Planilha2!$A$2:$D$5566,4,0)</f>
        <v>MG</v>
      </c>
    </row>
    <row r="3262" spans="1:3" x14ac:dyDescent="0.35">
      <c r="A3262">
        <v>313960</v>
      </c>
      <c r="B3262" t="str">
        <f>VLOOKUP(A3262,Planilha2!$A$2:$C$5566,3,0)</f>
        <v>MANTENA</v>
      </c>
      <c r="C3262" t="str">
        <f>VLOOKUP(A3262,Planilha2!$A$2:$D$5566,4,0)</f>
        <v>MG</v>
      </c>
    </row>
    <row r="3263" spans="1:3" x14ac:dyDescent="0.35">
      <c r="A3263">
        <v>320360</v>
      </c>
      <c r="B3263" t="str">
        <f>VLOOKUP(A3263,Planilha2!$A$2:$C$5566,3,0)</f>
        <v>MUCURICI</v>
      </c>
      <c r="C3263" t="str">
        <f>VLOOKUP(A3263,Planilha2!$A$2:$D$5566,4,0)</f>
        <v>ES</v>
      </c>
    </row>
    <row r="3264" spans="1:3" x14ac:dyDescent="0.35">
      <c r="A3264">
        <v>320255</v>
      </c>
      <c r="B3264" t="str">
        <f>VLOOKUP(A3264,Planilha2!$A$2:$C$5566,3,0)</f>
        <v>IBITIRAMA</v>
      </c>
      <c r="C3264" t="str">
        <f>VLOOKUP(A3264,Planilha2!$A$2:$D$5566,4,0)</f>
        <v>ES</v>
      </c>
    </row>
    <row r="3265" spans="1:3" x14ac:dyDescent="0.35">
      <c r="A3265">
        <v>320265</v>
      </c>
      <c r="B3265" t="str">
        <f>VLOOKUP(A3265,Planilha2!$A$2:$C$5566,3,0)</f>
        <v>IRUPI</v>
      </c>
      <c r="C3265" t="str">
        <f>VLOOKUP(A3265,Planilha2!$A$2:$D$5566,4,0)</f>
        <v>ES</v>
      </c>
    </row>
    <row r="3266" spans="1:3" x14ac:dyDescent="0.35">
      <c r="A3266">
        <v>320405</v>
      </c>
      <c r="B3266" t="str">
        <f>VLOOKUP(A3266,Planilha2!$A$2:$C$5566,3,0)</f>
        <v>PEDRO CANÁRIO</v>
      </c>
      <c r="C3266" t="str">
        <f>VLOOKUP(A3266,Planilha2!$A$2:$D$5566,4,0)</f>
        <v>ES</v>
      </c>
    </row>
    <row r="3267" spans="1:3" x14ac:dyDescent="0.35">
      <c r="A3267">
        <v>352630</v>
      </c>
      <c r="B3267" t="str">
        <f>VLOOKUP(A3267,Planilha2!$A$2:$C$5566,3,0)</f>
        <v>LAGOINHA</v>
      </c>
      <c r="C3267" t="str">
        <f>VLOOKUP(A3267,Planilha2!$A$2:$D$5566,4,0)</f>
        <v>SP</v>
      </c>
    </row>
    <row r="3268" spans="1:3" x14ac:dyDescent="0.35">
      <c r="A3268">
        <v>353850</v>
      </c>
      <c r="B3268" t="str">
        <f>VLOOKUP(A3268,Planilha2!$A$2:$C$5566,3,0)</f>
        <v>PIQUETE</v>
      </c>
      <c r="C3268" t="str">
        <f>VLOOKUP(A3268,Planilha2!$A$2:$D$5566,4,0)</f>
        <v>SP</v>
      </c>
    </row>
    <row r="3269" spans="1:3" x14ac:dyDescent="0.35">
      <c r="A3269">
        <v>352520</v>
      </c>
      <c r="B3269" t="str">
        <f>VLOOKUP(A3269,Planilha2!$A$2:$C$5566,3,0)</f>
        <v>JARINU</v>
      </c>
      <c r="C3269" t="str">
        <f>VLOOKUP(A3269,Planilha2!$A$2:$D$5566,4,0)</f>
        <v>SP</v>
      </c>
    </row>
    <row r="3270" spans="1:3" x14ac:dyDescent="0.35">
      <c r="A3270">
        <v>355635</v>
      </c>
      <c r="B3270" t="str">
        <f>VLOOKUP(A3270,Planilha2!$A$2:$C$5566,3,0)</f>
        <v>VARGEM</v>
      </c>
      <c r="C3270" t="str">
        <f>VLOOKUP(A3270,Planilha2!$A$2:$D$5566,4,0)</f>
        <v>SP</v>
      </c>
    </row>
    <row r="3271" spans="1:3" x14ac:dyDescent="0.35">
      <c r="A3271">
        <v>352700</v>
      </c>
      <c r="B3271" t="str">
        <f>VLOOKUP(A3271,Planilha2!$A$2:$C$5566,3,0)</f>
        <v>LINDÓIA</v>
      </c>
      <c r="C3271" t="str">
        <f>VLOOKUP(A3271,Planilha2!$A$2:$D$5566,4,0)</f>
        <v>SP</v>
      </c>
    </row>
    <row r="3272" spans="1:3" x14ac:dyDescent="0.35">
      <c r="A3272">
        <v>350370</v>
      </c>
      <c r="B3272" t="str">
        <f>VLOOKUP(A3272,Planilha2!$A$2:$C$5566,3,0)</f>
        <v>ARIRANHA</v>
      </c>
      <c r="C3272" t="str">
        <f>VLOOKUP(A3272,Planilha2!$A$2:$D$5566,4,0)</f>
        <v>SP</v>
      </c>
    </row>
    <row r="3273" spans="1:3" x14ac:dyDescent="0.35">
      <c r="A3273">
        <v>353300</v>
      </c>
      <c r="B3273" t="str">
        <f>VLOOKUP(A3273,Planilha2!$A$2:$C$5566,3,0)</f>
        <v>NOVA GRANADA</v>
      </c>
      <c r="C3273" t="str">
        <f>VLOOKUP(A3273,Planilha2!$A$2:$D$5566,4,0)</f>
        <v>SP</v>
      </c>
    </row>
    <row r="3274" spans="1:3" x14ac:dyDescent="0.35">
      <c r="A3274">
        <v>350180</v>
      </c>
      <c r="B3274" t="str">
        <f>VLOOKUP(A3274,Planilha2!$A$2:$C$5566,3,0)</f>
        <v>AMÉRICO DE CAMPOS</v>
      </c>
      <c r="C3274" t="str">
        <f>VLOOKUP(A3274,Planilha2!$A$2:$D$5566,4,0)</f>
        <v>SP</v>
      </c>
    </row>
    <row r="3275" spans="1:3" x14ac:dyDescent="0.35">
      <c r="A3275">
        <v>355260</v>
      </c>
      <c r="B3275" t="str">
        <f>VLOOKUP(A3275,Planilha2!$A$2:$C$5566,3,0)</f>
        <v>TABAPUÃ</v>
      </c>
      <c r="C3275" t="str">
        <f>VLOOKUP(A3275,Planilha2!$A$2:$D$5566,4,0)</f>
        <v>SP</v>
      </c>
    </row>
    <row r="3276" spans="1:3" x14ac:dyDescent="0.35">
      <c r="A3276">
        <v>351890</v>
      </c>
      <c r="B3276" t="str">
        <f>VLOOKUP(A3276,Planilha2!$A$2:$C$5566,3,0)</f>
        <v>GUZOLÂNDIA</v>
      </c>
      <c r="C3276" t="str">
        <f>VLOOKUP(A3276,Planilha2!$A$2:$D$5566,4,0)</f>
        <v>SP</v>
      </c>
    </row>
    <row r="3277" spans="1:3" x14ac:dyDescent="0.35">
      <c r="A3277">
        <v>351830</v>
      </c>
      <c r="B3277" t="str">
        <f>VLOOKUP(A3277,Planilha2!$A$2:$C$5566,3,0)</f>
        <v>GUARAREMA</v>
      </c>
      <c r="C3277" t="str">
        <f>VLOOKUP(A3277,Planilha2!$A$2:$D$5566,4,0)</f>
        <v>SP</v>
      </c>
    </row>
    <row r="3278" spans="1:3" x14ac:dyDescent="0.35">
      <c r="A3278">
        <v>351240</v>
      </c>
      <c r="B3278" t="str">
        <f>VLOOKUP(A3278,Planilha2!$A$2:$C$5566,3,0)</f>
        <v>CORDEIRÓPOLIS</v>
      </c>
      <c r="C3278" t="str">
        <f>VLOOKUP(A3278,Planilha2!$A$2:$D$5566,4,0)</f>
        <v>SP</v>
      </c>
    </row>
    <row r="3279" spans="1:3" x14ac:dyDescent="0.35">
      <c r="A3279">
        <v>351230</v>
      </c>
      <c r="B3279" t="str">
        <f>VLOOKUP(A3279,Planilha2!$A$2:$C$5566,3,0)</f>
        <v>CONCHAS</v>
      </c>
      <c r="C3279" t="str">
        <f>VLOOKUP(A3279,Planilha2!$A$2:$D$5566,4,0)</f>
        <v>SP</v>
      </c>
    </row>
    <row r="3280" spans="1:3" x14ac:dyDescent="0.35">
      <c r="A3280">
        <v>353880</v>
      </c>
      <c r="B3280" t="str">
        <f>VLOOKUP(A3280,Planilha2!$A$2:$C$5566,3,0)</f>
        <v>PIRAJU</v>
      </c>
      <c r="C3280" t="str">
        <f>VLOOKUP(A3280,Planilha2!$A$2:$D$5566,4,0)</f>
        <v>SP</v>
      </c>
    </row>
    <row r="3281" spans="1:3" x14ac:dyDescent="0.35">
      <c r="A3281">
        <v>350690</v>
      </c>
      <c r="B3281" t="str">
        <f>VLOOKUP(A3281,Planilha2!$A$2:$C$5566,3,0)</f>
        <v>BOFETE</v>
      </c>
      <c r="C3281" t="str">
        <f>VLOOKUP(A3281,Planilha2!$A$2:$D$5566,4,0)</f>
        <v>SP</v>
      </c>
    </row>
    <row r="3282" spans="1:3" x14ac:dyDescent="0.35">
      <c r="A3282">
        <v>350310</v>
      </c>
      <c r="B3282" t="str">
        <f>VLOOKUP(A3282,Planilha2!$A$2:$C$5566,3,0)</f>
        <v>ARANDU</v>
      </c>
      <c r="C3282" t="str">
        <f>VLOOKUP(A3282,Planilha2!$A$2:$D$5566,4,0)</f>
        <v>SP</v>
      </c>
    </row>
    <row r="3283" spans="1:3" x14ac:dyDescent="0.35">
      <c r="A3283">
        <v>354410</v>
      </c>
      <c r="B3283" t="str">
        <f>VLOOKUP(A3283,Planilha2!$A$2:$C$5566,3,0)</f>
        <v>RIO GRANDE DA SERRA</v>
      </c>
      <c r="C3283" t="str">
        <f>VLOOKUP(A3283,Planilha2!$A$2:$D$5566,4,0)</f>
        <v>SP</v>
      </c>
    </row>
    <row r="3284" spans="1:3" x14ac:dyDescent="0.35">
      <c r="A3284">
        <v>350740</v>
      </c>
      <c r="B3284" t="str">
        <f>VLOOKUP(A3284,Planilha2!$A$2:$C$5566,3,0)</f>
        <v>BORBOREMA</v>
      </c>
      <c r="C3284" t="str">
        <f>VLOOKUP(A3284,Planilha2!$A$2:$D$5566,4,0)</f>
        <v>SP</v>
      </c>
    </row>
    <row r="3285" spans="1:3" x14ac:dyDescent="0.35">
      <c r="A3285">
        <v>353860</v>
      </c>
      <c r="B3285" t="str">
        <f>VLOOKUP(A3285,Planilha2!$A$2:$C$5566,3,0)</f>
        <v>PIRACAIA</v>
      </c>
      <c r="C3285" t="str">
        <f>VLOOKUP(A3285,Planilha2!$A$2:$D$5566,4,0)</f>
        <v>SP</v>
      </c>
    </row>
    <row r="3286" spans="1:3" x14ac:dyDescent="0.35">
      <c r="A3286">
        <v>353340</v>
      </c>
      <c r="B3286" t="str">
        <f>VLOOKUP(A3286,Planilha2!$A$2:$C$5566,3,0)</f>
        <v>NOVA ODESSA</v>
      </c>
      <c r="C3286" t="str">
        <f>VLOOKUP(A3286,Planilha2!$A$2:$D$5566,4,0)</f>
        <v>SP</v>
      </c>
    </row>
    <row r="3287" spans="1:3" x14ac:dyDescent="0.35">
      <c r="A3287">
        <v>351015</v>
      </c>
      <c r="B3287" t="str">
        <f>VLOOKUP(A3287,Planilha2!$A$2:$C$5566,3,0)</f>
        <v>CANITAR</v>
      </c>
      <c r="C3287" t="str">
        <f>VLOOKUP(A3287,Planilha2!$A$2:$D$5566,4,0)</f>
        <v>SP</v>
      </c>
    </row>
    <row r="3288" spans="1:3" x14ac:dyDescent="0.35">
      <c r="A3288">
        <v>353820</v>
      </c>
      <c r="B3288" t="str">
        <f>VLOOKUP(A3288,Planilha2!$A$2:$C$5566,3,0)</f>
        <v>PINHALZINHO</v>
      </c>
      <c r="C3288" t="str">
        <f>VLOOKUP(A3288,Planilha2!$A$2:$D$5566,4,0)</f>
        <v>SP</v>
      </c>
    </row>
    <row r="3289" spans="1:3" x14ac:dyDescent="0.35">
      <c r="A3289">
        <v>353580</v>
      </c>
      <c r="B3289" t="str">
        <f>VLOOKUP(A3289,Planilha2!$A$2:$C$5566,3,0)</f>
        <v>PARANAPANEMA</v>
      </c>
      <c r="C3289" t="str">
        <f>VLOOKUP(A3289,Planilha2!$A$2:$D$5566,4,0)</f>
        <v>SP</v>
      </c>
    </row>
    <row r="3290" spans="1:3" x14ac:dyDescent="0.35">
      <c r="A3290">
        <v>355660</v>
      </c>
      <c r="B3290" t="str">
        <f>VLOOKUP(A3290,Planilha2!$A$2:$C$5566,3,0)</f>
        <v>VERA CRUZ</v>
      </c>
      <c r="C3290" t="str">
        <f>VLOOKUP(A3290,Planilha2!$A$2:$D$5566,4,0)</f>
        <v>SP</v>
      </c>
    </row>
    <row r="3291" spans="1:3" x14ac:dyDescent="0.35">
      <c r="A3291">
        <v>351600</v>
      </c>
      <c r="B3291" t="str">
        <f>VLOOKUP(A3291,Planilha2!$A$2:$C$5566,3,0)</f>
        <v>FLÓRIDA PAULISTA</v>
      </c>
      <c r="C3291" t="str">
        <f>VLOOKUP(A3291,Planilha2!$A$2:$D$5566,4,0)</f>
        <v>SP</v>
      </c>
    </row>
    <row r="3292" spans="1:3" x14ac:dyDescent="0.35">
      <c r="A3292">
        <v>354960</v>
      </c>
      <c r="B3292" t="str">
        <f>VLOOKUP(A3292,Planilha2!$A$2:$C$5566,3,0)</f>
        <v>SÃO JOSÉ DO BARREIRO</v>
      </c>
      <c r="C3292" t="str">
        <f>VLOOKUP(A3292,Planilha2!$A$2:$D$5566,4,0)</f>
        <v>SP</v>
      </c>
    </row>
    <row r="3293" spans="1:3" x14ac:dyDescent="0.35">
      <c r="A3293">
        <v>352410</v>
      </c>
      <c r="B3293" t="str">
        <f>VLOOKUP(A3293,Planilha2!$A$2:$C$5566,3,0)</f>
        <v>ITUVERAVA</v>
      </c>
      <c r="C3293" t="str">
        <f>VLOOKUP(A3293,Planilha2!$A$2:$D$5566,4,0)</f>
        <v>SP</v>
      </c>
    </row>
    <row r="3294" spans="1:3" x14ac:dyDescent="0.35">
      <c r="A3294">
        <v>351740</v>
      </c>
      <c r="B3294" t="str">
        <f>VLOOKUP(A3294,Planilha2!$A$2:$C$5566,3,0)</f>
        <v>GUAÍRA</v>
      </c>
      <c r="C3294" t="str">
        <f>VLOOKUP(A3294,Planilha2!$A$2:$D$5566,4,0)</f>
        <v>SP</v>
      </c>
    </row>
    <row r="3295" spans="1:3" x14ac:dyDescent="0.35">
      <c r="A3295">
        <v>520340</v>
      </c>
      <c r="B3295" t="str">
        <f>VLOOKUP(A3295,Planilha2!$A$2:$C$5566,3,0)</f>
        <v>BOM JARDIM DE GOIÁS</v>
      </c>
      <c r="C3295" t="str">
        <f>VLOOKUP(A3295,Planilha2!$A$2:$D$5566,4,0)</f>
        <v>GO</v>
      </c>
    </row>
    <row r="3296" spans="1:3" x14ac:dyDescent="0.35">
      <c r="A3296">
        <v>350060</v>
      </c>
      <c r="B3296" t="str">
        <f>VLOOKUP(A3296,Planilha2!$A$2:$C$5566,3,0)</f>
        <v>ÁGUAS DE SÃO PEDRO</v>
      </c>
      <c r="C3296" t="str">
        <f>VLOOKUP(A3296,Planilha2!$A$2:$D$5566,4,0)</f>
        <v>SP</v>
      </c>
    </row>
    <row r="3297" spans="1:3" x14ac:dyDescent="0.35">
      <c r="A3297">
        <v>354620</v>
      </c>
      <c r="B3297" t="str">
        <f>VLOOKUP(A3297,Planilha2!$A$2:$C$5566,3,0)</f>
        <v>SANTA CRUZ DA CONCEIÇÃO</v>
      </c>
      <c r="C3297" t="str">
        <f>VLOOKUP(A3297,Planilha2!$A$2:$D$5566,4,0)</f>
        <v>SP</v>
      </c>
    </row>
    <row r="3298" spans="1:3" x14ac:dyDescent="0.35">
      <c r="A3298">
        <v>355140</v>
      </c>
      <c r="B3298" t="str">
        <f>VLOOKUP(A3298,Planilha2!$A$2:$C$5566,3,0)</f>
        <v>SERRA AZUL</v>
      </c>
      <c r="C3298" t="str">
        <f>VLOOKUP(A3298,Planilha2!$A$2:$D$5566,4,0)</f>
        <v>SP</v>
      </c>
    </row>
    <row r="3299" spans="1:3" x14ac:dyDescent="0.35">
      <c r="A3299">
        <v>350715</v>
      </c>
      <c r="B3299" t="str">
        <f>VLOOKUP(A3299,Planilha2!$A$2:$C$5566,3,0)</f>
        <v>BOM SUCESSO DE ITARARÉ</v>
      </c>
      <c r="C3299" t="str">
        <f>VLOOKUP(A3299,Planilha2!$A$2:$D$5566,4,0)</f>
        <v>SP</v>
      </c>
    </row>
    <row r="3300" spans="1:3" x14ac:dyDescent="0.35">
      <c r="A3300">
        <v>351250</v>
      </c>
      <c r="B3300" t="str">
        <f>VLOOKUP(A3300,Planilha2!$A$2:$C$5566,3,0)</f>
        <v>COROADOS</v>
      </c>
      <c r="C3300" t="str">
        <f>VLOOKUP(A3300,Planilha2!$A$2:$D$5566,4,0)</f>
        <v>SP</v>
      </c>
    </row>
    <row r="3301" spans="1:3" x14ac:dyDescent="0.35">
      <c r="A3301">
        <v>355390</v>
      </c>
      <c r="B3301" t="str">
        <f>VLOOKUP(A3301,Planilha2!$A$2:$C$5566,3,0)</f>
        <v>TARABAI</v>
      </c>
      <c r="C3301" t="str">
        <f>VLOOKUP(A3301,Planilha2!$A$2:$D$5566,4,0)</f>
        <v>SP</v>
      </c>
    </row>
    <row r="3302" spans="1:3" x14ac:dyDescent="0.35">
      <c r="A3302">
        <v>354830</v>
      </c>
      <c r="B3302" t="str">
        <f>VLOOKUP(A3302,Planilha2!$A$2:$C$5566,3,0)</f>
        <v>SANTO EXPEDITO</v>
      </c>
      <c r="C3302" t="str">
        <f>VLOOKUP(A3302,Planilha2!$A$2:$D$5566,4,0)</f>
        <v>SP</v>
      </c>
    </row>
    <row r="3303" spans="1:3" x14ac:dyDescent="0.35">
      <c r="A3303">
        <v>351790</v>
      </c>
      <c r="B3303" t="str">
        <f>VLOOKUP(A3303,Planilha2!$A$2:$C$5566,3,0)</f>
        <v>GUARACI</v>
      </c>
      <c r="C3303" t="str">
        <f>VLOOKUP(A3303,Planilha2!$A$2:$D$5566,4,0)</f>
        <v>SP</v>
      </c>
    </row>
    <row r="3304" spans="1:3" x14ac:dyDescent="0.35">
      <c r="A3304">
        <v>412700</v>
      </c>
      <c r="B3304" t="str">
        <f>VLOOKUP(A3304,Planilha2!$A$2:$C$5566,3,0)</f>
        <v>TEIXEIRA SOARES</v>
      </c>
      <c r="C3304" t="str">
        <f>VLOOKUP(A3304,Planilha2!$A$2:$D$5566,4,0)</f>
        <v>PR</v>
      </c>
    </row>
    <row r="3305" spans="1:3" x14ac:dyDescent="0.35">
      <c r="A3305">
        <v>411960</v>
      </c>
      <c r="B3305" t="str">
        <f>VLOOKUP(A3305,Planilha2!$A$2:$C$5566,3,0)</f>
        <v>PITANGA</v>
      </c>
      <c r="C3305" t="str">
        <f>VLOOKUP(A3305,Planilha2!$A$2:$D$5566,4,0)</f>
        <v>PR</v>
      </c>
    </row>
    <row r="3306" spans="1:3" x14ac:dyDescent="0.35">
      <c r="A3306">
        <v>410540</v>
      </c>
      <c r="B3306" t="str">
        <f>VLOOKUP(A3306,Planilha2!$A$2:$C$5566,3,0)</f>
        <v>CHOPINZINHO</v>
      </c>
      <c r="C3306" t="str">
        <f>VLOOKUP(A3306,Planilha2!$A$2:$D$5566,4,0)</f>
        <v>PR</v>
      </c>
    </row>
    <row r="3307" spans="1:3" x14ac:dyDescent="0.35">
      <c r="A3307">
        <v>420917</v>
      </c>
      <c r="B3307" t="str">
        <f>VLOOKUP(A3307,Planilha2!$A$2:$C$5566,3,0)</f>
        <v>JUPIÁ</v>
      </c>
      <c r="C3307" t="str">
        <f>VLOOKUP(A3307,Planilha2!$A$2:$D$5566,4,0)</f>
        <v>SC</v>
      </c>
    </row>
    <row r="3308" spans="1:3" x14ac:dyDescent="0.35">
      <c r="A3308">
        <v>412670</v>
      </c>
      <c r="B3308" t="str">
        <f>VLOOKUP(A3308,Planilha2!$A$2:$C$5566,3,0)</f>
        <v>TAMBOARA</v>
      </c>
      <c r="C3308" t="str">
        <f>VLOOKUP(A3308,Planilha2!$A$2:$D$5566,4,0)</f>
        <v>PR</v>
      </c>
    </row>
    <row r="3309" spans="1:3" x14ac:dyDescent="0.35">
      <c r="A3309">
        <v>412545</v>
      </c>
      <c r="B3309" t="str">
        <f>VLOOKUP(A3309,Planilha2!$A$2:$C$5566,3,0)</f>
        <v>SÃO JOSÉ DAS PALMEIRAS</v>
      </c>
      <c r="C3309" t="str">
        <f>VLOOKUP(A3309,Planilha2!$A$2:$D$5566,4,0)</f>
        <v>PR</v>
      </c>
    </row>
    <row r="3310" spans="1:3" x14ac:dyDescent="0.35">
      <c r="A3310">
        <v>411130</v>
      </c>
      <c r="B3310" t="str">
        <f>VLOOKUP(A3310,Planilha2!$A$2:$C$5566,3,0)</f>
        <v>ITAÚNA DO SUL</v>
      </c>
      <c r="C3310" t="str">
        <f>VLOOKUP(A3310,Planilha2!$A$2:$D$5566,4,0)</f>
        <v>PR</v>
      </c>
    </row>
    <row r="3311" spans="1:3" x14ac:dyDescent="0.35">
      <c r="A3311">
        <v>411900</v>
      </c>
      <c r="B3311" t="str">
        <f>VLOOKUP(A3311,Planilha2!$A$2:$C$5566,3,0)</f>
        <v>PÉROLA D`OESTE</v>
      </c>
      <c r="C3311" t="str">
        <f>VLOOKUP(A3311,Planilha2!$A$2:$D$5566,4,0)</f>
        <v>PR</v>
      </c>
    </row>
    <row r="3312" spans="1:3" x14ac:dyDescent="0.35">
      <c r="A3312">
        <v>411095</v>
      </c>
      <c r="B3312" t="str">
        <f>VLOOKUP(A3312,Planilha2!$A$2:$C$5566,3,0)</f>
        <v>ITAIPULÂNDIA</v>
      </c>
      <c r="C3312" t="str">
        <f>VLOOKUP(A3312,Planilha2!$A$2:$D$5566,4,0)</f>
        <v>PR</v>
      </c>
    </row>
    <row r="3313" spans="1:3" x14ac:dyDescent="0.35">
      <c r="A3313">
        <v>411110</v>
      </c>
      <c r="B3313" t="str">
        <f>VLOOKUP(A3313,Planilha2!$A$2:$C$5566,3,0)</f>
        <v>ITAMBÉ</v>
      </c>
      <c r="C3313" t="str">
        <f>VLOOKUP(A3313,Planilha2!$A$2:$D$5566,4,0)</f>
        <v>PR</v>
      </c>
    </row>
    <row r="3314" spans="1:3" x14ac:dyDescent="0.35">
      <c r="A3314">
        <v>410115</v>
      </c>
      <c r="B3314" t="str">
        <f>VLOOKUP(A3314,Planilha2!$A$2:$C$5566,3,0)</f>
        <v>ÂNGULO</v>
      </c>
      <c r="C3314" t="str">
        <f>VLOOKUP(A3314,Planilha2!$A$2:$D$5566,4,0)</f>
        <v>PR</v>
      </c>
    </row>
    <row r="3315" spans="1:3" x14ac:dyDescent="0.35">
      <c r="A3315">
        <v>411770</v>
      </c>
      <c r="B3315" t="str">
        <f>VLOOKUP(A3315,Planilha2!$A$2:$C$5566,3,0)</f>
        <v>PALMEIRA</v>
      </c>
      <c r="C3315" t="str">
        <f>VLOOKUP(A3315,Planilha2!$A$2:$D$5566,4,0)</f>
        <v>PR</v>
      </c>
    </row>
    <row r="3316" spans="1:3" x14ac:dyDescent="0.35">
      <c r="A3316">
        <v>411350</v>
      </c>
      <c r="B3316" t="str">
        <f>VLOOKUP(A3316,Planilha2!$A$2:$C$5566,3,0)</f>
        <v>LOANDA</v>
      </c>
      <c r="C3316" t="str">
        <f>VLOOKUP(A3316,Planilha2!$A$2:$D$5566,4,0)</f>
        <v>PR</v>
      </c>
    </row>
    <row r="3317" spans="1:3" x14ac:dyDescent="0.35">
      <c r="A3317">
        <v>411220</v>
      </c>
      <c r="B3317" t="str">
        <f>VLOOKUP(A3317,Planilha2!$A$2:$C$5566,3,0)</f>
        <v>JANIÓPOLIS</v>
      </c>
      <c r="C3317" t="str">
        <f>VLOOKUP(A3317,Planilha2!$A$2:$D$5566,4,0)</f>
        <v>PR</v>
      </c>
    </row>
    <row r="3318" spans="1:3" x14ac:dyDescent="0.35">
      <c r="A3318">
        <v>411610</v>
      </c>
      <c r="B3318" t="str">
        <f>VLOOKUP(A3318,Planilha2!$A$2:$C$5566,3,0)</f>
        <v>MOREIRA SALES</v>
      </c>
      <c r="C3318" t="str">
        <f>VLOOKUP(A3318,Planilha2!$A$2:$D$5566,4,0)</f>
        <v>PR</v>
      </c>
    </row>
    <row r="3319" spans="1:3" x14ac:dyDescent="0.35">
      <c r="A3319">
        <v>410750</v>
      </c>
      <c r="B3319" t="str">
        <f>VLOOKUP(A3319,Planilha2!$A$2:$C$5566,3,0)</f>
        <v>ENGENHEIRO BELTRÃO</v>
      </c>
      <c r="C3319" t="str">
        <f>VLOOKUP(A3319,Planilha2!$A$2:$D$5566,4,0)</f>
        <v>PR</v>
      </c>
    </row>
    <row r="3320" spans="1:3" x14ac:dyDescent="0.35">
      <c r="A3320">
        <v>411680</v>
      </c>
      <c r="B3320" t="str">
        <f>VLOOKUP(A3320,Planilha2!$A$2:$C$5566,3,0)</f>
        <v>NOVA CANTU</v>
      </c>
      <c r="C3320" t="str">
        <f>VLOOKUP(A3320,Planilha2!$A$2:$D$5566,4,0)</f>
        <v>PR</v>
      </c>
    </row>
    <row r="3321" spans="1:3" x14ac:dyDescent="0.35">
      <c r="A3321">
        <v>411345</v>
      </c>
      <c r="B3321" t="str">
        <f>VLOOKUP(A3321,Planilha2!$A$2:$C$5566,3,0)</f>
        <v>LINDOESTE</v>
      </c>
      <c r="C3321" t="str">
        <f>VLOOKUP(A3321,Planilha2!$A$2:$D$5566,4,0)</f>
        <v>PR</v>
      </c>
    </row>
    <row r="3322" spans="1:3" x14ac:dyDescent="0.35">
      <c r="A3322">
        <v>412085</v>
      </c>
      <c r="B3322" t="str">
        <f>VLOOKUP(A3322,Planilha2!$A$2:$C$5566,3,0)</f>
        <v>QUATRO PONTES</v>
      </c>
      <c r="C3322" t="str">
        <f>VLOOKUP(A3322,Planilha2!$A$2:$D$5566,4,0)</f>
        <v>PR</v>
      </c>
    </row>
    <row r="3323" spans="1:3" x14ac:dyDescent="0.35">
      <c r="A3323">
        <v>411155</v>
      </c>
      <c r="B3323" t="str">
        <f>VLOOKUP(A3323,Planilha2!$A$2:$C$5566,3,0)</f>
        <v>IVATÉ</v>
      </c>
      <c r="C3323" t="str">
        <f>VLOOKUP(A3323,Planilha2!$A$2:$D$5566,4,0)</f>
        <v>PR</v>
      </c>
    </row>
    <row r="3324" spans="1:3" x14ac:dyDescent="0.35">
      <c r="A3324">
        <v>411140</v>
      </c>
      <c r="B3324" t="str">
        <f>VLOOKUP(A3324,Planilha2!$A$2:$C$5566,3,0)</f>
        <v>IVAÍ</v>
      </c>
      <c r="C3324" t="str">
        <f>VLOOKUP(A3324,Planilha2!$A$2:$D$5566,4,0)</f>
        <v>PR</v>
      </c>
    </row>
    <row r="3325" spans="1:3" x14ac:dyDescent="0.35">
      <c r="A3325">
        <v>411390</v>
      </c>
      <c r="B3325" t="str">
        <f>VLOOKUP(A3325,Planilha2!$A$2:$C$5566,3,0)</f>
        <v>MALLET</v>
      </c>
      <c r="C3325" t="str">
        <f>VLOOKUP(A3325,Planilha2!$A$2:$D$5566,4,0)</f>
        <v>PR</v>
      </c>
    </row>
    <row r="3326" spans="1:3" x14ac:dyDescent="0.35">
      <c r="A3326">
        <v>411020</v>
      </c>
      <c r="B3326" t="str">
        <f>VLOOKUP(A3326,Planilha2!$A$2:$C$5566,3,0)</f>
        <v>INÁCIO MARTINS</v>
      </c>
      <c r="C3326" t="str">
        <f>VLOOKUP(A3326,Planilha2!$A$2:$D$5566,4,0)</f>
        <v>PR</v>
      </c>
    </row>
    <row r="3327" spans="1:3" x14ac:dyDescent="0.35">
      <c r="A3327">
        <v>410510</v>
      </c>
      <c r="B3327" t="str">
        <f>VLOOKUP(A3327,Planilha2!$A$2:$C$5566,3,0)</f>
        <v>CENTENÁRIO DO SUL</v>
      </c>
      <c r="C3327" t="str">
        <f>VLOOKUP(A3327,Planilha2!$A$2:$D$5566,4,0)</f>
        <v>PR</v>
      </c>
    </row>
    <row r="3328" spans="1:3" x14ac:dyDescent="0.35">
      <c r="A3328">
        <v>411830</v>
      </c>
      <c r="B3328" t="str">
        <f>VLOOKUP(A3328,Planilha2!$A$2:$C$5566,3,0)</f>
        <v>PARANAPOEMA</v>
      </c>
      <c r="C3328" t="str">
        <f>VLOOKUP(A3328,Planilha2!$A$2:$D$5566,4,0)</f>
        <v>PR</v>
      </c>
    </row>
    <row r="3329" spans="1:3" x14ac:dyDescent="0.35">
      <c r="A3329">
        <v>411275</v>
      </c>
      <c r="B3329" t="str">
        <f>VLOOKUP(A3329,Planilha2!$A$2:$C$5566,3,0)</f>
        <v>JESUÍTAS</v>
      </c>
      <c r="C3329" t="str">
        <f>VLOOKUP(A3329,Planilha2!$A$2:$D$5566,4,0)</f>
        <v>PR</v>
      </c>
    </row>
    <row r="3330" spans="1:3" x14ac:dyDescent="0.35">
      <c r="A3330">
        <v>412385</v>
      </c>
      <c r="B3330" t="str">
        <f>VLOOKUP(A3330,Planilha2!$A$2:$C$5566,3,0)</f>
        <v>SANTA MARIA DO OESTE</v>
      </c>
      <c r="C3330" t="str">
        <f>VLOOKUP(A3330,Planilha2!$A$2:$D$5566,4,0)</f>
        <v>PR</v>
      </c>
    </row>
    <row r="3331" spans="1:3" x14ac:dyDescent="0.35">
      <c r="A3331">
        <v>421370</v>
      </c>
      <c r="B3331" t="str">
        <f>VLOOKUP(A3331,Planilha2!$A$2:$C$5566,3,0)</f>
        <v>POUSO REDONDO</v>
      </c>
      <c r="C3331" t="str">
        <f>VLOOKUP(A3331,Planilha2!$A$2:$D$5566,4,0)</f>
        <v>SC</v>
      </c>
    </row>
    <row r="3332" spans="1:3" x14ac:dyDescent="0.35">
      <c r="A3332">
        <v>421150</v>
      </c>
      <c r="B3332" t="str">
        <f>VLOOKUP(A3332,Planilha2!$A$2:$C$5566,3,0)</f>
        <v>NOVA TRENTO</v>
      </c>
      <c r="C3332" t="str">
        <f>VLOOKUP(A3332,Planilha2!$A$2:$D$5566,4,0)</f>
        <v>SC</v>
      </c>
    </row>
    <row r="3333" spans="1:3" x14ac:dyDescent="0.35">
      <c r="A3333">
        <v>420440</v>
      </c>
      <c r="B3333" t="str">
        <f>VLOOKUP(A3333,Planilha2!$A$2:$C$5566,3,0)</f>
        <v>CORONEL FREITAS</v>
      </c>
      <c r="C3333" t="str">
        <f>VLOOKUP(A3333,Planilha2!$A$2:$D$5566,4,0)</f>
        <v>SC</v>
      </c>
    </row>
    <row r="3334" spans="1:3" x14ac:dyDescent="0.35">
      <c r="A3334">
        <v>421420</v>
      </c>
      <c r="B3334" t="str">
        <f>VLOOKUP(A3334,Planilha2!$A$2:$C$5566,3,0)</f>
        <v>QUILOMBO</v>
      </c>
      <c r="C3334" t="str">
        <f>VLOOKUP(A3334,Planilha2!$A$2:$D$5566,4,0)</f>
        <v>SC</v>
      </c>
    </row>
    <row r="3335" spans="1:3" x14ac:dyDescent="0.35">
      <c r="A3335">
        <v>421875</v>
      </c>
      <c r="B3335" t="str">
        <f>VLOOKUP(A3335,Planilha2!$A$2:$C$5566,3,0)</f>
        <v>TUNÁPOLIS</v>
      </c>
      <c r="C3335" t="str">
        <f>VLOOKUP(A3335,Planilha2!$A$2:$D$5566,4,0)</f>
        <v>SC</v>
      </c>
    </row>
    <row r="3336" spans="1:3" x14ac:dyDescent="0.35">
      <c r="A3336">
        <v>420780</v>
      </c>
      <c r="B3336" t="str">
        <f>VLOOKUP(A3336,Planilha2!$A$2:$C$5566,3,0)</f>
        <v>IRANI</v>
      </c>
      <c r="C3336" t="str">
        <f>VLOOKUP(A3336,Planilha2!$A$2:$D$5566,4,0)</f>
        <v>SC</v>
      </c>
    </row>
    <row r="3337" spans="1:3" x14ac:dyDescent="0.35">
      <c r="A3337">
        <v>420530</v>
      </c>
      <c r="B3337" t="str">
        <f>VLOOKUP(A3337,Planilha2!$A$2:$C$5566,3,0)</f>
        <v>FAXINAL DOS GUEDES</v>
      </c>
      <c r="C3337" t="str">
        <f>VLOOKUP(A3337,Planilha2!$A$2:$D$5566,4,0)</f>
        <v>SC</v>
      </c>
    </row>
    <row r="3338" spans="1:3" x14ac:dyDescent="0.35">
      <c r="A3338">
        <v>421575</v>
      </c>
      <c r="B3338" t="str">
        <f>VLOOKUP(A3338,Planilha2!$A$2:$C$5566,3,0)</f>
        <v>SÃO BERNARDINO</v>
      </c>
      <c r="C3338" t="str">
        <f>VLOOKUP(A3338,Planilha2!$A$2:$D$5566,4,0)</f>
        <v>SC</v>
      </c>
    </row>
    <row r="3339" spans="1:3" x14ac:dyDescent="0.35">
      <c r="A3339">
        <v>420455</v>
      </c>
      <c r="B3339" t="str">
        <f>VLOOKUP(A3339,Planilha2!$A$2:$C$5566,3,0)</f>
        <v>CORREIA PINTO</v>
      </c>
      <c r="C3339" t="str">
        <f>VLOOKUP(A3339,Planilha2!$A$2:$D$5566,4,0)</f>
        <v>SC</v>
      </c>
    </row>
    <row r="3340" spans="1:3" x14ac:dyDescent="0.35">
      <c r="A3340">
        <v>420213</v>
      </c>
      <c r="B3340" t="str">
        <f>VLOOKUP(A3340,Planilha2!$A$2:$C$5566,3,0)</f>
        <v>BELA VISTA DO TOLDO</v>
      </c>
      <c r="C3340" t="str">
        <f>VLOOKUP(A3340,Planilha2!$A$2:$D$5566,4,0)</f>
        <v>SC</v>
      </c>
    </row>
    <row r="3341" spans="1:3" x14ac:dyDescent="0.35">
      <c r="A3341">
        <v>420380</v>
      </c>
      <c r="B3341" t="str">
        <f>VLOOKUP(A3341,Planilha2!$A$2:$C$5566,3,0)</f>
        <v>CANOINHAS</v>
      </c>
      <c r="C3341" t="str">
        <f>VLOOKUP(A3341,Planilha2!$A$2:$D$5566,4,0)</f>
        <v>SC</v>
      </c>
    </row>
    <row r="3342" spans="1:3" x14ac:dyDescent="0.35">
      <c r="A3342">
        <v>421530</v>
      </c>
      <c r="B3342" t="str">
        <f>VLOOKUP(A3342,Planilha2!$A$2:$C$5566,3,0)</f>
        <v>SALETE</v>
      </c>
      <c r="C3342" t="str">
        <f>VLOOKUP(A3342,Planilha2!$A$2:$D$5566,4,0)</f>
        <v>SC</v>
      </c>
    </row>
    <row r="3343" spans="1:3" x14ac:dyDescent="0.35">
      <c r="A3343">
        <v>421480</v>
      </c>
      <c r="B3343" t="str">
        <f>VLOOKUP(A3343,Planilha2!$A$2:$C$5566,3,0)</f>
        <v>RIO DO SUL</v>
      </c>
      <c r="C3343" t="str">
        <f>VLOOKUP(A3343,Planilha2!$A$2:$D$5566,4,0)</f>
        <v>SC</v>
      </c>
    </row>
    <row r="3344" spans="1:3" x14ac:dyDescent="0.35">
      <c r="A3344">
        <v>420590</v>
      </c>
      <c r="B3344" t="str">
        <f>VLOOKUP(A3344,Planilha2!$A$2:$C$5566,3,0)</f>
        <v>GASPAR</v>
      </c>
      <c r="C3344" t="str">
        <f>VLOOKUP(A3344,Planilha2!$A$2:$D$5566,4,0)</f>
        <v>SC</v>
      </c>
    </row>
    <row r="3345" spans="1:3" x14ac:dyDescent="0.35">
      <c r="A3345">
        <v>421000</v>
      </c>
      <c r="B3345" t="str">
        <f>VLOOKUP(A3345,Planilha2!$A$2:$C$5566,3,0)</f>
        <v>LUIZ ALVES</v>
      </c>
      <c r="C3345" t="str">
        <f>VLOOKUP(A3345,Planilha2!$A$2:$D$5566,4,0)</f>
        <v>SC</v>
      </c>
    </row>
    <row r="3346" spans="1:3" x14ac:dyDescent="0.35">
      <c r="A3346">
        <v>421350</v>
      </c>
      <c r="B3346" t="str">
        <f>VLOOKUP(A3346,Planilha2!$A$2:$C$5566,3,0)</f>
        <v>PORTO BELO</v>
      </c>
      <c r="C3346" t="str">
        <f>VLOOKUP(A3346,Planilha2!$A$2:$D$5566,4,0)</f>
        <v>SC</v>
      </c>
    </row>
    <row r="3347" spans="1:3" x14ac:dyDescent="0.35">
      <c r="A3347">
        <v>420425</v>
      </c>
      <c r="B3347" t="str">
        <f>VLOOKUP(A3347,Planilha2!$A$2:$C$5566,3,0)</f>
        <v>COCAL DO SUL</v>
      </c>
      <c r="C3347" t="str">
        <f>VLOOKUP(A3347,Planilha2!$A$2:$D$5566,4,0)</f>
        <v>SC</v>
      </c>
    </row>
    <row r="3348" spans="1:3" x14ac:dyDescent="0.35">
      <c r="A3348">
        <v>421225</v>
      </c>
      <c r="B3348" t="str">
        <f>VLOOKUP(A3348,Planilha2!$A$2:$C$5566,3,0)</f>
        <v>PASSO DE TORRES</v>
      </c>
      <c r="C3348" t="str">
        <f>VLOOKUP(A3348,Planilha2!$A$2:$D$5566,4,0)</f>
        <v>SC</v>
      </c>
    </row>
    <row r="3349" spans="1:3" x14ac:dyDescent="0.35">
      <c r="A3349">
        <v>430080</v>
      </c>
      <c r="B3349" t="str">
        <f>VLOOKUP(A3349,Planilha2!$A$2:$C$5566,3,0)</f>
        <v>ANTÔNIO PRADO</v>
      </c>
      <c r="C3349" t="str">
        <f>VLOOKUP(A3349,Planilha2!$A$2:$D$5566,4,0)</f>
        <v>RS</v>
      </c>
    </row>
    <row r="3350" spans="1:3" x14ac:dyDescent="0.35">
      <c r="A3350">
        <v>432020</v>
      </c>
      <c r="B3350" t="str">
        <f>VLOOKUP(A3350,Planilha2!$A$2:$C$5566,3,0)</f>
        <v>SEBERI</v>
      </c>
      <c r="C3350" t="str">
        <f>VLOOKUP(A3350,Planilha2!$A$2:$D$5566,4,0)</f>
        <v>RS</v>
      </c>
    </row>
    <row r="3351" spans="1:3" x14ac:dyDescent="0.35">
      <c r="A3351">
        <v>430200</v>
      </c>
      <c r="B3351" t="str">
        <f>VLOOKUP(A3351,Planilha2!$A$2:$C$5566,3,0)</f>
        <v>BARROS CASSAL</v>
      </c>
      <c r="C3351" t="str">
        <f>VLOOKUP(A3351,Planilha2!$A$2:$D$5566,4,0)</f>
        <v>RS</v>
      </c>
    </row>
    <row r="3352" spans="1:3" x14ac:dyDescent="0.35">
      <c r="A3352">
        <v>430047</v>
      </c>
      <c r="B3352" t="str">
        <f>VLOOKUP(A3352,Planilha2!$A$2:$C$5566,3,0)</f>
        <v>ALMIRANTE TAMANDARÉ DO SUL</v>
      </c>
      <c r="C3352" t="str">
        <f>VLOOKUP(A3352,Planilha2!$A$2:$D$5566,4,0)</f>
        <v>RS</v>
      </c>
    </row>
    <row r="3353" spans="1:3" x14ac:dyDescent="0.35">
      <c r="A3353">
        <v>430512</v>
      </c>
      <c r="B3353" t="str">
        <f>VLOOKUP(A3353,Planilha2!$A$2:$C$5566,3,0)</f>
        <v>CERRITO</v>
      </c>
      <c r="C3353" t="str">
        <f>VLOOKUP(A3353,Planilha2!$A$2:$D$5566,4,0)</f>
        <v>RS</v>
      </c>
    </row>
    <row r="3354" spans="1:3" x14ac:dyDescent="0.35">
      <c r="A3354">
        <v>431700</v>
      </c>
      <c r="B3354" t="str">
        <f>VLOOKUP(A3354,Planilha2!$A$2:$C$5566,3,0)</f>
        <v>SANTANA DA BOA VISTA</v>
      </c>
      <c r="C3354" t="str">
        <f>VLOOKUP(A3354,Planilha2!$A$2:$D$5566,4,0)</f>
        <v>RS</v>
      </c>
    </row>
    <row r="3355" spans="1:3" x14ac:dyDescent="0.35">
      <c r="A3355">
        <v>431420</v>
      </c>
      <c r="B3355" t="str">
        <f>VLOOKUP(A3355,Planilha2!$A$2:$C$5566,3,0)</f>
        <v>PEDRO OSÓRIO</v>
      </c>
      <c r="C3355" t="str">
        <f>VLOOKUP(A3355,Planilha2!$A$2:$D$5566,4,0)</f>
        <v>RS</v>
      </c>
    </row>
    <row r="3356" spans="1:3" x14ac:dyDescent="0.35">
      <c r="A3356">
        <v>431043</v>
      </c>
      <c r="B3356" t="str">
        <f>VLOOKUP(A3356,Planilha2!$A$2:$C$5566,3,0)</f>
        <v>IPÊ</v>
      </c>
      <c r="C3356" t="str">
        <f>VLOOKUP(A3356,Planilha2!$A$2:$D$5566,4,0)</f>
        <v>RS</v>
      </c>
    </row>
    <row r="3357" spans="1:3" x14ac:dyDescent="0.35">
      <c r="A3357">
        <v>431261</v>
      </c>
      <c r="B3357" t="str">
        <f>VLOOKUP(A3357,Planilha2!$A$2:$C$5566,3,0)</f>
        <v>MUITOS CAPÕES</v>
      </c>
      <c r="C3357" t="str">
        <f>VLOOKUP(A3357,Planilha2!$A$2:$D$5566,4,0)</f>
        <v>RS</v>
      </c>
    </row>
    <row r="3358" spans="1:3" x14ac:dyDescent="0.35">
      <c r="A3358">
        <v>432110</v>
      </c>
      <c r="B3358" t="str">
        <f>VLOOKUP(A3358,Planilha2!$A$2:$C$5566,3,0)</f>
        <v>TAPES</v>
      </c>
      <c r="C3358" t="str">
        <f>VLOOKUP(A3358,Planilha2!$A$2:$D$5566,4,0)</f>
        <v>RS</v>
      </c>
    </row>
    <row r="3359" spans="1:3" x14ac:dyDescent="0.35">
      <c r="A3359">
        <v>431861</v>
      </c>
      <c r="B3359" t="str">
        <f>VLOOKUP(A3359,Planilha2!$A$2:$C$5566,3,0)</f>
        <v>SÃO JOSÉ DO SUL</v>
      </c>
      <c r="C3359" t="str">
        <f>VLOOKUP(A3359,Planilha2!$A$2:$D$5566,4,0)</f>
        <v>RS</v>
      </c>
    </row>
    <row r="3360" spans="1:3" x14ac:dyDescent="0.35">
      <c r="A3360">
        <v>431110</v>
      </c>
      <c r="B3360" t="str">
        <f>VLOOKUP(A3360,Planilha2!$A$2:$C$5566,3,0)</f>
        <v>JAGUARI</v>
      </c>
      <c r="C3360" t="str">
        <f>VLOOKUP(A3360,Planilha2!$A$2:$D$5566,4,0)</f>
        <v>RS</v>
      </c>
    </row>
    <row r="3361" spans="1:3" x14ac:dyDescent="0.35">
      <c r="A3361">
        <v>430800</v>
      </c>
      <c r="B3361" t="str">
        <f>VLOOKUP(A3361,Planilha2!$A$2:$C$5566,3,0)</f>
        <v>FAXINAL DO SOTURNO</v>
      </c>
      <c r="C3361" t="str">
        <f>VLOOKUP(A3361,Planilha2!$A$2:$D$5566,4,0)</f>
        <v>RS</v>
      </c>
    </row>
    <row r="3362" spans="1:3" x14ac:dyDescent="0.35">
      <c r="A3362">
        <v>500380</v>
      </c>
      <c r="B3362" t="str">
        <f>VLOOKUP(A3362,Planilha2!$A$2:$C$5566,3,0)</f>
        <v>FÁTIMA DO SUL</v>
      </c>
      <c r="C3362" t="str">
        <f>VLOOKUP(A3362,Planilha2!$A$2:$D$5566,4,0)</f>
        <v>MS</v>
      </c>
    </row>
    <row r="3363" spans="1:3" x14ac:dyDescent="0.35">
      <c r="A3363" s="2">
        <v>510183</v>
      </c>
      <c r="B3363" t="str">
        <f>VLOOKUP(A3363,[1]IBGE!A$2:B$27,2,0)</f>
        <v>Boa Esperança do Norte</v>
      </c>
      <c r="C3363" t="str">
        <f>VLOOKUP(A3363,[1]IBGE!A$2:C$27,3,0)</f>
        <v>MT</v>
      </c>
    </row>
    <row r="3364" spans="1:3" x14ac:dyDescent="0.35">
      <c r="A3364">
        <v>510850</v>
      </c>
      <c r="B3364" t="str">
        <f>VLOOKUP(A3364,Planilha2!$A$2:$C$5566,3,0)</f>
        <v>VERA</v>
      </c>
      <c r="C3364" t="str">
        <f>VLOOKUP(A3364,Planilha2!$A$2:$D$5566,4,0)</f>
        <v>MT</v>
      </c>
    </row>
    <row r="3365" spans="1:3" x14ac:dyDescent="0.35">
      <c r="A3365">
        <v>510800</v>
      </c>
      <c r="B3365" t="str">
        <f>VLOOKUP(A3365,Planilha2!$A$2:$C$5566,3,0)</f>
        <v>TAPURAH</v>
      </c>
      <c r="C3365" t="str">
        <f>VLOOKUP(A3365,Planilha2!$A$2:$D$5566,4,0)</f>
        <v>MT</v>
      </c>
    </row>
    <row r="3366" spans="1:3" x14ac:dyDescent="0.35">
      <c r="A3366">
        <v>510740</v>
      </c>
      <c r="B3366" t="str">
        <f>VLOOKUP(A3366,Planilha2!$A$2:$C$5566,3,0)</f>
        <v>SÃO PEDRO DA CIPA</v>
      </c>
      <c r="C3366" t="str">
        <f>VLOOKUP(A3366,Planilha2!$A$2:$D$5566,4,0)</f>
        <v>MT</v>
      </c>
    </row>
    <row r="3367" spans="1:3" x14ac:dyDescent="0.35">
      <c r="A3367">
        <v>510622</v>
      </c>
      <c r="B3367" t="str">
        <f>VLOOKUP(A3367,Planilha2!$A$2:$C$5566,3,0)</f>
        <v>NOVA MUTUM</v>
      </c>
      <c r="C3367" t="str">
        <f>VLOOKUP(A3367,Planilha2!$A$2:$D$5566,4,0)</f>
        <v>MT</v>
      </c>
    </row>
    <row r="3368" spans="1:3" x14ac:dyDescent="0.35">
      <c r="A3368">
        <v>520753</v>
      </c>
      <c r="B3368" t="str">
        <f>VLOOKUP(A3368,Planilha2!$A$2:$C$5566,3,0)</f>
        <v>FAINA</v>
      </c>
      <c r="C3368" t="str">
        <f>VLOOKUP(A3368,Planilha2!$A$2:$D$5566,4,0)</f>
        <v>GO</v>
      </c>
    </row>
    <row r="3369" spans="1:3" x14ac:dyDescent="0.35">
      <c r="A3369">
        <v>522070</v>
      </c>
      <c r="B3369" t="str">
        <f>VLOOKUP(A3369,Planilha2!$A$2:$C$5566,3,0)</f>
        <v>SÍTIO D`ABADIA</v>
      </c>
      <c r="C3369" t="str">
        <f>VLOOKUP(A3369,Planilha2!$A$2:$D$5566,4,0)</f>
        <v>GO</v>
      </c>
    </row>
    <row r="3370" spans="1:3" x14ac:dyDescent="0.35">
      <c r="A3370">
        <v>522068</v>
      </c>
      <c r="B3370" t="str">
        <f>VLOOKUP(A3370,Planilha2!$A$2:$C$5566,3,0)</f>
        <v>SIMOLÂNDIA</v>
      </c>
      <c r="C3370" t="str">
        <f>VLOOKUP(A3370,Planilha2!$A$2:$D$5566,4,0)</f>
        <v>GO</v>
      </c>
    </row>
    <row r="3371" spans="1:3" x14ac:dyDescent="0.35">
      <c r="A3371">
        <v>520235</v>
      </c>
      <c r="B3371" t="str">
        <f>VLOOKUP(A3371,Planilha2!$A$2:$C$5566,3,0)</f>
        <v>ARENÓPOLIS</v>
      </c>
      <c r="C3371" t="str">
        <f>VLOOKUP(A3371,Planilha2!$A$2:$D$5566,4,0)</f>
        <v>GO</v>
      </c>
    </row>
    <row r="3372" spans="1:3" x14ac:dyDescent="0.35">
      <c r="A3372">
        <v>521120</v>
      </c>
      <c r="B3372" t="str">
        <f>VLOOKUP(A3372,Planilha2!$A$2:$C$5566,3,0)</f>
        <v>ITAPURANGA</v>
      </c>
      <c r="C3372" t="str">
        <f>VLOOKUP(A3372,Planilha2!$A$2:$D$5566,4,0)</f>
        <v>GO</v>
      </c>
    </row>
    <row r="3373" spans="1:3" x14ac:dyDescent="0.35">
      <c r="A3373">
        <v>520551</v>
      </c>
      <c r="B3373" t="str">
        <f>VLOOKUP(A3373,Planilha2!$A$2:$C$5566,3,0)</f>
        <v>COCALZINHO DE GOIÁS</v>
      </c>
      <c r="C3373" t="str">
        <f>VLOOKUP(A3373,Planilha2!$A$2:$D$5566,4,0)</f>
        <v>GO</v>
      </c>
    </row>
    <row r="3374" spans="1:3" x14ac:dyDescent="0.35">
      <c r="A3374">
        <v>521440</v>
      </c>
      <c r="B3374" t="str">
        <f>VLOOKUP(A3374,Planilha2!$A$2:$C$5566,3,0)</f>
        <v>NAZÁRIO</v>
      </c>
      <c r="C3374" t="str">
        <f>VLOOKUP(A3374,Planilha2!$A$2:$D$5566,4,0)</f>
        <v>GO</v>
      </c>
    </row>
    <row r="3375" spans="1:3" x14ac:dyDescent="0.35">
      <c r="A3375">
        <v>521450</v>
      </c>
      <c r="B3375" t="str">
        <f>VLOOKUP(A3375,Planilha2!$A$2:$C$5566,3,0)</f>
        <v>NERÓPOLIS</v>
      </c>
      <c r="C3375" t="str">
        <f>VLOOKUP(A3375,Planilha2!$A$2:$D$5566,4,0)</f>
        <v>GO</v>
      </c>
    </row>
    <row r="3376" spans="1:3" x14ac:dyDescent="0.35">
      <c r="A3376">
        <v>231380</v>
      </c>
      <c r="B3376" t="str">
        <f>VLOOKUP(A3376,Planilha2!$A$2:$C$5566,3,0)</f>
        <v>URUBURETAMA</v>
      </c>
      <c r="C3376" t="str">
        <f>VLOOKUP(A3376,Planilha2!$A$2:$D$5566,4,0)</f>
        <v>CE</v>
      </c>
    </row>
    <row r="3377" spans="1:3" x14ac:dyDescent="0.35">
      <c r="A3377">
        <v>250820</v>
      </c>
      <c r="B3377" t="str">
        <f>VLOOKUP(A3377,Planilha2!$A$2:$C$5566,3,0)</f>
        <v>LAGOA DE DENTRO</v>
      </c>
      <c r="C3377" t="str">
        <f>VLOOKUP(A3377,Planilha2!$A$2:$D$5566,4,0)</f>
        <v>PB</v>
      </c>
    </row>
    <row r="3378" spans="1:3" x14ac:dyDescent="0.35">
      <c r="A3378">
        <v>411721</v>
      </c>
      <c r="B3378" t="str">
        <f>VLOOKUP(A3378,Planilha2!$A$2:$C$5566,3,0)</f>
        <v>NOVA SANTA BÁRBARA</v>
      </c>
      <c r="C3378" t="str">
        <f>VLOOKUP(A3378,Planilha2!$A$2:$D$5566,4,0)</f>
        <v>PR</v>
      </c>
    </row>
    <row r="3379" spans="1:3" x14ac:dyDescent="0.35">
      <c r="A3379">
        <v>220695</v>
      </c>
      <c r="B3379" t="str">
        <f>VLOOKUP(A3379,Planilha2!$A$2:$C$5566,3,0)</f>
        <v>NOVO SANTO ANTÔNIO</v>
      </c>
      <c r="C3379" t="str">
        <f>VLOOKUP(A3379,Planilha2!$A$2:$D$5566,4,0)</f>
        <v>PI</v>
      </c>
    </row>
    <row r="3380" spans="1:3" x14ac:dyDescent="0.35">
      <c r="A3380">
        <v>171630</v>
      </c>
      <c r="B3380" t="str">
        <f>VLOOKUP(A3380,Planilha2!$A$2:$C$5566,3,0)</f>
        <v>PAU D`ARCO</v>
      </c>
      <c r="C3380" t="str">
        <f>VLOOKUP(A3380,Planilha2!$A$2:$D$5566,4,0)</f>
        <v>TO</v>
      </c>
    </row>
    <row r="3381" spans="1:3" x14ac:dyDescent="0.35">
      <c r="A3381">
        <v>430340</v>
      </c>
      <c r="B3381" t="str">
        <f>VLOOKUP(A3381,Planilha2!$A$2:$C$5566,3,0)</f>
        <v>CAIÇARA</v>
      </c>
      <c r="C3381" t="str">
        <f>VLOOKUP(A3381,Planilha2!$A$2:$D$5566,4,0)</f>
        <v>RS</v>
      </c>
    </row>
    <row r="3382" spans="1:3" x14ac:dyDescent="0.35">
      <c r="A3382">
        <v>430380</v>
      </c>
      <c r="B3382" t="str">
        <f>VLOOKUP(A3382,Planilha2!$A$2:$C$5566,3,0)</f>
        <v>CAMPINAS DO SUL</v>
      </c>
      <c r="C3382" t="str">
        <f>VLOOKUP(A3382,Planilha2!$A$2:$D$5566,4,0)</f>
        <v>RS</v>
      </c>
    </row>
    <row r="3383" spans="1:3" x14ac:dyDescent="0.35">
      <c r="A3383">
        <v>110045</v>
      </c>
      <c r="B3383" t="str">
        <f>VLOOKUP(A3383,Planilha2!$A$2:$C$5566,3,0)</f>
        <v>BURITIS</v>
      </c>
      <c r="C3383" t="str">
        <f>VLOOKUP(A3383,Planilha2!$A$2:$D$5566,4,0)</f>
        <v>RO</v>
      </c>
    </row>
    <row r="3384" spans="1:3" x14ac:dyDescent="0.35">
      <c r="A3384">
        <v>150750</v>
      </c>
      <c r="B3384" t="str">
        <f>VLOOKUP(A3384,Planilha2!$A$2:$C$5566,3,0)</f>
        <v>SÃO JOÃO DO ARAGUAIA</v>
      </c>
      <c r="C3384" t="str">
        <f>VLOOKUP(A3384,Planilha2!$A$2:$D$5566,4,0)</f>
        <v>PA</v>
      </c>
    </row>
    <row r="3385" spans="1:3" x14ac:dyDescent="0.35">
      <c r="A3385">
        <v>150570</v>
      </c>
      <c r="B3385" t="str">
        <f>VLOOKUP(A3385,Planilha2!$A$2:$C$5566,3,0)</f>
        <v>PONTA DE PEDRAS</v>
      </c>
      <c r="C3385" t="str">
        <f>VLOOKUP(A3385,Planilha2!$A$2:$D$5566,4,0)</f>
        <v>PA</v>
      </c>
    </row>
    <row r="3386" spans="1:3" x14ac:dyDescent="0.35">
      <c r="A3386">
        <v>150610</v>
      </c>
      <c r="B3386" t="str">
        <f>VLOOKUP(A3386,Planilha2!$A$2:$C$5566,3,0)</f>
        <v>PRIMAVERA</v>
      </c>
      <c r="C3386" t="str">
        <f>VLOOKUP(A3386,Planilha2!$A$2:$D$5566,4,0)</f>
        <v>PA</v>
      </c>
    </row>
    <row r="3387" spans="1:3" x14ac:dyDescent="0.35">
      <c r="A3387">
        <v>150460</v>
      </c>
      <c r="B3387" t="str">
        <f>VLOOKUP(A3387,Planilha2!$A$2:$C$5566,3,0)</f>
        <v>MOCAJUBA</v>
      </c>
      <c r="C3387" t="str">
        <f>VLOOKUP(A3387,Planilha2!$A$2:$D$5566,4,0)</f>
        <v>PA</v>
      </c>
    </row>
    <row r="3388" spans="1:3" x14ac:dyDescent="0.35">
      <c r="A3388">
        <v>315070</v>
      </c>
      <c r="B3388" t="str">
        <f>VLOOKUP(A3388,Planilha2!$A$2:$C$5566,3,0)</f>
        <v>PIRAJUBA</v>
      </c>
      <c r="C3388" t="str">
        <f>VLOOKUP(A3388,Planilha2!$A$2:$D$5566,4,0)</f>
        <v>MG</v>
      </c>
    </row>
    <row r="3389" spans="1:3" x14ac:dyDescent="0.35">
      <c r="A3389">
        <v>430850</v>
      </c>
      <c r="B3389" t="str">
        <f>VLOOKUP(A3389,Planilha2!$A$2:$C$5566,3,0)</f>
        <v>FREDERICO WESTPHALEN</v>
      </c>
      <c r="C3389" t="str">
        <f>VLOOKUP(A3389,Planilha2!$A$2:$D$5566,4,0)</f>
        <v>RS</v>
      </c>
    </row>
    <row r="3390" spans="1:3" x14ac:dyDescent="0.35">
      <c r="A3390">
        <v>431590</v>
      </c>
      <c r="B3390" t="str">
        <f>VLOOKUP(A3390,Planilha2!$A$2:$C$5566,3,0)</f>
        <v>RODEIO BONITO</v>
      </c>
      <c r="C3390" t="str">
        <f>VLOOKUP(A3390,Planilha2!$A$2:$D$5566,4,0)</f>
        <v>RS</v>
      </c>
    </row>
    <row r="3391" spans="1:3" x14ac:dyDescent="0.35">
      <c r="A3391">
        <v>110080</v>
      </c>
      <c r="B3391" t="str">
        <f>VLOOKUP(A3391,Planilha2!$A$2:$C$5566,3,0)</f>
        <v>CANDEIAS DO JAMARI</v>
      </c>
      <c r="C3391" t="str">
        <f>VLOOKUP(A3391,Planilha2!$A$2:$D$5566,4,0)</f>
        <v>RO</v>
      </c>
    </row>
    <row r="3392" spans="1:3" x14ac:dyDescent="0.35">
      <c r="A3392">
        <v>130020</v>
      </c>
      <c r="B3392" t="str">
        <f>VLOOKUP(A3392,Planilha2!$A$2:$C$5566,3,0)</f>
        <v>ATALAIA DO NORTE</v>
      </c>
      <c r="C3392" t="str">
        <f>VLOOKUP(A3392,Planilha2!$A$2:$D$5566,4,0)</f>
        <v>AM</v>
      </c>
    </row>
    <row r="3393" spans="1:3" x14ac:dyDescent="0.35">
      <c r="A3393">
        <v>130115</v>
      </c>
      <c r="B3393" t="str">
        <f>VLOOKUP(A3393,Planilha2!$A$2:$C$5566,3,0)</f>
        <v>CAREIRO DA VÁRZEA</v>
      </c>
      <c r="C3393" t="str">
        <f>VLOOKUP(A3393,Planilha2!$A$2:$D$5566,4,0)</f>
        <v>AM</v>
      </c>
    </row>
    <row r="3394" spans="1:3" x14ac:dyDescent="0.35">
      <c r="A3394">
        <v>130310</v>
      </c>
      <c r="B3394" t="str">
        <f>VLOOKUP(A3394,Planilha2!$A$2:$C$5566,3,0)</f>
        <v>NOVA OLINDA DO NORTE</v>
      </c>
      <c r="C3394" t="str">
        <f>VLOOKUP(A3394,Planilha2!$A$2:$D$5566,4,0)</f>
        <v>AM</v>
      </c>
    </row>
    <row r="3395" spans="1:3" x14ac:dyDescent="0.35">
      <c r="A3395">
        <v>130160</v>
      </c>
      <c r="B3395" t="str">
        <f>VLOOKUP(A3395,Planilha2!$A$2:$C$5566,3,0)</f>
        <v>FONTE BOA</v>
      </c>
      <c r="C3395" t="str">
        <f>VLOOKUP(A3395,Planilha2!$A$2:$D$5566,4,0)</f>
        <v>AM</v>
      </c>
    </row>
    <row r="3396" spans="1:3" x14ac:dyDescent="0.35">
      <c r="A3396">
        <v>130430</v>
      </c>
      <c r="B3396" t="str">
        <f>VLOOKUP(A3396,Planilha2!$A$2:$C$5566,3,0)</f>
        <v>URUCARÁ</v>
      </c>
      <c r="C3396" t="str">
        <f>VLOOKUP(A3396,Planilha2!$A$2:$D$5566,4,0)</f>
        <v>AM</v>
      </c>
    </row>
    <row r="3397" spans="1:3" x14ac:dyDescent="0.35">
      <c r="A3397">
        <v>140017</v>
      </c>
      <c r="B3397" t="str">
        <f>VLOOKUP(A3397,Planilha2!$A$2:$C$5566,3,0)</f>
        <v>CANTÁ</v>
      </c>
      <c r="C3397" t="str">
        <f>VLOOKUP(A3397,Planilha2!$A$2:$D$5566,4,0)</f>
        <v>RR</v>
      </c>
    </row>
    <row r="3398" spans="1:3" x14ac:dyDescent="0.35">
      <c r="A3398">
        <v>160050</v>
      </c>
      <c r="B3398" t="str">
        <f>VLOOKUP(A3398,Planilha2!$A$2:$C$5566,3,0)</f>
        <v>OIAPOQUE</v>
      </c>
      <c r="C3398" t="str">
        <f>VLOOKUP(A3398,Planilha2!$A$2:$D$5566,4,0)</f>
        <v>AP</v>
      </c>
    </row>
    <row r="3399" spans="1:3" x14ac:dyDescent="0.35">
      <c r="A3399">
        <v>170555</v>
      </c>
      <c r="B3399" t="str">
        <f>VLOOKUP(A3399,Planilha2!$A$2:$C$5566,3,0)</f>
        <v>COMBINADO</v>
      </c>
      <c r="C3399" t="str">
        <f>VLOOKUP(A3399,Planilha2!$A$2:$D$5566,4,0)</f>
        <v>TO</v>
      </c>
    </row>
    <row r="3400" spans="1:3" x14ac:dyDescent="0.35">
      <c r="A3400">
        <v>221095</v>
      </c>
      <c r="B3400" t="str">
        <f>VLOOKUP(A3400,Planilha2!$A$2:$C$5566,3,0)</f>
        <v>TAMBORIL DO PIAUÍ</v>
      </c>
      <c r="C3400" t="str">
        <f>VLOOKUP(A3400,Planilha2!$A$2:$D$5566,4,0)</f>
        <v>PI</v>
      </c>
    </row>
    <row r="3401" spans="1:3" x14ac:dyDescent="0.35">
      <c r="A3401">
        <v>220277</v>
      </c>
      <c r="B3401" t="str">
        <f>VLOOKUP(A3401,Planilha2!$A$2:$C$5566,3,0)</f>
        <v>COLÔNIA DO PIAUÍ</v>
      </c>
      <c r="C3401" t="str">
        <f>VLOOKUP(A3401,Planilha2!$A$2:$D$5566,4,0)</f>
        <v>PI</v>
      </c>
    </row>
    <row r="3402" spans="1:3" x14ac:dyDescent="0.35">
      <c r="A3402">
        <v>220710</v>
      </c>
      <c r="B3402" t="str">
        <f>VLOOKUP(A3402,Planilha2!$A$2:$C$5566,3,0)</f>
        <v>OLHO D`ÁGUA DO PIAUÍ</v>
      </c>
      <c r="C3402" t="str">
        <f>VLOOKUP(A3402,Planilha2!$A$2:$D$5566,4,0)</f>
        <v>PI</v>
      </c>
    </row>
    <row r="3403" spans="1:3" x14ac:dyDescent="0.35">
      <c r="A3403">
        <v>220790</v>
      </c>
      <c r="B3403" t="str">
        <f>VLOOKUP(A3403,Planilha2!$A$2:$C$5566,3,0)</f>
        <v>PEDRO II</v>
      </c>
      <c r="C3403" t="str">
        <f>VLOOKUP(A3403,Planilha2!$A$2:$D$5566,4,0)</f>
        <v>PI</v>
      </c>
    </row>
    <row r="3404" spans="1:3" x14ac:dyDescent="0.35">
      <c r="A3404">
        <v>220207</v>
      </c>
      <c r="B3404" t="str">
        <f>VLOOKUP(A3404,Planilha2!$A$2:$C$5566,3,0)</f>
        <v>CAJAZEIRAS DO PIAUÍ</v>
      </c>
      <c r="C3404" t="str">
        <f>VLOOKUP(A3404,Planilha2!$A$2:$D$5566,4,0)</f>
        <v>PI</v>
      </c>
    </row>
    <row r="3405" spans="1:3" x14ac:dyDescent="0.35">
      <c r="A3405">
        <v>220385</v>
      </c>
      <c r="B3405" t="str">
        <f>VLOOKUP(A3405,Planilha2!$A$2:$C$5566,3,0)</f>
        <v>FLORESTA DO PIAUÍ</v>
      </c>
      <c r="C3405" t="str">
        <f>VLOOKUP(A3405,Planilha2!$A$2:$D$5566,4,0)</f>
        <v>PI</v>
      </c>
    </row>
    <row r="3406" spans="1:3" x14ac:dyDescent="0.35">
      <c r="A3406">
        <v>220560</v>
      </c>
      <c r="B3406" t="str">
        <f>VLOOKUP(A3406,Planilha2!$A$2:$C$5566,3,0)</f>
        <v>LANDRI SALES</v>
      </c>
      <c r="C3406" t="str">
        <f>VLOOKUP(A3406,Planilha2!$A$2:$D$5566,4,0)</f>
        <v>PI</v>
      </c>
    </row>
    <row r="3407" spans="1:3" x14ac:dyDescent="0.35">
      <c r="A3407">
        <v>220420</v>
      </c>
      <c r="B3407" t="str">
        <f>VLOOKUP(A3407,Planilha2!$A$2:$C$5566,3,0)</f>
        <v>FRANCISCO SANTOS</v>
      </c>
      <c r="C3407" t="str">
        <f>VLOOKUP(A3407,Planilha2!$A$2:$D$5566,4,0)</f>
        <v>PI</v>
      </c>
    </row>
    <row r="3408" spans="1:3" x14ac:dyDescent="0.35">
      <c r="A3408">
        <v>220605</v>
      </c>
      <c r="B3408" t="str">
        <f>VLOOKUP(A3408,Planilha2!$A$2:$C$5566,3,0)</f>
        <v>MASSAPÊ DO PIAUÍ</v>
      </c>
      <c r="C3408" t="str">
        <f>VLOOKUP(A3408,Planilha2!$A$2:$D$5566,4,0)</f>
        <v>PI</v>
      </c>
    </row>
    <row r="3409" spans="1:3" x14ac:dyDescent="0.35">
      <c r="A3409">
        <v>230430</v>
      </c>
      <c r="B3409" t="str">
        <f>VLOOKUP(A3409,Planilha2!$A$2:$C$5566,3,0)</f>
        <v>FARIAS BRITO</v>
      </c>
      <c r="C3409" t="str">
        <f>VLOOKUP(A3409,Planilha2!$A$2:$D$5566,4,0)</f>
        <v>CE</v>
      </c>
    </row>
    <row r="3410" spans="1:3" x14ac:dyDescent="0.35">
      <c r="A3410">
        <v>230535</v>
      </c>
      <c r="B3410" t="str">
        <f>VLOOKUP(A3410,Planilha2!$A$2:$C$5566,3,0)</f>
        <v>ICAPUÍ</v>
      </c>
      <c r="C3410" t="str">
        <f>VLOOKUP(A3410,Planilha2!$A$2:$D$5566,4,0)</f>
        <v>CE</v>
      </c>
    </row>
    <row r="3411" spans="1:3" x14ac:dyDescent="0.35">
      <c r="A3411">
        <v>240120</v>
      </c>
      <c r="B3411" t="str">
        <f>VLOOKUP(A3411,Planilha2!$A$2:$C$5566,3,0)</f>
        <v>ARÊS</v>
      </c>
      <c r="C3411" t="str">
        <f>VLOOKUP(A3411,Planilha2!$A$2:$D$5566,4,0)</f>
        <v>RN</v>
      </c>
    </row>
    <row r="3412" spans="1:3" x14ac:dyDescent="0.35">
      <c r="A3412">
        <v>240220</v>
      </c>
      <c r="B3412" t="str">
        <f>VLOOKUP(A3412,Planilha2!$A$2:$C$5566,3,0)</f>
        <v>CANGUARETAMA</v>
      </c>
      <c r="C3412" t="str">
        <f>VLOOKUP(A3412,Planilha2!$A$2:$D$5566,4,0)</f>
        <v>RN</v>
      </c>
    </row>
    <row r="3413" spans="1:3" x14ac:dyDescent="0.35">
      <c r="A3413">
        <v>240140</v>
      </c>
      <c r="B3413" t="str">
        <f>VLOOKUP(A3413,Planilha2!$A$2:$C$5566,3,0)</f>
        <v>BAÍA FORMOSA</v>
      </c>
      <c r="C3413" t="str">
        <f>VLOOKUP(A3413,Planilha2!$A$2:$D$5566,4,0)</f>
        <v>RN</v>
      </c>
    </row>
    <row r="3414" spans="1:3" x14ac:dyDescent="0.35">
      <c r="A3414">
        <v>240190</v>
      </c>
      <c r="B3414" t="str">
        <f>VLOOKUP(A3414,Planilha2!$A$2:$C$5566,3,0)</f>
        <v>CAIÇARA DO RIO DO VENTO</v>
      </c>
      <c r="C3414" t="str">
        <f>VLOOKUP(A3414,Planilha2!$A$2:$D$5566,4,0)</f>
        <v>RN</v>
      </c>
    </row>
    <row r="3415" spans="1:3" x14ac:dyDescent="0.35">
      <c r="A3415">
        <v>240460</v>
      </c>
      <c r="B3415" t="str">
        <f>VLOOKUP(A3415,Planilha2!$A$2:$C$5566,3,0)</f>
        <v>IELMO MARINHO</v>
      </c>
      <c r="C3415" t="str">
        <f>VLOOKUP(A3415,Planilha2!$A$2:$D$5566,4,0)</f>
        <v>RN</v>
      </c>
    </row>
    <row r="3416" spans="1:3" x14ac:dyDescent="0.35">
      <c r="A3416">
        <v>240420</v>
      </c>
      <c r="B3416" t="str">
        <f>VLOOKUP(A3416,Planilha2!$A$2:$C$5566,3,0)</f>
        <v>GOIANINHA</v>
      </c>
      <c r="C3416" t="str">
        <f>VLOOKUP(A3416,Planilha2!$A$2:$D$5566,4,0)</f>
        <v>RN</v>
      </c>
    </row>
    <row r="3417" spans="1:3" x14ac:dyDescent="0.35">
      <c r="A3417">
        <v>240450</v>
      </c>
      <c r="B3417" t="str">
        <f>VLOOKUP(A3417,Planilha2!$A$2:$C$5566,3,0)</f>
        <v>GUAMARÉ</v>
      </c>
      <c r="C3417" t="str">
        <f>VLOOKUP(A3417,Planilha2!$A$2:$D$5566,4,0)</f>
        <v>RN</v>
      </c>
    </row>
    <row r="3418" spans="1:3" x14ac:dyDescent="0.35">
      <c r="A3418">
        <v>250077</v>
      </c>
      <c r="B3418" t="str">
        <f>VLOOKUP(A3418,Planilha2!$A$2:$C$5566,3,0)</f>
        <v>APARECIDA</v>
      </c>
      <c r="C3418" t="str">
        <f>VLOOKUP(A3418,Planilha2!$A$2:$D$5566,4,0)</f>
        <v>PB</v>
      </c>
    </row>
    <row r="3419" spans="1:3" x14ac:dyDescent="0.35">
      <c r="A3419">
        <v>250535</v>
      </c>
      <c r="B3419" t="str">
        <f>VLOOKUP(A3419,Planilha2!$A$2:$C$5566,3,0)</f>
        <v>DAMIÃO</v>
      </c>
      <c r="C3419" t="str">
        <f>VLOOKUP(A3419,Planilha2!$A$2:$D$5566,4,0)</f>
        <v>PB</v>
      </c>
    </row>
    <row r="3420" spans="1:3" x14ac:dyDescent="0.35">
      <c r="A3420">
        <v>250950</v>
      </c>
      <c r="B3420" t="str">
        <f>VLOOKUP(A3420,Planilha2!$A$2:$C$5566,3,0)</f>
        <v>MONTADAS</v>
      </c>
      <c r="C3420" t="str">
        <f>VLOOKUP(A3420,Planilha2!$A$2:$D$5566,4,0)</f>
        <v>PB</v>
      </c>
    </row>
    <row r="3421" spans="1:3" x14ac:dyDescent="0.35">
      <c r="A3421">
        <v>251040</v>
      </c>
      <c r="B3421" t="str">
        <f>VLOOKUP(A3421,Planilha2!$A$2:$C$5566,3,0)</f>
        <v>OLHO D`ÁGUA</v>
      </c>
      <c r="C3421" t="str">
        <f>VLOOKUP(A3421,Planilha2!$A$2:$D$5566,4,0)</f>
        <v>PB</v>
      </c>
    </row>
    <row r="3422" spans="1:3" x14ac:dyDescent="0.35">
      <c r="A3422">
        <v>250780</v>
      </c>
      <c r="B3422" t="str">
        <f>VLOOKUP(A3422,Planilha2!$A$2:$C$5566,3,0)</f>
        <v>JUNCO DO SERIDÓ</v>
      </c>
      <c r="C3422" t="str">
        <f>VLOOKUP(A3422,Planilha2!$A$2:$D$5566,4,0)</f>
        <v>PB</v>
      </c>
    </row>
    <row r="3423" spans="1:3" x14ac:dyDescent="0.35">
      <c r="A3423">
        <v>250170</v>
      </c>
      <c r="B3423" t="str">
        <f>VLOOKUP(A3423,Planilha2!$A$2:$C$5566,3,0)</f>
        <v>BARRA DE SÃO MIGUEL</v>
      </c>
      <c r="C3423" t="str">
        <f>VLOOKUP(A3423,Planilha2!$A$2:$D$5566,4,0)</f>
        <v>PB</v>
      </c>
    </row>
    <row r="3424" spans="1:3" x14ac:dyDescent="0.35">
      <c r="A3424">
        <v>250480</v>
      </c>
      <c r="B3424" t="str">
        <f>VLOOKUP(A3424,Planilha2!$A$2:$C$5566,3,0)</f>
        <v>COREMAS</v>
      </c>
      <c r="C3424" t="str">
        <f>VLOOKUP(A3424,Planilha2!$A$2:$D$5566,4,0)</f>
        <v>PB</v>
      </c>
    </row>
    <row r="3425" spans="1:3" x14ac:dyDescent="0.35">
      <c r="A3425">
        <v>251440</v>
      </c>
      <c r="B3425" t="str">
        <f>VLOOKUP(A3425,Planilha2!$A$2:$C$5566,3,0)</f>
        <v>SÃO JOSÉ DE ESPINHARAS</v>
      </c>
      <c r="C3425" t="str">
        <f>VLOOKUP(A3425,Planilha2!$A$2:$D$5566,4,0)</f>
        <v>PB</v>
      </c>
    </row>
    <row r="3426" spans="1:3" x14ac:dyDescent="0.35">
      <c r="A3426">
        <v>251320</v>
      </c>
      <c r="B3426" t="str">
        <f>VLOOKUP(A3426,Planilha2!$A$2:$C$5566,3,0)</f>
        <v>SANTA CRUZ</v>
      </c>
      <c r="C3426" t="str">
        <f>VLOOKUP(A3426,Planilha2!$A$2:$D$5566,4,0)</f>
        <v>PB</v>
      </c>
    </row>
    <row r="3427" spans="1:3" x14ac:dyDescent="0.35">
      <c r="A3427">
        <v>260392</v>
      </c>
      <c r="B3427" t="str">
        <f>VLOOKUP(A3427,Planilha2!$A$2:$C$5566,3,0)</f>
        <v>CARNAUBEIRA DA PENHA</v>
      </c>
      <c r="C3427" t="str">
        <f>VLOOKUP(A3427,Planilha2!$A$2:$D$5566,4,0)</f>
        <v>PE</v>
      </c>
    </row>
    <row r="3428" spans="1:3" x14ac:dyDescent="0.35">
      <c r="A3428">
        <v>270280</v>
      </c>
      <c r="B3428" t="str">
        <f>VLOOKUP(A3428,Planilha2!$A$2:$C$5566,3,0)</f>
        <v>FLEXEIRAS</v>
      </c>
      <c r="C3428" t="str">
        <f>VLOOKUP(A3428,Planilha2!$A$2:$D$5566,4,0)</f>
        <v>AL</v>
      </c>
    </row>
    <row r="3429" spans="1:3" x14ac:dyDescent="0.35">
      <c r="A3429">
        <v>270600</v>
      </c>
      <c r="B3429" t="str">
        <f>VLOOKUP(A3429,Planilha2!$A$2:$C$5566,3,0)</f>
        <v>OLIVENÇA</v>
      </c>
      <c r="C3429" t="str">
        <f>VLOOKUP(A3429,Planilha2!$A$2:$D$5566,4,0)</f>
        <v>AL</v>
      </c>
    </row>
    <row r="3430" spans="1:3" x14ac:dyDescent="0.35">
      <c r="A3430">
        <v>270640</v>
      </c>
      <c r="B3430" t="str">
        <f>VLOOKUP(A3430,Planilha2!$A$2:$C$5566,3,0)</f>
        <v>PÃO DE AÇÚCAR</v>
      </c>
      <c r="C3430" t="str">
        <f>VLOOKUP(A3430,Planilha2!$A$2:$D$5566,4,0)</f>
        <v>AL</v>
      </c>
    </row>
    <row r="3431" spans="1:3" x14ac:dyDescent="0.35">
      <c r="A3431">
        <v>270720</v>
      </c>
      <c r="B3431" t="str">
        <f>VLOOKUP(A3431,Planilha2!$A$2:$C$5566,3,0)</f>
        <v>POÇO DAS TRINCHEIRAS</v>
      </c>
      <c r="C3431" t="str">
        <f>VLOOKUP(A3431,Planilha2!$A$2:$D$5566,4,0)</f>
        <v>AL</v>
      </c>
    </row>
    <row r="3432" spans="1:3" x14ac:dyDescent="0.35">
      <c r="A3432">
        <v>270730</v>
      </c>
      <c r="B3432" t="str">
        <f>VLOOKUP(A3432,Planilha2!$A$2:$C$5566,3,0)</f>
        <v>PORTO CALVO</v>
      </c>
      <c r="C3432" t="str">
        <f>VLOOKUP(A3432,Planilha2!$A$2:$D$5566,4,0)</f>
        <v>AL</v>
      </c>
    </row>
    <row r="3433" spans="1:3" x14ac:dyDescent="0.35">
      <c r="A3433">
        <v>270360</v>
      </c>
      <c r="B3433" t="str">
        <f>VLOOKUP(A3433,Planilha2!$A$2:$C$5566,3,0)</f>
        <v>JAPARATINGA</v>
      </c>
      <c r="C3433" t="str">
        <f>VLOOKUP(A3433,Planilha2!$A$2:$D$5566,4,0)</f>
        <v>AL</v>
      </c>
    </row>
    <row r="3434" spans="1:3" x14ac:dyDescent="0.35">
      <c r="A3434">
        <v>270560</v>
      </c>
      <c r="B3434" t="str">
        <f>VLOOKUP(A3434,Planilha2!$A$2:$C$5566,3,0)</f>
        <v>NOVO LINO</v>
      </c>
      <c r="C3434" t="str">
        <f>VLOOKUP(A3434,Planilha2!$A$2:$D$5566,4,0)</f>
        <v>AL</v>
      </c>
    </row>
    <row r="3435" spans="1:3" x14ac:dyDescent="0.35">
      <c r="A3435">
        <v>291740</v>
      </c>
      <c r="B3435" t="str">
        <f>VLOOKUP(A3435,Planilha2!$A$2:$C$5566,3,0)</f>
        <v>JACARACI</v>
      </c>
      <c r="C3435" t="str">
        <f>VLOOKUP(A3435,Planilha2!$A$2:$D$5566,4,0)</f>
        <v>BA</v>
      </c>
    </row>
    <row r="3436" spans="1:3" x14ac:dyDescent="0.35">
      <c r="A3436">
        <v>293170</v>
      </c>
      <c r="B3436" t="str">
        <f>VLOOKUP(A3436,Planilha2!$A$2:$C$5566,3,0)</f>
        <v>TERRA NOVA</v>
      </c>
      <c r="C3436" t="str">
        <f>VLOOKUP(A3436,Planilha2!$A$2:$D$5566,4,0)</f>
        <v>BA</v>
      </c>
    </row>
    <row r="3437" spans="1:3" x14ac:dyDescent="0.35">
      <c r="A3437">
        <v>290040</v>
      </c>
      <c r="B3437" t="str">
        <f>VLOOKUP(A3437,Planilha2!$A$2:$C$5566,3,0)</f>
        <v>ÁGUA FRIA</v>
      </c>
      <c r="C3437" t="str">
        <f>VLOOKUP(A3437,Planilha2!$A$2:$D$5566,4,0)</f>
        <v>BA</v>
      </c>
    </row>
    <row r="3438" spans="1:3" x14ac:dyDescent="0.35">
      <c r="A3438">
        <v>291310</v>
      </c>
      <c r="B3438" t="str">
        <f>VLOOKUP(A3438,Planilha2!$A$2:$C$5566,3,0)</f>
        <v>IBITITÁ</v>
      </c>
      <c r="C3438" t="str">
        <f>VLOOKUP(A3438,Planilha2!$A$2:$D$5566,4,0)</f>
        <v>BA</v>
      </c>
    </row>
    <row r="3439" spans="1:3" x14ac:dyDescent="0.35">
      <c r="A3439">
        <v>291200</v>
      </c>
      <c r="B3439" t="str">
        <f>VLOOKUP(A3439,Planilha2!$A$2:$C$5566,3,0)</f>
        <v>IBIASSUCÊ</v>
      </c>
      <c r="C3439" t="str">
        <f>VLOOKUP(A3439,Planilha2!$A$2:$D$5566,4,0)</f>
        <v>BA</v>
      </c>
    </row>
    <row r="3440" spans="1:3" x14ac:dyDescent="0.35">
      <c r="A3440">
        <v>315900</v>
      </c>
      <c r="B3440" t="str">
        <f>VLOOKUP(A3440,Planilha2!$A$2:$C$5566,3,0)</f>
        <v>SANTANA DO RIACHO</v>
      </c>
      <c r="C3440" t="str">
        <f>VLOOKUP(A3440,Planilha2!$A$2:$D$5566,4,0)</f>
        <v>MG</v>
      </c>
    </row>
    <row r="3441" spans="1:3" x14ac:dyDescent="0.35">
      <c r="A3441">
        <v>315540</v>
      </c>
      <c r="B3441" t="str">
        <f>VLOOKUP(A3441,Planilha2!$A$2:$C$5566,3,0)</f>
        <v>RIO NOVO</v>
      </c>
      <c r="C3441" t="str">
        <f>VLOOKUP(A3441,Planilha2!$A$2:$D$5566,4,0)</f>
        <v>MG</v>
      </c>
    </row>
    <row r="3442" spans="1:3" x14ac:dyDescent="0.35">
      <c r="A3442">
        <v>311150</v>
      </c>
      <c r="B3442" t="str">
        <f>VLOOKUP(A3442,Planilha2!$A$2:$C$5566,3,0)</f>
        <v>CAMPOS ALTOS</v>
      </c>
      <c r="C3442" t="str">
        <f>VLOOKUP(A3442,Planilha2!$A$2:$D$5566,4,0)</f>
        <v>MG</v>
      </c>
    </row>
    <row r="3443" spans="1:3" x14ac:dyDescent="0.35">
      <c r="A3443">
        <v>317107</v>
      </c>
      <c r="B3443" t="str">
        <f>VLOOKUP(A3443,Planilha2!$A$2:$C$5566,3,0)</f>
        <v>VEREDINHA</v>
      </c>
      <c r="C3443" t="str">
        <f>VLOOKUP(A3443,Planilha2!$A$2:$D$5566,4,0)</f>
        <v>MG</v>
      </c>
    </row>
    <row r="3444" spans="1:3" x14ac:dyDescent="0.35">
      <c r="A3444">
        <v>315020</v>
      </c>
      <c r="B3444" t="str">
        <f>VLOOKUP(A3444,Planilha2!$A$2:$C$5566,3,0)</f>
        <v>PIEDADE DE PONTE NOVA</v>
      </c>
      <c r="C3444" t="str">
        <f>VLOOKUP(A3444,Planilha2!$A$2:$D$5566,4,0)</f>
        <v>MG</v>
      </c>
    </row>
    <row r="3445" spans="1:3" x14ac:dyDescent="0.35">
      <c r="A3445">
        <v>313507</v>
      </c>
      <c r="B3445" t="str">
        <f>VLOOKUP(A3445,Planilha2!$A$2:$C$5566,3,0)</f>
        <v>JAMPRUCA</v>
      </c>
      <c r="C3445" t="str">
        <f>VLOOKUP(A3445,Planilha2!$A$2:$D$5566,4,0)</f>
        <v>MG</v>
      </c>
    </row>
    <row r="3446" spans="1:3" x14ac:dyDescent="0.35">
      <c r="A3446">
        <v>312690</v>
      </c>
      <c r="B3446" t="str">
        <f>VLOOKUP(A3446,Planilha2!$A$2:$C$5566,3,0)</f>
        <v>FREI INOCÊNCIO</v>
      </c>
      <c r="C3446" t="str">
        <f>VLOOKUP(A3446,Planilha2!$A$2:$D$5566,4,0)</f>
        <v>MG</v>
      </c>
    </row>
    <row r="3447" spans="1:3" x14ac:dyDescent="0.35">
      <c r="A3447">
        <v>311650</v>
      </c>
      <c r="B3447" t="str">
        <f>VLOOKUP(A3447,Planilha2!$A$2:$C$5566,3,0)</f>
        <v>CLARO DOS POÇÕES</v>
      </c>
      <c r="C3447" t="str">
        <f>VLOOKUP(A3447,Planilha2!$A$2:$D$5566,4,0)</f>
        <v>MG</v>
      </c>
    </row>
    <row r="3448" spans="1:3" x14ac:dyDescent="0.35">
      <c r="A3448">
        <v>320110</v>
      </c>
      <c r="B3448" t="str">
        <f>VLOOKUP(A3448,Planilha2!$A$2:$C$5566,3,0)</f>
        <v>BOM JESUS DO NORTE</v>
      </c>
      <c r="C3448" t="str">
        <f>VLOOKUP(A3448,Planilha2!$A$2:$D$5566,4,0)</f>
        <v>ES</v>
      </c>
    </row>
    <row r="3449" spans="1:3" x14ac:dyDescent="0.35">
      <c r="A3449">
        <v>320430</v>
      </c>
      <c r="B3449" t="str">
        <f>VLOOKUP(A3449,Planilha2!$A$2:$C$5566,3,0)</f>
        <v>PRESIDENTE KENNEDY</v>
      </c>
      <c r="C3449" t="str">
        <f>VLOOKUP(A3449,Planilha2!$A$2:$D$5566,4,0)</f>
        <v>ES</v>
      </c>
    </row>
    <row r="3450" spans="1:3" x14ac:dyDescent="0.35">
      <c r="A3450">
        <v>353215</v>
      </c>
      <c r="B3450" t="str">
        <f>VLOOKUP(A3450,Planilha2!$A$2:$C$5566,3,0)</f>
        <v>NANTES</v>
      </c>
      <c r="C3450" t="str">
        <f>VLOOKUP(A3450,Planilha2!$A$2:$D$5566,4,0)</f>
        <v>SP</v>
      </c>
    </row>
    <row r="3451" spans="1:3" x14ac:dyDescent="0.35">
      <c r="A3451">
        <v>352160</v>
      </c>
      <c r="B3451" t="str">
        <f>VLOOKUP(A3451,Planilha2!$A$2:$C$5566,3,0)</f>
        <v>IRAPURU</v>
      </c>
      <c r="C3451" t="str">
        <f>VLOOKUP(A3451,Planilha2!$A$2:$D$5566,4,0)</f>
        <v>SP</v>
      </c>
    </row>
    <row r="3452" spans="1:3" x14ac:dyDescent="0.35">
      <c r="A3452">
        <v>410752</v>
      </c>
      <c r="B3452" t="str">
        <f>VLOOKUP(A3452,Planilha2!$A$2:$C$5566,3,0)</f>
        <v>ESPERANÇA NOVA</v>
      </c>
      <c r="C3452" t="str">
        <f>VLOOKUP(A3452,Planilha2!$A$2:$D$5566,4,0)</f>
        <v>PR</v>
      </c>
    </row>
    <row r="3453" spans="1:3" x14ac:dyDescent="0.35">
      <c r="A3453">
        <v>411230</v>
      </c>
      <c r="B3453" t="str">
        <f>VLOOKUP(A3453,Planilha2!$A$2:$C$5566,3,0)</f>
        <v>JAPIRA</v>
      </c>
      <c r="C3453" t="str">
        <f>VLOOKUP(A3453,Planilha2!$A$2:$D$5566,4,0)</f>
        <v>PR</v>
      </c>
    </row>
    <row r="3454" spans="1:3" x14ac:dyDescent="0.35">
      <c r="A3454">
        <v>411605</v>
      </c>
      <c r="B3454" t="str">
        <f>VLOOKUP(A3454,Planilha2!$A$2:$C$5566,3,0)</f>
        <v>MISSAL</v>
      </c>
      <c r="C3454" t="str">
        <f>VLOOKUP(A3454,Planilha2!$A$2:$D$5566,4,0)</f>
        <v>PR</v>
      </c>
    </row>
    <row r="3455" spans="1:3" x14ac:dyDescent="0.35">
      <c r="A3455">
        <v>411730</v>
      </c>
      <c r="B3455" t="str">
        <f>VLOOKUP(A3455,Planilha2!$A$2:$C$5566,3,0)</f>
        <v>ORTIGUEIRA</v>
      </c>
      <c r="C3455" t="str">
        <f>VLOOKUP(A3455,Planilha2!$A$2:$D$5566,4,0)</f>
        <v>PR</v>
      </c>
    </row>
    <row r="3456" spans="1:3" x14ac:dyDescent="0.35">
      <c r="A3456">
        <v>432210</v>
      </c>
      <c r="B3456" t="str">
        <f>VLOOKUP(A3456,Planilha2!$A$2:$C$5566,3,0)</f>
        <v>TUCUNDUVA</v>
      </c>
      <c r="C3456" t="str">
        <f>VLOOKUP(A3456,Planilha2!$A$2:$D$5566,4,0)</f>
        <v>RS</v>
      </c>
    </row>
    <row r="3457" spans="1:3" x14ac:dyDescent="0.35">
      <c r="A3457">
        <v>430471</v>
      </c>
      <c r="B3457" t="str">
        <f>VLOOKUP(A3457,Planilha2!$A$2:$C$5566,3,0)</f>
        <v>CARAÁ</v>
      </c>
      <c r="C3457" t="str">
        <f>VLOOKUP(A3457,Planilha2!$A$2:$D$5566,4,0)</f>
        <v>RS</v>
      </c>
    </row>
    <row r="3458" spans="1:3" x14ac:dyDescent="0.35">
      <c r="A3458">
        <v>431303</v>
      </c>
      <c r="B3458" t="str">
        <f>VLOOKUP(A3458,Planilha2!$A$2:$C$5566,3,0)</f>
        <v>NOVA ESPERANÇA DO SUL</v>
      </c>
      <c r="C3458" t="str">
        <f>VLOOKUP(A3458,Planilha2!$A$2:$D$5566,4,0)</f>
        <v>RS</v>
      </c>
    </row>
    <row r="3459" spans="1:3" x14ac:dyDescent="0.35">
      <c r="A3459">
        <v>431442</v>
      </c>
      <c r="B3459" t="str">
        <f>VLOOKUP(A3459,Planilha2!$A$2:$C$5566,3,0)</f>
        <v>PICADA CAFÉ</v>
      </c>
      <c r="C3459" t="str">
        <f>VLOOKUP(A3459,Planilha2!$A$2:$D$5566,4,0)</f>
        <v>RS</v>
      </c>
    </row>
    <row r="3460" spans="1:3" x14ac:dyDescent="0.35">
      <c r="A3460">
        <v>430960</v>
      </c>
      <c r="B3460" t="str">
        <f>VLOOKUP(A3460,Planilha2!$A$2:$C$5566,3,0)</f>
        <v>HORIZONTINA</v>
      </c>
      <c r="C3460" t="str">
        <f>VLOOKUP(A3460,Planilha2!$A$2:$D$5566,4,0)</f>
        <v>RS</v>
      </c>
    </row>
    <row r="3461" spans="1:3" x14ac:dyDescent="0.35">
      <c r="A3461">
        <v>430245</v>
      </c>
      <c r="B3461" t="str">
        <f>VLOOKUP(A3461,Planilha2!$A$2:$C$5566,3,0)</f>
        <v>BOQUEIRÃO DO LEÃO</v>
      </c>
      <c r="C3461" t="str">
        <f>VLOOKUP(A3461,Planilha2!$A$2:$D$5566,4,0)</f>
        <v>RS</v>
      </c>
    </row>
    <row r="3462" spans="1:3" x14ac:dyDescent="0.35">
      <c r="A3462">
        <v>431660</v>
      </c>
      <c r="B3462" t="str">
        <f>VLOOKUP(A3462,Planilha2!$A$2:$C$5566,3,0)</f>
        <v>SANANDUVA</v>
      </c>
      <c r="C3462" t="str">
        <f>VLOOKUP(A3462,Planilha2!$A$2:$D$5566,4,0)</f>
        <v>RS</v>
      </c>
    </row>
    <row r="3463" spans="1:3" x14ac:dyDescent="0.35">
      <c r="A3463">
        <v>430880</v>
      </c>
      <c r="B3463" t="str">
        <f>VLOOKUP(A3463,Planilha2!$A$2:$C$5566,3,0)</f>
        <v>GENERAL CÂMARA</v>
      </c>
      <c r="C3463" t="str">
        <f>VLOOKUP(A3463,Planilha2!$A$2:$D$5566,4,0)</f>
        <v>RS</v>
      </c>
    </row>
    <row r="3464" spans="1:3" x14ac:dyDescent="0.35">
      <c r="A3464">
        <v>432146</v>
      </c>
      <c r="B3464" t="str">
        <f>VLOOKUP(A3464,Planilha2!$A$2:$C$5566,3,0)</f>
        <v>TIO HUGO</v>
      </c>
      <c r="C3464" t="str">
        <f>VLOOKUP(A3464,Planilha2!$A$2:$D$5566,4,0)</f>
        <v>RS</v>
      </c>
    </row>
    <row r="3465" spans="1:3" x14ac:dyDescent="0.35">
      <c r="A3465">
        <v>500710</v>
      </c>
      <c r="B3465" t="str">
        <f>VLOOKUP(A3465,Planilha2!$A$2:$C$5566,3,0)</f>
        <v>RIBAS DO RIO PARDO</v>
      </c>
      <c r="C3465" t="str">
        <f>VLOOKUP(A3465,Planilha2!$A$2:$D$5566,4,0)</f>
        <v>MS</v>
      </c>
    </row>
    <row r="3466" spans="1:3" x14ac:dyDescent="0.35">
      <c r="A3466">
        <v>510770</v>
      </c>
      <c r="B3466" t="str">
        <f>VLOOKUP(A3466,Planilha2!$A$2:$C$5566,3,0)</f>
        <v>ROSÁRIO OESTE</v>
      </c>
      <c r="C3466" t="str">
        <f>VLOOKUP(A3466,Planilha2!$A$2:$D$5566,4,0)</f>
        <v>MT</v>
      </c>
    </row>
    <row r="3467" spans="1:3" x14ac:dyDescent="0.35">
      <c r="A3467">
        <v>510320</v>
      </c>
      <c r="B3467" t="str">
        <f>VLOOKUP(A3467,Planilha2!$A$2:$C$5566,3,0)</f>
        <v>COLÍDER</v>
      </c>
      <c r="C3467" t="str">
        <f>VLOOKUP(A3467,Planilha2!$A$2:$D$5566,4,0)</f>
        <v>MT</v>
      </c>
    </row>
    <row r="3468" spans="1:3" x14ac:dyDescent="0.35">
      <c r="A3468">
        <v>510777</v>
      </c>
      <c r="B3468" t="str">
        <f>VLOOKUP(A3468,Planilha2!$A$2:$C$5566,3,0)</f>
        <v>SANTA TEREZINHA</v>
      </c>
      <c r="C3468" t="str">
        <f>VLOOKUP(A3468,Planilha2!$A$2:$D$5566,4,0)</f>
        <v>MT</v>
      </c>
    </row>
    <row r="3469" spans="1:3" x14ac:dyDescent="0.35">
      <c r="A3469">
        <v>521410</v>
      </c>
      <c r="B3469" t="str">
        <f>VLOOKUP(A3469,Planilha2!$A$2:$C$5566,3,0)</f>
        <v>MUTUNÓPOLIS</v>
      </c>
      <c r="C3469" t="str">
        <f>VLOOKUP(A3469,Planilha2!$A$2:$D$5566,4,0)</f>
        <v>GO</v>
      </c>
    </row>
    <row r="3470" spans="1:3" x14ac:dyDescent="0.35">
      <c r="A3470">
        <v>521805</v>
      </c>
      <c r="B3470" t="str">
        <f>VLOOKUP(A3470,Planilha2!$A$2:$C$5566,3,0)</f>
        <v>PORTEIRÃO</v>
      </c>
      <c r="C3470" t="str">
        <f>VLOOKUP(A3470,Planilha2!$A$2:$D$5566,4,0)</f>
        <v>GO</v>
      </c>
    </row>
    <row r="3471" spans="1:3" x14ac:dyDescent="0.35">
      <c r="A3471">
        <v>520013</v>
      </c>
      <c r="B3471" t="str">
        <f>VLOOKUP(A3471,Planilha2!$A$2:$C$5566,3,0)</f>
        <v>ACREÚNA</v>
      </c>
      <c r="C3471" t="str">
        <f>VLOOKUP(A3471,Planilha2!$A$2:$D$5566,4,0)</f>
        <v>GO</v>
      </c>
    </row>
    <row r="3472" spans="1:3" x14ac:dyDescent="0.35">
      <c r="A3472">
        <v>521500</v>
      </c>
      <c r="B3472" t="str">
        <f>VLOOKUP(A3472,Planilha2!$A$2:$C$5566,3,0)</f>
        <v>NOVA VENEZA</v>
      </c>
      <c r="C3472" t="str">
        <f>VLOOKUP(A3472,Planilha2!$A$2:$D$5566,4,0)</f>
        <v>GO</v>
      </c>
    </row>
    <row r="3473" spans="1:3" x14ac:dyDescent="0.35">
      <c r="A3473">
        <v>522130</v>
      </c>
      <c r="B3473" t="str">
        <f>VLOOKUP(A3473,Planilha2!$A$2:$C$5566,3,0)</f>
        <v>TRÊS RANCHOS</v>
      </c>
      <c r="C3473" t="str">
        <f>VLOOKUP(A3473,Planilha2!$A$2:$D$5566,4,0)</f>
        <v>GO</v>
      </c>
    </row>
    <row r="3474" spans="1:3" x14ac:dyDescent="0.35">
      <c r="A3474">
        <v>520425</v>
      </c>
      <c r="B3474" t="str">
        <f>VLOOKUP(A3474,Planilha2!$A$2:$C$5566,3,0)</f>
        <v>CACHOEIRA DOURADA</v>
      </c>
      <c r="C3474" t="str">
        <f>VLOOKUP(A3474,Planilha2!$A$2:$D$5566,4,0)</f>
        <v>GO</v>
      </c>
    </row>
    <row r="3475" spans="1:3" x14ac:dyDescent="0.35">
      <c r="A3475">
        <v>110149</v>
      </c>
      <c r="B3475" t="str">
        <f>VLOOKUP(A3475,Planilha2!$A$2:$C$5566,3,0)</f>
        <v>SÃO FRANCISCO DO GUAPORÉ</v>
      </c>
      <c r="C3475" t="str">
        <f>VLOOKUP(A3475,Planilha2!$A$2:$D$5566,4,0)</f>
        <v>RO</v>
      </c>
    </row>
    <row r="3476" spans="1:3" x14ac:dyDescent="0.35">
      <c r="A3476">
        <v>120045</v>
      </c>
      <c r="B3476" t="str">
        <f>VLOOKUP(A3476,Planilha2!$A$2:$C$5566,3,0)</f>
        <v>SENADOR GUIOMARD</v>
      </c>
      <c r="C3476" t="str">
        <f>VLOOKUP(A3476,Planilha2!$A$2:$D$5566,4,0)</f>
        <v>AC</v>
      </c>
    </row>
    <row r="3477" spans="1:3" x14ac:dyDescent="0.35">
      <c r="A3477">
        <v>171660</v>
      </c>
      <c r="B3477" t="str">
        <f>VLOOKUP(A3477,Planilha2!$A$2:$C$5566,3,0)</f>
        <v>PEIXE</v>
      </c>
      <c r="C3477" t="str">
        <f>VLOOKUP(A3477,Planilha2!$A$2:$D$5566,4,0)</f>
        <v>TO</v>
      </c>
    </row>
    <row r="3478" spans="1:3" x14ac:dyDescent="0.35">
      <c r="A3478">
        <v>171880</v>
      </c>
      <c r="B3478" t="str">
        <f>VLOOKUP(A3478,Planilha2!$A$2:$C$5566,3,0)</f>
        <v>SAMPAIO</v>
      </c>
      <c r="C3478" t="str">
        <f>VLOOKUP(A3478,Planilha2!$A$2:$D$5566,4,0)</f>
        <v>TO</v>
      </c>
    </row>
    <row r="3479" spans="1:3" x14ac:dyDescent="0.35">
      <c r="A3479">
        <v>171840</v>
      </c>
      <c r="B3479" t="str">
        <f>VLOOKUP(A3479,Planilha2!$A$2:$C$5566,3,0)</f>
        <v>PRESIDENTE KENNEDY</v>
      </c>
      <c r="C3479" t="str">
        <f>VLOOKUP(A3479,Planilha2!$A$2:$D$5566,4,0)</f>
        <v>TO</v>
      </c>
    </row>
    <row r="3480" spans="1:3" x14ac:dyDescent="0.35">
      <c r="A3480">
        <v>170190</v>
      </c>
      <c r="B3480" t="str">
        <f>VLOOKUP(A3480,Planilha2!$A$2:$C$5566,3,0)</f>
        <v>ARAGUACEMA</v>
      </c>
      <c r="C3480" t="str">
        <f>VLOOKUP(A3480,Planilha2!$A$2:$D$5566,4,0)</f>
        <v>TO</v>
      </c>
    </row>
    <row r="3481" spans="1:3" x14ac:dyDescent="0.35">
      <c r="A3481">
        <v>210135</v>
      </c>
      <c r="B3481" t="str">
        <f>VLOOKUP(A3481,Planilha2!$A$2:$C$5566,3,0)</f>
        <v>BACURITUBA</v>
      </c>
      <c r="C3481" t="str">
        <f>VLOOKUP(A3481,Planilha2!$A$2:$D$5566,4,0)</f>
        <v>MA</v>
      </c>
    </row>
    <row r="3482" spans="1:3" x14ac:dyDescent="0.35">
      <c r="A3482">
        <v>210770</v>
      </c>
      <c r="B3482" t="str">
        <f>VLOOKUP(A3482,Planilha2!$A$2:$C$5566,3,0)</f>
        <v>PARAIBANO</v>
      </c>
      <c r="C3482" t="str">
        <f>VLOOKUP(A3482,Planilha2!$A$2:$D$5566,4,0)</f>
        <v>MA</v>
      </c>
    </row>
    <row r="3483" spans="1:3" x14ac:dyDescent="0.35">
      <c r="A3483">
        <v>211200</v>
      </c>
      <c r="B3483" t="str">
        <f>VLOOKUP(A3483,Planilha2!$A$2:$C$5566,3,0)</f>
        <v>TASSO FRAGOSO</v>
      </c>
      <c r="C3483" t="str">
        <f>VLOOKUP(A3483,Planilha2!$A$2:$D$5566,4,0)</f>
        <v>MA</v>
      </c>
    </row>
    <row r="3484" spans="1:3" x14ac:dyDescent="0.35">
      <c r="A3484">
        <v>210240</v>
      </c>
      <c r="B3484" t="str">
        <f>VLOOKUP(A3484,Planilha2!$A$2:$C$5566,3,0)</f>
        <v>CAJAPIÓ</v>
      </c>
      <c r="C3484" t="str">
        <f>VLOOKUP(A3484,Planilha2!$A$2:$D$5566,4,0)</f>
        <v>MA</v>
      </c>
    </row>
    <row r="3485" spans="1:3" x14ac:dyDescent="0.35">
      <c r="A3485" s="2">
        <v>210000</v>
      </c>
      <c r="B3485" t="str">
        <f>VLOOKUP(A3485,[1]IBGE!A$2:B$27,2,0)</f>
        <v>-</v>
      </c>
      <c r="C3485" t="str">
        <f>VLOOKUP(A3485,[1]IBGE!A$2:C$27,3,0)</f>
        <v>MA</v>
      </c>
    </row>
    <row r="3486" spans="1:3" x14ac:dyDescent="0.35">
      <c r="A3486">
        <v>210663</v>
      </c>
      <c r="B3486" t="str">
        <f>VLOOKUP(A3486,Planilha2!$A$2:$C$5566,3,0)</f>
        <v>MATÕES DO NORTE</v>
      </c>
      <c r="C3486" t="str">
        <f>VLOOKUP(A3486,Planilha2!$A$2:$D$5566,4,0)</f>
        <v>MA</v>
      </c>
    </row>
    <row r="3487" spans="1:3" x14ac:dyDescent="0.35">
      <c r="A3487">
        <v>211010</v>
      </c>
      <c r="B3487" t="str">
        <f>VLOOKUP(A3487,Planilha2!$A$2:$C$5566,3,0)</f>
        <v>SANTA QUITÉRIA DO MARANHÃO</v>
      </c>
      <c r="C3487" t="str">
        <f>VLOOKUP(A3487,Planilha2!$A$2:$D$5566,4,0)</f>
        <v>MA</v>
      </c>
    </row>
    <row r="3488" spans="1:3" x14ac:dyDescent="0.35">
      <c r="A3488">
        <v>210790</v>
      </c>
      <c r="B3488" t="str">
        <f>VLOOKUP(A3488,Planilha2!$A$2:$C$5566,3,0)</f>
        <v>PASSAGEM FRANCA</v>
      </c>
      <c r="C3488" t="str">
        <f>VLOOKUP(A3488,Planilha2!$A$2:$D$5566,4,0)</f>
        <v>MA</v>
      </c>
    </row>
    <row r="3489" spans="1:3" x14ac:dyDescent="0.35">
      <c r="A3489">
        <v>210927</v>
      </c>
      <c r="B3489" t="str">
        <f>VLOOKUP(A3489,Planilha2!$A$2:$C$5566,3,0)</f>
        <v>PRESIDENTE SARNEY</v>
      </c>
      <c r="C3489" t="str">
        <f>VLOOKUP(A3489,Planilha2!$A$2:$D$5566,4,0)</f>
        <v>MA</v>
      </c>
    </row>
    <row r="3490" spans="1:3" x14ac:dyDescent="0.35">
      <c r="A3490">
        <v>220090</v>
      </c>
      <c r="B3490" t="str">
        <f>VLOOKUP(A3490,Planilha2!$A$2:$C$5566,3,0)</f>
        <v>AROAZES</v>
      </c>
      <c r="C3490" t="str">
        <f>VLOOKUP(A3490,Planilha2!$A$2:$D$5566,4,0)</f>
        <v>PI</v>
      </c>
    </row>
    <row r="3491" spans="1:3" x14ac:dyDescent="0.35">
      <c r="A3491">
        <v>220140</v>
      </c>
      <c r="B3491" t="str">
        <f>VLOOKUP(A3491,Planilha2!$A$2:$C$5566,3,0)</f>
        <v>BARRO DURO</v>
      </c>
      <c r="C3491" t="str">
        <f>VLOOKUP(A3491,Planilha2!$A$2:$D$5566,4,0)</f>
        <v>PI</v>
      </c>
    </row>
    <row r="3492" spans="1:3" x14ac:dyDescent="0.35">
      <c r="A3492">
        <v>220669</v>
      </c>
      <c r="B3492" t="str">
        <f>VLOOKUP(A3492,Planilha2!$A$2:$C$5566,3,0)</f>
        <v>MURICI DOS PORTELAS</v>
      </c>
      <c r="C3492" t="str">
        <f>VLOOKUP(A3492,Planilha2!$A$2:$D$5566,4,0)</f>
        <v>PI</v>
      </c>
    </row>
    <row r="3493" spans="1:3" x14ac:dyDescent="0.35">
      <c r="A3493">
        <v>220760</v>
      </c>
      <c r="B3493" t="str">
        <f>VLOOKUP(A3493,Planilha2!$A$2:$C$5566,3,0)</f>
        <v>PARNAGUÁ</v>
      </c>
      <c r="C3493" t="str">
        <f>VLOOKUP(A3493,Planilha2!$A$2:$D$5566,4,0)</f>
        <v>PI</v>
      </c>
    </row>
    <row r="3494" spans="1:3" x14ac:dyDescent="0.35">
      <c r="A3494">
        <v>220525</v>
      </c>
      <c r="B3494" t="str">
        <f>VLOOKUP(A3494,Planilha2!$A$2:$C$5566,3,0)</f>
        <v>JARDIM DO MULATO</v>
      </c>
      <c r="C3494" t="str">
        <f>VLOOKUP(A3494,Planilha2!$A$2:$D$5566,4,0)</f>
        <v>PI</v>
      </c>
    </row>
    <row r="3495" spans="1:3" x14ac:dyDescent="0.35">
      <c r="A3495">
        <v>220271</v>
      </c>
      <c r="B3495" t="str">
        <f>VLOOKUP(A3495,Planilha2!$A$2:$C$5566,3,0)</f>
        <v>COCAL DE TELHA</v>
      </c>
      <c r="C3495" t="str">
        <f>VLOOKUP(A3495,Planilha2!$A$2:$D$5566,4,0)</f>
        <v>PI</v>
      </c>
    </row>
    <row r="3496" spans="1:3" x14ac:dyDescent="0.35">
      <c r="A3496">
        <v>220735</v>
      </c>
      <c r="B3496" t="str">
        <f>VLOOKUP(A3496,Planilha2!$A$2:$C$5566,3,0)</f>
        <v>PAJEÚ DO PIAUÍ</v>
      </c>
      <c r="C3496" t="str">
        <f>VLOOKUP(A3496,Planilha2!$A$2:$D$5566,4,0)</f>
        <v>PI</v>
      </c>
    </row>
    <row r="3497" spans="1:3" x14ac:dyDescent="0.35">
      <c r="A3497">
        <v>220860</v>
      </c>
      <c r="B3497" t="str">
        <f>VLOOKUP(A3497,Planilha2!$A$2:$C$5566,3,0)</f>
        <v>PRATA DO PIAUÍ</v>
      </c>
      <c r="C3497" t="str">
        <f>VLOOKUP(A3497,Planilha2!$A$2:$D$5566,4,0)</f>
        <v>PI</v>
      </c>
    </row>
    <row r="3498" spans="1:3" x14ac:dyDescent="0.35">
      <c r="A3498">
        <v>220554</v>
      </c>
      <c r="B3498" t="str">
        <f>VLOOKUP(A3498,Planilha2!$A$2:$C$5566,3,0)</f>
        <v>LAGOINHA DO PIAUÍ</v>
      </c>
      <c r="C3498" t="str">
        <f>VLOOKUP(A3498,Planilha2!$A$2:$D$5566,4,0)</f>
        <v>PI</v>
      </c>
    </row>
    <row r="3499" spans="1:3" x14ac:dyDescent="0.35">
      <c r="A3499">
        <v>220045</v>
      </c>
      <c r="B3499" t="str">
        <f>VLOOKUP(A3499,Planilha2!$A$2:$C$5566,3,0)</f>
        <v>ALVORADA DO GURGUÉIA</v>
      </c>
      <c r="C3499" t="str">
        <f>VLOOKUP(A3499,Planilha2!$A$2:$D$5566,4,0)</f>
        <v>PI</v>
      </c>
    </row>
    <row r="3500" spans="1:3" x14ac:dyDescent="0.35">
      <c r="A3500">
        <v>231190</v>
      </c>
      <c r="B3500" t="str">
        <f>VLOOKUP(A3500,Planilha2!$A$2:$C$5566,3,0)</f>
        <v>SABOEIRO</v>
      </c>
      <c r="C3500" t="str">
        <f>VLOOKUP(A3500,Planilha2!$A$2:$D$5566,4,0)</f>
        <v>CE</v>
      </c>
    </row>
    <row r="3501" spans="1:3" x14ac:dyDescent="0.35">
      <c r="A3501">
        <v>230740</v>
      </c>
      <c r="B3501" t="str">
        <f>VLOOKUP(A3501,Planilha2!$A$2:$C$5566,3,0)</f>
        <v>JUCÁS</v>
      </c>
      <c r="C3501" t="str">
        <f>VLOOKUP(A3501,Planilha2!$A$2:$D$5566,4,0)</f>
        <v>CE</v>
      </c>
    </row>
    <row r="3502" spans="1:3" x14ac:dyDescent="0.35">
      <c r="A3502">
        <v>230763</v>
      </c>
      <c r="B3502" t="str">
        <f>VLOOKUP(A3502,Planilha2!$A$2:$C$5566,3,0)</f>
        <v>MADALENA</v>
      </c>
      <c r="C3502" t="str">
        <f>VLOOKUP(A3502,Planilha2!$A$2:$D$5566,4,0)</f>
        <v>CE</v>
      </c>
    </row>
    <row r="3503" spans="1:3" x14ac:dyDescent="0.35">
      <c r="A3503">
        <v>231300</v>
      </c>
      <c r="B3503" t="str">
        <f>VLOOKUP(A3503,Planilha2!$A$2:$C$5566,3,0)</f>
        <v>SOLONÓPOLE</v>
      </c>
      <c r="C3503" t="str">
        <f>VLOOKUP(A3503,Planilha2!$A$2:$D$5566,4,0)</f>
        <v>CE</v>
      </c>
    </row>
    <row r="3504" spans="1:3" x14ac:dyDescent="0.35">
      <c r="A3504">
        <v>230830</v>
      </c>
      <c r="B3504" t="str">
        <f>VLOOKUP(A3504,Planilha2!$A$2:$C$5566,3,0)</f>
        <v>MILAGRES</v>
      </c>
      <c r="C3504" t="str">
        <f>VLOOKUP(A3504,Planilha2!$A$2:$D$5566,4,0)</f>
        <v>CE</v>
      </c>
    </row>
    <row r="3505" spans="1:3" x14ac:dyDescent="0.35">
      <c r="A3505">
        <v>230580</v>
      </c>
      <c r="B3505" t="str">
        <f>VLOOKUP(A3505,Planilha2!$A$2:$C$5566,3,0)</f>
        <v>IPU</v>
      </c>
      <c r="C3505" t="str">
        <f>VLOOKUP(A3505,Planilha2!$A$2:$D$5566,4,0)</f>
        <v>CE</v>
      </c>
    </row>
    <row r="3506" spans="1:3" x14ac:dyDescent="0.35">
      <c r="A3506">
        <v>230820</v>
      </c>
      <c r="B3506" t="str">
        <f>VLOOKUP(A3506,Planilha2!$A$2:$C$5566,3,0)</f>
        <v>MERUOCA</v>
      </c>
      <c r="C3506" t="str">
        <f>VLOOKUP(A3506,Planilha2!$A$2:$D$5566,4,0)</f>
        <v>CE</v>
      </c>
    </row>
    <row r="3507" spans="1:3" x14ac:dyDescent="0.35">
      <c r="A3507">
        <v>231280</v>
      </c>
      <c r="B3507" t="str">
        <f>VLOOKUP(A3507,Planilha2!$A$2:$C$5566,3,0)</f>
        <v>SENADOR SÁ</v>
      </c>
      <c r="C3507" t="str">
        <f>VLOOKUP(A3507,Planilha2!$A$2:$D$5566,4,0)</f>
        <v>CE</v>
      </c>
    </row>
    <row r="3508" spans="1:3" x14ac:dyDescent="0.35">
      <c r="A3508">
        <v>231395</v>
      </c>
      <c r="B3508" t="str">
        <f>VLOOKUP(A3508,Planilha2!$A$2:$C$5566,3,0)</f>
        <v>VARJOTA</v>
      </c>
      <c r="C3508" t="str">
        <f>VLOOKUP(A3508,Planilha2!$A$2:$D$5566,4,0)</f>
        <v>CE</v>
      </c>
    </row>
    <row r="3509" spans="1:3" x14ac:dyDescent="0.35">
      <c r="A3509">
        <v>230080</v>
      </c>
      <c r="B3509" t="str">
        <f>VLOOKUP(A3509,Planilha2!$A$2:$C$5566,3,0)</f>
        <v>ANTONINA DO NORTE</v>
      </c>
      <c r="C3509" t="str">
        <f>VLOOKUP(A3509,Planilha2!$A$2:$D$5566,4,0)</f>
        <v>CE</v>
      </c>
    </row>
    <row r="3510" spans="1:3" x14ac:dyDescent="0.35">
      <c r="A3510">
        <v>230720</v>
      </c>
      <c r="B3510" t="str">
        <f>VLOOKUP(A3510,Planilha2!$A$2:$C$5566,3,0)</f>
        <v>JATI</v>
      </c>
      <c r="C3510" t="str">
        <f>VLOOKUP(A3510,Planilha2!$A$2:$D$5566,4,0)</f>
        <v>CE</v>
      </c>
    </row>
    <row r="3511" spans="1:3" x14ac:dyDescent="0.35">
      <c r="A3511">
        <v>230170</v>
      </c>
      <c r="B3511" t="str">
        <f>VLOOKUP(A3511,Planilha2!$A$2:$C$5566,3,0)</f>
        <v>AURORA</v>
      </c>
      <c r="C3511" t="str">
        <f>VLOOKUP(A3511,Planilha2!$A$2:$D$5566,4,0)</f>
        <v>CE</v>
      </c>
    </row>
    <row r="3512" spans="1:3" x14ac:dyDescent="0.35">
      <c r="A3512">
        <v>241142</v>
      </c>
      <c r="B3512" t="str">
        <f>VLOOKUP(A3512,Planilha2!$A$2:$C$5566,3,0)</f>
        <v>SANTANA DO SERIDÓ</v>
      </c>
      <c r="C3512" t="str">
        <f>VLOOKUP(A3512,Planilha2!$A$2:$D$5566,4,0)</f>
        <v>RN</v>
      </c>
    </row>
    <row r="3513" spans="1:3" x14ac:dyDescent="0.35">
      <c r="A3513">
        <v>241140</v>
      </c>
      <c r="B3513" t="str">
        <f>VLOOKUP(A3513,Planilha2!$A$2:$C$5566,3,0)</f>
        <v>SANTANA DO MATOS</v>
      </c>
      <c r="C3513" t="str">
        <f>VLOOKUP(A3513,Planilha2!$A$2:$D$5566,4,0)</f>
        <v>RN</v>
      </c>
    </row>
    <row r="3514" spans="1:3" x14ac:dyDescent="0.35">
      <c r="A3514">
        <v>240400</v>
      </c>
      <c r="B3514" t="str">
        <f>VLOOKUP(A3514,Planilha2!$A$2:$C$5566,3,0)</f>
        <v>FRUTUOSO GOMES</v>
      </c>
      <c r="C3514" t="str">
        <f>VLOOKUP(A3514,Planilha2!$A$2:$D$5566,4,0)</f>
        <v>RN</v>
      </c>
    </row>
    <row r="3515" spans="1:3" x14ac:dyDescent="0.35">
      <c r="A3515">
        <v>250700</v>
      </c>
      <c r="B3515" t="str">
        <f>VLOOKUP(A3515,Planilha2!$A$2:$C$5566,3,0)</f>
        <v>ITAPORANGA</v>
      </c>
      <c r="C3515" t="str">
        <f>VLOOKUP(A3515,Planilha2!$A$2:$D$5566,4,0)</f>
        <v>PB</v>
      </c>
    </row>
    <row r="3516" spans="1:3" x14ac:dyDescent="0.35">
      <c r="A3516">
        <v>250260</v>
      </c>
      <c r="B3516" t="str">
        <f>VLOOKUP(A3516,Planilha2!$A$2:$C$5566,3,0)</f>
        <v>IGARACY</v>
      </c>
      <c r="C3516" t="str">
        <f>VLOOKUP(A3516,Planilha2!$A$2:$D$5566,4,0)</f>
        <v>PB</v>
      </c>
    </row>
    <row r="3517" spans="1:3" x14ac:dyDescent="0.35">
      <c r="A3517">
        <v>251480</v>
      </c>
      <c r="B3517" t="str">
        <f>VLOOKUP(A3517,Planilha2!$A$2:$C$5566,3,0)</f>
        <v>SÃO JOSÉ DOS CORDEIROS</v>
      </c>
      <c r="C3517" t="str">
        <f>VLOOKUP(A3517,Planilha2!$A$2:$D$5566,4,0)</f>
        <v>PB</v>
      </c>
    </row>
    <row r="3518" spans="1:3" x14ac:dyDescent="0.35">
      <c r="A3518">
        <v>250360</v>
      </c>
      <c r="B3518" t="str">
        <f>VLOOKUP(A3518,Planilha2!$A$2:$C$5566,3,0)</f>
        <v>CAIÇARA</v>
      </c>
      <c r="C3518" t="str">
        <f>VLOOKUP(A3518,Planilha2!$A$2:$D$5566,4,0)</f>
        <v>PB</v>
      </c>
    </row>
    <row r="3519" spans="1:3" x14ac:dyDescent="0.35">
      <c r="A3519">
        <v>251394</v>
      </c>
      <c r="B3519" t="str">
        <f>VLOOKUP(A3519,Planilha2!$A$2:$C$5566,3,0)</f>
        <v>SÃO DOMINGOS DO CARIRI</v>
      </c>
      <c r="C3519" t="str">
        <f>VLOOKUP(A3519,Planilha2!$A$2:$D$5566,4,0)</f>
        <v>PB</v>
      </c>
    </row>
    <row r="3520" spans="1:3" x14ac:dyDescent="0.35">
      <c r="A3520">
        <v>251278</v>
      </c>
      <c r="B3520" t="str">
        <f>VLOOKUP(A3520,Planilha2!$A$2:$C$5566,3,0)</f>
        <v>RIACHO DE SANTO ANTÔNIO</v>
      </c>
      <c r="C3520" t="str">
        <f>VLOOKUP(A3520,Planilha2!$A$2:$D$5566,4,0)</f>
        <v>PB</v>
      </c>
    </row>
    <row r="3521" spans="1:3" x14ac:dyDescent="0.35">
      <c r="A3521">
        <v>251597</v>
      </c>
      <c r="B3521" t="str">
        <f>VLOOKUP(A3521,Planilha2!$A$2:$C$5566,3,0)</f>
        <v>SOBRADO</v>
      </c>
      <c r="C3521" t="str">
        <f>VLOOKUP(A3521,Planilha2!$A$2:$D$5566,4,0)</f>
        <v>PB</v>
      </c>
    </row>
    <row r="3522" spans="1:3" x14ac:dyDescent="0.35">
      <c r="A3522">
        <v>250915</v>
      </c>
      <c r="B3522" t="str">
        <f>VLOOKUP(A3522,Planilha2!$A$2:$C$5566,3,0)</f>
        <v>MARIZÓPOLIS</v>
      </c>
      <c r="C3522" t="str">
        <f>VLOOKUP(A3522,Planilha2!$A$2:$D$5566,4,0)</f>
        <v>PB</v>
      </c>
    </row>
    <row r="3523" spans="1:3" x14ac:dyDescent="0.35">
      <c r="A3523">
        <v>250510</v>
      </c>
      <c r="B3523" t="str">
        <f>VLOOKUP(A3523,Planilha2!$A$2:$C$5566,3,0)</f>
        <v>CUITÉ</v>
      </c>
      <c r="C3523" t="str">
        <f>VLOOKUP(A3523,Planilha2!$A$2:$D$5566,4,0)</f>
        <v>PB</v>
      </c>
    </row>
    <row r="3524" spans="1:3" x14ac:dyDescent="0.35">
      <c r="A3524">
        <v>261480</v>
      </c>
      <c r="B3524" t="str">
        <f>VLOOKUP(A3524,Planilha2!$A$2:$C$5566,3,0)</f>
        <v>TACARATU</v>
      </c>
      <c r="C3524" t="str">
        <f>VLOOKUP(A3524,Planilha2!$A$2:$D$5566,4,0)</f>
        <v>PE</v>
      </c>
    </row>
    <row r="3525" spans="1:3" x14ac:dyDescent="0.35">
      <c r="A3525">
        <v>260830</v>
      </c>
      <c r="B3525" t="str">
        <f>VLOOKUP(A3525,Planilha2!$A$2:$C$5566,3,0)</f>
        <v>JUPI</v>
      </c>
      <c r="C3525" t="str">
        <f>VLOOKUP(A3525,Planilha2!$A$2:$D$5566,4,0)</f>
        <v>PE</v>
      </c>
    </row>
    <row r="3526" spans="1:3" x14ac:dyDescent="0.35">
      <c r="A3526">
        <v>261010</v>
      </c>
      <c r="B3526" t="str">
        <f>VLOOKUP(A3526,Planilha2!$A$2:$C$5566,3,0)</f>
        <v>PALMEIRINA</v>
      </c>
      <c r="C3526" t="str">
        <f>VLOOKUP(A3526,Planilha2!$A$2:$D$5566,4,0)</f>
        <v>PE</v>
      </c>
    </row>
    <row r="3527" spans="1:3" x14ac:dyDescent="0.35">
      <c r="A3527" s="2">
        <v>260000</v>
      </c>
      <c r="B3527" t="str">
        <f>VLOOKUP(A3527,[1]IBGE!A$2:B$27,2,0)</f>
        <v>-</v>
      </c>
      <c r="C3527" t="str">
        <f>VLOOKUP(A3527,[1]IBGE!A$2:C$27,3,0)</f>
        <v>PE</v>
      </c>
    </row>
    <row r="3528" spans="1:3" x14ac:dyDescent="0.35">
      <c r="A3528">
        <v>261540</v>
      </c>
      <c r="B3528" t="str">
        <f>VLOOKUP(A3528,Planilha2!$A$2:$C$5566,3,0)</f>
        <v>TORITAMA</v>
      </c>
      <c r="C3528" t="str">
        <f>VLOOKUP(A3528,Planilha2!$A$2:$D$5566,4,0)</f>
        <v>PE</v>
      </c>
    </row>
    <row r="3529" spans="1:3" x14ac:dyDescent="0.35">
      <c r="A3529">
        <v>261470</v>
      </c>
      <c r="B3529" t="str">
        <f>VLOOKUP(A3529,Planilha2!$A$2:$C$5566,3,0)</f>
        <v>TACAIMBÓ</v>
      </c>
      <c r="C3529" t="str">
        <f>VLOOKUP(A3529,Planilha2!$A$2:$D$5566,4,0)</f>
        <v>PE</v>
      </c>
    </row>
    <row r="3530" spans="1:3" x14ac:dyDescent="0.35">
      <c r="A3530">
        <v>261580</v>
      </c>
      <c r="B3530" t="str">
        <f>VLOOKUP(A3530,Planilha2!$A$2:$C$5566,3,0)</f>
        <v>TUPANATINGA</v>
      </c>
      <c r="C3530" t="str">
        <f>VLOOKUP(A3530,Planilha2!$A$2:$D$5566,4,0)</f>
        <v>PE</v>
      </c>
    </row>
    <row r="3531" spans="1:3" x14ac:dyDescent="0.35">
      <c r="A3531">
        <v>260540</v>
      </c>
      <c r="B3531" t="str">
        <f>VLOOKUP(A3531,Planilha2!$A$2:$C$5566,3,0)</f>
        <v>FEIRA NOVA</v>
      </c>
      <c r="C3531" t="str">
        <f>VLOOKUP(A3531,Planilha2!$A$2:$D$5566,4,0)</f>
        <v>PE</v>
      </c>
    </row>
    <row r="3532" spans="1:3" x14ac:dyDescent="0.35">
      <c r="A3532">
        <v>260105</v>
      </c>
      <c r="B3532" t="str">
        <f>VLOOKUP(A3532,Planilha2!$A$2:$C$5566,3,0)</f>
        <v>ARAÇOIABA</v>
      </c>
      <c r="C3532" t="str">
        <f>VLOOKUP(A3532,Planilha2!$A$2:$D$5566,4,0)</f>
        <v>PE</v>
      </c>
    </row>
    <row r="3533" spans="1:3" x14ac:dyDescent="0.35">
      <c r="A3533">
        <v>280650</v>
      </c>
      <c r="B3533" t="str">
        <f>VLOOKUP(A3533,Planilha2!$A$2:$C$5566,3,0)</f>
        <v>SANTA ROSA DE LIMA</v>
      </c>
      <c r="C3533" t="str">
        <f>VLOOKUP(A3533,Planilha2!$A$2:$D$5566,4,0)</f>
        <v>SE</v>
      </c>
    </row>
    <row r="3534" spans="1:3" x14ac:dyDescent="0.35">
      <c r="A3534">
        <v>280600</v>
      </c>
      <c r="B3534" t="str">
        <f>VLOOKUP(A3534,Planilha2!$A$2:$C$5566,3,0)</f>
        <v>RIBEIRÓPOLIS</v>
      </c>
      <c r="C3534" t="str">
        <f>VLOOKUP(A3534,Planilha2!$A$2:$D$5566,4,0)</f>
        <v>SE</v>
      </c>
    </row>
    <row r="3535" spans="1:3" x14ac:dyDescent="0.35">
      <c r="A3535">
        <v>280270</v>
      </c>
      <c r="B3535" t="str">
        <f>VLOOKUP(A3535,Planilha2!$A$2:$C$5566,3,0)</f>
        <v>ILHA DAS FLORES</v>
      </c>
      <c r="C3535" t="str">
        <f>VLOOKUP(A3535,Planilha2!$A$2:$D$5566,4,0)</f>
        <v>SE</v>
      </c>
    </row>
    <row r="3536" spans="1:3" x14ac:dyDescent="0.35">
      <c r="A3536">
        <v>280220</v>
      </c>
      <c r="B3536" t="str">
        <f>VLOOKUP(A3536,Planilha2!$A$2:$C$5566,3,0)</f>
        <v>FEIRA NOVA</v>
      </c>
      <c r="C3536" t="str">
        <f>VLOOKUP(A3536,Planilha2!$A$2:$D$5566,4,0)</f>
        <v>SE</v>
      </c>
    </row>
    <row r="3537" spans="1:3" x14ac:dyDescent="0.35">
      <c r="A3537">
        <v>280260</v>
      </c>
      <c r="B3537" t="str">
        <f>VLOOKUP(A3537,Planilha2!$A$2:$C$5566,3,0)</f>
        <v>GRACHO CARDOSO</v>
      </c>
      <c r="C3537" t="str">
        <f>VLOOKUP(A3537,Planilha2!$A$2:$D$5566,4,0)</f>
        <v>SE</v>
      </c>
    </row>
    <row r="3538" spans="1:3" x14ac:dyDescent="0.35">
      <c r="A3538">
        <v>292780</v>
      </c>
      <c r="B3538" t="str">
        <f>VLOOKUP(A3538,Planilha2!$A$2:$C$5566,3,0)</f>
        <v>SANTA CRUZ DA VITÓRIA</v>
      </c>
      <c r="C3538" t="str">
        <f>VLOOKUP(A3538,Planilha2!$A$2:$D$5566,4,0)</f>
        <v>BA</v>
      </c>
    </row>
    <row r="3539" spans="1:3" x14ac:dyDescent="0.35">
      <c r="A3539">
        <v>291905</v>
      </c>
      <c r="B3539" t="str">
        <f>VLOOKUP(A3539,Planilha2!$A$2:$C$5566,3,0)</f>
        <v>LAJEDO DO TABOCAL</v>
      </c>
      <c r="C3539" t="str">
        <f>VLOOKUP(A3539,Planilha2!$A$2:$D$5566,4,0)</f>
        <v>BA</v>
      </c>
    </row>
    <row r="3540" spans="1:3" x14ac:dyDescent="0.35">
      <c r="A3540">
        <v>290682</v>
      </c>
      <c r="B3540" t="str">
        <f>VLOOKUP(A3540,Planilha2!$A$2:$C$5566,3,0)</f>
        <v>CANUDOS</v>
      </c>
      <c r="C3540" t="str">
        <f>VLOOKUP(A3540,Planilha2!$A$2:$D$5566,4,0)</f>
        <v>BA</v>
      </c>
    </row>
    <row r="3541" spans="1:3" x14ac:dyDescent="0.35">
      <c r="A3541">
        <v>291260</v>
      </c>
      <c r="B3541" t="str">
        <f>VLOOKUP(A3541,Planilha2!$A$2:$C$5566,3,0)</f>
        <v>IBIQUERA</v>
      </c>
      <c r="C3541" t="str">
        <f>VLOOKUP(A3541,Planilha2!$A$2:$D$5566,4,0)</f>
        <v>BA</v>
      </c>
    </row>
    <row r="3542" spans="1:3" x14ac:dyDescent="0.35">
      <c r="A3542">
        <v>291535</v>
      </c>
      <c r="B3542" t="str">
        <f>VLOOKUP(A3542,Planilha2!$A$2:$C$5566,3,0)</f>
        <v>ITAGUAÇU DA BAHIA</v>
      </c>
      <c r="C3542" t="str">
        <f>VLOOKUP(A3542,Planilha2!$A$2:$D$5566,4,0)</f>
        <v>BA</v>
      </c>
    </row>
    <row r="3543" spans="1:3" x14ac:dyDescent="0.35">
      <c r="A3543">
        <v>290190</v>
      </c>
      <c r="B3543" t="str">
        <f>VLOOKUP(A3543,Planilha2!$A$2:$C$5566,3,0)</f>
        <v>APORÁ</v>
      </c>
      <c r="C3543" t="str">
        <f>VLOOKUP(A3543,Planilha2!$A$2:$D$5566,4,0)</f>
        <v>BA</v>
      </c>
    </row>
    <row r="3544" spans="1:3" x14ac:dyDescent="0.35">
      <c r="A3544">
        <v>290960</v>
      </c>
      <c r="B3544" t="str">
        <f>VLOOKUP(A3544,Planilha2!$A$2:$C$5566,3,0)</f>
        <v>CRISÓPOLIS</v>
      </c>
      <c r="C3544" t="str">
        <f>VLOOKUP(A3544,Planilha2!$A$2:$D$5566,4,0)</f>
        <v>BA</v>
      </c>
    </row>
    <row r="3545" spans="1:3" x14ac:dyDescent="0.35">
      <c r="A3545">
        <v>291590</v>
      </c>
      <c r="B3545" t="str">
        <f>VLOOKUP(A3545,Planilha2!$A$2:$C$5566,3,0)</f>
        <v>ITANAGRA</v>
      </c>
      <c r="C3545" t="str">
        <f>VLOOKUP(A3545,Planilha2!$A$2:$D$5566,4,0)</f>
        <v>BA</v>
      </c>
    </row>
    <row r="3546" spans="1:3" x14ac:dyDescent="0.35">
      <c r="A3546">
        <v>290990</v>
      </c>
      <c r="B3546" t="str">
        <f>VLOOKUP(A3546,Planilha2!$A$2:$C$5566,3,0)</f>
        <v>CURAÇÁ</v>
      </c>
      <c r="C3546" t="str">
        <f>VLOOKUP(A3546,Planilha2!$A$2:$D$5566,4,0)</f>
        <v>BA</v>
      </c>
    </row>
    <row r="3547" spans="1:3" x14ac:dyDescent="0.35">
      <c r="A3547">
        <v>220290</v>
      </c>
      <c r="B3547" t="str">
        <f>VLOOKUP(A3547,Planilha2!$A$2:$C$5566,3,0)</f>
        <v>CORRENTE</v>
      </c>
      <c r="C3547" t="str">
        <f>VLOOKUP(A3547,Planilha2!$A$2:$D$5566,4,0)</f>
        <v>PI</v>
      </c>
    </row>
    <row r="3548" spans="1:3" x14ac:dyDescent="0.35">
      <c r="A3548">
        <v>291350</v>
      </c>
      <c r="B3548" t="str">
        <f>VLOOKUP(A3548,Planilha2!$A$2:$C$5566,3,0)</f>
        <v>IGUAÍ</v>
      </c>
      <c r="C3548" t="str">
        <f>VLOOKUP(A3548,Planilha2!$A$2:$D$5566,4,0)</f>
        <v>BA</v>
      </c>
    </row>
    <row r="3549" spans="1:3" x14ac:dyDescent="0.35">
      <c r="A3549">
        <v>291165</v>
      </c>
      <c r="B3549" t="str">
        <f>VLOOKUP(A3549,Planilha2!$A$2:$C$5566,3,0)</f>
        <v>GUAJERU</v>
      </c>
      <c r="C3549" t="str">
        <f>VLOOKUP(A3549,Planilha2!$A$2:$D$5566,4,0)</f>
        <v>BA</v>
      </c>
    </row>
    <row r="3550" spans="1:3" x14ac:dyDescent="0.35">
      <c r="A3550">
        <v>292690</v>
      </c>
      <c r="B3550" t="str">
        <f>VLOOKUP(A3550,Planilha2!$A$2:$C$5566,3,0)</f>
        <v>RIO DO PIRES</v>
      </c>
      <c r="C3550" t="str">
        <f>VLOOKUP(A3550,Planilha2!$A$2:$D$5566,4,0)</f>
        <v>BA</v>
      </c>
    </row>
    <row r="3551" spans="1:3" x14ac:dyDescent="0.35">
      <c r="A3551">
        <v>291090</v>
      </c>
      <c r="B3551" t="str">
        <f>VLOOKUP(A3551,Planilha2!$A$2:$C$5566,3,0)</f>
        <v>FIRMINO ALVES</v>
      </c>
      <c r="C3551" t="str">
        <f>VLOOKUP(A3551,Planilha2!$A$2:$D$5566,4,0)</f>
        <v>BA</v>
      </c>
    </row>
    <row r="3552" spans="1:3" x14ac:dyDescent="0.35">
      <c r="A3552">
        <v>292960</v>
      </c>
      <c r="B3552" t="str">
        <f>VLOOKUP(A3552,Planilha2!$A$2:$C$5566,3,0)</f>
        <v>SAPEAÇU</v>
      </c>
      <c r="C3552" t="str">
        <f>VLOOKUP(A3552,Planilha2!$A$2:$D$5566,4,0)</f>
        <v>BA</v>
      </c>
    </row>
    <row r="3553" spans="1:3" x14ac:dyDescent="0.35">
      <c r="A3553">
        <v>290100</v>
      </c>
      <c r="B3553" t="str">
        <f>VLOOKUP(A3553,Planilha2!$A$2:$C$5566,3,0)</f>
        <v>AMARGOSA</v>
      </c>
      <c r="C3553" t="str">
        <f>VLOOKUP(A3553,Planilha2!$A$2:$D$5566,4,0)</f>
        <v>BA</v>
      </c>
    </row>
    <row r="3554" spans="1:3" x14ac:dyDescent="0.35">
      <c r="A3554">
        <v>291630</v>
      </c>
      <c r="B3554" t="str">
        <f>VLOOKUP(A3554,Planilha2!$A$2:$C$5566,3,0)</f>
        <v>ITAPEBI</v>
      </c>
      <c r="C3554" t="str">
        <f>VLOOKUP(A3554,Planilha2!$A$2:$D$5566,4,0)</f>
        <v>BA</v>
      </c>
    </row>
    <row r="3555" spans="1:3" x14ac:dyDescent="0.35">
      <c r="A3555">
        <v>310750</v>
      </c>
      <c r="B3555" t="str">
        <f>VLOOKUP(A3555,Planilha2!$A$2:$C$5566,3,0)</f>
        <v>BOM JARDIM DE MINAS</v>
      </c>
      <c r="C3555" t="str">
        <f>VLOOKUP(A3555,Planilha2!$A$2:$D$5566,4,0)</f>
        <v>MG</v>
      </c>
    </row>
    <row r="3556" spans="1:3" x14ac:dyDescent="0.35">
      <c r="A3556">
        <v>313060</v>
      </c>
      <c r="B3556" t="str">
        <f>VLOOKUP(A3556,Planilha2!$A$2:$C$5566,3,0)</f>
        <v>INCONFIDENTES</v>
      </c>
      <c r="C3556" t="str">
        <f>VLOOKUP(A3556,Planilha2!$A$2:$D$5566,4,0)</f>
        <v>MG</v>
      </c>
    </row>
    <row r="3557" spans="1:3" x14ac:dyDescent="0.35">
      <c r="A3557">
        <v>314190</v>
      </c>
      <c r="B3557" t="str">
        <f>VLOOKUP(A3557,Planilha2!$A$2:$C$5566,3,0)</f>
        <v>MINDURI</v>
      </c>
      <c r="C3557" t="str">
        <f>VLOOKUP(A3557,Planilha2!$A$2:$D$5566,4,0)</f>
        <v>MG</v>
      </c>
    </row>
    <row r="3558" spans="1:3" x14ac:dyDescent="0.35">
      <c r="A3558">
        <v>314535</v>
      </c>
      <c r="B3558" t="str">
        <f>VLOOKUP(A3558,Planilha2!$A$2:$C$5566,3,0)</f>
        <v>NOVO ORIENTE DE MINAS</v>
      </c>
      <c r="C3558" t="str">
        <f>VLOOKUP(A3558,Planilha2!$A$2:$D$5566,4,0)</f>
        <v>MG</v>
      </c>
    </row>
    <row r="3559" spans="1:3" x14ac:dyDescent="0.35">
      <c r="A3559">
        <v>312680</v>
      </c>
      <c r="B3559" t="str">
        <f>VLOOKUP(A3559,Planilha2!$A$2:$C$5566,3,0)</f>
        <v>FREI GASPAR</v>
      </c>
      <c r="C3559" t="str">
        <f>VLOOKUP(A3559,Planilha2!$A$2:$D$5566,4,0)</f>
        <v>MG</v>
      </c>
    </row>
    <row r="3560" spans="1:3" x14ac:dyDescent="0.35">
      <c r="A3560">
        <v>314875</v>
      </c>
      <c r="B3560" t="str">
        <f>VLOOKUP(A3560,Planilha2!$A$2:$C$5566,3,0)</f>
        <v>PEDRA BONITA</v>
      </c>
      <c r="C3560" t="str">
        <f>VLOOKUP(A3560,Planilha2!$A$2:$D$5566,4,0)</f>
        <v>MG</v>
      </c>
    </row>
    <row r="3561" spans="1:3" x14ac:dyDescent="0.35">
      <c r="A3561">
        <v>313950</v>
      </c>
      <c r="B3561" t="str">
        <f>VLOOKUP(A3561,Planilha2!$A$2:$C$5566,3,0)</f>
        <v>MANHUMIRIM</v>
      </c>
      <c r="C3561" t="str">
        <f>VLOOKUP(A3561,Planilha2!$A$2:$D$5566,4,0)</f>
        <v>MG</v>
      </c>
    </row>
    <row r="3562" spans="1:3" x14ac:dyDescent="0.35">
      <c r="A3562">
        <v>317160</v>
      </c>
      <c r="B3562" t="str">
        <f>VLOOKUP(A3562,Planilha2!$A$2:$C$5566,3,0)</f>
        <v>VIRGEM DA LAPA</v>
      </c>
      <c r="C3562" t="str">
        <f>VLOOKUP(A3562,Planilha2!$A$2:$D$5566,4,0)</f>
        <v>MG</v>
      </c>
    </row>
    <row r="3563" spans="1:3" x14ac:dyDescent="0.35">
      <c r="A3563">
        <v>316400</v>
      </c>
      <c r="B3563" t="str">
        <f>VLOOKUP(A3563,Planilha2!$A$2:$C$5566,3,0)</f>
        <v>SÃO PEDRO DOS FERROS</v>
      </c>
      <c r="C3563" t="str">
        <f>VLOOKUP(A3563,Planilha2!$A$2:$D$5566,4,0)</f>
        <v>MG</v>
      </c>
    </row>
    <row r="3564" spans="1:3" x14ac:dyDescent="0.35">
      <c r="A3564">
        <v>316340</v>
      </c>
      <c r="B3564" t="str">
        <f>VLOOKUP(A3564,Planilha2!$A$2:$C$5566,3,0)</f>
        <v>SÃO JOSÉ DO GOIABAL</v>
      </c>
      <c r="C3564" t="str">
        <f>VLOOKUP(A3564,Planilha2!$A$2:$D$5566,4,0)</f>
        <v>MG</v>
      </c>
    </row>
    <row r="3565" spans="1:3" x14ac:dyDescent="0.35">
      <c r="A3565">
        <v>315445</v>
      </c>
      <c r="B3565" t="str">
        <f>VLOOKUP(A3565,Planilha2!$A$2:$C$5566,3,0)</f>
        <v>RIACHINHO</v>
      </c>
      <c r="C3565" t="str">
        <f>VLOOKUP(A3565,Planilha2!$A$2:$D$5566,4,0)</f>
        <v>MG</v>
      </c>
    </row>
    <row r="3566" spans="1:3" x14ac:dyDescent="0.35">
      <c r="A3566">
        <v>315510</v>
      </c>
      <c r="B3566" t="str">
        <f>VLOOKUP(A3566,Planilha2!$A$2:$C$5566,3,0)</f>
        <v>RIO DO PRADO</v>
      </c>
      <c r="C3566" t="str">
        <f>VLOOKUP(A3566,Planilha2!$A$2:$D$5566,4,0)</f>
        <v>MG</v>
      </c>
    </row>
    <row r="3567" spans="1:3" x14ac:dyDescent="0.35">
      <c r="A3567">
        <v>313650</v>
      </c>
      <c r="B3567" t="str">
        <f>VLOOKUP(A3567,Planilha2!$A$2:$C$5566,3,0)</f>
        <v>JORDÂNIA</v>
      </c>
      <c r="C3567" t="str">
        <f>VLOOKUP(A3567,Planilha2!$A$2:$D$5566,4,0)</f>
        <v>MG</v>
      </c>
    </row>
    <row r="3568" spans="1:3" x14ac:dyDescent="0.35">
      <c r="A3568">
        <v>313090</v>
      </c>
      <c r="B3568" t="str">
        <f>VLOOKUP(A3568,Planilha2!$A$2:$C$5566,3,0)</f>
        <v>INHAPIM</v>
      </c>
      <c r="C3568" t="str">
        <f>VLOOKUP(A3568,Planilha2!$A$2:$D$5566,4,0)</f>
        <v>MG</v>
      </c>
    </row>
    <row r="3569" spans="1:3" x14ac:dyDescent="0.35">
      <c r="A3569">
        <v>316000</v>
      </c>
      <c r="B3569" t="str">
        <f>VLOOKUP(A3569,Planilha2!$A$2:$C$5566,3,0)</f>
        <v>SANTO ANTÔNIO DO AVENTUREIRO</v>
      </c>
      <c r="C3569" t="str">
        <f>VLOOKUP(A3569,Planilha2!$A$2:$D$5566,4,0)</f>
        <v>MG</v>
      </c>
    </row>
    <row r="3570" spans="1:3" x14ac:dyDescent="0.35">
      <c r="A3570">
        <v>311115</v>
      </c>
      <c r="B3570" t="str">
        <f>VLOOKUP(A3570,Planilha2!$A$2:$C$5566,3,0)</f>
        <v>CAMPO AZUL</v>
      </c>
      <c r="C3570" t="str">
        <f>VLOOKUP(A3570,Planilha2!$A$2:$D$5566,4,0)</f>
        <v>MG</v>
      </c>
    </row>
    <row r="3571" spans="1:3" x14ac:dyDescent="0.35">
      <c r="A3571">
        <v>312140</v>
      </c>
      <c r="B3571" t="str">
        <f>VLOOKUP(A3571,Planilha2!$A$2:$C$5566,3,0)</f>
        <v>DESTERRO DE ENTRE RIOS</v>
      </c>
      <c r="C3571" t="str">
        <f>VLOOKUP(A3571,Planilha2!$A$2:$D$5566,4,0)</f>
        <v>MG</v>
      </c>
    </row>
    <row r="3572" spans="1:3" x14ac:dyDescent="0.35">
      <c r="A3572">
        <v>311600</v>
      </c>
      <c r="B3572" t="str">
        <f>VLOOKUP(A3572,Planilha2!$A$2:$C$5566,3,0)</f>
        <v>CHALÉ</v>
      </c>
      <c r="C3572" t="str">
        <f>VLOOKUP(A3572,Planilha2!$A$2:$D$5566,4,0)</f>
        <v>MG</v>
      </c>
    </row>
    <row r="3573" spans="1:3" x14ac:dyDescent="0.35">
      <c r="A3573">
        <v>310970</v>
      </c>
      <c r="B3573" t="str">
        <f>VLOOKUP(A3573,Planilha2!$A$2:$C$5566,3,0)</f>
        <v>CACHOEIRA DE MINAS</v>
      </c>
      <c r="C3573" t="str">
        <f>VLOOKUP(A3573,Planilha2!$A$2:$D$5566,4,0)</f>
        <v>MG</v>
      </c>
    </row>
    <row r="3574" spans="1:3" x14ac:dyDescent="0.35">
      <c r="A3574">
        <v>315830</v>
      </c>
      <c r="B3574" t="str">
        <f>VLOOKUP(A3574,Planilha2!$A$2:$C$5566,3,0)</f>
        <v>SANTANA DA VARGEM</v>
      </c>
      <c r="C3574" t="str">
        <f>VLOOKUP(A3574,Planilha2!$A$2:$D$5566,4,0)</f>
        <v>MG</v>
      </c>
    </row>
    <row r="3575" spans="1:3" x14ac:dyDescent="0.35">
      <c r="A3575">
        <v>311200</v>
      </c>
      <c r="B3575" t="str">
        <f>VLOOKUP(A3575,Planilha2!$A$2:$C$5566,3,0)</f>
        <v>CANDEIAS</v>
      </c>
      <c r="C3575" t="str">
        <f>VLOOKUP(A3575,Planilha2!$A$2:$D$5566,4,0)</f>
        <v>MG</v>
      </c>
    </row>
    <row r="3576" spans="1:3" x14ac:dyDescent="0.35">
      <c r="A3576">
        <v>313030</v>
      </c>
      <c r="B3576" t="str">
        <f>VLOOKUP(A3576,Planilha2!$A$2:$C$5566,3,0)</f>
        <v>IGUATAMA</v>
      </c>
      <c r="C3576" t="str">
        <f>VLOOKUP(A3576,Planilha2!$A$2:$D$5566,4,0)</f>
        <v>MG</v>
      </c>
    </row>
    <row r="3577" spans="1:3" x14ac:dyDescent="0.35">
      <c r="A3577">
        <v>314890</v>
      </c>
      <c r="B3577" t="str">
        <f>VLOOKUP(A3577,Planilha2!$A$2:$C$5566,3,0)</f>
        <v>PEDRA DO INDAIÁ</v>
      </c>
      <c r="C3577" t="str">
        <f>VLOOKUP(A3577,Planilha2!$A$2:$D$5566,4,0)</f>
        <v>MG</v>
      </c>
    </row>
    <row r="3578" spans="1:3" x14ac:dyDescent="0.35">
      <c r="A3578">
        <v>314050</v>
      </c>
      <c r="B3578" t="str">
        <f>VLOOKUP(A3578,Planilha2!$A$2:$C$5566,3,0)</f>
        <v>MARTINHO CAMPOS</v>
      </c>
      <c r="C3578" t="str">
        <f>VLOOKUP(A3578,Planilha2!$A$2:$D$5566,4,0)</f>
        <v>MG</v>
      </c>
    </row>
    <row r="3579" spans="1:3" x14ac:dyDescent="0.35">
      <c r="A3579">
        <v>310163</v>
      </c>
      <c r="B3579" t="str">
        <f>VLOOKUP(A3579,Planilha2!$A$2:$C$5566,3,0)</f>
        <v>ALFREDO VASCONCELOS</v>
      </c>
      <c r="C3579" t="str">
        <f>VLOOKUP(A3579,Planilha2!$A$2:$D$5566,4,0)</f>
        <v>MG</v>
      </c>
    </row>
    <row r="3580" spans="1:3" x14ac:dyDescent="0.35">
      <c r="A3580">
        <v>314370</v>
      </c>
      <c r="B3580" t="str">
        <f>VLOOKUP(A3580,Planilha2!$A$2:$C$5566,3,0)</f>
        <v>MORRO DO PILAR</v>
      </c>
      <c r="C3580" t="str">
        <f>VLOOKUP(A3580,Planilha2!$A$2:$D$5566,4,0)</f>
        <v>MG</v>
      </c>
    </row>
    <row r="3581" spans="1:3" x14ac:dyDescent="0.35">
      <c r="A3581">
        <v>312570</v>
      </c>
      <c r="B3581" t="str">
        <f>VLOOKUP(A3581,Planilha2!$A$2:$C$5566,3,0)</f>
        <v>FELIXLÂNDIA</v>
      </c>
      <c r="C3581" t="str">
        <f>VLOOKUP(A3581,Planilha2!$A$2:$D$5566,4,0)</f>
        <v>MG</v>
      </c>
    </row>
    <row r="3582" spans="1:3" x14ac:dyDescent="0.35">
      <c r="A3582">
        <v>311160</v>
      </c>
      <c r="B3582" t="str">
        <f>VLOOKUP(A3582,Planilha2!$A$2:$C$5566,3,0)</f>
        <v>CAMPOS GERAIS</v>
      </c>
      <c r="C3582" t="str">
        <f>VLOOKUP(A3582,Planilha2!$A$2:$D$5566,4,0)</f>
        <v>MG</v>
      </c>
    </row>
    <row r="3583" spans="1:3" x14ac:dyDescent="0.35">
      <c r="A3583">
        <v>316690</v>
      </c>
      <c r="B3583" t="str">
        <f>VLOOKUP(A3583,Planilha2!$A$2:$C$5566,3,0)</f>
        <v>SERRANIA</v>
      </c>
      <c r="C3583" t="str">
        <f>VLOOKUP(A3583,Planilha2!$A$2:$D$5566,4,0)</f>
        <v>MG</v>
      </c>
    </row>
    <row r="3584" spans="1:3" x14ac:dyDescent="0.35">
      <c r="A3584">
        <v>312000</v>
      </c>
      <c r="B3584" t="str">
        <f>VLOOKUP(A3584,Planilha2!$A$2:$C$5566,3,0)</f>
        <v>CÓRREGO NOVO</v>
      </c>
      <c r="C3584" t="str">
        <f>VLOOKUP(A3584,Planilha2!$A$2:$D$5566,4,0)</f>
        <v>MG</v>
      </c>
    </row>
    <row r="3585" spans="1:3" x14ac:dyDescent="0.35">
      <c r="A3585">
        <v>315110</v>
      </c>
      <c r="B3585" t="str">
        <f>VLOOKUP(A3585,Planilha2!$A$2:$C$5566,3,0)</f>
        <v>PIRAPETINGA</v>
      </c>
      <c r="C3585" t="str">
        <f>VLOOKUP(A3585,Planilha2!$A$2:$D$5566,4,0)</f>
        <v>MG</v>
      </c>
    </row>
    <row r="3586" spans="1:3" x14ac:dyDescent="0.35">
      <c r="A3586">
        <v>315850</v>
      </c>
      <c r="B3586" t="str">
        <f>VLOOKUP(A3586,Planilha2!$A$2:$C$5566,3,0)</f>
        <v>SANTANA DE PIRAPAMA</v>
      </c>
      <c r="C3586" t="str">
        <f>VLOOKUP(A3586,Planilha2!$A$2:$D$5566,4,0)</f>
        <v>MG</v>
      </c>
    </row>
    <row r="3587" spans="1:3" x14ac:dyDescent="0.35">
      <c r="A3587">
        <v>310920</v>
      </c>
      <c r="B3587" t="str">
        <f>VLOOKUP(A3587,Planilha2!$A$2:$C$5566,3,0)</f>
        <v>BUENÓPOLIS</v>
      </c>
      <c r="C3587" t="str">
        <f>VLOOKUP(A3587,Planilha2!$A$2:$D$5566,4,0)</f>
        <v>MG</v>
      </c>
    </row>
    <row r="3588" spans="1:3" x14ac:dyDescent="0.35">
      <c r="A3588">
        <v>320115</v>
      </c>
      <c r="B3588" t="str">
        <f>VLOOKUP(A3588,Planilha2!$A$2:$C$5566,3,0)</f>
        <v>BREJETUBA</v>
      </c>
      <c r="C3588" t="str">
        <f>VLOOKUP(A3588,Planilha2!$A$2:$D$5566,4,0)</f>
        <v>ES</v>
      </c>
    </row>
    <row r="3589" spans="1:3" x14ac:dyDescent="0.35">
      <c r="A3589">
        <v>320310</v>
      </c>
      <c r="B3589" t="str">
        <f>VLOOKUP(A3589,Planilha2!$A$2:$C$5566,3,0)</f>
        <v>JERÔNIMO MONTEIRO</v>
      </c>
      <c r="C3589" t="str">
        <f>VLOOKUP(A3589,Planilha2!$A$2:$D$5566,4,0)</f>
        <v>ES</v>
      </c>
    </row>
    <row r="3590" spans="1:3" x14ac:dyDescent="0.35">
      <c r="A3590">
        <v>320517</v>
      </c>
      <c r="B3590" t="str">
        <f>VLOOKUP(A3590,Planilha2!$A$2:$C$5566,3,0)</f>
        <v>VILA VALÉRIO</v>
      </c>
      <c r="C3590" t="str">
        <f>VLOOKUP(A3590,Planilha2!$A$2:$D$5566,4,0)</f>
        <v>ES</v>
      </c>
    </row>
    <row r="3591" spans="1:3" x14ac:dyDescent="0.35">
      <c r="A3591">
        <v>330515</v>
      </c>
      <c r="B3591" t="str">
        <f>VLOOKUP(A3591,Planilha2!$A$2:$C$5566,3,0)</f>
        <v>SÃO JOSÉ DO VALE DO RIO PRETO</v>
      </c>
      <c r="C3591" t="str">
        <f>VLOOKUP(A3591,Planilha2!$A$2:$D$5566,4,0)</f>
        <v>RJ</v>
      </c>
    </row>
    <row r="3592" spans="1:3" x14ac:dyDescent="0.35">
      <c r="A3592">
        <v>330500</v>
      </c>
      <c r="B3592" t="str">
        <f>VLOOKUP(A3592,Planilha2!$A$2:$C$5566,3,0)</f>
        <v>SÃO JOÃO DA BARRA</v>
      </c>
      <c r="C3592" t="str">
        <f>VLOOKUP(A3592,Planilha2!$A$2:$D$5566,4,0)</f>
        <v>RJ</v>
      </c>
    </row>
    <row r="3593" spans="1:3" x14ac:dyDescent="0.35">
      <c r="A3593">
        <v>330160</v>
      </c>
      <c r="B3593" t="str">
        <f>VLOOKUP(A3593,Planilha2!$A$2:$C$5566,3,0)</f>
        <v>DUAS BARRAS</v>
      </c>
      <c r="C3593" t="str">
        <f>VLOOKUP(A3593,Planilha2!$A$2:$D$5566,4,0)</f>
        <v>RJ</v>
      </c>
    </row>
    <row r="3594" spans="1:3" x14ac:dyDescent="0.35">
      <c r="A3594">
        <v>355715</v>
      </c>
      <c r="B3594" t="str">
        <f>VLOOKUP(A3594,Planilha2!$A$2:$C$5566,3,0)</f>
        <v>ZACARIAS</v>
      </c>
      <c r="C3594" t="str">
        <f>VLOOKUP(A3594,Planilha2!$A$2:$D$5566,4,0)</f>
        <v>SP</v>
      </c>
    </row>
    <row r="3595" spans="1:3" x14ac:dyDescent="0.35">
      <c r="A3595">
        <v>351290</v>
      </c>
      <c r="B3595" t="str">
        <f>VLOOKUP(A3595,Planilha2!$A$2:$C$5566,3,0)</f>
        <v>COSMORAMA</v>
      </c>
      <c r="C3595" t="str">
        <f>VLOOKUP(A3595,Planilha2!$A$2:$D$5566,4,0)</f>
        <v>SP</v>
      </c>
    </row>
    <row r="3596" spans="1:3" x14ac:dyDescent="0.35">
      <c r="A3596">
        <v>353500</v>
      </c>
      <c r="B3596" t="str">
        <f>VLOOKUP(A3596,Planilha2!$A$2:$C$5566,3,0)</f>
        <v>PALESTINA</v>
      </c>
      <c r="C3596" t="str">
        <f>VLOOKUP(A3596,Planilha2!$A$2:$D$5566,4,0)</f>
        <v>SP</v>
      </c>
    </row>
    <row r="3597" spans="1:3" x14ac:dyDescent="0.35">
      <c r="A3597">
        <v>353960</v>
      </c>
      <c r="B3597" t="str">
        <f>VLOOKUP(A3597,Planilha2!$A$2:$C$5566,3,0)</f>
        <v>PLANALTO</v>
      </c>
      <c r="C3597" t="str">
        <f>VLOOKUP(A3597,Planilha2!$A$2:$D$5566,4,0)</f>
        <v>SP</v>
      </c>
    </row>
    <row r="3598" spans="1:3" x14ac:dyDescent="0.35">
      <c r="A3598">
        <v>354840</v>
      </c>
      <c r="B3598" t="str">
        <f>VLOOKUP(A3598,Planilha2!$A$2:$C$5566,3,0)</f>
        <v>SANTÓPOLIS DO AGUAPEÍ</v>
      </c>
      <c r="C3598" t="str">
        <f>VLOOKUP(A3598,Planilha2!$A$2:$D$5566,4,0)</f>
        <v>SP</v>
      </c>
    </row>
    <row r="3599" spans="1:3" x14ac:dyDescent="0.35">
      <c r="A3599">
        <v>352725</v>
      </c>
      <c r="B3599" t="str">
        <f>VLOOKUP(A3599,Planilha2!$A$2:$C$5566,3,0)</f>
        <v>LOURDES</v>
      </c>
      <c r="C3599" t="str">
        <f>VLOOKUP(A3599,Planilha2!$A$2:$D$5566,4,0)</f>
        <v>SP</v>
      </c>
    </row>
    <row r="3600" spans="1:3" x14ac:dyDescent="0.35">
      <c r="A3600">
        <v>354670</v>
      </c>
      <c r="B3600" t="str">
        <f>VLOOKUP(A3600,Planilha2!$A$2:$C$5566,3,0)</f>
        <v>SANTA GERTRUDES</v>
      </c>
      <c r="C3600" t="str">
        <f>VLOOKUP(A3600,Planilha2!$A$2:$D$5566,4,0)</f>
        <v>SP</v>
      </c>
    </row>
    <row r="3601" spans="1:3" x14ac:dyDescent="0.35">
      <c r="A3601">
        <v>350670</v>
      </c>
      <c r="B3601" t="str">
        <f>VLOOKUP(A3601,Planilha2!$A$2:$C$5566,3,0)</f>
        <v>BOA ESPERANÇA DO SUL</v>
      </c>
      <c r="C3601" t="str">
        <f>VLOOKUP(A3601,Planilha2!$A$2:$D$5566,4,0)</f>
        <v>SP</v>
      </c>
    </row>
    <row r="3602" spans="1:3" x14ac:dyDescent="0.35">
      <c r="A3602">
        <v>353715</v>
      </c>
      <c r="B3602" t="str">
        <f>VLOOKUP(A3602,Planilha2!$A$2:$C$5566,3,0)</f>
        <v>PEDRINHAS PAULISTA</v>
      </c>
      <c r="C3602" t="str">
        <f>VLOOKUP(A3602,Planilha2!$A$2:$D$5566,4,0)</f>
        <v>SP</v>
      </c>
    </row>
    <row r="3603" spans="1:3" x14ac:dyDescent="0.35">
      <c r="A3603">
        <v>355395</v>
      </c>
      <c r="B3603" t="str">
        <f>VLOOKUP(A3603,Planilha2!$A$2:$C$5566,3,0)</f>
        <v>TARUMÃ</v>
      </c>
      <c r="C3603" t="str">
        <f>VLOOKUP(A3603,Planilha2!$A$2:$D$5566,4,0)</f>
        <v>SP</v>
      </c>
    </row>
    <row r="3604" spans="1:3" x14ac:dyDescent="0.35">
      <c r="A3604">
        <v>354180</v>
      </c>
      <c r="B3604" t="str">
        <f>VLOOKUP(A3604,Planilha2!$A$2:$C$5566,3,0)</f>
        <v>QUEIROZ</v>
      </c>
      <c r="C3604" t="str">
        <f>VLOOKUP(A3604,Planilha2!$A$2:$D$5566,4,0)</f>
        <v>SP</v>
      </c>
    </row>
    <row r="3605" spans="1:3" x14ac:dyDescent="0.35">
      <c r="A3605">
        <v>354690</v>
      </c>
      <c r="B3605" t="str">
        <f>VLOOKUP(A3605,Planilha2!$A$2:$C$5566,3,0)</f>
        <v>SANTA LÚCIA</v>
      </c>
      <c r="C3605" t="str">
        <f>VLOOKUP(A3605,Planilha2!$A$2:$D$5566,4,0)</f>
        <v>SP</v>
      </c>
    </row>
    <row r="3606" spans="1:3" x14ac:dyDescent="0.35">
      <c r="A3606">
        <v>355475</v>
      </c>
      <c r="B3606" t="str">
        <f>VLOOKUP(A3606,Planilha2!$A$2:$C$5566,3,0)</f>
        <v>TRABIJU</v>
      </c>
      <c r="C3606" t="str">
        <f>VLOOKUP(A3606,Planilha2!$A$2:$D$5566,4,0)</f>
        <v>SP</v>
      </c>
    </row>
    <row r="3607" spans="1:3" x14ac:dyDescent="0.35">
      <c r="A3607">
        <v>351270</v>
      </c>
      <c r="B3607" t="str">
        <f>VLOOKUP(A3607,Planilha2!$A$2:$C$5566,3,0)</f>
        <v>CORUMBATAÍ</v>
      </c>
      <c r="C3607" t="str">
        <f>VLOOKUP(A3607,Planilha2!$A$2:$D$5566,4,0)</f>
        <v>SP</v>
      </c>
    </row>
    <row r="3608" spans="1:3" x14ac:dyDescent="0.35">
      <c r="A3608">
        <v>354750</v>
      </c>
      <c r="B3608" t="str">
        <f>VLOOKUP(A3608,Planilha2!$A$2:$C$5566,3,0)</f>
        <v>SANTA RITA DO PASSA QUATRO</v>
      </c>
      <c r="C3608" t="str">
        <f>VLOOKUP(A3608,Planilha2!$A$2:$D$5566,4,0)</f>
        <v>SP</v>
      </c>
    </row>
    <row r="3609" spans="1:3" x14ac:dyDescent="0.35">
      <c r="A3609">
        <v>352130</v>
      </c>
      <c r="B3609" t="str">
        <f>VLOOKUP(A3609,Planilha2!$A$2:$C$5566,3,0)</f>
        <v>IPUÃ</v>
      </c>
      <c r="C3609" t="str">
        <f>VLOOKUP(A3609,Planilha2!$A$2:$D$5566,4,0)</f>
        <v>SP</v>
      </c>
    </row>
    <row r="3610" spans="1:3" x14ac:dyDescent="0.35">
      <c r="A3610">
        <v>354210</v>
      </c>
      <c r="B3610" t="str">
        <f>VLOOKUP(A3610,Planilha2!$A$2:$C$5566,3,0)</f>
        <v>RAFARD</v>
      </c>
      <c r="C3610" t="str">
        <f>VLOOKUP(A3610,Planilha2!$A$2:$D$5566,4,0)</f>
        <v>SP</v>
      </c>
    </row>
    <row r="3611" spans="1:3" x14ac:dyDescent="0.35">
      <c r="A3611">
        <v>354710</v>
      </c>
      <c r="B3611" t="str">
        <f>VLOOKUP(A3611,Planilha2!$A$2:$C$5566,3,0)</f>
        <v>SANTA MERCEDES</v>
      </c>
      <c r="C3611" t="str">
        <f>VLOOKUP(A3611,Planilha2!$A$2:$D$5566,4,0)</f>
        <v>SP</v>
      </c>
    </row>
    <row r="3612" spans="1:3" x14ac:dyDescent="0.35">
      <c r="A3612">
        <v>353160</v>
      </c>
      <c r="B3612" t="str">
        <f>VLOOKUP(A3612,Planilha2!$A$2:$C$5566,3,0)</f>
        <v>MONTE CASTELO</v>
      </c>
      <c r="C3612" t="str">
        <f>VLOOKUP(A3612,Planilha2!$A$2:$D$5566,4,0)</f>
        <v>SP</v>
      </c>
    </row>
    <row r="3613" spans="1:3" x14ac:dyDescent="0.35">
      <c r="A3613">
        <v>410120</v>
      </c>
      <c r="B3613" t="str">
        <f>VLOOKUP(A3613,Planilha2!$A$2:$C$5566,3,0)</f>
        <v>ANTONINA</v>
      </c>
      <c r="C3613" t="str">
        <f>VLOOKUP(A3613,Planilha2!$A$2:$D$5566,4,0)</f>
        <v>PR</v>
      </c>
    </row>
    <row r="3614" spans="1:3" x14ac:dyDescent="0.35">
      <c r="A3614">
        <v>411545</v>
      </c>
      <c r="B3614" t="str">
        <f>VLOOKUP(A3614,Planilha2!$A$2:$C$5566,3,0)</f>
        <v>MARQUINHO</v>
      </c>
      <c r="C3614" t="str">
        <f>VLOOKUP(A3614,Planilha2!$A$2:$D$5566,4,0)</f>
        <v>PR</v>
      </c>
    </row>
    <row r="3615" spans="1:3" x14ac:dyDescent="0.35">
      <c r="A3615">
        <v>411530</v>
      </c>
      <c r="B3615" t="str">
        <f>VLOOKUP(A3615,Planilha2!$A$2:$C$5566,3,0)</f>
        <v>MARIÓPOLIS</v>
      </c>
      <c r="C3615" t="str">
        <f>VLOOKUP(A3615,Planilha2!$A$2:$D$5566,4,0)</f>
        <v>PR</v>
      </c>
    </row>
    <row r="3616" spans="1:3" x14ac:dyDescent="0.35">
      <c r="A3616">
        <v>410060</v>
      </c>
      <c r="B3616" t="str">
        <f>VLOOKUP(A3616,Planilha2!$A$2:$C$5566,3,0)</f>
        <v>ALTO PARANÁ</v>
      </c>
      <c r="C3616" t="str">
        <f>VLOOKUP(A3616,Planilha2!$A$2:$D$5566,4,0)</f>
        <v>PR</v>
      </c>
    </row>
    <row r="3617" spans="1:3" x14ac:dyDescent="0.35">
      <c r="A3617">
        <v>411740</v>
      </c>
      <c r="B3617" t="str">
        <f>VLOOKUP(A3617,Planilha2!$A$2:$C$5566,3,0)</f>
        <v>OURIZONA</v>
      </c>
      <c r="C3617" t="str">
        <f>VLOOKUP(A3617,Planilha2!$A$2:$D$5566,4,0)</f>
        <v>PR</v>
      </c>
    </row>
    <row r="3618" spans="1:3" x14ac:dyDescent="0.35">
      <c r="A3618">
        <v>412610</v>
      </c>
      <c r="B3618" t="str">
        <f>VLOOKUP(A3618,Planilha2!$A$2:$C$5566,3,0)</f>
        <v>SÃO TOMÉ</v>
      </c>
      <c r="C3618" t="str">
        <f>VLOOKUP(A3618,Planilha2!$A$2:$D$5566,4,0)</f>
        <v>PR</v>
      </c>
    </row>
    <row r="3619" spans="1:3" x14ac:dyDescent="0.35">
      <c r="A3619">
        <v>412135</v>
      </c>
      <c r="B3619" t="str">
        <f>VLOOKUP(A3619,Planilha2!$A$2:$C$5566,3,0)</f>
        <v>RANCHO ALEGRE D`OESTE</v>
      </c>
      <c r="C3619" t="str">
        <f>VLOOKUP(A3619,Planilha2!$A$2:$D$5566,4,0)</f>
        <v>PR</v>
      </c>
    </row>
    <row r="3620" spans="1:3" x14ac:dyDescent="0.35">
      <c r="A3620">
        <v>410170</v>
      </c>
      <c r="B3620" t="str">
        <f>VLOOKUP(A3620,Planilha2!$A$2:$C$5566,3,0)</f>
        <v>ARARUNA</v>
      </c>
      <c r="C3620" t="str">
        <f>VLOOKUP(A3620,Planilha2!$A$2:$D$5566,4,0)</f>
        <v>PR</v>
      </c>
    </row>
    <row r="3621" spans="1:3" x14ac:dyDescent="0.35">
      <c r="A3621">
        <v>411470</v>
      </c>
      <c r="B3621" t="str">
        <f>VLOOKUP(A3621,Planilha2!$A$2:$C$5566,3,0)</f>
        <v>MARIA HELENA</v>
      </c>
      <c r="C3621" t="str">
        <f>VLOOKUP(A3621,Planilha2!$A$2:$D$5566,4,0)</f>
        <v>PR</v>
      </c>
    </row>
    <row r="3622" spans="1:3" x14ac:dyDescent="0.35">
      <c r="A3622">
        <v>410350</v>
      </c>
      <c r="B3622" t="str">
        <f>VLOOKUP(A3622,Planilha2!$A$2:$C$5566,3,0)</f>
        <v>CALIFÓRNIA</v>
      </c>
      <c r="C3622" t="str">
        <f>VLOOKUP(A3622,Planilha2!$A$2:$D$5566,4,0)</f>
        <v>PR</v>
      </c>
    </row>
    <row r="3623" spans="1:3" x14ac:dyDescent="0.35">
      <c r="A3623">
        <v>352090</v>
      </c>
      <c r="B3623" t="str">
        <f>VLOOKUP(A3623,Planilha2!$A$2:$C$5566,3,0)</f>
        <v>IPAUSSU</v>
      </c>
      <c r="C3623" t="str">
        <f>VLOOKUP(A3623,Planilha2!$A$2:$D$5566,4,0)</f>
        <v>SP</v>
      </c>
    </row>
    <row r="3624" spans="1:3" x14ac:dyDescent="0.35">
      <c r="A3624">
        <v>410832</v>
      </c>
      <c r="B3624" t="str">
        <f>VLOOKUP(A3624,Planilha2!$A$2:$C$5566,3,0)</f>
        <v>FRANCISCO ALVES</v>
      </c>
      <c r="C3624" t="str">
        <f>VLOOKUP(A3624,Planilha2!$A$2:$D$5566,4,0)</f>
        <v>PR</v>
      </c>
    </row>
    <row r="3625" spans="1:3" x14ac:dyDescent="0.35">
      <c r="A3625">
        <v>412290</v>
      </c>
      <c r="B3625" t="str">
        <f>VLOOKUP(A3625,Planilha2!$A$2:$C$5566,3,0)</f>
        <v>SALTO DO ITARARÉ</v>
      </c>
      <c r="C3625" t="str">
        <f>VLOOKUP(A3625,Planilha2!$A$2:$D$5566,4,0)</f>
        <v>PR</v>
      </c>
    </row>
    <row r="3626" spans="1:3" x14ac:dyDescent="0.35">
      <c r="A3626">
        <v>411490</v>
      </c>
      <c r="B3626" t="str">
        <f>VLOOKUP(A3626,Planilha2!$A$2:$C$5566,3,0)</f>
        <v>MARILÂNDIA DO SUL</v>
      </c>
      <c r="C3626" t="str">
        <f>VLOOKUP(A3626,Planilha2!$A$2:$D$5566,4,0)</f>
        <v>PR</v>
      </c>
    </row>
    <row r="3627" spans="1:3" x14ac:dyDescent="0.35">
      <c r="A3627">
        <v>420370</v>
      </c>
      <c r="B3627" t="str">
        <f>VLOOKUP(A3627,Planilha2!$A$2:$C$5566,3,0)</f>
        <v>CANELINHA</v>
      </c>
      <c r="C3627" t="str">
        <f>VLOOKUP(A3627,Planilha2!$A$2:$D$5566,4,0)</f>
        <v>SC</v>
      </c>
    </row>
    <row r="3628" spans="1:3" x14ac:dyDescent="0.35">
      <c r="A3628">
        <v>420520</v>
      </c>
      <c r="B3628" t="str">
        <f>VLOOKUP(A3628,Planilha2!$A$2:$C$5566,3,0)</f>
        <v>ERVAL VELHO</v>
      </c>
      <c r="C3628" t="str">
        <f>VLOOKUP(A3628,Planilha2!$A$2:$D$5566,4,0)</f>
        <v>SC</v>
      </c>
    </row>
    <row r="3629" spans="1:3" x14ac:dyDescent="0.35">
      <c r="A3629">
        <v>420490</v>
      </c>
      <c r="B3629" t="str">
        <f>VLOOKUP(A3629,Planilha2!$A$2:$C$5566,3,0)</f>
        <v>DESCANSO</v>
      </c>
      <c r="C3629" t="str">
        <f>VLOOKUP(A3629,Planilha2!$A$2:$D$5566,4,0)</f>
        <v>SC</v>
      </c>
    </row>
    <row r="3630" spans="1:3" x14ac:dyDescent="0.35">
      <c r="A3630">
        <v>421080</v>
      </c>
      <c r="B3630" t="str">
        <f>VLOOKUP(A3630,Planilha2!$A$2:$C$5566,3,0)</f>
        <v>MELEIRO</v>
      </c>
      <c r="C3630" t="str">
        <f>VLOOKUP(A3630,Planilha2!$A$2:$D$5566,4,0)</f>
        <v>SC</v>
      </c>
    </row>
    <row r="3631" spans="1:3" x14ac:dyDescent="0.35">
      <c r="A3631">
        <v>421330</v>
      </c>
      <c r="B3631" t="str">
        <f>VLOOKUP(A3631,Planilha2!$A$2:$C$5566,3,0)</f>
        <v>PONTE ALTA</v>
      </c>
      <c r="C3631" t="str">
        <f>VLOOKUP(A3631,Planilha2!$A$2:$D$5566,4,0)</f>
        <v>SC</v>
      </c>
    </row>
    <row r="3632" spans="1:3" x14ac:dyDescent="0.35">
      <c r="A3632">
        <v>420340</v>
      </c>
      <c r="B3632" t="str">
        <f>VLOOKUP(A3632,Planilha2!$A$2:$C$5566,3,0)</f>
        <v>CAMPO BELO DO SUL</v>
      </c>
      <c r="C3632" t="str">
        <f>VLOOKUP(A3632,Planilha2!$A$2:$D$5566,4,0)</f>
        <v>SC</v>
      </c>
    </row>
    <row r="3633" spans="1:3" x14ac:dyDescent="0.35">
      <c r="A3633">
        <v>420040</v>
      </c>
      <c r="B3633" t="str">
        <f>VLOOKUP(A3633,Planilha2!$A$2:$C$5566,3,0)</f>
        <v>ÁGUA DOCE</v>
      </c>
      <c r="C3633" t="str">
        <f>VLOOKUP(A3633,Planilha2!$A$2:$D$5566,4,0)</f>
        <v>SC</v>
      </c>
    </row>
    <row r="3634" spans="1:3" x14ac:dyDescent="0.35">
      <c r="A3634">
        <v>421510</v>
      </c>
      <c r="B3634" t="str">
        <f>VLOOKUP(A3634,Planilha2!$A$2:$C$5566,3,0)</f>
        <v>RODEIO</v>
      </c>
      <c r="C3634" t="str">
        <f>VLOOKUP(A3634,Planilha2!$A$2:$D$5566,4,0)</f>
        <v>SC</v>
      </c>
    </row>
    <row r="3635" spans="1:3" x14ac:dyDescent="0.35">
      <c r="A3635" s="2">
        <v>422000</v>
      </c>
      <c r="B3635" t="str">
        <f>VLOOKUP(A3635,[1]IBGE!A$2:B$27,2,0)</f>
        <v>-</v>
      </c>
      <c r="C3635" t="str">
        <f>VLOOKUP(A3635,[1]IBGE!A$2:C$27,3,0)</f>
        <v>SC</v>
      </c>
    </row>
    <row r="3636" spans="1:3" x14ac:dyDescent="0.35">
      <c r="A3636">
        <v>430925</v>
      </c>
      <c r="B3636" t="str">
        <f>VLOOKUP(A3636,Planilha2!$A$2:$C$5566,3,0)</f>
        <v>GUABIJU</v>
      </c>
      <c r="C3636" t="str">
        <f>VLOOKUP(A3636,Planilha2!$A$2:$D$5566,4,0)</f>
        <v>RS</v>
      </c>
    </row>
    <row r="3637" spans="1:3" x14ac:dyDescent="0.35">
      <c r="A3637">
        <v>430490</v>
      </c>
      <c r="B3637" t="str">
        <f>VLOOKUP(A3637,Planilha2!$A$2:$C$5566,3,0)</f>
        <v>CASCA</v>
      </c>
      <c r="C3637" t="str">
        <f>VLOOKUP(A3637,Planilha2!$A$2:$D$5566,4,0)</f>
        <v>RS</v>
      </c>
    </row>
    <row r="3638" spans="1:3" x14ac:dyDescent="0.35">
      <c r="A3638">
        <v>431460</v>
      </c>
      <c r="B3638" t="str">
        <f>VLOOKUP(A3638,Planilha2!$A$2:$C$5566,3,0)</f>
        <v>PIRATINI</v>
      </c>
      <c r="C3638" t="str">
        <f>VLOOKUP(A3638,Planilha2!$A$2:$D$5566,4,0)</f>
        <v>RS</v>
      </c>
    </row>
    <row r="3639" spans="1:3" x14ac:dyDescent="0.35">
      <c r="A3639">
        <v>432252</v>
      </c>
      <c r="B3639" t="str">
        <f>VLOOKUP(A3639,Planilha2!$A$2:$C$5566,3,0)</f>
        <v>VALE VERDE</v>
      </c>
      <c r="C3639" t="str">
        <f>VLOOKUP(A3639,Planilha2!$A$2:$D$5566,4,0)</f>
        <v>RS</v>
      </c>
    </row>
    <row r="3640" spans="1:3" x14ac:dyDescent="0.35">
      <c r="A3640">
        <v>431198</v>
      </c>
      <c r="B3640" t="str">
        <f>VLOOKUP(A3640,Planilha2!$A$2:$C$5566,3,0)</f>
        <v>MARIANA PIMENTEL</v>
      </c>
      <c r="C3640" t="str">
        <f>VLOOKUP(A3640,Planilha2!$A$2:$D$5566,4,0)</f>
        <v>RS</v>
      </c>
    </row>
    <row r="3641" spans="1:3" x14ac:dyDescent="0.35">
      <c r="A3641">
        <v>430290</v>
      </c>
      <c r="B3641" t="str">
        <f>VLOOKUP(A3641,Planilha2!$A$2:$C$5566,3,0)</f>
        <v>CACEQUI</v>
      </c>
      <c r="C3641" t="str">
        <f>VLOOKUP(A3641,Planilha2!$A$2:$D$5566,4,0)</f>
        <v>RS</v>
      </c>
    </row>
    <row r="3642" spans="1:3" x14ac:dyDescent="0.35">
      <c r="A3642">
        <v>431113</v>
      </c>
      <c r="B3642" t="str">
        <f>VLOOKUP(A3642,Planilha2!$A$2:$C$5566,3,0)</f>
        <v>JARI</v>
      </c>
      <c r="C3642" t="str">
        <f>VLOOKUP(A3642,Planilha2!$A$2:$D$5566,4,0)</f>
        <v>RS</v>
      </c>
    </row>
    <row r="3643" spans="1:3" x14ac:dyDescent="0.35">
      <c r="A3643">
        <v>500510</v>
      </c>
      <c r="B3643" t="str">
        <f>VLOOKUP(A3643,Planilha2!$A$2:$C$5566,3,0)</f>
        <v>JATEÍ</v>
      </c>
      <c r="C3643" t="str">
        <f>VLOOKUP(A3643,Planilha2!$A$2:$D$5566,4,0)</f>
        <v>MS</v>
      </c>
    </row>
    <row r="3644" spans="1:3" x14ac:dyDescent="0.35">
      <c r="A3644">
        <v>500800</v>
      </c>
      <c r="B3644" t="str">
        <f>VLOOKUP(A3644,Planilha2!$A$2:$C$5566,3,0)</f>
        <v>TERENOS</v>
      </c>
      <c r="C3644" t="str">
        <f>VLOOKUP(A3644,Planilha2!$A$2:$D$5566,4,0)</f>
        <v>MS</v>
      </c>
    </row>
    <row r="3645" spans="1:3" x14ac:dyDescent="0.35">
      <c r="A3645">
        <v>500450</v>
      </c>
      <c r="B3645" t="str">
        <f>VLOOKUP(A3645,Planilha2!$A$2:$C$5566,3,0)</f>
        <v>ITAPORÃ</v>
      </c>
      <c r="C3645" t="str">
        <f>VLOOKUP(A3645,Planilha2!$A$2:$D$5566,4,0)</f>
        <v>MS</v>
      </c>
    </row>
    <row r="3646" spans="1:3" x14ac:dyDescent="0.35">
      <c r="A3646">
        <v>500295</v>
      </c>
      <c r="B3646" t="str">
        <f>VLOOKUP(A3646,Planilha2!$A$2:$C$5566,3,0)</f>
        <v>CHAPADÃO DO SUL</v>
      </c>
      <c r="C3646" t="str">
        <f>VLOOKUP(A3646,Planilha2!$A$2:$D$5566,4,0)</f>
        <v>MS</v>
      </c>
    </row>
    <row r="3647" spans="1:3" x14ac:dyDescent="0.35">
      <c r="A3647">
        <v>510515</v>
      </c>
      <c r="B3647" t="str">
        <f>VLOOKUP(A3647,Planilha2!$A$2:$C$5566,3,0)</f>
        <v>JUÍNA</v>
      </c>
      <c r="C3647" t="str">
        <f>VLOOKUP(A3647,Planilha2!$A$2:$D$5566,4,0)</f>
        <v>MT</v>
      </c>
    </row>
    <row r="3648" spans="1:3" x14ac:dyDescent="0.35">
      <c r="A3648">
        <v>510170</v>
      </c>
      <c r="B3648" t="str">
        <f>VLOOKUP(A3648,Planilha2!$A$2:$C$5566,3,0)</f>
        <v>BARRA DO BUGRES</v>
      </c>
      <c r="C3648" t="str">
        <f>VLOOKUP(A3648,Planilha2!$A$2:$D$5566,4,0)</f>
        <v>MT</v>
      </c>
    </row>
    <row r="3649" spans="1:3" x14ac:dyDescent="0.35">
      <c r="A3649">
        <v>510050</v>
      </c>
      <c r="B3649" t="str">
        <f>VLOOKUP(A3649,Planilha2!$A$2:$C$5566,3,0)</f>
        <v>ALTO PARAGUAI</v>
      </c>
      <c r="C3649" t="str">
        <f>VLOOKUP(A3649,Planilha2!$A$2:$D$5566,4,0)</f>
        <v>MT</v>
      </c>
    </row>
    <row r="3650" spans="1:3" x14ac:dyDescent="0.35">
      <c r="A3650">
        <v>510480</v>
      </c>
      <c r="B3650" t="str">
        <f>VLOOKUP(A3650,Planilha2!$A$2:$C$5566,3,0)</f>
        <v>JACIARA</v>
      </c>
      <c r="C3650" t="str">
        <f>VLOOKUP(A3650,Planilha2!$A$2:$D$5566,4,0)</f>
        <v>MT</v>
      </c>
    </row>
    <row r="3651" spans="1:3" x14ac:dyDescent="0.35">
      <c r="A3651">
        <v>520940</v>
      </c>
      <c r="B3651" t="str">
        <f>VLOOKUP(A3651,Planilha2!$A$2:$C$5566,3,0)</f>
        <v>GUARANI DE GOIÁS</v>
      </c>
      <c r="C3651" t="str">
        <f>VLOOKUP(A3651,Planilha2!$A$2:$D$5566,4,0)</f>
        <v>GO</v>
      </c>
    </row>
    <row r="3652" spans="1:3" x14ac:dyDescent="0.35">
      <c r="A3652">
        <v>521960</v>
      </c>
      <c r="B3652" t="str">
        <f>VLOOKUP(A3652,Planilha2!$A$2:$C$5566,3,0)</f>
        <v>SANTA TEREZA DE GOIÁS</v>
      </c>
      <c r="C3652" t="str">
        <f>VLOOKUP(A3652,Planilha2!$A$2:$D$5566,4,0)</f>
        <v>GO</v>
      </c>
    </row>
    <row r="3653" spans="1:3" x14ac:dyDescent="0.35">
      <c r="A3653">
        <v>521200</v>
      </c>
      <c r="B3653" t="str">
        <f>VLOOKUP(A3653,Planilha2!$A$2:$C$5566,3,0)</f>
        <v>JAUPACI</v>
      </c>
      <c r="C3653" t="str">
        <f>VLOOKUP(A3653,Planilha2!$A$2:$D$5566,4,0)</f>
        <v>GO</v>
      </c>
    </row>
    <row r="3654" spans="1:3" x14ac:dyDescent="0.35">
      <c r="A3654">
        <v>521030</v>
      </c>
      <c r="B3654" t="str">
        <f>VLOOKUP(A3654,Planilha2!$A$2:$C$5566,3,0)</f>
        <v>ISRAELÂNDIA</v>
      </c>
      <c r="C3654" t="str">
        <f>VLOOKUP(A3654,Planilha2!$A$2:$D$5566,4,0)</f>
        <v>GO</v>
      </c>
    </row>
    <row r="3655" spans="1:3" x14ac:dyDescent="0.35">
      <c r="A3655">
        <v>522150</v>
      </c>
      <c r="B3655" t="str">
        <f>VLOOKUP(A3655,Planilha2!$A$2:$C$5566,3,0)</f>
        <v>TURVÂNIA</v>
      </c>
      <c r="C3655" t="str">
        <f>VLOOKUP(A3655,Planilha2!$A$2:$D$5566,4,0)</f>
        <v>GO</v>
      </c>
    </row>
    <row r="3656" spans="1:3" x14ac:dyDescent="0.35">
      <c r="A3656" s="2">
        <v>520000</v>
      </c>
      <c r="B3656" t="str">
        <f>VLOOKUP(A3656,[1]IBGE!A$2:B$27,2,0)</f>
        <v>-</v>
      </c>
      <c r="C3656" t="str">
        <f>VLOOKUP(A3656,[1]IBGE!A$2:C$27,3,0)</f>
        <v>GO</v>
      </c>
    </row>
    <row r="3657" spans="1:3" x14ac:dyDescent="0.35">
      <c r="A3657">
        <v>520440</v>
      </c>
      <c r="B3657" t="str">
        <f>VLOOKUP(A3657,Planilha2!$A$2:$C$5566,3,0)</f>
        <v>CAIAPÔNIA</v>
      </c>
      <c r="C3657" t="str">
        <f>VLOOKUP(A3657,Planilha2!$A$2:$D$5566,4,0)</f>
        <v>GO</v>
      </c>
    </row>
    <row r="3658" spans="1:3" x14ac:dyDescent="0.35">
      <c r="A3658">
        <v>521900</v>
      </c>
      <c r="B3658" t="str">
        <f>VLOOKUP(A3658,Planilha2!$A$2:$C$5566,3,0)</f>
        <v>SANCLERLÂNDIA</v>
      </c>
      <c r="C3658" t="str">
        <f>VLOOKUP(A3658,Planilha2!$A$2:$D$5566,4,0)</f>
        <v>GO</v>
      </c>
    </row>
    <row r="3659" spans="1:3" x14ac:dyDescent="0.35">
      <c r="A3659">
        <v>250390</v>
      </c>
      <c r="B3659" t="str">
        <f>VLOOKUP(A3659,Planilha2!$A$2:$C$5566,3,0)</f>
        <v>CAMALAÚ</v>
      </c>
      <c r="C3659" t="str">
        <f>VLOOKUP(A3659,Planilha2!$A$2:$D$5566,4,0)</f>
        <v>PB</v>
      </c>
    </row>
    <row r="3660" spans="1:3" x14ac:dyDescent="0.35">
      <c r="A3660">
        <v>430705</v>
      </c>
      <c r="B3660" t="str">
        <f>VLOOKUP(A3660,Planilha2!$A$2:$C$5566,3,0)</f>
        <v>ERNESTINA</v>
      </c>
      <c r="C3660" t="str">
        <f>VLOOKUP(A3660,Planilha2!$A$2:$D$5566,4,0)</f>
        <v>RS</v>
      </c>
    </row>
    <row r="3661" spans="1:3" x14ac:dyDescent="0.35">
      <c r="A3661">
        <v>250375</v>
      </c>
      <c r="B3661" t="str">
        <f>VLOOKUP(A3661,Planilha2!$A$2:$C$5566,3,0)</f>
        <v>CAJAZEIRINHAS</v>
      </c>
      <c r="C3661" t="str">
        <f>VLOOKUP(A3661,Planilha2!$A$2:$D$5566,4,0)</f>
        <v>PB</v>
      </c>
    </row>
    <row r="3662" spans="1:3" x14ac:dyDescent="0.35">
      <c r="A3662">
        <v>354720</v>
      </c>
      <c r="B3662" t="str">
        <f>VLOOKUP(A3662,Planilha2!$A$2:$C$5566,3,0)</f>
        <v>SANTANA DA PONTE PENSA</v>
      </c>
      <c r="C3662" t="str">
        <f>VLOOKUP(A3662,Planilha2!$A$2:$D$5566,4,0)</f>
        <v>SP</v>
      </c>
    </row>
    <row r="3663" spans="1:3" x14ac:dyDescent="0.35">
      <c r="A3663">
        <v>410773</v>
      </c>
      <c r="B3663" t="str">
        <f>VLOOKUP(A3663,Planilha2!$A$2:$C$5566,3,0)</f>
        <v>FERNANDES PINHEIRO</v>
      </c>
      <c r="C3663" t="str">
        <f>VLOOKUP(A3663,Planilha2!$A$2:$D$5566,4,0)</f>
        <v>PR</v>
      </c>
    </row>
    <row r="3664" spans="1:3" x14ac:dyDescent="0.35">
      <c r="A3664">
        <v>430530</v>
      </c>
      <c r="B3664" t="str">
        <f>VLOOKUP(A3664,Planilha2!$A$2:$C$5566,3,0)</f>
        <v>CHAPADA</v>
      </c>
      <c r="C3664" t="str">
        <f>VLOOKUP(A3664,Planilha2!$A$2:$D$5566,4,0)</f>
        <v>RS</v>
      </c>
    </row>
    <row r="3665" spans="1:3" x14ac:dyDescent="0.35">
      <c r="A3665">
        <v>110014</v>
      </c>
      <c r="B3665" t="str">
        <f>VLOOKUP(A3665,Planilha2!$A$2:$C$5566,3,0)</f>
        <v>NOVA BRASILÂNDIA D`OESTE</v>
      </c>
      <c r="C3665" t="str">
        <f>VLOOKUP(A3665,Planilha2!$A$2:$D$5566,4,0)</f>
        <v>RO</v>
      </c>
    </row>
    <row r="3666" spans="1:3" x14ac:dyDescent="0.35">
      <c r="A3666">
        <v>150160</v>
      </c>
      <c r="B3666" t="str">
        <f>VLOOKUP(A3666,Planilha2!$A$2:$C$5566,3,0)</f>
        <v>BONITO</v>
      </c>
      <c r="C3666" t="str">
        <f>VLOOKUP(A3666,Planilha2!$A$2:$D$5566,4,0)</f>
        <v>PA</v>
      </c>
    </row>
    <row r="3667" spans="1:3" x14ac:dyDescent="0.35">
      <c r="A3667">
        <v>312125</v>
      </c>
      <c r="B3667" t="str">
        <f>VLOOKUP(A3667,Planilha2!$A$2:$C$5566,3,0)</f>
        <v>DELTA</v>
      </c>
      <c r="C3667" t="str">
        <f>VLOOKUP(A3667,Planilha2!$A$2:$D$5566,4,0)</f>
        <v>MG</v>
      </c>
    </row>
    <row r="3668" spans="1:3" x14ac:dyDescent="0.35">
      <c r="A3668">
        <v>130423</v>
      </c>
      <c r="B3668" t="str">
        <f>VLOOKUP(A3668,Planilha2!$A$2:$C$5566,3,0)</f>
        <v>TONANTINS</v>
      </c>
      <c r="C3668" t="str">
        <f>VLOOKUP(A3668,Planilha2!$A$2:$D$5566,4,0)</f>
        <v>AM</v>
      </c>
    </row>
    <row r="3669" spans="1:3" x14ac:dyDescent="0.35">
      <c r="A3669">
        <v>130006</v>
      </c>
      <c r="B3669" t="str">
        <f>VLOOKUP(A3669,Planilha2!$A$2:$C$5566,3,0)</f>
        <v>AMATURÁ</v>
      </c>
      <c r="C3669" t="str">
        <f>VLOOKUP(A3669,Planilha2!$A$2:$D$5566,4,0)</f>
        <v>AM</v>
      </c>
    </row>
    <row r="3670" spans="1:3" x14ac:dyDescent="0.35">
      <c r="A3670">
        <v>130083</v>
      </c>
      <c r="B3670" t="str">
        <f>VLOOKUP(A3670,Planilha2!$A$2:$C$5566,3,0)</f>
        <v>CAAPIRANGA</v>
      </c>
      <c r="C3670" t="str">
        <f>VLOOKUP(A3670,Planilha2!$A$2:$D$5566,4,0)</f>
        <v>AM</v>
      </c>
    </row>
    <row r="3671" spans="1:3" x14ac:dyDescent="0.35">
      <c r="A3671">
        <v>150780</v>
      </c>
      <c r="B3671" t="str">
        <f>VLOOKUP(A3671,Planilha2!$A$2:$C$5566,3,0)</f>
        <v>SENADOR JOSÉ PORFÍRIO</v>
      </c>
      <c r="C3671" t="str">
        <f>VLOOKUP(A3671,Planilha2!$A$2:$D$5566,4,0)</f>
        <v>PA</v>
      </c>
    </row>
    <row r="3672" spans="1:3" x14ac:dyDescent="0.35">
      <c r="A3672">
        <v>171215</v>
      </c>
      <c r="B3672" t="str">
        <f>VLOOKUP(A3672,Planilha2!$A$2:$C$5566,3,0)</f>
        <v>LAVANDEIRA</v>
      </c>
      <c r="C3672" t="str">
        <f>VLOOKUP(A3672,Planilha2!$A$2:$D$5566,4,0)</f>
        <v>TO</v>
      </c>
    </row>
    <row r="3673" spans="1:3" x14ac:dyDescent="0.35">
      <c r="A3673">
        <v>170830</v>
      </c>
      <c r="B3673" t="str">
        <f>VLOOKUP(A3673,Planilha2!$A$2:$C$5566,3,0)</f>
        <v>GOIANORTE</v>
      </c>
      <c r="C3673" t="str">
        <f>VLOOKUP(A3673,Planilha2!$A$2:$D$5566,4,0)</f>
        <v>TO</v>
      </c>
    </row>
    <row r="3674" spans="1:3" x14ac:dyDescent="0.35">
      <c r="A3674">
        <v>172020</v>
      </c>
      <c r="B3674" t="str">
        <f>VLOOKUP(A3674,Planilha2!$A$2:$C$5566,3,0)</f>
        <v>SÃO MIGUEL DO TOCANTINS</v>
      </c>
      <c r="C3674" t="str">
        <f>VLOOKUP(A3674,Planilha2!$A$2:$D$5566,4,0)</f>
        <v>TO</v>
      </c>
    </row>
    <row r="3675" spans="1:3" x14ac:dyDescent="0.35">
      <c r="A3675">
        <v>220690</v>
      </c>
      <c r="B3675" t="str">
        <f>VLOOKUP(A3675,Planilha2!$A$2:$C$5566,3,0)</f>
        <v>NOVO ORIENTE DO PIAUÍ</v>
      </c>
      <c r="C3675" t="str">
        <f>VLOOKUP(A3675,Planilha2!$A$2:$D$5566,4,0)</f>
        <v>PI</v>
      </c>
    </row>
    <row r="3676" spans="1:3" x14ac:dyDescent="0.35">
      <c r="A3676">
        <v>221135</v>
      </c>
      <c r="B3676" t="str">
        <f>VLOOKUP(A3676,Planilha2!$A$2:$C$5566,3,0)</f>
        <v>VÁRZEA BRANCA</v>
      </c>
      <c r="C3676" t="str">
        <f>VLOOKUP(A3676,Planilha2!$A$2:$D$5566,4,0)</f>
        <v>PI</v>
      </c>
    </row>
    <row r="3677" spans="1:3" x14ac:dyDescent="0.35">
      <c r="A3677">
        <v>231360</v>
      </c>
      <c r="B3677" t="str">
        <f>VLOOKUP(A3677,Planilha2!$A$2:$C$5566,3,0)</f>
        <v>UBAJARA</v>
      </c>
      <c r="C3677" t="str">
        <f>VLOOKUP(A3677,Planilha2!$A$2:$D$5566,4,0)</f>
        <v>CE</v>
      </c>
    </row>
    <row r="3678" spans="1:3" x14ac:dyDescent="0.35">
      <c r="A3678">
        <v>251660</v>
      </c>
      <c r="B3678" t="str">
        <f>VLOOKUP(A3678,Planilha2!$A$2:$C$5566,3,0)</f>
        <v>TAVARES</v>
      </c>
      <c r="C3678" t="str">
        <f>VLOOKUP(A3678,Planilha2!$A$2:$D$5566,4,0)</f>
        <v>PB</v>
      </c>
    </row>
    <row r="3679" spans="1:3" x14ac:dyDescent="0.35">
      <c r="A3679">
        <v>250740</v>
      </c>
      <c r="B3679" t="str">
        <f>VLOOKUP(A3679,Planilha2!$A$2:$C$5566,3,0)</f>
        <v>JERICÓ</v>
      </c>
      <c r="C3679" t="str">
        <f>VLOOKUP(A3679,Planilha2!$A$2:$D$5566,4,0)</f>
        <v>PB</v>
      </c>
    </row>
    <row r="3680" spans="1:3" x14ac:dyDescent="0.35">
      <c r="A3680">
        <v>250810</v>
      </c>
      <c r="B3680" t="str">
        <f>VLOOKUP(A3680,Planilha2!$A$2:$C$5566,3,0)</f>
        <v>LAGOA</v>
      </c>
      <c r="C3680" t="str">
        <f>VLOOKUP(A3680,Planilha2!$A$2:$D$5566,4,0)</f>
        <v>PB</v>
      </c>
    </row>
    <row r="3681" spans="1:3" x14ac:dyDescent="0.35">
      <c r="A3681">
        <v>250960</v>
      </c>
      <c r="B3681" t="str">
        <f>VLOOKUP(A3681,Planilha2!$A$2:$C$5566,3,0)</f>
        <v>MONTE HOREBE</v>
      </c>
      <c r="C3681" t="str">
        <f>VLOOKUP(A3681,Planilha2!$A$2:$D$5566,4,0)</f>
        <v>PB</v>
      </c>
    </row>
    <row r="3682" spans="1:3" x14ac:dyDescent="0.35">
      <c r="A3682">
        <v>520145</v>
      </c>
      <c r="B3682" t="str">
        <f>VLOOKUP(A3682,Planilha2!$A$2:$C$5566,3,0)</f>
        <v>APARECIDA DO RIO DOCE</v>
      </c>
      <c r="C3682" t="str">
        <f>VLOOKUP(A3682,Planilha2!$A$2:$D$5566,4,0)</f>
        <v>GO</v>
      </c>
    </row>
    <row r="3683" spans="1:3" x14ac:dyDescent="0.35">
      <c r="A3683">
        <v>261410</v>
      </c>
      <c r="B3683" t="str">
        <f>VLOOKUP(A3683,Planilha2!$A$2:$C$5566,3,0)</f>
        <v>SERTÂNIA</v>
      </c>
      <c r="C3683" t="str">
        <f>VLOOKUP(A3683,Planilha2!$A$2:$D$5566,4,0)</f>
        <v>PE</v>
      </c>
    </row>
    <row r="3684" spans="1:3" x14ac:dyDescent="0.35">
      <c r="A3684">
        <v>260915</v>
      </c>
      <c r="B3684" t="str">
        <f>VLOOKUP(A3684,Planilha2!$A$2:$C$5566,3,0)</f>
        <v>MANARI</v>
      </c>
      <c r="C3684" t="str">
        <f>VLOOKUP(A3684,Planilha2!$A$2:$D$5566,4,0)</f>
        <v>PE</v>
      </c>
    </row>
    <row r="3685" spans="1:3" x14ac:dyDescent="0.35">
      <c r="A3685">
        <v>270270</v>
      </c>
      <c r="B3685" t="str">
        <f>VLOOKUP(A3685,Planilha2!$A$2:$C$5566,3,0)</f>
        <v>FELIZ DESERTO</v>
      </c>
      <c r="C3685" t="str">
        <f>VLOOKUP(A3685,Planilha2!$A$2:$D$5566,4,0)</f>
        <v>AL</v>
      </c>
    </row>
    <row r="3686" spans="1:3" x14ac:dyDescent="0.35">
      <c r="A3686">
        <v>270180</v>
      </c>
      <c r="B3686" t="str">
        <f>VLOOKUP(A3686,Planilha2!$A$2:$C$5566,3,0)</f>
        <v>CARNEIROS</v>
      </c>
      <c r="C3686" t="str">
        <f>VLOOKUP(A3686,Planilha2!$A$2:$D$5566,4,0)</f>
        <v>AL</v>
      </c>
    </row>
    <row r="3687" spans="1:3" x14ac:dyDescent="0.35">
      <c r="A3687">
        <v>270410</v>
      </c>
      <c r="B3687" t="str">
        <f>VLOOKUP(A3687,Planilha2!$A$2:$C$5566,3,0)</f>
        <v>LAGOA DA CANOA</v>
      </c>
      <c r="C3687" t="str">
        <f>VLOOKUP(A3687,Planilha2!$A$2:$D$5566,4,0)</f>
        <v>AL</v>
      </c>
    </row>
    <row r="3688" spans="1:3" x14ac:dyDescent="0.35">
      <c r="A3688">
        <v>290090</v>
      </c>
      <c r="B3688" t="str">
        <f>VLOOKUP(A3688,Planilha2!$A$2:$C$5566,3,0)</f>
        <v>ALMADINA</v>
      </c>
      <c r="C3688" t="str">
        <f>VLOOKUP(A3688,Planilha2!$A$2:$D$5566,4,0)</f>
        <v>BA</v>
      </c>
    </row>
    <row r="3689" spans="1:3" x14ac:dyDescent="0.35">
      <c r="A3689">
        <v>292540</v>
      </c>
      <c r="B3689" t="str">
        <f>VLOOKUP(A3689,Planilha2!$A$2:$C$5566,3,0)</f>
        <v>POTIRAGUÁ</v>
      </c>
      <c r="C3689" t="str">
        <f>VLOOKUP(A3689,Planilha2!$A$2:$D$5566,4,0)</f>
        <v>BA</v>
      </c>
    </row>
    <row r="3690" spans="1:3" x14ac:dyDescent="0.35">
      <c r="A3690">
        <v>311580</v>
      </c>
      <c r="B3690" t="str">
        <f>VLOOKUP(A3690,Planilha2!$A$2:$C$5566,3,0)</f>
        <v>CENTRALINA</v>
      </c>
      <c r="C3690" t="str">
        <f>VLOOKUP(A3690,Planilha2!$A$2:$D$5566,4,0)</f>
        <v>MG</v>
      </c>
    </row>
    <row r="3691" spans="1:3" x14ac:dyDescent="0.35">
      <c r="A3691">
        <v>315213</v>
      </c>
      <c r="B3691" t="str">
        <f>VLOOKUP(A3691,Planilha2!$A$2:$C$5566,3,0)</f>
        <v>PONTO CHIQUE</v>
      </c>
      <c r="C3691" t="str">
        <f>VLOOKUP(A3691,Planilha2!$A$2:$D$5566,4,0)</f>
        <v>MG</v>
      </c>
    </row>
    <row r="3692" spans="1:3" x14ac:dyDescent="0.35">
      <c r="A3692">
        <v>313655</v>
      </c>
      <c r="B3692" t="str">
        <f>VLOOKUP(A3692,Planilha2!$A$2:$C$5566,3,0)</f>
        <v>JOSÉ RAYDAN</v>
      </c>
      <c r="C3692" t="str">
        <f>VLOOKUP(A3692,Planilha2!$A$2:$D$5566,4,0)</f>
        <v>MG</v>
      </c>
    </row>
    <row r="3693" spans="1:3" x14ac:dyDescent="0.35">
      <c r="A3693">
        <v>314420</v>
      </c>
      <c r="B3693" t="str">
        <f>VLOOKUP(A3693,Planilha2!$A$2:$C$5566,3,0)</f>
        <v>NACIP RAYDAN</v>
      </c>
      <c r="C3693" t="str">
        <f>VLOOKUP(A3693,Planilha2!$A$2:$D$5566,4,0)</f>
        <v>MG</v>
      </c>
    </row>
    <row r="3694" spans="1:3" x14ac:dyDescent="0.35">
      <c r="A3694">
        <v>317190</v>
      </c>
      <c r="B3694" t="str">
        <f>VLOOKUP(A3694,Planilha2!$A$2:$C$5566,3,0)</f>
        <v>VIRGOLÂNDIA</v>
      </c>
      <c r="C3694" t="str">
        <f>VLOOKUP(A3694,Planilha2!$A$2:$D$5566,4,0)</f>
        <v>MG</v>
      </c>
    </row>
    <row r="3695" spans="1:3" x14ac:dyDescent="0.35">
      <c r="A3695">
        <v>314860</v>
      </c>
      <c r="B3695" t="str">
        <f>VLOOKUP(A3695,Planilha2!$A$2:$C$5566,3,0)</f>
        <v>PEÇANHA</v>
      </c>
      <c r="C3695" t="str">
        <f>VLOOKUP(A3695,Planilha2!$A$2:$D$5566,4,0)</f>
        <v>MG</v>
      </c>
    </row>
    <row r="3696" spans="1:3" x14ac:dyDescent="0.35">
      <c r="A3696">
        <v>314225</v>
      </c>
      <c r="B3696" t="str">
        <f>VLOOKUP(A3696,Planilha2!$A$2:$C$5566,3,0)</f>
        <v>MIRAVÂNIA</v>
      </c>
      <c r="C3696" t="str">
        <f>VLOOKUP(A3696,Planilha2!$A$2:$D$5566,4,0)</f>
        <v>MG</v>
      </c>
    </row>
    <row r="3697" spans="1:3" x14ac:dyDescent="0.35">
      <c r="A3697">
        <v>330570</v>
      </c>
      <c r="B3697" t="str">
        <f>VLOOKUP(A3697,Planilha2!$A$2:$C$5566,3,0)</f>
        <v>SUMIDOURO</v>
      </c>
      <c r="C3697" t="str">
        <f>VLOOKUP(A3697,Planilha2!$A$2:$D$5566,4,0)</f>
        <v>RJ</v>
      </c>
    </row>
    <row r="3698" spans="1:3" x14ac:dyDescent="0.35">
      <c r="A3698">
        <v>350800</v>
      </c>
      <c r="B3698" t="str">
        <f>VLOOKUP(A3698,Planilha2!$A$2:$C$5566,3,0)</f>
        <v>BURI</v>
      </c>
      <c r="C3698" t="str">
        <f>VLOOKUP(A3698,Planilha2!$A$2:$D$5566,4,0)</f>
        <v>SP</v>
      </c>
    </row>
    <row r="3699" spans="1:3" x14ac:dyDescent="0.35">
      <c r="A3699">
        <v>351905</v>
      </c>
      <c r="B3699" t="str">
        <f>VLOOKUP(A3699,Planilha2!$A$2:$C$5566,3,0)</f>
        <v>HOLAMBRA</v>
      </c>
      <c r="C3699" t="str">
        <f>VLOOKUP(A3699,Planilha2!$A$2:$D$5566,4,0)</f>
        <v>SP</v>
      </c>
    </row>
    <row r="3700" spans="1:3" x14ac:dyDescent="0.35">
      <c r="A3700">
        <v>355230</v>
      </c>
      <c r="B3700" t="str">
        <f>VLOOKUP(A3700,Planilha2!$A$2:$C$5566,3,0)</f>
        <v>SUD MENNUCCI</v>
      </c>
      <c r="C3700" t="str">
        <f>VLOOKUP(A3700,Planilha2!$A$2:$D$5566,4,0)</f>
        <v>SP</v>
      </c>
    </row>
    <row r="3701" spans="1:3" x14ac:dyDescent="0.35">
      <c r="A3701">
        <v>351480</v>
      </c>
      <c r="B3701" t="str">
        <f>VLOOKUP(A3701,Planilha2!$A$2:$C$5566,3,0)</f>
        <v>ELDORADO</v>
      </c>
      <c r="C3701" t="str">
        <f>VLOOKUP(A3701,Planilha2!$A$2:$D$5566,4,0)</f>
        <v>SP</v>
      </c>
    </row>
    <row r="3702" spans="1:3" x14ac:dyDescent="0.35">
      <c r="A3702">
        <v>354450</v>
      </c>
      <c r="B3702" t="str">
        <f>VLOOKUP(A3702,Planilha2!$A$2:$C$5566,3,0)</f>
        <v>RUBINÉIA</v>
      </c>
      <c r="C3702" t="str">
        <f>VLOOKUP(A3702,Planilha2!$A$2:$D$5566,4,0)</f>
        <v>SP</v>
      </c>
    </row>
    <row r="3703" spans="1:3" x14ac:dyDescent="0.35">
      <c r="A3703">
        <v>410790</v>
      </c>
      <c r="B3703" t="str">
        <f>VLOOKUP(A3703,Planilha2!$A$2:$C$5566,3,0)</f>
        <v>FLORESTA</v>
      </c>
      <c r="C3703" t="str">
        <f>VLOOKUP(A3703,Planilha2!$A$2:$D$5566,4,0)</f>
        <v>PR</v>
      </c>
    </row>
    <row r="3704" spans="1:3" x14ac:dyDescent="0.35">
      <c r="A3704">
        <v>411845</v>
      </c>
      <c r="B3704" t="str">
        <f>VLOOKUP(A3704,Planilha2!$A$2:$C$5566,3,0)</f>
        <v>PATO BRAGADO</v>
      </c>
      <c r="C3704" t="str">
        <f>VLOOKUP(A3704,Planilha2!$A$2:$D$5566,4,0)</f>
        <v>PR</v>
      </c>
    </row>
    <row r="3705" spans="1:3" x14ac:dyDescent="0.35">
      <c r="A3705">
        <v>412853</v>
      </c>
      <c r="B3705" t="str">
        <f>VLOOKUP(A3705,Planilha2!$A$2:$C$5566,3,0)</f>
        <v>VENTANIA</v>
      </c>
      <c r="C3705" t="str">
        <f>VLOOKUP(A3705,Planilha2!$A$2:$D$5566,4,0)</f>
        <v>PR</v>
      </c>
    </row>
    <row r="3706" spans="1:3" x14ac:dyDescent="0.35">
      <c r="A3706">
        <v>420120</v>
      </c>
      <c r="B3706" t="str">
        <f>VLOOKUP(A3706,Planilha2!$A$2:$C$5566,3,0)</f>
        <v>ANTÔNIO CARLOS</v>
      </c>
      <c r="C3706" t="str">
        <f>VLOOKUP(A3706,Planilha2!$A$2:$D$5566,4,0)</f>
        <v>SC</v>
      </c>
    </row>
    <row r="3707" spans="1:3" x14ac:dyDescent="0.35">
      <c r="A3707">
        <v>420417</v>
      </c>
      <c r="B3707" t="str">
        <f>VLOOKUP(A3707,Planilha2!$A$2:$C$5566,3,0)</f>
        <v>CERRO NEGRO</v>
      </c>
      <c r="C3707" t="str">
        <f>VLOOKUP(A3707,Planilha2!$A$2:$D$5566,4,0)</f>
        <v>SC</v>
      </c>
    </row>
    <row r="3708" spans="1:3" x14ac:dyDescent="0.35">
      <c r="A3708">
        <v>431065</v>
      </c>
      <c r="B3708" t="str">
        <f>VLOOKUP(A3708,Planilha2!$A$2:$C$5566,3,0)</f>
        <v>ITATI</v>
      </c>
      <c r="C3708" t="str">
        <f>VLOOKUP(A3708,Planilha2!$A$2:$D$5566,4,0)</f>
        <v>RS</v>
      </c>
    </row>
    <row r="3709" spans="1:3" x14ac:dyDescent="0.35">
      <c r="A3709">
        <v>431244</v>
      </c>
      <c r="B3709" t="str">
        <f>VLOOKUP(A3709,Planilha2!$A$2:$C$5566,3,0)</f>
        <v>MORRINHOS DO SUL</v>
      </c>
      <c r="C3709" t="str">
        <f>VLOOKUP(A3709,Planilha2!$A$2:$D$5566,4,0)</f>
        <v>RS</v>
      </c>
    </row>
    <row r="3710" spans="1:3" x14ac:dyDescent="0.35">
      <c r="A3710">
        <v>432147</v>
      </c>
      <c r="B3710" t="str">
        <f>VLOOKUP(A3710,Planilha2!$A$2:$C$5566,3,0)</f>
        <v>TIRADENTES DO SUL</v>
      </c>
      <c r="C3710" t="str">
        <f>VLOOKUP(A3710,Planilha2!$A$2:$D$5566,4,0)</f>
        <v>RS</v>
      </c>
    </row>
    <row r="3711" spans="1:3" x14ac:dyDescent="0.35">
      <c r="A3711">
        <v>430840</v>
      </c>
      <c r="B3711" t="str">
        <f>VLOOKUP(A3711,Planilha2!$A$2:$C$5566,3,0)</f>
        <v>FORMIGUEIRO</v>
      </c>
      <c r="C3711" t="str">
        <f>VLOOKUP(A3711,Planilha2!$A$2:$D$5566,4,0)</f>
        <v>RS</v>
      </c>
    </row>
    <row r="3712" spans="1:3" x14ac:dyDescent="0.35">
      <c r="A3712">
        <v>432149</v>
      </c>
      <c r="B3712" t="str">
        <f>VLOOKUP(A3712,Planilha2!$A$2:$C$5566,3,0)</f>
        <v>TOROPI</v>
      </c>
      <c r="C3712" t="str">
        <f>VLOOKUP(A3712,Planilha2!$A$2:$D$5566,4,0)</f>
        <v>RS</v>
      </c>
    </row>
    <row r="3713" spans="1:3" x14ac:dyDescent="0.35">
      <c r="A3713">
        <v>431531</v>
      </c>
      <c r="B3713" t="str">
        <f>VLOOKUP(A3713,Planilha2!$A$2:$C$5566,3,0)</f>
        <v>QUATRO IRMÃOS</v>
      </c>
      <c r="C3713" t="str">
        <f>VLOOKUP(A3713,Planilha2!$A$2:$D$5566,4,0)</f>
        <v>RS</v>
      </c>
    </row>
    <row r="3714" spans="1:3" x14ac:dyDescent="0.35">
      <c r="A3714">
        <v>430957</v>
      </c>
      <c r="B3714" t="str">
        <f>VLOOKUP(A3714,Planilha2!$A$2:$C$5566,3,0)</f>
        <v>HERVEIRAS</v>
      </c>
      <c r="C3714" t="str">
        <f>VLOOKUP(A3714,Planilha2!$A$2:$D$5566,4,0)</f>
        <v>RS</v>
      </c>
    </row>
    <row r="3715" spans="1:3" x14ac:dyDescent="0.35">
      <c r="A3715">
        <v>430520</v>
      </c>
      <c r="B3715" t="str">
        <f>VLOOKUP(A3715,Planilha2!$A$2:$C$5566,3,0)</f>
        <v>CERRO LARGO</v>
      </c>
      <c r="C3715" t="str">
        <f>VLOOKUP(A3715,Planilha2!$A$2:$D$5566,4,0)</f>
        <v>RS</v>
      </c>
    </row>
    <row r="3716" spans="1:3" x14ac:dyDescent="0.35">
      <c r="A3716">
        <v>431849</v>
      </c>
      <c r="B3716" t="str">
        <f>VLOOKUP(A3716,Planilha2!$A$2:$C$5566,3,0)</f>
        <v>SÃO JOSÉ DO INHACORÁ</v>
      </c>
      <c r="C3716" t="str">
        <f>VLOOKUP(A3716,Planilha2!$A$2:$D$5566,4,0)</f>
        <v>RS</v>
      </c>
    </row>
    <row r="3717" spans="1:3" x14ac:dyDescent="0.35">
      <c r="A3717">
        <v>432023</v>
      </c>
      <c r="B3717" t="str">
        <f>VLOOKUP(A3717,Planilha2!$A$2:$C$5566,3,0)</f>
        <v>SEDE NOVA</v>
      </c>
      <c r="C3717" t="str">
        <f>VLOOKUP(A3717,Planilha2!$A$2:$D$5566,4,0)</f>
        <v>RS</v>
      </c>
    </row>
    <row r="3718" spans="1:3" x14ac:dyDescent="0.35">
      <c r="A3718">
        <v>430461</v>
      </c>
      <c r="B3718" t="str">
        <f>VLOOKUP(A3718,Planilha2!$A$2:$C$5566,3,0)</f>
        <v>CANUDOS DO VALE</v>
      </c>
      <c r="C3718" t="str">
        <f>VLOOKUP(A3718,Planilha2!$A$2:$D$5566,4,0)</f>
        <v>RS</v>
      </c>
    </row>
    <row r="3719" spans="1:3" x14ac:dyDescent="0.35">
      <c r="A3719">
        <v>431780</v>
      </c>
      <c r="B3719" t="str">
        <f>VLOOKUP(A3719,Planilha2!$A$2:$C$5566,3,0)</f>
        <v>SANTO AUGUSTO</v>
      </c>
      <c r="C3719" t="str">
        <f>VLOOKUP(A3719,Planilha2!$A$2:$D$5566,4,0)</f>
        <v>RS</v>
      </c>
    </row>
    <row r="3720" spans="1:3" x14ac:dyDescent="0.35">
      <c r="A3720">
        <v>432195</v>
      </c>
      <c r="B3720" t="str">
        <f>VLOOKUP(A3720,Planilha2!$A$2:$C$5566,3,0)</f>
        <v>TRINDADE DO SUL</v>
      </c>
      <c r="C3720" t="str">
        <f>VLOOKUP(A3720,Planilha2!$A$2:$D$5566,4,0)</f>
        <v>RS</v>
      </c>
    </row>
    <row r="3721" spans="1:3" x14ac:dyDescent="0.35">
      <c r="A3721">
        <v>430500</v>
      </c>
      <c r="B3721" t="str">
        <f>VLOOKUP(A3721,Planilha2!$A$2:$C$5566,3,0)</f>
        <v>CATUÍPE</v>
      </c>
      <c r="C3721" t="str">
        <f>VLOOKUP(A3721,Planilha2!$A$2:$D$5566,4,0)</f>
        <v>RS</v>
      </c>
    </row>
    <row r="3722" spans="1:3" x14ac:dyDescent="0.35">
      <c r="A3722">
        <v>430650</v>
      </c>
      <c r="B3722" t="str">
        <f>VLOOKUP(A3722,Planilha2!$A$2:$C$5566,3,0)</f>
        <v>DOM FELICIANO</v>
      </c>
      <c r="C3722" t="str">
        <f>VLOOKUP(A3722,Planilha2!$A$2:$D$5566,4,0)</f>
        <v>RS</v>
      </c>
    </row>
    <row r="3723" spans="1:3" x14ac:dyDescent="0.35">
      <c r="A3723">
        <v>431477</v>
      </c>
      <c r="B3723" t="str">
        <f>VLOOKUP(A3723,Planilha2!$A$2:$C$5566,3,0)</f>
        <v>PONTÃO</v>
      </c>
      <c r="C3723" t="str">
        <f>VLOOKUP(A3723,Planilha2!$A$2:$D$5566,4,0)</f>
        <v>RS</v>
      </c>
    </row>
    <row r="3724" spans="1:3" x14ac:dyDescent="0.35">
      <c r="A3724">
        <v>431860</v>
      </c>
      <c r="B3724" t="str">
        <f>VLOOKUP(A3724,Planilha2!$A$2:$C$5566,3,0)</f>
        <v>SÃO JOSÉ DO OURO</v>
      </c>
      <c r="C3724" t="str">
        <f>VLOOKUP(A3724,Planilha2!$A$2:$D$5566,4,0)</f>
        <v>RS</v>
      </c>
    </row>
    <row r="3725" spans="1:3" x14ac:dyDescent="0.35">
      <c r="A3725">
        <v>431030</v>
      </c>
      <c r="B3725" t="str">
        <f>VLOOKUP(A3725,Planilha2!$A$2:$C$5566,3,0)</f>
        <v>ILÓPOLIS</v>
      </c>
      <c r="C3725" t="str">
        <f>VLOOKUP(A3725,Planilha2!$A$2:$D$5566,4,0)</f>
        <v>RS</v>
      </c>
    </row>
    <row r="3726" spans="1:3" x14ac:dyDescent="0.35">
      <c r="A3726">
        <v>510780</v>
      </c>
      <c r="B3726" t="str">
        <f>VLOOKUP(A3726,Planilha2!$A$2:$C$5566,3,0)</f>
        <v>SANTO ANTÔNIO DO LEVERGER</v>
      </c>
      <c r="C3726" t="str">
        <f>VLOOKUP(A3726,Planilha2!$A$2:$D$5566,4,0)</f>
        <v>MT</v>
      </c>
    </row>
    <row r="3727" spans="1:3" x14ac:dyDescent="0.35">
      <c r="A3727">
        <v>521525</v>
      </c>
      <c r="B3727" t="str">
        <f>VLOOKUP(A3727,Planilha2!$A$2:$C$5566,3,0)</f>
        <v>NOVO PLANALTO</v>
      </c>
      <c r="C3727" t="str">
        <f>VLOOKUP(A3727,Planilha2!$A$2:$D$5566,4,0)</f>
        <v>GO</v>
      </c>
    </row>
    <row r="3728" spans="1:3" x14ac:dyDescent="0.35">
      <c r="A3728">
        <v>521375</v>
      </c>
      <c r="B3728" t="str">
        <f>VLOOKUP(A3728,Planilha2!$A$2:$C$5566,3,0)</f>
        <v>MONTIVIDIU</v>
      </c>
      <c r="C3728" t="str">
        <f>VLOOKUP(A3728,Planilha2!$A$2:$D$5566,4,0)</f>
        <v>GO</v>
      </c>
    </row>
    <row r="3729" spans="1:3" x14ac:dyDescent="0.35">
      <c r="A3729">
        <v>521878</v>
      </c>
      <c r="B3729" t="str">
        <f>VLOOKUP(A3729,Planilha2!$A$2:$C$5566,3,0)</f>
        <v>RIO QUENTE</v>
      </c>
      <c r="C3729" t="str">
        <f>VLOOKUP(A3729,Planilha2!$A$2:$D$5566,4,0)</f>
        <v>GO</v>
      </c>
    </row>
    <row r="3730" spans="1:3" x14ac:dyDescent="0.35">
      <c r="A3730">
        <v>521550</v>
      </c>
      <c r="B3730" t="str">
        <f>VLOOKUP(A3730,Planilha2!$A$2:$C$5566,3,0)</f>
        <v>OUVIDOR</v>
      </c>
      <c r="C3730" t="str">
        <f>VLOOKUP(A3730,Planilha2!$A$2:$D$5566,4,0)</f>
        <v>GO</v>
      </c>
    </row>
    <row r="3731" spans="1:3" x14ac:dyDescent="0.35">
      <c r="A3731">
        <v>521810</v>
      </c>
      <c r="B3731" t="str">
        <f>VLOOKUP(A3731,Planilha2!$A$2:$C$5566,3,0)</f>
        <v>PORTELÂNDIA</v>
      </c>
      <c r="C3731" t="str">
        <f>VLOOKUP(A3731,Planilha2!$A$2:$D$5566,4,0)</f>
        <v>GO</v>
      </c>
    </row>
    <row r="3732" spans="1:3" x14ac:dyDescent="0.35">
      <c r="A3732">
        <v>110006</v>
      </c>
      <c r="B3732" t="str">
        <f>VLOOKUP(A3732,Planilha2!$A$2:$C$5566,3,0)</f>
        <v>COLORADO DO OESTE</v>
      </c>
      <c r="C3732" t="str">
        <f>VLOOKUP(A3732,Planilha2!$A$2:$D$5566,4,0)</f>
        <v>RO</v>
      </c>
    </row>
    <row r="3733" spans="1:3" x14ac:dyDescent="0.35">
      <c r="A3733">
        <v>120025</v>
      </c>
      <c r="B3733" t="str">
        <f>VLOOKUP(A3733,Planilha2!$A$2:$C$5566,3,0)</f>
        <v>EPITACIOLÂNDIA</v>
      </c>
      <c r="C3733" t="str">
        <f>VLOOKUP(A3733,Planilha2!$A$2:$D$5566,4,0)</f>
        <v>AC</v>
      </c>
    </row>
    <row r="3734" spans="1:3" x14ac:dyDescent="0.35">
      <c r="A3734">
        <v>120035</v>
      </c>
      <c r="B3734" t="str">
        <f>VLOOKUP(A3734,Planilha2!$A$2:$C$5566,3,0)</f>
        <v>MARECHAL THAUMATURGO</v>
      </c>
      <c r="C3734" t="str">
        <f>VLOOKUP(A3734,Planilha2!$A$2:$D$5566,4,0)</f>
        <v>AC</v>
      </c>
    </row>
    <row r="3735" spans="1:3" x14ac:dyDescent="0.35">
      <c r="A3735">
        <v>120032</v>
      </c>
      <c r="B3735" t="str">
        <f>VLOOKUP(A3735,Planilha2!$A$2:$C$5566,3,0)</f>
        <v>JORDÃO</v>
      </c>
      <c r="C3735" t="str">
        <f>VLOOKUP(A3735,Planilha2!$A$2:$D$5566,4,0)</f>
        <v>AC</v>
      </c>
    </row>
    <row r="3736" spans="1:3" x14ac:dyDescent="0.35">
      <c r="A3736">
        <v>130090</v>
      </c>
      <c r="B3736" t="str">
        <f>VLOOKUP(A3736,Planilha2!$A$2:$C$5566,3,0)</f>
        <v>CANUTAMA</v>
      </c>
      <c r="C3736" t="str">
        <f>VLOOKUP(A3736,Planilha2!$A$2:$D$5566,4,0)</f>
        <v>AM</v>
      </c>
    </row>
    <row r="3737" spans="1:3" x14ac:dyDescent="0.35">
      <c r="A3737">
        <v>170310</v>
      </c>
      <c r="B3737" t="str">
        <f>VLOOKUP(A3737,Planilha2!$A$2:$C$5566,3,0)</f>
        <v>BARROLÂNDIA</v>
      </c>
      <c r="C3737" t="str">
        <f>VLOOKUP(A3737,Planilha2!$A$2:$D$5566,4,0)</f>
        <v>TO</v>
      </c>
    </row>
    <row r="3738" spans="1:3" x14ac:dyDescent="0.35">
      <c r="A3738">
        <v>170035</v>
      </c>
      <c r="B3738" t="str">
        <f>VLOOKUP(A3738,Planilha2!$A$2:$C$5566,3,0)</f>
        <v>ALIANÇA DO TOCANTINS</v>
      </c>
      <c r="C3738" t="str">
        <f>VLOOKUP(A3738,Planilha2!$A$2:$D$5566,4,0)</f>
        <v>TO</v>
      </c>
    </row>
    <row r="3739" spans="1:3" x14ac:dyDescent="0.35">
      <c r="A3739">
        <v>170610</v>
      </c>
      <c r="B3739" t="str">
        <f>VLOOKUP(A3739,Planilha2!$A$2:$C$5566,3,0)</f>
        <v>CRISTALÂNDIA</v>
      </c>
      <c r="C3739" t="str">
        <f>VLOOKUP(A3739,Planilha2!$A$2:$D$5566,4,0)</f>
        <v>TO</v>
      </c>
    </row>
    <row r="3740" spans="1:3" x14ac:dyDescent="0.35">
      <c r="A3740">
        <v>171670</v>
      </c>
      <c r="B3740" t="str">
        <f>VLOOKUP(A3740,Planilha2!$A$2:$C$5566,3,0)</f>
        <v>COLMÉIA</v>
      </c>
      <c r="C3740" t="str">
        <f>VLOOKUP(A3740,Planilha2!$A$2:$D$5566,4,0)</f>
        <v>TO</v>
      </c>
    </row>
    <row r="3741" spans="1:3" x14ac:dyDescent="0.35">
      <c r="A3741">
        <v>210630</v>
      </c>
      <c r="B3741" t="str">
        <f>VLOOKUP(A3741,Planilha2!$A$2:$C$5566,3,0)</f>
        <v>MAGALHÃES DE ALMEIDA</v>
      </c>
      <c r="C3741" t="str">
        <f>VLOOKUP(A3741,Planilha2!$A$2:$D$5566,4,0)</f>
        <v>MA</v>
      </c>
    </row>
    <row r="3742" spans="1:3" x14ac:dyDescent="0.35">
      <c r="A3742">
        <v>210700</v>
      </c>
      <c r="B3742" t="str">
        <f>VLOOKUP(A3742,Planilha2!$A$2:$C$5566,3,0)</f>
        <v>MONTES ALTOS</v>
      </c>
      <c r="C3742" t="str">
        <f>VLOOKUP(A3742,Planilha2!$A$2:$D$5566,4,0)</f>
        <v>MA</v>
      </c>
    </row>
    <row r="3743" spans="1:3" x14ac:dyDescent="0.35">
      <c r="A3743">
        <v>210150</v>
      </c>
      <c r="B3743" t="str">
        <f>VLOOKUP(A3743,Planilha2!$A$2:$C$5566,3,0)</f>
        <v>BARÃO DE GRAJAÚ</v>
      </c>
      <c r="C3743" t="str">
        <f>VLOOKUP(A3743,Planilha2!$A$2:$D$5566,4,0)</f>
        <v>MA</v>
      </c>
    </row>
    <row r="3744" spans="1:3" x14ac:dyDescent="0.35">
      <c r="A3744">
        <v>211190</v>
      </c>
      <c r="B3744" t="str">
        <f>VLOOKUP(A3744,Planilha2!$A$2:$C$5566,3,0)</f>
        <v>SUCUPIRA DO NORTE</v>
      </c>
      <c r="C3744" t="str">
        <f>VLOOKUP(A3744,Planilha2!$A$2:$D$5566,4,0)</f>
        <v>MA</v>
      </c>
    </row>
    <row r="3745" spans="1:3" x14ac:dyDescent="0.35">
      <c r="A3745">
        <v>210880</v>
      </c>
      <c r="B3745" t="str">
        <f>VLOOKUP(A3745,Planilha2!$A$2:$C$5566,3,0)</f>
        <v>PIRAPEMAS</v>
      </c>
      <c r="C3745" t="str">
        <f>VLOOKUP(A3745,Planilha2!$A$2:$D$5566,4,0)</f>
        <v>MA</v>
      </c>
    </row>
    <row r="3746" spans="1:3" x14ac:dyDescent="0.35">
      <c r="A3746">
        <v>210325</v>
      </c>
      <c r="B3746" t="str">
        <f>VLOOKUP(A3746,Planilha2!$A$2:$C$5566,3,0)</f>
        <v>CIDELÂNDIA</v>
      </c>
      <c r="C3746" t="str">
        <f>VLOOKUP(A3746,Planilha2!$A$2:$D$5566,4,0)</f>
        <v>MA</v>
      </c>
    </row>
    <row r="3747" spans="1:3" x14ac:dyDescent="0.35">
      <c r="A3747">
        <v>210355</v>
      </c>
      <c r="B3747" t="str">
        <f>VLOOKUP(A3747,Planilha2!$A$2:$C$5566,3,0)</f>
        <v>CONCEIÇÃO DO LAGO-AÇU</v>
      </c>
      <c r="C3747" t="str">
        <f>VLOOKUP(A3747,Planilha2!$A$2:$D$5566,4,0)</f>
        <v>MA</v>
      </c>
    </row>
    <row r="3748" spans="1:3" x14ac:dyDescent="0.35">
      <c r="A3748">
        <v>210015</v>
      </c>
      <c r="B3748" t="str">
        <f>VLOOKUP(A3748,Planilha2!$A$2:$C$5566,3,0)</f>
        <v>ÁGUA DOCE DO MARANHÃO</v>
      </c>
      <c r="C3748" t="str">
        <f>VLOOKUP(A3748,Planilha2!$A$2:$D$5566,4,0)</f>
        <v>MA</v>
      </c>
    </row>
    <row r="3749" spans="1:3" x14ac:dyDescent="0.35">
      <c r="A3749">
        <v>220670</v>
      </c>
      <c r="B3749" t="str">
        <f>VLOOKUP(A3749,Planilha2!$A$2:$C$5566,3,0)</f>
        <v>NAZARÉ DO PIAUÍ</v>
      </c>
      <c r="C3749" t="str">
        <f>VLOOKUP(A3749,Planilha2!$A$2:$D$5566,4,0)</f>
        <v>PI</v>
      </c>
    </row>
    <row r="3750" spans="1:3" x14ac:dyDescent="0.35">
      <c r="A3750">
        <v>211090</v>
      </c>
      <c r="B3750" t="str">
        <f>VLOOKUP(A3750,Planilha2!$A$2:$C$5566,3,0)</f>
        <v>SÃO FRANCISCO DO MARANHÃO</v>
      </c>
      <c r="C3750" t="str">
        <f>VLOOKUP(A3750,Planilha2!$A$2:$D$5566,4,0)</f>
        <v>MA</v>
      </c>
    </row>
    <row r="3751" spans="1:3" x14ac:dyDescent="0.35">
      <c r="A3751">
        <v>220558</v>
      </c>
      <c r="B3751" t="str">
        <f>VLOOKUP(A3751,Planilha2!$A$2:$C$5566,3,0)</f>
        <v>LAGOA DO PIAUÍ</v>
      </c>
      <c r="C3751" t="str">
        <f>VLOOKUP(A3751,Planilha2!$A$2:$D$5566,4,0)</f>
        <v>PI</v>
      </c>
    </row>
    <row r="3752" spans="1:3" x14ac:dyDescent="0.35">
      <c r="A3752">
        <v>220440</v>
      </c>
      <c r="B3752" t="str">
        <f>VLOOKUP(A3752,Planilha2!$A$2:$C$5566,3,0)</f>
        <v>GILBUÉS</v>
      </c>
      <c r="C3752" t="str">
        <f>VLOOKUP(A3752,Planilha2!$A$2:$D$5566,4,0)</f>
        <v>PI</v>
      </c>
    </row>
    <row r="3753" spans="1:3" x14ac:dyDescent="0.35">
      <c r="A3753">
        <v>230835</v>
      </c>
      <c r="B3753" t="str">
        <f>VLOOKUP(A3753,Planilha2!$A$2:$C$5566,3,0)</f>
        <v>MILHÃ</v>
      </c>
      <c r="C3753" t="str">
        <f>VLOOKUP(A3753,Planilha2!$A$2:$D$5566,4,0)</f>
        <v>CE</v>
      </c>
    </row>
    <row r="3754" spans="1:3" x14ac:dyDescent="0.35">
      <c r="A3754">
        <v>231135</v>
      </c>
      <c r="B3754" t="str">
        <f>VLOOKUP(A3754,Planilha2!$A$2:$C$5566,3,0)</f>
        <v>QUIXELÔ</v>
      </c>
      <c r="C3754" t="str">
        <f>VLOOKUP(A3754,Planilha2!$A$2:$D$5566,4,0)</f>
        <v>CE</v>
      </c>
    </row>
    <row r="3755" spans="1:3" x14ac:dyDescent="0.35">
      <c r="A3755">
        <v>240690</v>
      </c>
      <c r="B3755" t="str">
        <f>VLOOKUP(A3755,Planilha2!$A$2:$C$5566,3,0)</f>
        <v>LUCRÉCIA</v>
      </c>
      <c r="C3755" t="str">
        <f>VLOOKUP(A3755,Planilha2!$A$2:$D$5566,4,0)</f>
        <v>RN</v>
      </c>
    </row>
    <row r="3756" spans="1:3" x14ac:dyDescent="0.35">
      <c r="A3756">
        <v>240770</v>
      </c>
      <c r="B3756" t="str">
        <f>VLOOKUP(A3756,Planilha2!$A$2:$C$5566,3,0)</f>
        <v>MONTANHAS</v>
      </c>
      <c r="C3756" t="str">
        <f>VLOOKUP(A3756,Planilha2!$A$2:$D$5566,4,0)</f>
        <v>RN</v>
      </c>
    </row>
    <row r="3757" spans="1:3" x14ac:dyDescent="0.35">
      <c r="A3757">
        <v>241020</v>
      </c>
      <c r="B3757" t="str">
        <f>VLOOKUP(A3757,Planilha2!$A$2:$C$5566,3,0)</f>
        <v>PORTALEGRE</v>
      </c>
      <c r="C3757" t="str">
        <f>VLOOKUP(A3757,Planilha2!$A$2:$D$5566,4,0)</f>
        <v>RN</v>
      </c>
    </row>
    <row r="3758" spans="1:3" x14ac:dyDescent="0.35">
      <c r="A3758">
        <v>240740</v>
      </c>
      <c r="B3758" t="str">
        <f>VLOOKUP(A3758,Planilha2!$A$2:$C$5566,3,0)</f>
        <v>MARTINS</v>
      </c>
      <c r="C3758" t="str">
        <f>VLOOKUP(A3758,Planilha2!$A$2:$D$5566,4,0)</f>
        <v>RN</v>
      </c>
    </row>
    <row r="3759" spans="1:3" x14ac:dyDescent="0.35">
      <c r="A3759">
        <v>241420</v>
      </c>
      <c r="B3759" t="str">
        <f>VLOOKUP(A3759,Planilha2!$A$2:$C$5566,3,0)</f>
        <v>TIBAU DO SUL</v>
      </c>
      <c r="C3759" t="str">
        <f>VLOOKUP(A3759,Planilha2!$A$2:$D$5566,4,0)</f>
        <v>RN</v>
      </c>
    </row>
    <row r="3760" spans="1:3" x14ac:dyDescent="0.35">
      <c r="A3760">
        <v>250150</v>
      </c>
      <c r="B3760" t="str">
        <f>VLOOKUP(A3760,Planilha2!$A$2:$C$5566,3,0)</f>
        <v>BANANEIRAS</v>
      </c>
      <c r="C3760" t="str">
        <f>VLOOKUP(A3760,Planilha2!$A$2:$D$5566,4,0)</f>
        <v>PB</v>
      </c>
    </row>
    <row r="3761" spans="1:3" x14ac:dyDescent="0.35">
      <c r="A3761">
        <v>250730</v>
      </c>
      <c r="B3761" t="str">
        <f>VLOOKUP(A3761,Planilha2!$A$2:$C$5566,3,0)</f>
        <v>JACARAÚ</v>
      </c>
      <c r="C3761" t="str">
        <f>VLOOKUP(A3761,Planilha2!$A$2:$D$5566,4,0)</f>
        <v>PB</v>
      </c>
    </row>
    <row r="3762" spans="1:3" x14ac:dyDescent="0.35">
      <c r="A3762">
        <v>250855</v>
      </c>
      <c r="B3762" t="str">
        <f>VLOOKUP(A3762,Planilha2!$A$2:$C$5566,3,0)</f>
        <v>LOGRADOURO</v>
      </c>
      <c r="C3762" t="str">
        <f>VLOOKUP(A3762,Planilha2!$A$2:$D$5566,4,0)</f>
        <v>PB</v>
      </c>
    </row>
    <row r="3763" spans="1:3" x14ac:dyDescent="0.35">
      <c r="A3763">
        <v>250250</v>
      </c>
      <c r="B3763" t="str">
        <f>VLOOKUP(A3763,Planilha2!$A$2:$C$5566,3,0)</f>
        <v>BOQUEIRÃO</v>
      </c>
      <c r="C3763" t="str">
        <f>VLOOKUP(A3763,Planilha2!$A$2:$D$5566,4,0)</f>
        <v>PB</v>
      </c>
    </row>
    <row r="3764" spans="1:3" x14ac:dyDescent="0.35">
      <c r="A3764">
        <v>250500</v>
      </c>
      <c r="B3764" t="str">
        <f>VLOOKUP(A3764,Planilha2!$A$2:$C$5566,3,0)</f>
        <v>CUBATI</v>
      </c>
      <c r="C3764" t="str">
        <f>VLOOKUP(A3764,Planilha2!$A$2:$D$5566,4,0)</f>
        <v>PB</v>
      </c>
    </row>
    <row r="3765" spans="1:3" x14ac:dyDescent="0.35">
      <c r="A3765">
        <v>260630</v>
      </c>
      <c r="B3765" t="str">
        <f>VLOOKUP(A3765,Planilha2!$A$2:$C$5566,3,0)</f>
        <v>GRANITO</v>
      </c>
      <c r="C3765" t="str">
        <f>VLOOKUP(A3765,Planilha2!$A$2:$D$5566,4,0)</f>
        <v>PE</v>
      </c>
    </row>
    <row r="3766" spans="1:3" x14ac:dyDescent="0.35">
      <c r="A3766">
        <v>260340</v>
      </c>
      <c r="B3766" t="str">
        <f>VLOOKUP(A3766,Planilha2!$A$2:$C$5566,3,0)</f>
        <v>CALUMBI</v>
      </c>
      <c r="C3766" t="str">
        <f>VLOOKUP(A3766,Planilha2!$A$2:$D$5566,4,0)</f>
        <v>PE</v>
      </c>
    </row>
    <row r="3767" spans="1:3" x14ac:dyDescent="0.35">
      <c r="A3767">
        <v>260740</v>
      </c>
      <c r="B3767" t="str">
        <f>VLOOKUP(A3767,Planilha2!$A$2:$C$5566,3,0)</f>
        <v>ITACURUBA</v>
      </c>
      <c r="C3767" t="str">
        <f>VLOOKUP(A3767,Planilha2!$A$2:$D$5566,4,0)</f>
        <v>PE</v>
      </c>
    </row>
    <row r="3768" spans="1:3" x14ac:dyDescent="0.35">
      <c r="A3768">
        <v>260870</v>
      </c>
      <c r="B3768" t="str">
        <f>VLOOKUP(A3768,Planilha2!$A$2:$C$5566,3,0)</f>
        <v>LAGOA DOS GATOS</v>
      </c>
      <c r="C3768" t="str">
        <f>VLOOKUP(A3768,Planilha2!$A$2:$D$5566,4,0)</f>
        <v>PE</v>
      </c>
    </row>
    <row r="3769" spans="1:3" x14ac:dyDescent="0.35">
      <c r="A3769">
        <v>292420</v>
      </c>
      <c r="B3769" t="str">
        <f>VLOOKUP(A3769,Planilha2!$A$2:$C$5566,3,0)</f>
        <v>PEDRO ALEXANDRE</v>
      </c>
      <c r="C3769" t="str">
        <f>VLOOKUP(A3769,Planilha2!$A$2:$D$5566,4,0)</f>
        <v>BA</v>
      </c>
    </row>
    <row r="3770" spans="1:3" x14ac:dyDescent="0.35">
      <c r="A3770">
        <v>270820</v>
      </c>
      <c r="B3770" t="str">
        <f>VLOOKUP(A3770,Planilha2!$A$2:$C$5566,3,0)</f>
        <v>SÃO BRÁS</v>
      </c>
      <c r="C3770" t="str">
        <f>VLOOKUP(A3770,Planilha2!$A$2:$D$5566,4,0)</f>
        <v>AL</v>
      </c>
    </row>
    <row r="3771" spans="1:3" x14ac:dyDescent="0.35">
      <c r="A3771">
        <v>280460</v>
      </c>
      <c r="B3771" t="str">
        <f>VLOOKUP(A3771,Planilha2!$A$2:$C$5566,3,0)</f>
        <v>NOSSA SENHORA DAS DORES</v>
      </c>
      <c r="C3771" t="str">
        <f>VLOOKUP(A3771,Planilha2!$A$2:$D$5566,4,0)</f>
        <v>SE</v>
      </c>
    </row>
    <row r="3772" spans="1:3" x14ac:dyDescent="0.35">
      <c r="A3772">
        <v>293300</v>
      </c>
      <c r="B3772" t="str">
        <f>VLOOKUP(A3772,Planilha2!$A$2:$C$5566,3,0)</f>
        <v>VALENTE</v>
      </c>
      <c r="C3772" t="str">
        <f>VLOOKUP(A3772,Planilha2!$A$2:$D$5566,4,0)</f>
        <v>BA</v>
      </c>
    </row>
    <row r="3773" spans="1:3" x14ac:dyDescent="0.35">
      <c r="A3773">
        <v>290010</v>
      </c>
      <c r="B3773" t="str">
        <f>VLOOKUP(A3773,Planilha2!$A$2:$C$5566,3,0)</f>
        <v>ABAÍRA</v>
      </c>
      <c r="C3773" t="str">
        <f>VLOOKUP(A3773,Planilha2!$A$2:$D$5566,4,0)</f>
        <v>BA</v>
      </c>
    </row>
    <row r="3774" spans="1:3" x14ac:dyDescent="0.35">
      <c r="A3774">
        <v>291075</v>
      </c>
      <c r="B3774" t="str">
        <f>VLOOKUP(A3774,Planilha2!$A$2:$C$5566,3,0)</f>
        <v>FÁTIMA</v>
      </c>
      <c r="C3774" t="str">
        <f>VLOOKUP(A3774,Planilha2!$A$2:$D$5566,4,0)</f>
        <v>BA</v>
      </c>
    </row>
    <row r="3775" spans="1:3" x14ac:dyDescent="0.35">
      <c r="A3775">
        <v>290450</v>
      </c>
      <c r="B3775" t="str">
        <f>VLOOKUP(A3775,Planilha2!$A$2:$C$5566,3,0)</f>
        <v>BROTAS DE MACAÚBAS</v>
      </c>
      <c r="C3775" t="str">
        <f>VLOOKUP(A3775,Planilha2!$A$2:$D$5566,4,0)</f>
        <v>BA</v>
      </c>
    </row>
    <row r="3776" spans="1:3" x14ac:dyDescent="0.35">
      <c r="A3776">
        <v>290440</v>
      </c>
      <c r="B3776" t="str">
        <f>VLOOKUP(A3776,Planilha2!$A$2:$C$5566,3,0)</f>
        <v>BREJOLÂNDIA</v>
      </c>
      <c r="C3776" t="str">
        <f>VLOOKUP(A3776,Planilha2!$A$2:$D$5566,4,0)</f>
        <v>BA</v>
      </c>
    </row>
    <row r="3777" spans="1:3" x14ac:dyDescent="0.35">
      <c r="A3777">
        <v>291730</v>
      </c>
      <c r="B3777" t="str">
        <f>VLOOKUP(A3777,Planilha2!$A$2:$C$5566,3,0)</f>
        <v>ITUBERÁ</v>
      </c>
      <c r="C3777" t="str">
        <f>VLOOKUP(A3777,Planilha2!$A$2:$D$5566,4,0)</f>
        <v>BA</v>
      </c>
    </row>
    <row r="3778" spans="1:3" x14ac:dyDescent="0.35">
      <c r="A3778">
        <v>291510</v>
      </c>
      <c r="B3778" t="str">
        <f>VLOOKUP(A3778,Planilha2!$A$2:$C$5566,3,0)</f>
        <v>ITAGI</v>
      </c>
      <c r="C3778" t="str">
        <f>VLOOKUP(A3778,Planilha2!$A$2:$D$5566,4,0)</f>
        <v>BA</v>
      </c>
    </row>
    <row r="3779" spans="1:3" x14ac:dyDescent="0.35">
      <c r="A3779">
        <v>291030</v>
      </c>
      <c r="B3779" t="str">
        <f>VLOOKUP(A3779,Planilha2!$A$2:$C$5566,3,0)</f>
        <v>ELÍSIO MEDRADO</v>
      </c>
      <c r="C3779" t="str">
        <f>VLOOKUP(A3779,Planilha2!$A$2:$D$5566,4,0)</f>
        <v>BA</v>
      </c>
    </row>
    <row r="3780" spans="1:3" x14ac:dyDescent="0.35">
      <c r="A3780">
        <v>290685</v>
      </c>
      <c r="B3780" t="str">
        <f>VLOOKUP(A3780,Planilha2!$A$2:$C$5566,3,0)</f>
        <v>CAPELA DO ALTO ALEGRE</v>
      </c>
      <c r="C3780" t="str">
        <f>VLOOKUP(A3780,Planilha2!$A$2:$D$5566,4,0)</f>
        <v>BA</v>
      </c>
    </row>
    <row r="3781" spans="1:3" x14ac:dyDescent="0.35">
      <c r="A3781">
        <v>290230</v>
      </c>
      <c r="B3781" t="str">
        <f>VLOOKUP(A3781,Planilha2!$A$2:$C$5566,3,0)</f>
        <v>ARATUÍPE</v>
      </c>
      <c r="C3781" t="str">
        <f>VLOOKUP(A3781,Planilha2!$A$2:$D$5566,4,0)</f>
        <v>BA</v>
      </c>
    </row>
    <row r="3782" spans="1:3" x14ac:dyDescent="0.35">
      <c r="A3782">
        <v>293315</v>
      </c>
      <c r="B3782" t="str">
        <f>VLOOKUP(A3782,Planilha2!$A$2:$C$5566,3,0)</f>
        <v>VÁRZEA NOVA</v>
      </c>
      <c r="C3782" t="str">
        <f>VLOOKUP(A3782,Planilha2!$A$2:$D$5566,4,0)</f>
        <v>BA</v>
      </c>
    </row>
    <row r="3783" spans="1:3" x14ac:dyDescent="0.35">
      <c r="A3783">
        <v>314950</v>
      </c>
      <c r="B3783" t="str">
        <f>VLOOKUP(A3783,Planilha2!$A$2:$C$5566,3,0)</f>
        <v>PEQUERI</v>
      </c>
      <c r="C3783" t="str">
        <f>VLOOKUP(A3783,Planilha2!$A$2:$D$5566,4,0)</f>
        <v>MG</v>
      </c>
    </row>
    <row r="3784" spans="1:3" x14ac:dyDescent="0.35">
      <c r="A3784">
        <v>310665</v>
      </c>
      <c r="B3784" t="str">
        <f>VLOOKUP(A3784,Planilha2!$A$2:$C$5566,3,0)</f>
        <v>BERIZAL</v>
      </c>
      <c r="C3784" t="str">
        <f>VLOOKUP(A3784,Planilha2!$A$2:$D$5566,4,0)</f>
        <v>MG</v>
      </c>
    </row>
    <row r="3785" spans="1:3" x14ac:dyDescent="0.35">
      <c r="A3785">
        <v>312450</v>
      </c>
      <c r="B3785" t="str">
        <f>VLOOKUP(A3785,Planilha2!$A$2:$C$5566,3,0)</f>
        <v>ESTIVA</v>
      </c>
      <c r="C3785" t="str">
        <f>VLOOKUP(A3785,Planilha2!$A$2:$D$5566,4,0)</f>
        <v>MG</v>
      </c>
    </row>
    <row r="3786" spans="1:3" x14ac:dyDescent="0.35">
      <c r="A3786">
        <v>313310</v>
      </c>
      <c r="B3786" t="str">
        <f>VLOOKUP(A3786,Planilha2!$A$2:$C$5566,3,0)</f>
        <v>ITANHANDU</v>
      </c>
      <c r="C3786" t="str">
        <f>VLOOKUP(A3786,Planilha2!$A$2:$D$5566,4,0)</f>
        <v>MG</v>
      </c>
    </row>
    <row r="3787" spans="1:3" x14ac:dyDescent="0.35">
      <c r="A3787">
        <v>310530</v>
      </c>
      <c r="B3787" t="str">
        <f>VLOOKUP(A3787,Planilha2!$A$2:$C$5566,3,0)</f>
        <v>BANDEIRA DO SUL</v>
      </c>
      <c r="C3787" t="str">
        <f>VLOOKUP(A3787,Planilha2!$A$2:$D$5566,4,0)</f>
        <v>MG</v>
      </c>
    </row>
    <row r="3788" spans="1:3" x14ac:dyDescent="0.35">
      <c r="A3788">
        <v>312530</v>
      </c>
      <c r="B3788" t="str">
        <f>VLOOKUP(A3788,Planilha2!$A$2:$C$5566,3,0)</f>
        <v>FARIA LEMOS</v>
      </c>
      <c r="C3788" t="str">
        <f>VLOOKUP(A3788,Planilha2!$A$2:$D$5566,4,0)</f>
        <v>MG</v>
      </c>
    </row>
    <row r="3789" spans="1:3" x14ac:dyDescent="0.35">
      <c r="A3789">
        <v>310020</v>
      </c>
      <c r="B3789" t="str">
        <f>VLOOKUP(A3789,Planilha2!$A$2:$C$5566,3,0)</f>
        <v>ABAETÉ</v>
      </c>
      <c r="C3789" t="str">
        <f>VLOOKUP(A3789,Planilha2!$A$2:$D$5566,4,0)</f>
        <v>MG</v>
      </c>
    </row>
    <row r="3790" spans="1:3" x14ac:dyDescent="0.35">
      <c r="A3790">
        <v>315750</v>
      </c>
      <c r="B3790" t="str">
        <f>VLOOKUP(A3790,Planilha2!$A$2:$C$5566,3,0)</f>
        <v>SANTA EFIGÊNIA DE MINAS</v>
      </c>
      <c r="C3790" t="str">
        <f>VLOOKUP(A3790,Planilha2!$A$2:$D$5566,4,0)</f>
        <v>MG</v>
      </c>
    </row>
    <row r="3791" spans="1:3" x14ac:dyDescent="0.35">
      <c r="A3791">
        <v>311570</v>
      </c>
      <c r="B3791" t="str">
        <f>VLOOKUP(A3791,Planilha2!$A$2:$C$5566,3,0)</f>
        <v>CENTRAL DE MINAS</v>
      </c>
      <c r="C3791" t="str">
        <f>VLOOKUP(A3791,Planilha2!$A$2:$D$5566,4,0)</f>
        <v>MG</v>
      </c>
    </row>
    <row r="3792" spans="1:3" x14ac:dyDescent="0.35">
      <c r="A3792">
        <v>310550</v>
      </c>
      <c r="B3792" t="str">
        <f>VLOOKUP(A3792,Planilha2!$A$2:$C$5566,3,0)</f>
        <v>BARÃO DE MONTE ALTO</v>
      </c>
      <c r="C3792" t="str">
        <f>VLOOKUP(A3792,Planilha2!$A$2:$D$5566,4,0)</f>
        <v>MG</v>
      </c>
    </row>
    <row r="3793" spans="1:3" x14ac:dyDescent="0.35">
      <c r="A3793">
        <v>311930</v>
      </c>
      <c r="B3793" t="str">
        <f>VLOOKUP(A3793,Planilha2!$A$2:$C$5566,3,0)</f>
        <v>COROMANDEL</v>
      </c>
      <c r="C3793" t="str">
        <f>VLOOKUP(A3793,Planilha2!$A$2:$D$5566,4,0)</f>
        <v>MG</v>
      </c>
    </row>
    <row r="3794" spans="1:3" x14ac:dyDescent="0.35">
      <c r="A3794">
        <v>311700</v>
      </c>
      <c r="B3794" t="str">
        <f>VLOOKUP(A3794,Planilha2!$A$2:$C$5566,3,0)</f>
        <v>COMERCINHO</v>
      </c>
      <c r="C3794" t="str">
        <f>VLOOKUP(A3794,Planilha2!$A$2:$D$5566,4,0)</f>
        <v>MG</v>
      </c>
    </row>
    <row r="3795" spans="1:3" x14ac:dyDescent="0.35">
      <c r="A3795">
        <v>313862</v>
      </c>
      <c r="B3795" t="str">
        <f>VLOOKUP(A3795,Planilha2!$A$2:$C$5566,3,0)</f>
        <v>LIMEIRA DO OESTE</v>
      </c>
      <c r="C3795" t="str">
        <f>VLOOKUP(A3795,Planilha2!$A$2:$D$5566,4,0)</f>
        <v>MG</v>
      </c>
    </row>
    <row r="3796" spans="1:3" x14ac:dyDescent="0.35">
      <c r="A3796">
        <v>315300</v>
      </c>
      <c r="B3796" t="str">
        <f>VLOOKUP(A3796,Planilha2!$A$2:$C$5566,3,0)</f>
        <v>PRATINHA</v>
      </c>
      <c r="C3796" t="str">
        <f>VLOOKUP(A3796,Planilha2!$A$2:$D$5566,4,0)</f>
        <v>MG</v>
      </c>
    </row>
    <row r="3797" spans="1:3" x14ac:dyDescent="0.35">
      <c r="A3797">
        <v>315040</v>
      </c>
      <c r="B3797" t="str">
        <f>VLOOKUP(A3797,Planilha2!$A$2:$C$5566,3,0)</f>
        <v>PIEDADE DOS GERAIS</v>
      </c>
      <c r="C3797" t="str">
        <f>VLOOKUP(A3797,Planilha2!$A$2:$D$5566,4,0)</f>
        <v>MG</v>
      </c>
    </row>
    <row r="3798" spans="1:3" x14ac:dyDescent="0.35">
      <c r="A3798">
        <v>317103</v>
      </c>
      <c r="B3798" t="str">
        <f>VLOOKUP(A3798,Planilha2!$A$2:$C$5566,3,0)</f>
        <v>VERDELÂNDIA</v>
      </c>
      <c r="C3798" t="str">
        <f>VLOOKUP(A3798,Planilha2!$A$2:$D$5566,4,0)</f>
        <v>MG</v>
      </c>
    </row>
    <row r="3799" spans="1:3" x14ac:dyDescent="0.35">
      <c r="A3799">
        <v>316295</v>
      </c>
      <c r="B3799" t="str">
        <f>VLOOKUP(A3799,Planilha2!$A$2:$C$5566,3,0)</f>
        <v>SÃO JOSÉ DA LAPA</v>
      </c>
      <c r="C3799" t="str">
        <f>VLOOKUP(A3799,Planilha2!$A$2:$D$5566,4,0)</f>
        <v>MG</v>
      </c>
    </row>
    <row r="3800" spans="1:3" x14ac:dyDescent="0.35">
      <c r="A3800">
        <v>311220</v>
      </c>
      <c r="B3800" t="str">
        <f>VLOOKUP(A3800,Planilha2!$A$2:$C$5566,3,0)</f>
        <v>CAPELA NOVA</v>
      </c>
      <c r="C3800" t="str">
        <f>VLOOKUP(A3800,Planilha2!$A$2:$D$5566,4,0)</f>
        <v>MG</v>
      </c>
    </row>
    <row r="3801" spans="1:3" x14ac:dyDescent="0.35">
      <c r="A3801">
        <v>316620</v>
      </c>
      <c r="B3801" t="str">
        <f>VLOOKUP(A3801,Planilha2!$A$2:$C$5566,3,0)</f>
        <v>SENHORA DOS REMÉDIOS</v>
      </c>
      <c r="C3801" t="str">
        <f>VLOOKUP(A3801,Planilha2!$A$2:$D$5566,4,0)</f>
        <v>MG</v>
      </c>
    </row>
    <row r="3802" spans="1:3" x14ac:dyDescent="0.35">
      <c r="A3802">
        <v>310540</v>
      </c>
      <c r="B3802" t="str">
        <f>VLOOKUP(A3802,Planilha2!$A$2:$C$5566,3,0)</f>
        <v>BARÃO DE COCAIS</v>
      </c>
      <c r="C3802" t="str">
        <f>VLOOKUP(A3802,Planilha2!$A$2:$D$5566,4,0)</f>
        <v>MG</v>
      </c>
    </row>
    <row r="3803" spans="1:3" x14ac:dyDescent="0.35">
      <c r="A3803">
        <v>312930</v>
      </c>
      <c r="B3803" t="str">
        <f>VLOOKUP(A3803,Planilha2!$A$2:$C$5566,3,0)</f>
        <v>IAPU</v>
      </c>
      <c r="C3803" t="str">
        <f>VLOOKUP(A3803,Planilha2!$A$2:$D$5566,4,0)</f>
        <v>MG</v>
      </c>
    </row>
    <row r="3804" spans="1:3" x14ac:dyDescent="0.35">
      <c r="A3804">
        <v>312250</v>
      </c>
      <c r="B3804" t="str">
        <f>VLOOKUP(A3804,Planilha2!$A$2:$C$5566,3,0)</f>
        <v>DOM CAVATI</v>
      </c>
      <c r="C3804" t="str">
        <f>VLOOKUP(A3804,Planilha2!$A$2:$D$5566,4,0)</f>
        <v>MG</v>
      </c>
    </row>
    <row r="3805" spans="1:3" x14ac:dyDescent="0.35">
      <c r="A3805">
        <v>316260</v>
      </c>
      <c r="B3805" t="str">
        <f>VLOOKUP(A3805,Planilha2!$A$2:$C$5566,3,0)</f>
        <v>SÃO JOÃO DO ORIENTE</v>
      </c>
      <c r="C3805" t="str">
        <f>VLOOKUP(A3805,Planilha2!$A$2:$D$5566,4,0)</f>
        <v>MG</v>
      </c>
    </row>
    <row r="3806" spans="1:3" x14ac:dyDescent="0.35">
      <c r="A3806">
        <v>316790</v>
      </c>
      <c r="B3806" t="str">
        <f>VLOOKUP(A3806,Planilha2!$A$2:$C$5566,3,0)</f>
        <v>TABULEIRO</v>
      </c>
      <c r="C3806" t="str">
        <f>VLOOKUP(A3806,Planilha2!$A$2:$D$5566,4,0)</f>
        <v>MG</v>
      </c>
    </row>
    <row r="3807" spans="1:3" x14ac:dyDescent="0.35">
      <c r="A3807">
        <v>314450</v>
      </c>
      <c r="B3807" t="str">
        <f>VLOOKUP(A3807,Planilha2!$A$2:$C$5566,3,0)</f>
        <v>NAZARENO</v>
      </c>
      <c r="C3807" t="str">
        <f>VLOOKUP(A3807,Planilha2!$A$2:$D$5566,4,0)</f>
        <v>MG</v>
      </c>
    </row>
    <row r="3808" spans="1:3" x14ac:dyDescent="0.35">
      <c r="A3808">
        <v>315733</v>
      </c>
      <c r="B3808" t="str">
        <f>VLOOKUP(A3808,Planilha2!$A$2:$C$5566,3,0)</f>
        <v>SANTA CRUZ DE MINAS</v>
      </c>
      <c r="C3808" t="str">
        <f>VLOOKUP(A3808,Planilha2!$A$2:$D$5566,4,0)</f>
        <v>MG</v>
      </c>
    </row>
    <row r="3809" spans="1:3" x14ac:dyDescent="0.35">
      <c r="A3809">
        <v>320290</v>
      </c>
      <c r="B3809" t="str">
        <f>VLOOKUP(A3809,Planilha2!$A$2:$C$5566,3,0)</f>
        <v>ITARANA</v>
      </c>
      <c r="C3809" t="str">
        <f>VLOOKUP(A3809,Planilha2!$A$2:$D$5566,4,0)</f>
        <v>ES</v>
      </c>
    </row>
    <row r="3810" spans="1:3" x14ac:dyDescent="0.35">
      <c r="A3810">
        <v>330450</v>
      </c>
      <c r="B3810" t="str">
        <f>VLOOKUP(A3810,Planilha2!$A$2:$C$5566,3,0)</f>
        <v>RIO DAS FLORES</v>
      </c>
      <c r="C3810" t="str">
        <f>VLOOKUP(A3810,Planilha2!$A$2:$D$5566,4,0)</f>
        <v>RJ</v>
      </c>
    </row>
    <row r="3811" spans="1:3" x14ac:dyDescent="0.35">
      <c r="A3811">
        <v>330440</v>
      </c>
      <c r="B3811" t="str">
        <f>VLOOKUP(A3811,Planilha2!$A$2:$C$5566,3,0)</f>
        <v>RIO CLARO</v>
      </c>
      <c r="C3811" t="str">
        <f>VLOOKUP(A3811,Planilha2!$A$2:$D$5566,4,0)</f>
        <v>RJ</v>
      </c>
    </row>
    <row r="3812" spans="1:3" x14ac:dyDescent="0.35">
      <c r="A3812">
        <v>354420</v>
      </c>
      <c r="B3812" t="str">
        <f>VLOOKUP(A3812,Planilha2!$A$2:$C$5566,3,0)</f>
        <v>RIOLÂNDIA</v>
      </c>
      <c r="C3812" t="str">
        <f>VLOOKUP(A3812,Planilha2!$A$2:$D$5566,4,0)</f>
        <v>SP</v>
      </c>
    </row>
    <row r="3813" spans="1:3" x14ac:dyDescent="0.35">
      <c r="A3813">
        <v>352660</v>
      </c>
      <c r="B3813" t="str">
        <f>VLOOKUP(A3813,Planilha2!$A$2:$C$5566,3,0)</f>
        <v>LAVRINHAS</v>
      </c>
      <c r="C3813" t="str">
        <f>VLOOKUP(A3813,Planilha2!$A$2:$D$5566,4,0)</f>
        <v>SP</v>
      </c>
    </row>
    <row r="3814" spans="1:3" x14ac:dyDescent="0.35">
      <c r="A3814">
        <v>314410</v>
      </c>
      <c r="B3814" t="str">
        <f>VLOOKUP(A3814,Planilha2!$A$2:$C$5566,3,0)</f>
        <v>MUZAMBINHO</v>
      </c>
      <c r="C3814" t="str">
        <f>VLOOKUP(A3814,Planilha2!$A$2:$D$5566,4,0)</f>
        <v>MG</v>
      </c>
    </row>
    <row r="3815" spans="1:3" x14ac:dyDescent="0.35">
      <c r="A3815">
        <v>351450</v>
      </c>
      <c r="B3815" t="str">
        <f>VLOOKUP(A3815,Planilha2!$A$2:$C$5566,3,0)</f>
        <v>DUARTINA</v>
      </c>
      <c r="C3815" t="str">
        <f>VLOOKUP(A3815,Planilha2!$A$2:$D$5566,4,0)</f>
        <v>SP</v>
      </c>
    </row>
    <row r="3816" spans="1:3" x14ac:dyDescent="0.35">
      <c r="A3816">
        <v>353120</v>
      </c>
      <c r="B3816" t="str">
        <f>VLOOKUP(A3816,Planilha2!$A$2:$C$5566,3,0)</f>
        <v>MONTE ALEGRE DO SUL</v>
      </c>
      <c r="C3816" t="str">
        <f>VLOOKUP(A3816,Planilha2!$A$2:$D$5566,4,0)</f>
        <v>SP</v>
      </c>
    </row>
    <row r="3817" spans="1:3" x14ac:dyDescent="0.35">
      <c r="A3817">
        <v>350880</v>
      </c>
      <c r="B3817" t="str">
        <f>VLOOKUP(A3817,Planilha2!$A$2:$C$5566,3,0)</f>
        <v>CAFELÂNDIA</v>
      </c>
      <c r="C3817" t="str">
        <f>VLOOKUP(A3817,Planilha2!$A$2:$D$5566,4,0)</f>
        <v>SP</v>
      </c>
    </row>
    <row r="3818" spans="1:3" x14ac:dyDescent="0.35">
      <c r="A3818">
        <v>353290</v>
      </c>
      <c r="B3818" t="str">
        <f>VLOOKUP(A3818,Planilha2!$A$2:$C$5566,3,0)</f>
        <v>NOVA EUROPA</v>
      </c>
      <c r="C3818" t="str">
        <f>VLOOKUP(A3818,Planilha2!$A$2:$D$5566,4,0)</f>
        <v>SP</v>
      </c>
    </row>
    <row r="3819" spans="1:3" x14ac:dyDescent="0.35">
      <c r="A3819">
        <v>352990</v>
      </c>
      <c r="B3819" t="str">
        <f>VLOOKUP(A3819,Planilha2!$A$2:$C$5566,3,0)</f>
        <v>MIRACATU</v>
      </c>
      <c r="C3819" t="str">
        <f>VLOOKUP(A3819,Planilha2!$A$2:$D$5566,4,0)</f>
        <v>SP</v>
      </c>
    </row>
    <row r="3820" spans="1:3" x14ac:dyDescent="0.35">
      <c r="A3820">
        <v>354400</v>
      </c>
      <c r="B3820" t="str">
        <f>VLOOKUP(A3820,Planilha2!$A$2:$C$5566,3,0)</f>
        <v>RIO DAS PEDRAS</v>
      </c>
      <c r="C3820" t="str">
        <f>VLOOKUP(A3820,Planilha2!$A$2:$D$5566,4,0)</f>
        <v>SP</v>
      </c>
    </row>
    <row r="3821" spans="1:3" x14ac:dyDescent="0.35">
      <c r="A3821">
        <v>354090</v>
      </c>
      <c r="B3821" t="str">
        <f>VLOOKUP(A3821,Planilha2!$A$2:$C$5566,3,0)</f>
        <v>PRADÓPOLIS</v>
      </c>
      <c r="C3821" t="str">
        <f>VLOOKUP(A3821,Planilha2!$A$2:$D$5566,4,0)</f>
        <v>SP</v>
      </c>
    </row>
    <row r="3822" spans="1:3" x14ac:dyDescent="0.35">
      <c r="A3822">
        <v>352170</v>
      </c>
      <c r="B3822" t="str">
        <f>VLOOKUP(A3822,Planilha2!$A$2:$C$5566,3,0)</f>
        <v>ITABERÁ</v>
      </c>
      <c r="C3822" t="str">
        <f>VLOOKUP(A3822,Planilha2!$A$2:$D$5566,4,0)</f>
        <v>SP</v>
      </c>
    </row>
    <row r="3823" spans="1:3" x14ac:dyDescent="0.35">
      <c r="A3823">
        <v>410650</v>
      </c>
      <c r="B3823" t="str">
        <f>VLOOKUP(A3823,Planilha2!$A$2:$C$5566,3,0)</f>
        <v>CORONEL VIVIDA</v>
      </c>
      <c r="C3823" t="str">
        <f>VLOOKUP(A3823,Planilha2!$A$2:$D$5566,4,0)</f>
        <v>PR</v>
      </c>
    </row>
    <row r="3824" spans="1:3" x14ac:dyDescent="0.35">
      <c r="A3824">
        <v>411745</v>
      </c>
      <c r="B3824" t="str">
        <f>VLOOKUP(A3824,Planilha2!$A$2:$C$5566,3,0)</f>
        <v>OURO VERDE DO OESTE</v>
      </c>
      <c r="C3824" t="str">
        <f>VLOOKUP(A3824,Planilha2!$A$2:$D$5566,4,0)</f>
        <v>PR</v>
      </c>
    </row>
    <row r="3825" spans="1:3" x14ac:dyDescent="0.35">
      <c r="A3825">
        <v>412300</v>
      </c>
      <c r="B3825" t="str">
        <f>VLOOKUP(A3825,Planilha2!$A$2:$C$5566,3,0)</f>
        <v>SALTO DO LONTRA</v>
      </c>
      <c r="C3825" t="str">
        <f>VLOOKUP(A3825,Planilha2!$A$2:$D$5566,4,0)</f>
        <v>PR</v>
      </c>
    </row>
    <row r="3826" spans="1:3" x14ac:dyDescent="0.35">
      <c r="A3826">
        <v>411560</v>
      </c>
      <c r="B3826" t="str">
        <f>VLOOKUP(A3826,Planilha2!$A$2:$C$5566,3,0)</f>
        <v>MATELÂNDIA</v>
      </c>
      <c r="C3826" t="str">
        <f>VLOOKUP(A3826,Planilha2!$A$2:$D$5566,4,0)</f>
        <v>PR</v>
      </c>
    </row>
    <row r="3827" spans="1:3" x14ac:dyDescent="0.35">
      <c r="A3827">
        <v>412040</v>
      </c>
      <c r="B3827" t="str">
        <f>VLOOKUP(A3827,Planilha2!$A$2:$C$5566,3,0)</f>
        <v>PRESIDENTE CASTELO BRANCO</v>
      </c>
      <c r="C3827" t="str">
        <f>VLOOKUP(A3827,Planilha2!$A$2:$D$5566,4,0)</f>
        <v>PR</v>
      </c>
    </row>
    <row r="3828" spans="1:3" x14ac:dyDescent="0.35">
      <c r="A3828">
        <v>412270</v>
      </c>
      <c r="B3828" t="str">
        <f>VLOOKUP(A3828,Planilha2!$A$2:$C$5566,3,0)</f>
        <v>SABÁUDIA</v>
      </c>
      <c r="C3828" t="str">
        <f>VLOOKUP(A3828,Planilha2!$A$2:$D$5566,4,0)</f>
        <v>PR</v>
      </c>
    </row>
    <row r="3829" spans="1:3" x14ac:dyDescent="0.35">
      <c r="A3829">
        <v>412175</v>
      </c>
      <c r="B3829" t="str">
        <f>VLOOKUP(A3829,Planilha2!$A$2:$C$5566,3,0)</f>
        <v>RESERVA DO IGUAÇU</v>
      </c>
      <c r="C3829" t="str">
        <f>VLOOKUP(A3829,Planilha2!$A$2:$D$5566,4,0)</f>
        <v>PR</v>
      </c>
    </row>
    <row r="3830" spans="1:3" x14ac:dyDescent="0.35">
      <c r="A3830" s="2">
        <v>410000</v>
      </c>
      <c r="B3830" t="str">
        <f>VLOOKUP(A3830,[1]IBGE!A$2:B$27,2,0)</f>
        <v>-</v>
      </c>
      <c r="C3830" t="str">
        <f>VLOOKUP(A3830,[1]IBGE!A$2:C$27,3,0)</f>
        <v>PR</v>
      </c>
    </row>
    <row r="3831" spans="1:3" x14ac:dyDescent="0.35">
      <c r="A3831">
        <v>412010</v>
      </c>
      <c r="B3831" t="str">
        <f>VLOOKUP(A3831,Planilha2!$A$2:$C$5566,3,0)</f>
        <v>PORTO AMAZONAS</v>
      </c>
      <c r="C3831" t="str">
        <f>VLOOKUP(A3831,Planilha2!$A$2:$D$5566,4,0)</f>
        <v>PR</v>
      </c>
    </row>
    <row r="3832" spans="1:3" x14ac:dyDescent="0.35">
      <c r="A3832">
        <v>411280</v>
      </c>
      <c r="B3832" t="str">
        <f>VLOOKUP(A3832,Planilha2!$A$2:$C$5566,3,0)</f>
        <v>JOAQUIM TÁVORA</v>
      </c>
      <c r="C3832" t="str">
        <f>VLOOKUP(A3832,Planilha2!$A$2:$D$5566,4,0)</f>
        <v>PR</v>
      </c>
    </row>
    <row r="3833" spans="1:3" x14ac:dyDescent="0.35">
      <c r="A3833">
        <v>410395</v>
      </c>
      <c r="B3833" t="str">
        <f>VLOOKUP(A3833,Planilha2!$A$2:$C$5566,3,0)</f>
        <v>CAMPINA DO SIMÃO</v>
      </c>
      <c r="C3833" t="str">
        <f>VLOOKUP(A3833,Planilha2!$A$2:$D$5566,4,0)</f>
        <v>PR</v>
      </c>
    </row>
    <row r="3834" spans="1:3" x14ac:dyDescent="0.35">
      <c r="A3834">
        <v>421520</v>
      </c>
      <c r="B3834" t="str">
        <f>VLOOKUP(A3834,Planilha2!$A$2:$C$5566,3,0)</f>
        <v>ROMELÂNDIA</v>
      </c>
      <c r="C3834" t="str">
        <f>VLOOKUP(A3834,Planilha2!$A$2:$D$5566,4,0)</f>
        <v>SC</v>
      </c>
    </row>
    <row r="3835" spans="1:3" x14ac:dyDescent="0.35">
      <c r="A3835">
        <v>421725</v>
      </c>
      <c r="B3835" t="str">
        <f>VLOOKUP(A3835,Planilha2!$A$2:$C$5566,3,0)</f>
        <v>SÃO PEDRO DE ALCÂNTARA</v>
      </c>
      <c r="C3835" t="str">
        <f>VLOOKUP(A3835,Planilha2!$A$2:$D$5566,4,0)</f>
        <v>SC</v>
      </c>
    </row>
    <row r="3836" spans="1:3" x14ac:dyDescent="0.35">
      <c r="A3836">
        <v>421890</v>
      </c>
      <c r="B3836" t="str">
        <f>VLOOKUP(A3836,Planilha2!$A$2:$C$5566,3,0)</f>
        <v>URUBICI</v>
      </c>
      <c r="C3836" t="str">
        <f>VLOOKUP(A3836,Planilha2!$A$2:$D$5566,4,0)</f>
        <v>SC</v>
      </c>
    </row>
    <row r="3837" spans="1:3" x14ac:dyDescent="0.35">
      <c r="A3837">
        <v>421730</v>
      </c>
      <c r="B3837" t="str">
        <f>VLOOKUP(A3837,Planilha2!$A$2:$C$5566,3,0)</f>
        <v>SAUDADES</v>
      </c>
      <c r="C3837" t="str">
        <f>VLOOKUP(A3837,Planilha2!$A$2:$D$5566,4,0)</f>
        <v>SC</v>
      </c>
    </row>
    <row r="3838" spans="1:3" x14ac:dyDescent="0.35">
      <c r="A3838">
        <v>420435</v>
      </c>
      <c r="B3838" t="str">
        <f>VLOOKUP(A3838,Planilha2!$A$2:$C$5566,3,0)</f>
        <v>CORDILHEIRA ALTA</v>
      </c>
      <c r="C3838" t="str">
        <f>VLOOKUP(A3838,Planilha2!$A$2:$D$5566,4,0)</f>
        <v>SC</v>
      </c>
    </row>
    <row r="3839" spans="1:3" x14ac:dyDescent="0.35">
      <c r="A3839">
        <v>420840</v>
      </c>
      <c r="B3839" t="str">
        <f>VLOOKUP(A3839,Planilha2!$A$2:$C$5566,3,0)</f>
        <v>ITAPIRANGA</v>
      </c>
      <c r="C3839" t="str">
        <f>VLOOKUP(A3839,Planilha2!$A$2:$D$5566,4,0)</f>
        <v>SC</v>
      </c>
    </row>
    <row r="3840" spans="1:3" x14ac:dyDescent="0.35">
      <c r="A3840">
        <v>421260</v>
      </c>
      <c r="B3840" t="str">
        <f>VLOOKUP(A3840,Planilha2!$A$2:$C$5566,3,0)</f>
        <v>PERITIBA</v>
      </c>
      <c r="C3840" t="str">
        <f>VLOOKUP(A3840,Planilha2!$A$2:$D$5566,4,0)</f>
        <v>SC</v>
      </c>
    </row>
    <row r="3841" spans="1:3" x14ac:dyDescent="0.35">
      <c r="A3841">
        <v>420985</v>
      </c>
      <c r="B3841" t="str">
        <f>VLOOKUP(A3841,Planilha2!$A$2:$C$5566,3,0)</f>
        <v>LINDÓIA DO SUL</v>
      </c>
      <c r="C3841" t="str">
        <f>VLOOKUP(A3841,Planilha2!$A$2:$D$5566,4,0)</f>
        <v>SC</v>
      </c>
    </row>
    <row r="3842" spans="1:3" x14ac:dyDescent="0.35">
      <c r="A3842">
        <v>420127</v>
      </c>
      <c r="B3842" t="str">
        <f>VLOOKUP(A3842,Planilha2!$A$2:$C$5566,3,0)</f>
        <v>ARABUTÃ</v>
      </c>
      <c r="C3842" t="str">
        <f>VLOOKUP(A3842,Planilha2!$A$2:$D$5566,4,0)</f>
        <v>SC</v>
      </c>
    </row>
    <row r="3843" spans="1:3" x14ac:dyDescent="0.35">
      <c r="A3843">
        <v>420519</v>
      </c>
      <c r="B3843" t="str">
        <f>VLOOKUP(A3843,Planilha2!$A$2:$C$5566,3,0)</f>
        <v>ERMO</v>
      </c>
      <c r="C3843" t="str">
        <f>VLOOKUP(A3843,Planilha2!$A$2:$D$5566,4,0)</f>
        <v>SC</v>
      </c>
    </row>
    <row r="3844" spans="1:3" x14ac:dyDescent="0.35">
      <c r="A3844">
        <v>420610</v>
      </c>
      <c r="B3844" t="str">
        <f>VLOOKUP(A3844,Planilha2!$A$2:$C$5566,3,0)</f>
        <v>GRÃO PARÁ</v>
      </c>
      <c r="C3844" t="str">
        <f>VLOOKUP(A3844,Planilha2!$A$2:$D$5566,4,0)</f>
        <v>SC</v>
      </c>
    </row>
    <row r="3845" spans="1:3" x14ac:dyDescent="0.35">
      <c r="A3845">
        <v>421340</v>
      </c>
      <c r="B3845" t="str">
        <f>VLOOKUP(A3845,Planilha2!$A$2:$C$5566,3,0)</f>
        <v>PONTE SERRADA</v>
      </c>
      <c r="C3845" t="str">
        <f>VLOOKUP(A3845,Planilha2!$A$2:$D$5566,4,0)</f>
        <v>SC</v>
      </c>
    </row>
    <row r="3846" spans="1:3" x14ac:dyDescent="0.35">
      <c r="A3846">
        <v>421915</v>
      </c>
      <c r="B3846" t="str">
        <f>VLOOKUP(A3846,Planilha2!$A$2:$C$5566,3,0)</f>
        <v>VARGEM</v>
      </c>
      <c r="C3846" t="str">
        <f>VLOOKUP(A3846,Planilha2!$A$2:$D$5566,4,0)</f>
        <v>SC</v>
      </c>
    </row>
    <row r="3847" spans="1:3" x14ac:dyDescent="0.35">
      <c r="A3847">
        <v>421085</v>
      </c>
      <c r="B3847" t="str">
        <f>VLOOKUP(A3847,Planilha2!$A$2:$C$5566,3,0)</f>
        <v>MIRIM DOCE</v>
      </c>
      <c r="C3847" t="str">
        <f>VLOOKUP(A3847,Planilha2!$A$2:$D$5566,4,0)</f>
        <v>SC</v>
      </c>
    </row>
    <row r="3848" spans="1:3" x14ac:dyDescent="0.35">
      <c r="A3848">
        <v>420515</v>
      </c>
      <c r="B3848" t="str">
        <f>VLOOKUP(A3848,Planilha2!$A$2:$C$5566,3,0)</f>
        <v>DOUTOR PEDRINHO</v>
      </c>
      <c r="C3848" t="str">
        <f>VLOOKUP(A3848,Planilha2!$A$2:$D$5566,4,0)</f>
        <v>SC</v>
      </c>
    </row>
    <row r="3849" spans="1:3" x14ac:dyDescent="0.35">
      <c r="A3849">
        <v>420125</v>
      </c>
      <c r="B3849" t="str">
        <f>VLOOKUP(A3849,Planilha2!$A$2:$C$5566,3,0)</f>
        <v>APIÚNA</v>
      </c>
      <c r="C3849" t="str">
        <f>VLOOKUP(A3849,Planilha2!$A$2:$D$5566,4,0)</f>
        <v>SC</v>
      </c>
    </row>
    <row r="3850" spans="1:3" x14ac:dyDescent="0.35">
      <c r="A3850">
        <v>421060</v>
      </c>
      <c r="B3850" t="str">
        <f>VLOOKUP(A3850,Planilha2!$A$2:$C$5566,3,0)</f>
        <v>MASSARANDUBA</v>
      </c>
      <c r="C3850" t="str">
        <f>VLOOKUP(A3850,Planilha2!$A$2:$D$5566,4,0)</f>
        <v>SC</v>
      </c>
    </row>
    <row r="3851" spans="1:3" x14ac:dyDescent="0.35">
      <c r="A3851">
        <v>431308</v>
      </c>
      <c r="B3851" t="str">
        <f>VLOOKUP(A3851,Planilha2!$A$2:$C$5566,3,0)</f>
        <v>NOVA PÁDUA</v>
      </c>
      <c r="C3851" t="str">
        <f>VLOOKUP(A3851,Planilha2!$A$2:$D$5566,4,0)</f>
        <v>RS</v>
      </c>
    </row>
    <row r="3852" spans="1:3" x14ac:dyDescent="0.35">
      <c r="A3852">
        <v>430355</v>
      </c>
      <c r="B3852" t="str">
        <f>VLOOKUP(A3852,Planilha2!$A$2:$C$5566,3,0)</f>
        <v>CAMARGO</v>
      </c>
      <c r="C3852" t="str">
        <f>VLOOKUP(A3852,Planilha2!$A$2:$D$5566,4,0)</f>
        <v>RS</v>
      </c>
    </row>
    <row r="3853" spans="1:3" x14ac:dyDescent="0.35">
      <c r="A3853">
        <v>500080</v>
      </c>
      <c r="B3853" t="str">
        <f>VLOOKUP(A3853,Planilha2!$A$2:$C$5566,3,0)</f>
        <v>ANAURILÂNDIA</v>
      </c>
      <c r="C3853" t="str">
        <f>VLOOKUP(A3853,Planilha2!$A$2:$D$5566,4,0)</f>
        <v>MS</v>
      </c>
    </row>
    <row r="3854" spans="1:3" x14ac:dyDescent="0.35">
      <c r="A3854">
        <v>510623</v>
      </c>
      <c r="B3854" t="str">
        <f>VLOOKUP(A3854,Planilha2!$A$2:$C$5566,3,0)</f>
        <v>NOVA OLÍMPIA</v>
      </c>
      <c r="C3854" t="str">
        <f>VLOOKUP(A3854,Planilha2!$A$2:$D$5566,4,0)</f>
        <v>MT</v>
      </c>
    </row>
    <row r="3855" spans="1:3" x14ac:dyDescent="0.35">
      <c r="A3855">
        <v>510460</v>
      </c>
      <c r="B3855" t="str">
        <f>VLOOKUP(A3855,Planilha2!$A$2:$C$5566,3,0)</f>
        <v>ITIQUIRA</v>
      </c>
      <c r="C3855" t="str">
        <f>VLOOKUP(A3855,Planilha2!$A$2:$D$5566,4,0)</f>
        <v>MT</v>
      </c>
    </row>
    <row r="3856" spans="1:3" x14ac:dyDescent="0.35">
      <c r="A3856">
        <v>521486</v>
      </c>
      <c r="B3856" t="str">
        <f>VLOOKUP(A3856,Planilha2!$A$2:$C$5566,3,0)</f>
        <v>NOVA GLÓRIA</v>
      </c>
      <c r="C3856" t="str">
        <f>VLOOKUP(A3856,Planilha2!$A$2:$D$5566,4,0)</f>
        <v>GO</v>
      </c>
    </row>
    <row r="3857" spans="1:3" x14ac:dyDescent="0.35">
      <c r="A3857">
        <v>521020</v>
      </c>
      <c r="B3857" t="str">
        <f>VLOOKUP(A3857,Planilha2!$A$2:$C$5566,3,0)</f>
        <v>IPORÁ</v>
      </c>
      <c r="C3857" t="str">
        <f>VLOOKUP(A3857,Planilha2!$A$2:$D$5566,4,0)</f>
        <v>GO</v>
      </c>
    </row>
    <row r="3858" spans="1:3" x14ac:dyDescent="0.35">
      <c r="A3858">
        <v>520470</v>
      </c>
      <c r="B3858" t="str">
        <f>VLOOKUP(A3858,Planilha2!$A$2:$C$5566,3,0)</f>
        <v>CAMPINORTE</v>
      </c>
      <c r="C3858" t="str">
        <f>VLOOKUP(A3858,Planilha2!$A$2:$D$5566,4,0)</f>
        <v>GO</v>
      </c>
    </row>
    <row r="3859" spans="1:3" x14ac:dyDescent="0.35">
      <c r="A3859">
        <v>521483</v>
      </c>
      <c r="B3859" t="str">
        <f>VLOOKUP(A3859,Planilha2!$A$2:$C$5566,3,0)</f>
        <v>NOVA CRIXÁS</v>
      </c>
      <c r="C3859" t="str">
        <f>VLOOKUP(A3859,Planilha2!$A$2:$D$5566,4,0)</f>
        <v>GO</v>
      </c>
    </row>
    <row r="3860" spans="1:3" x14ac:dyDescent="0.35">
      <c r="A3860">
        <v>520920</v>
      </c>
      <c r="B3860" t="str">
        <f>VLOOKUP(A3860,Planilha2!$A$2:$C$5566,3,0)</f>
        <v>GUAPÓ</v>
      </c>
      <c r="C3860" t="str">
        <f>VLOOKUP(A3860,Planilha2!$A$2:$D$5566,4,0)</f>
        <v>GO</v>
      </c>
    </row>
    <row r="3861" spans="1:3" x14ac:dyDescent="0.35">
      <c r="A3861">
        <v>520840</v>
      </c>
      <c r="B3861" t="str">
        <f>VLOOKUP(A3861,Planilha2!$A$2:$C$5566,3,0)</f>
        <v>GOIANÁPOLIS</v>
      </c>
      <c r="C3861" t="str">
        <f>VLOOKUP(A3861,Planilha2!$A$2:$D$5566,4,0)</f>
        <v>GO</v>
      </c>
    </row>
    <row r="3862" spans="1:3" x14ac:dyDescent="0.35">
      <c r="A3862">
        <v>316170</v>
      </c>
      <c r="B3862" t="str">
        <f>VLOOKUP(A3862,Planilha2!$A$2:$C$5566,3,0)</f>
        <v>SÃO GONÇALO DO ABAETÉ</v>
      </c>
      <c r="C3862" t="str">
        <f>VLOOKUP(A3862,Planilha2!$A$2:$D$5566,4,0)</f>
        <v>MG</v>
      </c>
    </row>
    <row r="3863" spans="1:3" x14ac:dyDescent="0.35">
      <c r="A3863">
        <v>313867</v>
      </c>
      <c r="B3863" t="str">
        <f>VLOOKUP(A3863,Planilha2!$A$2:$C$5566,3,0)</f>
        <v>LUISBURGO</v>
      </c>
      <c r="C3863" t="str">
        <f>VLOOKUP(A3863,Planilha2!$A$2:$D$5566,4,0)</f>
        <v>MG</v>
      </c>
    </row>
    <row r="3864" spans="1:3" x14ac:dyDescent="0.35">
      <c r="A3864">
        <v>150277</v>
      </c>
      <c r="B3864" t="str">
        <f>VLOOKUP(A3864,Planilha2!$A$2:$C$5566,3,0)</f>
        <v>CURIONÓPOLIS</v>
      </c>
      <c r="C3864" t="str">
        <f>VLOOKUP(A3864,Planilha2!$A$2:$D$5566,4,0)</f>
        <v>PA</v>
      </c>
    </row>
    <row r="3865" spans="1:3" x14ac:dyDescent="0.35">
      <c r="A3865">
        <v>150285</v>
      </c>
      <c r="B3865" t="str">
        <f>VLOOKUP(A3865,Planilha2!$A$2:$C$5566,3,0)</f>
        <v>CURUÁ</v>
      </c>
      <c r="C3865" t="str">
        <f>VLOOKUP(A3865,Planilha2!$A$2:$D$5566,4,0)</f>
        <v>PA</v>
      </c>
    </row>
    <row r="3866" spans="1:3" x14ac:dyDescent="0.35">
      <c r="A3866">
        <v>150304</v>
      </c>
      <c r="B3866" t="str">
        <f>VLOOKUP(A3866,Planilha2!$A$2:$C$5566,3,0)</f>
        <v>FLORESTA DO ARAGUAIA</v>
      </c>
      <c r="C3866" t="str">
        <f>VLOOKUP(A3866,Planilha2!$A$2:$D$5566,4,0)</f>
        <v>PA</v>
      </c>
    </row>
    <row r="3867" spans="1:3" x14ac:dyDescent="0.35">
      <c r="A3867">
        <v>150540</v>
      </c>
      <c r="B3867" t="str">
        <f>VLOOKUP(A3867,Planilha2!$A$2:$C$5566,3,0)</f>
        <v>OURÉM</v>
      </c>
      <c r="C3867" t="str">
        <f>VLOOKUP(A3867,Planilha2!$A$2:$D$5566,4,0)</f>
        <v>PA</v>
      </c>
    </row>
    <row r="3868" spans="1:3" x14ac:dyDescent="0.35">
      <c r="A3868">
        <v>420110</v>
      </c>
      <c r="B3868" t="str">
        <f>VLOOKUP(A3868,Planilha2!$A$2:$C$5566,3,0)</f>
        <v>ANITÁPOLIS</v>
      </c>
      <c r="C3868" t="str">
        <f>VLOOKUP(A3868,Planilha2!$A$2:$D$5566,4,0)</f>
        <v>SC</v>
      </c>
    </row>
    <row r="3869" spans="1:3" x14ac:dyDescent="0.35">
      <c r="A3869">
        <v>431470</v>
      </c>
      <c r="B3869" t="str">
        <f>VLOOKUP(A3869,Planilha2!$A$2:$C$5566,3,0)</f>
        <v>PLANALTO</v>
      </c>
      <c r="C3869" t="str">
        <f>VLOOKUP(A3869,Planilha2!$A$2:$D$5566,4,0)</f>
        <v>RS</v>
      </c>
    </row>
    <row r="3870" spans="1:3" x14ac:dyDescent="0.35">
      <c r="A3870">
        <v>431380</v>
      </c>
      <c r="B3870" t="str">
        <f>VLOOKUP(A3870,Planilha2!$A$2:$C$5566,3,0)</f>
        <v>PALMITINHO</v>
      </c>
      <c r="C3870" t="str">
        <f>VLOOKUP(A3870,Planilha2!$A$2:$D$5566,4,0)</f>
        <v>RS</v>
      </c>
    </row>
    <row r="3871" spans="1:3" x14ac:dyDescent="0.35">
      <c r="A3871">
        <v>500520</v>
      </c>
      <c r="B3871" t="str">
        <f>VLOOKUP(A3871,Planilha2!$A$2:$C$5566,3,0)</f>
        <v>LADÁRIO</v>
      </c>
      <c r="C3871" t="str">
        <f>VLOOKUP(A3871,Planilha2!$A$2:$D$5566,4,0)</f>
        <v>MS</v>
      </c>
    </row>
    <row r="3872" spans="1:3" x14ac:dyDescent="0.35">
      <c r="A3872">
        <v>110029</v>
      </c>
      <c r="B3872" t="str">
        <f>VLOOKUP(A3872,Planilha2!$A$2:$C$5566,3,0)</f>
        <v>SANTA LUZIA D`OESTE</v>
      </c>
      <c r="C3872" t="str">
        <f>VLOOKUP(A3872,Planilha2!$A$2:$D$5566,4,0)</f>
        <v>RO</v>
      </c>
    </row>
    <row r="3873" spans="1:3" x14ac:dyDescent="0.35">
      <c r="A3873">
        <v>140047</v>
      </c>
      <c r="B3873" t="str">
        <f>VLOOKUP(A3873,Planilha2!$A$2:$C$5566,3,0)</f>
        <v>RORAINÓPOLIS</v>
      </c>
      <c r="C3873" t="str">
        <f>VLOOKUP(A3873,Planilha2!$A$2:$D$5566,4,0)</f>
        <v>RR</v>
      </c>
    </row>
    <row r="3874" spans="1:3" x14ac:dyDescent="0.35">
      <c r="A3874">
        <v>150172</v>
      </c>
      <c r="B3874" t="str">
        <f>VLOOKUP(A3874,Planilha2!$A$2:$C$5566,3,0)</f>
        <v>BRASIL NOVO</v>
      </c>
      <c r="C3874" t="str">
        <f>VLOOKUP(A3874,Planilha2!$A$2:$D$5566,4,0)</f>
        <v>PA</v>
      </c>
    </row>
    <row r="3875" spans="1:3" x14ac:dyDescent="0.35">
      <c r="A3875">
        <v>150555</v>
      </c>
      <c r="B3875" t="str">
        <f>VLOOKUP(A3875,Planilha2!$A$2:$C$5566,3,0)</f>
        <v>PAU D`ARCO</v>
      </c>
      <c r="C3875" t="str">
        <f>VLOOKUP(A3875,Planilha2!$A$2:$D$5566,4,0)</f>
        <v>PA</v>
      </c>
    </row>
    <row r="3876" spans="1:3" x14ac:dyDescent="0.35">
      <c r="A3876">
        <v>220887</v>
      </c>
      <c r="B3876" t="str">
        <f>VLOOKUP(A3876,Planilha2!$A$2:$C$5566,3,0)</f>
        <v>RIBEIRA DO PIAUÍ</v>
      </c>
      <c r="C3876" t="str">
        <f>VLOOKUP(A3876,Planilha2!$A$2:$D$5566,4,0)</f>
        <v>PI</v>
      </c>
    </row>
    <row r="3877" spans="1:3" x14ac:dyDescent="0.35">
      <c r="A3877">
        <v>220970</v>
      </c>
      <c r="B3877" t="str">
        <f>VLOOKUP(A3877,Planilha2!$A$2:$C$5566,3,0)</f>
        <v>SÃO FRANCISCO DO PIAUÍ</v>
      </c>
      <c r="C3877" t="str">
        <f>VLOOKUP(A3877,Planilha2!$A$2:$D$5566,4,0)</f>
        <v>PI</v>
      </c>
    </row>
    <row r="3878" spans="1:3" x14ac:dyDescent="0.35">
      <c r="A3878">
        <v>220987</v>
      </c>
      <c r="B3878" t="str">
        <f>VLOOKUP(A3878,Planilha2!$A$2:$C$5566,3,0)</f>
        <v>SÃO JOÃO DA FRONTEIRA</v>
      </c>
      <c r="C3878" t="str">
        <f>VLOOKUP(A3878,Planilha2!$A$2:$D$5566,4,0)</f>
        <v>PI</v>
      </c>
    </row>
    <row r="3879" spans="1:3" x14ac:dyDescent="0.35">
      <c r="A3879">
        <v>240780</v>
      </c>
      <c r="B3879" t="str">
        <f>VLOOKUP(A3879,Planilha2!$A$2:$C$5566,3,0)</f>
        <v>MONTE ALEGE</v>
      </c>
      <c r="C3879" t="str">
        <f>VLOOKUP(A3879,Planilha2!$A$2:$D$5566,4,0)</f>
        <v>RN</v>
      </c>
    </row>
    <row r="3880" spans="1:3" x14ac:dyDescent="0.35">
      <c r="A3880">
        <v>240895</v>
      </c>
      <c r="B3880" t="str">
        <f>VLOOKUP(A3880,Planilha2!$A$2:$C$5566,3,0)</f>
        <v>RIO DO FOGO</v>
      </c>
      <c r="C3880" t="str">
        <f>VLOOKUP(A3880,Planilha2!$A$2:$D$5566,4,0)</f>
        <v>RN</v>
      </c>
    </row>
    <row r="3881" spans="1:3" x14ac:dyDescent="0.35">
      <c r="A3881">
        <v>250230</v>
      </c>
      <c r="B3881" t="str">
        <f>VLOOKUP(A3881,Planilha2!$A$2:$C$5566,3,0)</f>
        <v>BOM SUCESSO</v>
      </c>
      <c r="C3881" t="str">
        <f>VLOOKUP(A3881,Planilha2!$A$2:$D$5566,4,0)</f>
        <v>PB</v>
      </c>
    </row>
    <row r="3882" spans="1:3" x14ac:dyDescent="0.35">
      <c r="A3882">
        <v>250939</v>
      </c>
      <c r="B3882" t="str">
        <f>VLOOKUP(A3882,Planilha2!$A$2:$C$5566,3,0)</f>
        <v>MATURÉIA</v>
      </c>
      <c r="C3882" t="str">
        <f>VLOOKUP(A3882,Planilha2!$A$2:$D$5566,4,0)</f>
        <v>PB</v>
      </c>
    </row>
    <row r="3883" spans="1:3" x14ac:dyDescent="0.35">
      <c r="A3883">
        <v>250115</v>
      </c>
      <c r="B3883" t="str">
        <f>VLOOKUP(A3883,Planilha2!$A$2:$C$5566,3,0)</f>
        <v>AREIA DE BARAÚNAS</v>
      </c>
      <c r="C3883" t="str">
        <f>VLOOKUP(A3883,Planilha2!$A$2:$D$5566,4,0)</f>
        <v>PB</v>
      </c>
    </row>
    <row r="3884" spans="1:3" x14ac:dyDescent="0.35">
      <c r="A3884">
        <v>251640</v>
      </c>
      <c r="B3884" t="str">
        <f>VLOOKUP(A3884,Planilha2!$A$2:$C$5566,3,0)</f>
        <v>CAMPO DE SANTANA</v>
      </c>
      <c r="C3884" t="str">
        <f>VLOOKUP(A3884,Planilha2!$A$2:$D$5566,4,0)</f>
        <v>PB</v>
      </c>
    </row>
    <row r="3885" spans="1:3" x14ac:dyDescent="0.35">
      <c r="A3885">
        <v>250153</v>
      </c>
      <c r="B3885" t="str">
        <f>VLOOKUP(A3885,Planilha2!$A$2:$C$5566,3,0)</f>
        <v>BARAÚNA</v>
      </c>
      <c r="C3885" t="str">
        <f>VLOOKUP(A3885,Planilha2!$A$2:$D$5566,4,0)</f>
        <v>PB</v>
      </c>
    </row>
    <row r="3886" spans="1:3" x14ac:dyDescent="0.35">
      <c r="A3886">
        <v>260920</v>
      </c>
      <c r="B3886" t="str">
        <f>VLOOKUP(A3886,Planilha2!$A$2:$C$5566,3,0)</f>
        <v>MARAIAL</v>
      </c>
      <c r="C3886" t="str">
        <f>VLOOKUP(A3886,Planilha2!$A$2:$D$5566,4,0)</f>
        <v>PE</v>
      </c>
    </row>
    <row r="3887" spans="1:3" x14ac:dyDescent="0.35">
      <c r="A3887">
        <v>261255</v>
      </c>
      <c r="B3887" t="str">
        <f>VLOOKUP(A3887,Planilha2!$A$2:$C$5566,3,0)</f>
        <v>SANTA FILOMENA</v>
      </c>
      <c r="C3887" t="str">
        <f>VLOOKUP(A3887,Planilha2!$A$2:$D$5566,4,0)</f>
        <v>PE</v>
      </c>
    </row>
    <row r="3888" spans="1:3" x14ac:dyDescent="0.35">
      <c r="A3888">
        <v>270490</v>
      </c>
      <c r="B3888" t="str">
        <f>VLOOKUP(A3888,Planilha2!$A$2:$C$5566,3,0)</f>
        <v>MAR VERMELHO</v>
      </c>
      <c r="C3888" t="str">
        <f>VLOOKUP(A3888,Planilha2!$A$2:$D$5566,4,0)</f>
        <v>AL</v>
      </c>
    </row>
    <row r="3889" spans="1:3" x14ac:dyDescent="0.35">
      <c r="A3889">
        <v>292265</v>
      </c>
      <c r="B3889" t="str">
        <f>VLOOKUP(A3889,Planilha2!$A$2:$C$5566,3,0)</f>
        <v>NORDESTINA</v>
      </c>
      <c r="C3889" t="str">
        <f>VLOOKUP(A3889,Planilha2!$A$2:$D$5566,4,0)</f>
        <v>BA</v>
      </c>
    </row>
    <row r="3890" spans="1:3" x14ac:dyDescent="0.35">
      <c r="A3890">
        <v>293340</v>
      </c>
      <c r="B3890" t="str">
        <f>VLOOKUP(A3890,Planilha2!$A$2:$C$5566,3,0)</f>
        <v>WAGNER</v>
      </c>
      <c r="C3890" t="str">
        <f>VLOOKUP(A3890,Planilha2!$A$2:$D$5566,4,0)</f>
        <v>BA</v>
      </c>
    </row>
    <row r="3891" spans="1:3" x14ac:dyDescent="0.35">
      <c r="A3891">
        <v>311470</v>
      </c>
      <c r="B3891" t="str">
        <f>VLOOKUP(A3891,Planilha2!$A$2:$C$5566,3,0)</f>
        <v>CARVALHÓPOLIS</v>
      </c>
      <c r="C3891" t="str">
        <f>VLOOKUP(A3891,Planilha2!$A$2:$D$5566,4,0)</f>
        <v>MG</v>
      </c>
    </row>
    <row r="3892" spans="1:3" x14ac:dyDescent="0.35">
      <c r="A3892">
        <v>315057</v>
      </c>
      <c r="B3892" t="str">
        <f>VLOOKUP(A3892,Planilha2!$A$2:$C$5566,3,0)</f>
        <v>PINTÓPOLIS</v>
      </c>
      <c r="C3892" t="str">
        <f>VLOOKUP(A3892,Planilha2!$A$2:$D$5566,4,0)</f>
        <v>MG</v>
      </c>
    </row>
    <row r="3893" spans="1:3" x14ac:dyDescent="0.35">
      <c r="A3893">
        <v>314840</v>
      </c>
      <c r="B3893" t="str">
        <f>VLOOKUP(A3893,Planilha2!$A$2:$C$5566,3,0)</f>
        <v>PAULISTAS</v>
      </c>
      <c r="C3893" t="str">
        <f>VLOOKUP(A3893,Planilha2!$A$2:$D$5566,4,0)</f>
        <v>MG</v>
      </c>
    </row>
    <row r="3894" spans="1:3" x14ac:dyDescent="0.35">
      <c r="A3894">
        <v>311920</v>
      </c>
      <c r="B3894" t="str">
        <f>VLOOKUP(A3894,Planilha2!$A$2:$C$5566,3,0)</f>
        <v>COROACI</v>
      </c>
      <c r="C3894" t="str">
        <f>VLOOKUP(A3894,Planilha2!$A$2:$D$5566,4,0)</f>
        <v>MG</v>
      </c>
    </row>
    <row r="3895" spans="1:3" x14ac:dyDescent="0.35">
      <c r="A3895">
        <v>315570</v>
      </c>
      <c r="B3895" t="str">
        <f>VLOOKUP(A3895,Planilha2!$A$2:$C$5566,3,0)</f>
        <v>RIO PIRACICABA</v>
      </c>
      <c r="C3895" t="str">
        <f>VLOOKUP(A3895,Planilha2!$A$2:$D$5566,4,0)</f>
        <v>MG</v>
      </c>
    </row>
    <row r="3896" spans="1:3" x14ac:dyDescent="0.35">
      <c r="A3896">
        <v>316350</v>
      </c>
      <c r="B3896" t="str">
        <f>VLOOKUP(A3896,Planilha2!$A$2:$C$5566,3,0)</f>
        <v>SÃO JOSÉ DO JACURI</v>
      </c>
      <c r="C3896" t="str">
        <f>VLOOKUP(A3896,Planilha2!$A$2:$D$5566,4,0)</f>
        <v>MG</v>
      </c>
    </row>
    <row r="3897" spans="1:3" x14ac:dyDescent="0.35">
      <c r="A3897">
        <v>312100</v>
      </c>
      <c r="B3897" t="str">
        <f>VLOOKUP(A3897,Planilha2!$A$2:$C$5566,3,0)</f>
        <v>DATAS</v>
      </c>
      <c r="C3897" t="str">
        <f>VLOOKUP(A3897,Planilha2!$A$2:$D$5566,4,0)</f>
        <v>MG</v>
      </c>
    </row>
    <row r="3898" spans="1:3" x14ac:dyDescent="0.35">
      <c r="A3898">
        <v>311810</v>
      </c>
      <c r="B3898" t="str">
        <f>VLOOKUP(A3898,Planilha2!$A$2:$C$5566,3,0)</f>
        <v>CONGONHAS DO NORTE</v>
      </c>
      <c r="C3898" t="str">
        <f>VLOOKUP(A3898,Planilha2!$A$2:$D$5566,4,0)</f>
        <v>MG</v>
      </c>
    </row>
    <row r="3899" spans="1:3" x14ac:dyDescent="0.35">
      <c r="A3899">
        <v>312540</v>
      </c>
      <c r="B3899" t="str">
        <f>VLOOKUP(A3899,Planilha2!$A$2:$C$5566,3,0)</f>
        <v>FELÍCIO DOS SANTOS</v>
      </c>
      <c r="C3899" t="str">
        <f>VLOOKUP(A3899,Planilha2!$A$2:$D$5566,4,0)</f>
        <v>MG</v>
      </c>
    </row>
    <row r="3900" spans="1:3" x14ac:dyDescent="0.35">
      <c r="A3900">
        <v>316590</v>
      </c>
      <c r="B3900" t="str">
        <f>VLOOKUP(A3900,Planilha2!$A$2:$C$5566,3,0)</f>
        <v>SENADOR MODESTINO GONÇALVES</v>
      </c>
      <c r="C3900" t="str">
        <f>VLOOKUP(A3900,Planilha2!$A$2:$D$5566,4,0)</f>
        <v>MG</v>
      </c>
    </row>
    <row r="3901" spans="1:3" x14ac:dyDescent="0.35">
      <c r="A3901">
        <v>352880</v>
      </c>
      <c r="B3901" t="str">
        <f>VLOOKUP(A3901,Planilha2!$A$2:$C$5566,3,0)</f>
        <v>MARACAÍ</v>
      </c>
      <c r="C3901" t="str">
        <f>VLOOKUP(A3901,Planilha2!$A$2:$D$5566,4,0)</f>
        <v>SP</v>
      </c>
    </row>
    <row r="3902" spans="1:3" x14ac:dyDescent="0.35">
      <c r="A3902">
        <v>350910</v>
      </c>
      <c r="B3902" t="str">
        <f>VLOOKUP(A3902,Planilha2!$A$2:$C$5566,3,0)</f>
        <v>CAIUÁ</v>
      </c>
      <c r="C3902" t="str">
        <f>VLOOKUP(A3902,Planilha2!$A$2:$D$5566,4,0)</f>
        <v>SP</v>
      </c>
    </row>
    <row r="3903" spans="1:3" x14ac:dyDescent="0.35">
      <c r="A3903">
        <v>354570</v>
      </c>
      <c r="B3903" t="str">
        <f>VLOOKUP(A3903,Planilha2!$A$2:$C$5566,3,0)</f>
        <v>SANTA ALBERTINA</v>
      </c>
      <c r="C3903" t="str">
        <f>VLOOKUP(A3903,Planilha2!$A$2:$D$5566,4,0)</f>
        <v>SP</v>
      </c>
    </row>
    <row r="3904" spans="1:3" x14ac:dyDescent="0.35">
      <c r="A3904">
        <v>350260</v>
      </c>
      <c r="B3904" t="str">
        <f>VLOOKUP(A3904,Planilha2!$A$2:$C$5566,3,0)</f>
        <v>APARECIDA D`OESTE</v>
      </c>
      <c r="C3904" t="str">
        <f>VLOOKUP(A3904,Planilha2!$A$2:$D$5566,4,0)</f>
        <v>SP</v>
      </c>
    </row>
    <row r="3905" spans="1:3" x14ac:dyDescent="0.35">
      <c r="A3905">
        <v>410715</v>
      </c>
      <c r="B3905" t="str">
        <f>VLOOKUP(A3905,Planilha2!$A$2:$C$5566,3,0)</f>
        <v>DIAMANTE D`OESTE</v>
      </c>
      <c r="C3905" t="str">
        <f>VLOOKUP(A3905,Planilha2!$A$2:$D$5566,4,0)</f>
        <v>PR</v>
      </c>
    </row>
    <row r="3906" spans="1:3" x14ac:dyDescent="0.35">
      <c r="A3906">
        <v>411585</v>
      </c>
      <c r="B3906" t="str">
        <f>VLOOKUP(A3906,Planilha2!$A$2:$C$5566,3,0)</f>
        <v>MERCEDES</v>
      </c>
      <c r="C3906" t="str">
        <f>VLOOKUP(A3906,Planilha2!$A$2:$D$5566,4,0)</f>
        <v>PR</v>
      </c>
    </row>
    <row r="3907" spans="1:3" x14ac:dyDescent="0.35">
      <c r="A3907">
        <v>412360</v>
      </c>
      <c r="B3907" t="str">
        <f>VLOOKUP(A3907,Planilha2!$A$2:$C$5566,3,0)</f>
        <v>SANTA INÊS</v>
      </c>
      <c r="C3907" t="str">
        <f>VLOOKUP(A3907,Planilha2!$A$2:$D$5566,4,0)</f>
        <v>PR</v>
      </c>
    </row>
    <row r="3908" spans="1:3" x14ac:dyDescent="0.35">
      <c r="A3908">
        <v>421590</v>
      </c>
      <c r="B3908" t="str">
        <f>VLOOKUP(A3908,Planilha2!$A$2:$C$5566,3,0)</f>
        <v>SÃO BONIFÁCIO</v>
      </c>
      <c r="C3908" t="str">
        <f>VLOOKUP(A3908,Planilha2!$A$2:$D$5566,4,0)</f>
        <v>SC</v>
      </c>
    </row>
    <row r="3909" spans="1:3" x14ac:dyDescent="0.35">
      <c r="A3909">
        <v>421700</v>
      </c>
      <c r="B3909" t="str">
        <f>VLOOKUP(A3909,Planilha2!$A$2:$C$5566,3,0)</f>
        <v>SÃO LUDGERO</v>
      </c>
      <c r="C3909" t="str">
        <f>VLOOKUP(A3909,Planilha2!$A$2:$D$5566,4,0)</f>
        <v>SC</v>
      </c>
    </row>
    <row r="3910" spans="1:3" x14ac:dyDescent="0.35">
      <c r="A3910">
        <v>431123</v>
      </c>
      <c r="B3910" t="str">
        <f>VLOOKUP(A3910,Planilha2!$A$2:$C$5566,3,0)</f>
        <v>LAGOA BONITA DO SUL</v>
      </c>
      <c r="C3910" t="str">
        <f>VLOOKUP(A3910,Planilha2!$A$2:$D$5566,4,0)</f>
        <v>RS</v>
      </c>
    </row>
    <row r="3911" spans="1:3" x14ac:dyDescent="0.35">
      <c r="A3911">
        <v>430370</v>
      </c>
      <c r="B3911" t="str">
        <f>VLOOKUP(A3911,Planilha2!$A$2:$C$5566,3,0)</f>
        <v>CAMPINA DAS MISSÕES</v>
      </c>
      <c r="C3911" t="str">
        <f>VLOOKUP(A3911,Planilha2!$A$2:$D$5566,4,0)</f>
        <v>RS</v>
      </c>
    </row>
    <row r="3912" spans="1:3" x14ac:dyDescent="0.35">
      <c r="A3912">
        <v>430195</v>
      </c>
      <c r="B3912" t="str">
        <f>VLOOKUP(A3912,Planilha2!$A$2:$C$5566,3,0)</f>
        <v>BARRA FUNDA</v>
      </c>
      <c r="C3912" t="str">
        <f>VLOOKUP(A3912,Planilha2!$A$2:$D$5566,4,0)</f>
        <v>RS</v>
      </c>
    </row>
    <row r="3913" spans="1:3" x14ac:dyDescent="0.35">
      <c r="A3913">
        <v>430467</v>
      </c>
      <c r="B3913" t="str">
        <f>VLOOKUP(A3913,Planilha2!$A$2:$C$5566,3,0)</f>
        <v>CAPIVARI DO SUL</v>
      </c>
      <c r="C3913" t="str">
        <f>VLOOKUP(A3913,Planilha2!$A$2:$D$5566,4,0)</f>
        <v>RS</v>
      </c>
    </row>
    <row r="3914" spans="1:3" x14ac:dyDescent="0.35">
      <c r="A3914">
        <v>431402</v>
      </c>
      <c r="B3914" t="str">
        <f>VLOOKUP(A3914,Planilha2!$A$2:$C$5566,3,0)</f>
        <v>PARAÍSO DO SUL</v>
      </c>
      <c r="C3914" t="str">
        <f>VLOOKUP(A3914,Planilha2!$A$2:$D$5566,4,0)</f>
        <v>RS</v>
      </c>
    </row>
    <row r="3915" spans="1:3" x14ac:dyDescent="0.35">
      <c r="A3915">
        <v>432237</v>
      </c>
      <c r="B3915" t="str">
        <f>VLOOKUP(A3915,Planilha2!$A$2:$C$5566,3,0)</f>
        <v>UNISTALDA</v>
      </c>
      <c r="C3915" t="str">
        <f>VLOOKUP(A3915,Planilha2!$A$2:$D$5566,4,0)</f>
        <v>RS</v>
      </c>
    </row>
    <row r="3916" spans="1:3" x14ac:dyDescent="0.35">
      <c r="A3916">
        <v>430825</v>
      </c>
      <c r="B3916" t="str">
        <f>VLOOKUP(A3916,Planilha2!$A$2:$C$5566,3,0)</f>
        <v>FLORIANO PEIXOTO</v>
      </c>
      <c r="C3916" t="str">
        <f>VLOOKUP(A3916,Planilha2!$A$2:$D$5566,4,0)</f>
        <v>RS</v>
      </c>
    </row>
    <row r="3917" spans="1:3" x14ac:dyDescent="0.35">
      <c r="A3917">
        <v>430805</v>
      </c>
      <c r="B3917" t="str">
        <f>VLOOKUP(A3917,Planilha2!$A$2:$C$5566,3,0)</f>
        <v>FAXINALZINHO</v>
      </c>
      <c r="C3917" t="str">
        <f>VLOOKUP(A3917,Planilha2!$A$2:$D$5566,4,0)</f>
        <v>RS</v>
      </c>
    </row>
    <row r="3918" spans="1:3" x14ac:dyDescent="0.35">
      <c r="A3918">
        <v>432290</v>
      </c>
      <c r="B3918" t="str">
        <f>VLOOKUP(A3918,Planilha2!$A$2:$C$5566,3,0)</f>
        <v>VIADUTOS</v>
      </c>
      <c r="C3918" t="str">
        <f>VLOOKUP(A3918,Planilha2!$A$2:$D$5566,4,0)</f>
        <v>RS</v>
      </c>
    </row>
    <row r="3919" spans="1:3" x14ac:dyDescent="0.35">
      <c r="A3919">
        <v>430613</v>
      </c>
      <c r="B3919" t="str">
        <f>VLOOKUP(A3919,Planilha2!$A$2:$C$5566,3,0)</f>
        <v>CRUZALTENSE</v>
      </c>
      <c r="C3919" t="str">
        <f>VLOOKUP(A3919,Planilha2!$A$2:$D$5566,4,0)</f>
        <v>RS</v>
      </c>
    </row>
    <row r="3920" spans="1:3" x14ac:dyDescent="0.35">
      <c r="A3920">
        <v>431630</v>
      </c>
      <c r="B3920" t="str">
        <f>VLOOKUP(A3920,Planilha2!$A$2:$C$5566,3,0)</f>
        <v>ROQUE GONZALES</v>
      </c>
      <c r="C3920" t="str">
        <f>VLOOKUP(A3920,Planilha2!$A$2:$D$5566,4,0)</f>
        <v>RS</v>
      </c>
    </row>
    <row r="3921" spans="1:3" x14ac:dyDescent="0.35">
      <c r="A3921">
        <v>432375</v>
      </c>
      <c r="B3921" t="str">
        <f>VLOOKUP(A3921,Planilha2!$A$2:$C$5566,3,0)</f>
        <v>VITÓRIA DAS MISSÕES</v>
      </c>
      <c r="C3921" t="str">
        <f>VLOOKUP(A3921,Planilha2!$A$2:$D$5566,4,0)</f>
        <v>RS</v>
      </c>
    </row>
    <row r="3922" spans="1:3" x14ac:dyDescent="0.35">
      <c r="A3922">
        <v>431510</v>
      </c>
      <c r="B3922" t="str">
        <f>VLOOKUP(A3922,Planilha2!$A$2:$C$5566,3,0)</f>
        <v>PORTO XAVIER</v>
      </c>
      <c r="C3922" t="str">
        <f>VLOOKUP(A3922,Planilha2!$A$2:$D$5566,4,0)</f>
        <v>RS</v>
      </c>
    </row>
    <row r="3923" spans="1:3" x14ac:dyDescent="0.35">
      <c r="A3923">
        <v>431971</v>
      </c>
      <c r="B3923" t="str">
        <f>VLOOKUP(A3923,Planilha2!$A$2:$C$5566,3,0)</f>
        <v>SÃO VALENTIM DO SUL</v>
      </c>
      <c r="C3923" t="str">
        <f>VLOOKUP(A3923,Planilha2!$A$2:$D$5566,4,0)</f>
        <v>RS</v>
      </c>
    </row>
    <row r="3924" spans="1:3" x14ac:dyDescent="0.35">
      <c r="A3924">
        <v>431580</v>
      </c>
      <c r="B3924" t="str">
        <f>VLOOKUP(A3924,Planilha2!$A$2:$C$5566,3,0)</f>
        <v>ROCA SALES</v>
      </c>
      <c r="C3924" t="str">
        <f>VLOOKUP(A3924,Planilha2!$A$2:$D$5566,4,0)</f>
        <v>RS</v>
      </c>
    </row>
    <row r="3925" spans="1:3" x14ac:dyDescent="0.35">
      <c r="A3925">
        <v>431333</v>
      </c>
      <c r="B3925" t="str">
        <f>VLOOKUP(A3925,Planilha2!$A$2:$C$5566,3,0)</f>
        <v>NOVA RAMADA</v>
      </c>
      <c r="C3925" t="str">
        <f>VLOOKUP(A3925,Planilha2!$A$2:$D$5566,4,0)</f>
        <v>RS</v>
      </c>
    </row>
    <row r="3926" spans="1:3" x14ac:dyDescent="0.35">
      <c r="A3926">
        <v>431805</v>
      </c>
      <c r="B3926" t="str">
        <f>VLOOKUP(A3926,Planilha2!$A$2:$C$5566,3,0)</f>
        <v>SÃO DOMINGOS DO SUL</v>
      </c>
      <c r="C3926" t="str">
        <f>VLOOKUP(A3926,Planilha2!$A$2:$D$5566,4,0)</f>
        <v>RS</v>
      </c>
    </row>
    <row r="3927" spans="1:3" x14ac:dyDescent="0.35">
      <c r="A3927">
        <v>430020</v>
      </c>
      <c r="B3927" t="str">
        <f>VLOOKUP(A3927,Planilha2!$A$2:$C$5566,3,0)</f>
        <v>AJURICABA</v>
      </c>
      <c r="C3927" t="str">
        <f>VLOOKUP(A3927,Planilha2!$A$2:$D$5566,4,0)</f>
        <v>RS</v>
      </c>
    </row>
    <row r="3928" spans="1:3" x14ac:dyDescent="0.35">
      <c r="A3928">
        <v>430587</v>
      </c>
      <c r="B3928" t="str">
        <f>VLOOKUP(A3928,Planilha2!$A$2:$C$5566,3,0)</f>
        <v>CORONEL BARROS</v>
      </c>
      <c r="C3928" t="str">
        <f>VLOOKUP(A3928,Planilha2!$A$2:$D$5566,4,0)</f>
        <v>RS</v>
      </c>
    </row>
    <row r="3929" spans="1:3" x14ac:dyDescent="0.35">
      <c r="A3929">
        <v>430645</v>
      </c>
      <c r="B3929" t="str">
        <f>VLOOKUP(A3929,Planilha2!$A$2:$C$5566,3,0)</f>
        <v>DOIS LAJEADOS</v>
      </c>
      <c r="C3929" t="str">
        <f>VLOOKUP(A3929,Planilha2!$A$2:$D$5566,4,0)</f>
        <v>RS</v>
      </c>
    </row>
    <row r="3930" spans="1:3" x14ac:dyDescent="0.35">
      <c r="A3930">
        <v>431610</v>
      </c>
      <c r="B3930" t="str">
        <f>VLOOKUP(A3930,Planilha2!$A$2:$C$5566,3,0)</f>
        <v>RONDA ALTA</v>
      </c>
      <c r="C3930" t="str">
        <f>VLOOKUP(A3930,Planilha2!$A$2:$D$5566,4,0)</f>
        <v>RS</v>
      </c>
    </row>
    <row r="3931" spans="1:3" x14ac:dyDescent="0.35">
      <c r="A3931">
        <v>432045</v>
      </c>
      <c r="B3931" t="str">
        <f>VLOOKUP(A3931,Planilha2!$A$2:$C$5566,3,0)</f>
        <v>SÉRIO</v>
      </c>
      <c r="C3931" t="str">
        <f>VLOOKUP(A3931,Planilha2!$A$2:$D$5566,4,0)</f>
        <v>RS</v>
      </c>
    </row>
    <row r="3932" spans="1:3" x14ac:dyDescent="0.35">
      <c r="A3932">
        <v>500515</v>
      </c>
      <c r="B3932" t="str">
        <f>VLOOKUP(A3932,Planilha2!$A$2:$C$5566,3,0)</f>
        <v>JUTI</v>
      </c>
      <c r="C3932" t="str">
        <f>VLOOKUP(A3932,Planilha2!$A$2:$D$5566,4,0)</f>
        <v>MS</v>
      </c>
    </row>
    <row r="3933" spans="1:3" x14ac:dyDescent="0.35">
      <c r="A3933">
        <v>522015</v>
      </c>
      <c r="B3933" t="str">
        <f>VLOOKUP(A3933,Planilha2!$A$2:$C$5566,3,0)</f>
        <v>SÃO LUÍZ DO NORTE</v>
      </c>
      <c r="C3933" t="str">
        <f>VLOOKUP(A3933,Planilha2!$A$2:$D$5566,4,0)</f>
        <v>GO</v>
      </c>
    </row>
    <row r="3934" spans="1:3" x14ac:dyDescent="0.35">
      <c r="A3934">
        <v>522119</v>
      </c>
      <c r="B3934" t="str">
        <f>VLOOKUP(A3934,Planilha2!$A$2:$C$5566,3,0)</f>
        <v>TEREZÓPOLIS DE GOIÁS</v>
      </c>
      <c r="C3934" t="str">
        <f>VLOOKUP(A3934,Planilha2!$A$2:$D$5566,4,0)</f>
        <v>GO</v>
      </c>
    </row>
    <row r="3935" spans="1:3" x14ac:dyDescent="0.35">
      <c r="A3935">
        <v>521080</v>
      </c>
      <c r="B3935" t="str">
        <f>VLOOKUP(A3935,Planilha2!$A$2:$C$5566,3,0)</f>
        <v>ITAJÁ</v>
      </c>
      <c r="C3935" t="str">
        <f>VLOOKUP(A3935,Planilha2!$A$2:$D$5566,4,0)</f>
        <v>GO</v>
      </c>
    </row>
    <row r="3936" spans="1:3" x14ac:dyDescent="0.35">
      <c r="A3936">
        <v>521640</v>
      </c>
      <c r="B3936" t="str">
        <f>VLOOKUP(A3936,Planilha2!$A$2:$C$5566,3,0)</f>
        <v>PARAÚNA</v>
      </c>
      <c r="C3936" t="str">
        <f>VLOOKUP(A3936,Planilha2!$A$2:$D$5566,4,0)</f>
        <v>GO</v>
      </c>
    </row>
    <row r="3937" spans="1:3" x14ac:dyDescent="0.35">
      <c r="A3937">
        <v>110007</v>
      </c>
      <c r="B3937" t="str">
        <f>VLOOKUP(A3937,Planilha2!$A$2:$C$5566,3,0)</f>
        <v>CORUMBIARA</v>
      </c>
      <c r="C3937" t="str">
        <f>VLOOKUP(A3937,Planilha2!$A$2:$D$5566,4,0)</f>
        <v>RO</v>
      </c>
    </row>
    <row r="3938" spans="1:3" x14ac:dyDescent="0.35">
      <c r="A3938">
        <v>110175</v>
      </c>
      <c r="B3938" t="str">
        <f>VLOOKUP(A3938,Planilha2!$A$2:$C$5566,3,0)</f>
        <v>VALE DO ANARI</v>
      </c>
      <c r="C3938" t="str">
        <f>VLOOKUP(A3938,Planilha2!$A$2:$D$5566,4,0)</f>
        <v>RO</v>
      </c>
    </row>
    <row r="3939" spans="1:3" x14ac:dyDescent="0.35">
      <c r="A3939">
        <v>120033</v>
      </c>
      <c r="B3939" t="str">
        <f>VLOOKUP(A3939,Planilha2!$A$2:$C$5566,3,0)</f>
        <v>MÂNCIO LIMA</v>
      </c>
      <c r="C3939" t="str">
        <f>VLOOKUP(A3939,Planilha2!$A$2:$D$5566,4,0)</f>
        <v>AC</v>
      </c>
    </row>
    <row r="3940" spans="1:3" x14ac:dyDescent="0.35">
      <c r="A3940">
        <v>120070</v>
      </c>
      <c r="B3940" t="str">
        <f>VLOOKUP(A3940,Planilha2!$A$2:$C$5566,3,0)</f>
        <v>XAPURI</v>
      </c>
      <c r="C3940" t="str">
        <f>VLOOKUP(A3940,Planilha2!$A$2:$D$5566,4,0)</f>
        <v>AC</v>
      </c>
    </row>
    <row r="3941" spans="1:3" x14ac:dyDescent="0.35">
      <c r="A3941">
        <v>170765</v>
      </c>
      <c r="B3941" t="str">
        <f>VLOOKUP(A3941,Planilha2!$A$2:$C$5566,3,0)</f>
        <v>FIGUEIRÓPOLIS</v>
      </c>
      <c r="C3941" t="str">
        <f>VLOOKUP(A3941,Planilha2!$A$2:$D$5566,4,0)</f>
        <v>TO</v>
      </c>
    </row>
    <row r="3942" spans="1:3" x14ac:dyDescent="0.35">
      <c r="A3942">
        <v>172210</v>
      </c>
      <c r="B3942" t="str">
        <f>VLOOKUP(A3942,Planilha2!$A$2:$C$5566,3,0)</f>
        <v>XAMBIOÁ</v>
      </c>
      <c r="C3942" t="str">
        <f>VLOOKUP(A3942,Planilha2!$A$2:$D$5566,4,0)</f>
        <v>TO</v>
      </c>
    </row>
    <row r="3943" spans="1:3" x14ac:dyDescent="0.35">
      <c r="A3943">
        <v>171180</v>
      </c>
      <c r="B3943" t="str">
        <f>VLOOKUP(A3943,Planilha2!$A$2:$C$5566,3,0)</f>
        <v>JUARINA</v>
      </c>
      <c r="C3943" t="str">
        <f>VLOOKUP(A3943,Planilha2!$A$2:$D$5566,4,0)</f>
        <v>TO</v>
      </c>
    </row>
    <row r="3944" spans="1:3" x14ac:dyDescent="0.35">
      <c r="A3944">
        <v>210467</v>
      </c>
      <c r="B3944" t="str">
        <f>VLOOKUP(A3944,Planilha2!$A$2:$C$5566,3,0)</f>
        <v>GOVERNADOR NUNES FREIRE</v>
      </c>
      <c r="C3944" t="str">
        <f>VLOOKUP(A3944,Planilha2!$A$2:$D$5566,4,0)</f>
        <v>MA</v>
      </c>
    </row>
    <row r="3945" spans="1:3" x14ac:dyDescent="0.35">
      <c r="A3945">
        <v>210550</v>
      </c>
      <c r="B3945" t="str">
        <f>VLOOKUP(A3945,Planilha2!$A$2:$C$5566,3,0)</f>
        <v>JOÃO LISBOA</v>
      </c>
      <c r="C3945" t="str">
        <f>VLOOKUP(A3945,Planilha2!$A$2:$D$5566,4,0)</f>
        <v>MA</v>
      </c>
    </row>
    <row r="3946" spans="1:3" x14ac:dyDescent="0.35">
      <c r="A3946">
        <v>211180</v>
      </c>
      <c r="B3946" t="str">
        <f>VLOOKUP(A3946,Planilha2!$A$2:$C$5566,3,0)</f>
        <v>SÍTIO NOVO</v>
      </c>
      <c r="C3946" t="str">
        <f>VLOOKUP(A3946,Planilha2!$A$2:$D$5566,4,0)</f>
        <v>MA</v>
      </c>
    </row>
    <row r="3947" spans="1:3" x14ac:dyDescent="0.35">
      <c r="A3947">
        <v>210220</v>
      </c>
      <c r="B3947" t="str">
        <f>VLOOKUP(A3947,Planilha2!$A$2:$C$5566,3,0)</f>
        <v>BURITI</v>
      </c>
      <c r="C3947" t="str">
        <f>VLOOKUP(A3947,Planilha2!$A$2:$D$5566,4,0)</f>
        <v>MA</v>
      </c>
    </row>
    <row r="3948" spans="1:3" x14ac:dyDescent="0.35">
      <c r="A3948">
        <v>211102</v>
      </c>
      <c r="B3948" t="str">
        <f>VLOOKUP(A3948,Planilha2!$A$2:$C$5566,3,0)</f>
        <v>SÃO JOÃO DO CARÚ</v>
      </c>
      <c r="C3948" t="str">
        <f>VLOOKUP(A3948,Planilha2!$A$2:$D$5566,4,0)</f>
        <v>MA</v>
      </c>
    </row>
    <row r="3949" spans="1:3" x14ac:dyDescent="0.35">
      <c r="A3949">
        <v>211003</v>
      </c>
      <c r="B3949" t="str">
        <f>VLOOKUP(A3949,Planilha2!$A$2:$C$5566,3,0)</f>
        <v>SANTA LUZIA DO PARUÁ</v>
      </c>
      <c r="C3949" t="str">
        <f>VLOOKUP(A3949,Planilha2!$A$2:$D$5566,4,0)</f>
        <v>MA</v>
      </c>
    </row>
    <row r="3950" spans="1:3" x14ac:dyDescent="0.35">
      <c r="A3950">
        <v>210690</v>
      </c>
      <c r="B3950" t="str">
        <f>VLOOKUP(A3950,Planilha2!$A$2:$C$5566,3,0)</f>
        <v>MONÇÃO</v>
      </c>
      <c r="C3950" t="str">
        <f>VLOOKUP(A3950,Planilha2!$A$2:$D$5566,4,0)</f>
        <v>MA</v>
      </c>
    </row>
    <row r="3951" spans="1:3" x14ac:dyDescent="0.35">
      <c r="A3951">
        <v>220060</v>
      </c>
      <c r="B3951" t="str">
        <f>VLOOKUP(A3951,Planilha2!$A$2:$C$5566,3,0)</f>
        <v>ANGICAL DO PIAUÍ</v>
      </c>
      <c r="C3951" t="str">
        <f>VLOOKUP(A3951,Planilha2!$A$2:$D$5566,4,0)</f>
        <v>PI</v>
      </c>
    </row>
    <row r="3952" spans="1:3" x14ac:dyDescent="0.35">
      <c r="A3952">
        <v>220211</v>
      </c>
      <c r="B3952" t="str">
        <f>VLOOKUP(A3952,Planilha2!$A$2:$C$5566,3,0)</f>
        <v>CAMPO ALEGRE DO FIDALGO</v>
      </c>
      <c r="C3952" t="str">
        <f>VLOOKUP(A3952,Planilha2!$A$2:$D$5566,4,0)</f>
        <v>PI</v>
      </c>
    </row>
    <row r="3953" spans="1:3" x14ac:dyDescent="0.35">
      <c r="A3953">
        <v>220480</v>
      </c>
      <c r="B3953" t="str">
        <f>VLOOKUP(A3953,Planilha2!$A$2:$C$5566,3,0)</f>
        <v>IPIRANGA DO PIAUÍ</v>
      </c>
      <c r="C3953" t="str">
        <f>VLOOKUP(A3953,Planilha2!$A$2:$D$5566,4,0)</f>
        <v>PI</v>
      </c>
    </row>
    <row r="3954" spans="1:3" x14ac:dyDescent="0.35">
      <c r="A3954">
        <v>220850</v>
      </c>
      <c r="B3954" t="str">
        <f>VLOOKUP(A3954,Planilha2!$A$2:$C$5566,3,0)</f>
        <v>PORTO</v>
      </c>
      <c r="C3954" t="str">
        <f>VLOOKUP(A3954,Planilha2!$A$2:$D$5566,4,0)</f>
        <v>PI</v>
      </c>
    </row>
    <row r="3955" spans="1:3" x14ac:dyDescent="0.35">
      <c r="A3955">
        <v>220350</v>
      </c>
      <c r="B3955" t="str">
        <f>VLOOKUP(A3955,Planilha2!$A$2:$C$5566,3,0)</f>
        <v>ELESBÃO VELOSO</v>
      </c>
      <c r="C3955" t="str">
        <f>VLOOKUP(A3955,Planilha2!$A$2:$D$5566,4,0)</f>
        <v>PI</v>
      </c>
    </row>
    <row r="3956" spans="1:3" x14ac:dyDescent="0.35">
      <c r="A3956">
        <v>221040</v>
      </c>
      <c r="B3956" t="str">
        <f>VLOOKUP(A3956,Planilha2!$A$2:$C$5566,3,0)</f>
        <v>SÃO MIGUEL DO TAPUIO</v>
      </c>
      <c r="C3956" t="str">
        <f>VLOOKUP(A3956,Planilha2!$A$2:$D$5566,4,0)</f>
        <v>PI</v>
      </c>
    </row>
    <row r="3957" spans="1:3" x14ac:dyDescent="0.35">
      <c r="A3957">
        <v>220005</v>
      </c>
      <c r="B3957" t="str">
        <f>VLOOKUP(A3957,Planilha2!$A$2:$C$5566,3,0)</f>
        <v>ACAUÃ</v>
      </c>
      <c r="C3957" t="str">
        <f>VLOOKUP(A3957,Planilha2!$A$2:$D$5566,4,0)</f>
        <v>PI</v>
      </c>
    </row>
    <row r="3958" spans="1:3" x14ac:dyDescent="0.35">
      <c r="A3958">
        <v>221170</v>
      </c>
      <c r="B3958" t="str">
        <f>VLOOKUP(A3958,Planilha2!$A$2:$C$5566,3,0)</f>
        <v>WALL FERRAZ</v>
      </c>
      <c r="C3958" t="str">
        <f>VLOOKUP(A3958,Planilha2!$A$2:$D$5566,4,0)</f>
        <v>PI</v>
      </c>
    </row>
    <row r="3959" spans="1:3" x14ac:dyDescent="0.35">
      <c r="A3959">
        <v>220935</v>
      </c>
      <c r="B3959" t="str">
        <f>VLOOKUP(A3959,Planilha2!$A$2:$C$5566,3,0)</f>
        <v>SANTANA DO PIAUÍ</v>
      </c>
      <c r="C3959" t="str">
        <f>VLOOKUP(A3959,Planilha2!$A$2:$D$5566,4,0)</f>
        <v>PI</v>
      </c>
    </row>
    <row r="3960" spans="1:3" x14ac:dyDescent="0.35">
      <c r="A3960">
        <v>220975</v>
      </c>
      <c r="B3960" t="str">
        <f>VLOOKUP(A3960,Planilha2!$A$2:$C$5566,3,0)</f>
        <v>SÃO GONÇALO DO GURGUÉIA</v>
      </c>
      <c r="C3960" t="str">
        <f>VLOOKUP(A3960,Planilha2!$A$2:$D$5566,4,0)</f>
        <v>PI</v>
      </c>
    </row>
    <row r="3961" spans="1:3" x14ac:dyDescent="0.35">
      <c r="A3961">
        <v>230837</v>
      </c>
      <c r="B3961" t="str">
        <f>VLOOKUP(A3961,Planilha2!$A$2:$C$5566,3,0)</f>
        <v>MIRAÍMA</v>
      </c>
      <c r="C3961" t="str">
        <f>VLOOKUP(A3961,Planilha2!$A$2:$D$5566,4,0)</f>
        <v>CE</v>
      </c>
    </row>
    <row r="3962" spans="1:3" x14ac:dyDescent="0.35">
      <c r="A3962">
        <v>231123</v>
      </c>
      <c r="B3962" t="str">
        <f>VLOOKUP(A3962,Planilha2!$A$2:$C$5566,3,0)</f>
        <v>POTIRETAMA</v>
      </c>
      <c r="C3962" t="str">
        <f>VLOOKUP(A3962,Planilha2!$A$2:$D$5566,4,0)</f>
        <v>CE</v>
      </c>
    </row>
    <row r="3963" spans="1:3" x14ac:dyDescent="0.35">
      <c r="A3963">
        <v>230800</v>
      </c>
      <c r="B3963" t="str">
        <f>VLOOKUP(A3963,Planilha2!$A$2:$C$5566,3,0)</f>
        <v>MASSAPÊ</v>
      </c>
      <c r="C3963" t="str">
        <f>VLOOKUP(A3963,Planilha2!$A$2:$D$5566,4,0)</f>
        <v>CE</v>
      </c>
    </row>
    <row r="3964" spans="1:3" x14ac:dyDescent="0.35">
      <c r="A3964">
        <v>231390</v>
      </c>
      <c r="B3964" t="str">
        <f>VLOOKUP(A3964,Planilha2!$A$2:$C$5566,3,0)</f>
        <v>URUOCA</v>
      </c>
      <c r="C3964" t="str">
        <f>VLOOKUP(A3964,Planilha2!$A$2:$D$5566,4,0)</f>
        <v>CE</v>
      </c>
    </row>
    <row r="3965" spans="1:3" x14ac:dyDescent="0.35">
      <c r="A3965">
        <v>230010</v>
      </c>
      <c r="B3965" t="str">
        <f>VLOOKUP(A3965,Planilha2!$A$2:$C$5566,3,0)</f>
        <v>ABAIARA</v>
      </c>
      <c r="C3965" t="str">
        <f>VLOOKUP(A3965,Planilha2!$A$2:$D$5566,4,0)</f>
        <v>CE</v>
      </c>
    </row>
    <row r="3966" spans="1:3" x14ac:dyDescent="0.35">
      <c r="A3966">
        <v>240300</v>
      </c>
      <c r="B3966" t="str">
        <f>VLOOKUP(A3966,Planilha2!$A$2:$C$5566,3,0)</f>
        <v>CRUZETA</v>
      </c>
      <c r="C3966" t="str">
        <f>VLOOKUP(A3966,Planilha2!$A$2:$D$5566,4,0)</f>
        <v>RN</v>
      </c>
    </row>
    <row r="3967" spans="1:3" x14ac:dyDescent="0.35">
      <c r="A3967">
        <v>241105</v>
      </c>
      <c r="B3967" t="str">
        <f>VLOOKUP(A3967,Planilha2!$A$2:$C$5566,3,0)</f>
        <v>TIBAU</v>
      </c>
      <c r="C3967" t="str">
        <f>VLOOKUP(A3967,Planilha2!$A$2:$D$5566,4,0)</f>
        <v>RN</v>
      </c>
    </row>
    <row r="3968" spans="1:3" x14ac:dyDescent="0.35">
      <c r="A3968">
        <v>240960</v>
      </c>
      <c r="B3968" t="str">
        <f>VLOOKUP(A3968,Planilha2!$A$2:$C$5566,3,0)</f>
        <v>PEDRA PRETA</v>
      </c>
      <c r="C3968" t="str">
        <f>VLOOKUP(A3968,Planilha2!$A$2:$D$5566,4,0)</f>
        <v>RN</v>
      </c>
    </row>
    <row r="3969" spans="1:3" x14ac:dyDescent="0.35">
      <c r="A3969">
        <v>241430</v>
      </c>
      <c r="B3969" t="str">
        <f>VLOOKUP(A3969,Planilha2!$A$2:$C$5566,3,0)</f>
        <v>TIMBAÚBA DOS BATISTAS</v>
      </c>
      <c r="C3969" t="str">
        <f>VLOOKUP(A3969,Planilha2!$A$2:$D$5566,4,0)</f>
        <v>RN</v>
      </c>
    </row>
    <row r="3970" spans="1:3" x14ac:dyDescent="0.35">
      <c r="A3970">
        <v>240480</v>
      </c>
      <c r="B3970" t="str">
        <f>VLOOKUP(A3970,Planilha2!$A$2:$C$5566,3,0)</f>
        <v>IPUEIRA</v>
      </c>
      <c r="C3970" t="str">
        <f>VLOOKUP(A3970,Planilha2!$A$2:$D$5566,4,0)</f>
        <v>RN</v>
      </c>
    </row>
    <row r="3971" spans="1:3" x14ac:dyDescent="0.35">
      <c r="A3971">
        <v>240145</v>
      </c>
      <c r="B3971" t="str">
        <f>VLOOKUP(A3971,Planilha2!$A$2:$C$5566,3,0)</f>
        <v>BARAÚNA</v>
      </c>
      <c r="C3971" t="str">
        <f>VLOOKUP(A3971,Planilha2!$A$2:$D$5566,4,0)</f>
        <v>RN</v>
      </c>
    </row>
    <row r="3972" spans="1:3" x14ac:dyDescent="0.35">
      <c r="A3972">
        <v>240730</v>
      </c>
      <c r="B3972" t="str">
        <f>VLOOKUP(A3972,Planilha2!$A$2:$C$5566,3,0)</f>
        <v>MARCELINO VIEIRA</v>
      </c>
      <c r="C3972" t="str">
        <f>VLOOKUP(A3972,Planilha2!$A$2:$D$5566,4,0)</f>
        <v>RN</v>
      </c>
    </row>
    <row r="3973" spans="1:3" x14ac:dyDescent="0.35">
      <c r="A3973">
        <v>240840</v>
      </c>
      <c r="B3973" t="str">
        <f>VLOOKUP(A3973,Planilha2!$A$2:$C$5566,3,0)</f>
        <v>OLHO-D`ÁGUA DO BORGES</v>
      </c>
      <c r="C3973" t="str">
        <f>VLOOKUP(A3973,Planilha2!$A$2:$D$5566,4,0)</f>
        <v>RN</v>
      </c>
    </row>
    <row r="3974" spans="1:3" x14ac:dyDescent="0.35">
      <c r="A3974">
        <v>241180</v>
      </c>
      <c r="B3974" t="str">
        <f>VLOOKUP(A3974,Planilha2!$A$2:$C$5566,3,0)</f>
        <v>SÃO FERNANDO</v>
      </c>
      <c r="C3974" t="str">
        <f>VLOOKUP(A3974,Planilha2!$A$2:$D$5566,4,0)</f>
        <v>RN</v>
      </c>
    </row>
    <row r="3975" spans="1:3" x14ac:dyDescent="0.35">
      <c r="A3975">
        <v>240750</v>
      </c>
      <c r="B3975" t="str">
        <f>VLOOKUP(A3975,Planilha2!$A$2:$C$5566,3,0)</f>
        <v>MAXARANGUAPE</v>
      </c>
      <c r="C3975" t="str">
        <f>VLOOKUP(A3975,Planilha2!$A$2:$D$5566,4,0)</f>
        <v>RN</v>
      </c>
    </row>
    <row r="3976" spans="1:3" x14ac:dyDescent="0.35">
      <c r="A3976">
        <v>251330</v>
      </c>
      <c r="B3976" t="str">
        <f>VLOOKUP(A3976,Planilha2!$A$2:$C$5566,3,0)</f>
        <v>SANTA HELENA</v>
      </c>
      <c r="C3976" t="str">
        <f>VLOOKUP(A3976,Planilha2!$A$2:$D$5566,4,0)</f>
        <v>PB</v>
      </c>
    </row>
    <row r="3977" spans="1:3" x14ac:dyDescent="0.35">
      <c r="A3977">
        <v>250300</v>
      </c>
      <c r="B3977" t="str">
        <f>VLOOKUP(A3977,Planilha2!$A$2:$C$5566,3,0)</f>
        <v>CAAPORÃ</v>
      </c>
      <c r="C3977" t="str">
        <f>VLOOKUP(A3977,Planilha2!$A$2:$D$5566,4,0)</f>
        <v>PB</v>
      </c>
    </row>
    <row r="3978" spans="1:3" x14ac:dyDescent="0.35">
      <c r="A3978">
        <v>250380</v>
      </c>
      <c r="B3978" t="str">
        <f>VLOOKUP(A3978,Planilha2!$A$2:$C$5566,3,0)</f>
        <v>CALDAS BRANDÃO</v>
      </c>
      <c r="C3978" t="str">
        <f>VLOOKUP(A3978,Planilha2!$A$2:$D$5566,4,0)</f>
        <v>PB</v>
      </c>
    </row>
    <row r="3979" spans="1:3" x14ac:dyDescent="0.35">
      <c r="A3979">
        <v>251240</v>
      </c>
      <c r="B3979" t="str">
        <f>VLOOKUP(A3979,Planilha2!$A$2:$C$5566,3,0)</f>
        <v>PUXINANÃ</v>
      </c>
      <c r="C3979" t="str">
        <f>VLOOKUP(A3979,Planilha2!$A$2:$D$5566,4,0)</f>
        <v>PB</v>
      </c>
    </row>
    <row r="3980" spans="1:3" x14ac:dyDescent="0.35">
      <c r="A3980">
        <v>261510</v>
      </c>
      <c r="B3980" t="str">
        <f>VLOOKUP(A3980,Planilha2!$A$2:$C$5566,3,0)</f>
        <v>TEREZINHA</v>
      </c>
      <c r="C3980" t="str">
        <f>VLOOKUP(A3980,Planilha2!$A$2:$D$5566,4,0)</f>
        <v>PE</v>
      </c>
    </row>
    <row r="3981" spans="1:3" x14ac:dyDescent="0.35">
      <c r="A3981">
        <v>261590</v>
      </c>
      <c r="B3981" t="str">
        <f>VLOOKUP(A3981,Planilha2!$A$2:$C$5566,3,0)</f>
        <v>TUPARETAMA</v>
      </c>
      <c r="C3981" t="str">
        <f>VLOOKUP(A3981,Planilha2!$A$2:$D$5566,4,0)</f>
        <v>PE</v>
      </c>
    </row>
    <row r="3982" spans="1:3" x14ac:dyDescent="0.35">
      <c r="A3982">
        <v>261340</v>
      </c>
      <c r="B3982" t="str">
        <f>VLOOKUP(A3982,Planilha2!$A$2:$C$5566,3,0)</f>
        <v>SÃO JOSÉ DA COROA GRANDE</v>
      </c>
      <c r="C3982" t="str">
        <f>VLOOKUP(A3982,Planilha2!$A$2:$D$5566,4,0)</f>
        <v>PE</v>
      </c>
    </row>
    <row r="3983" spans="1:3" x14ac:dyDescent="0.35">
      <c r="A3983">
        <v>270890</v>
      </c>
      <c r="B3983" t="str">
        <f>VLOOKUP(A3983,Planilha2!$A$2:$C$5566,3,0)</f>
        <v>SATUBA</v>
      </c>
      <c r="C3983" t="str">
        <f>VLOOKUP(A3983,Planilha2!$A$2:$D$5566,4,0)</f>
        <v>AL</v>
      </c>
    </row>
    <row r="3984" spans="1:3" x14ac:dyDescent="0.35">
      <c r="A3984">
        <v>280170</v>
      </c>
      <c r="B3984" t="str">
        <f>VLOOKUP(A3984,Planilha2!$A$2:$C$5566,3,0)</f>
        <v>CRISTINÁPOLIS</v>
      </c>
      <c r="C3984" t="str">
        <f>VLOOKUP(A3984,Planilha2!$A$2:$D$5566,4,0)</f>
        <v>SE</v>
      </c>
    </row>
    <row r="3985" spans="1:3" x14ac:dyDescent="0.35">
      <c r="A3985">
        <v>290800</v>
      </c>
      <c r="B3985" t="str">
        <f>VLOOKUP(A3985,Planilha2!$A$2:$C$5566,3,0)</f>
        <v>COARACI</v>
      </c>
      <c r="C3985" t="str">
        <f>VLOOKUP(A3985,Planilha2!$A$2:$D$5566,4,0)</f>
        <v>BA</v>
      </c>
    </row>
    <row r="3986" spans="1:3" x14ac:dyDescent="0.35">
      <c r="A3986">
        <v>292350</v>
      </c>
      <c r="B3986" t="str">
        <f>VLOOKUP(A3986,Planilha2!$A$2:$C$5566,3,0)</f>
        <v>PALMEIRAS</v>
      </c>
      <c r="C3986" t="str">
        <f>VLOOKUP(A3986,Planilha2!$A$2:$D$5566,4,0)</f>
        <v>BA</v>
      </c>
    </row>
    <row r="3987" spans="1:3" x14ac:dyDescent="0.35">
      <c r="A3987">
        <v>292330</v>
      </c>
      <c r="B3987" t="str">
        <f>VLOOKUP(A3987,Planilha2!$A$2:$C$5566,3,0)</f>
        <v>OURIÇANGAS</v>
      </c>
      <c r="C3987" t="str">
        <f>VLOOKUP(A3987,Planilha2!$A$2:$D$5566,4,0)</f>
        <v>BA</v>
      </c>
    </row>
    <row r="3988" spans="1:3" x14ac:dyDescent="0.35">
      <c r="A3988">
        <v>291320</v>
      </c>
      <c r="B3988" t="str">
        <f>VLOOKUP(A3988,Planilha2!$A$2:$C$5566,3,0)</f>
        <v>IBOTIRAMA</v>
      </c>
      <c r="C3988" t="str">
        <f>VLOOKUP(A3988,Planilha2!$A$2:$D$5566,4,0)</f>
        <v>BA</v>
      </c>
    </row>
    <row r="3989" spans="1:3" x14ac:dyDescent="0.35">
      <c r="A3989">
        <v>290475</v>
      </c>
      <c r="B3989" t="str">
        <f>VLOOKUP(A3989,Planilha2!$A$2:$C$5566,3,0)</f>
        <v>BURITIRAMA</v>
      </c>
      <c r="C3989" t="str">
        <f>VLOOKUP(A3989,Planilha2!$A$2:$D$5566,4,0)</f>
        <v>BA</v>
      </c>
    </row>
    <row r="3990" spans="1:3" x14ac:dyDescent="0.35">
      <c r="A3990">
        <v>292045</v>
      </c>
      <c r="B3990" t="str">
        <f>VLOOKUP(A3990,Planilha2!$A$2:$C$5566,3,0)</f>
        <v>MANSIDÃO</v>
      </c>
      <c r="C3990" t="str">
        <f>VLOOKUP(A3990,Planilha2!$A$2:$D$5566,4,0)</f>
        <v>BA</v>
      </c>
    </row>
    <row r="3991" spans="1:3" x14ac:dyDescent="0.35">
      <c r="A3991">
        <v>290390</v>
      </c>
      <c r="B3991" t="str">
        <f>VLOOKUP(A3991,Planilha2!$A$2:$C$5566,3,0)</f>
        <v>BOM JESUS DA LAPA</v>
      </c>
      <c r="C3991" t="str">
        <f>VLOOKUP(A3991,Planilha2!$A$2:$D$5566,4,0)</f>
        <v>BA</v>
      </c>
    </row>
    <row r="3992" spans="1:3" x14ac:dyDescent="0.35">
      <c r="A3992">
        <v>290710</v>
      </c>
      <c r="B3992" t="str">
        <f>VLOOKUP(A3992,Planilha2!$A$2:$C$5566,3,0)</f>
        <v>CARINHANHA</v>
      </c>
      <c r="C3992" t="str">
        <f>VLOOKUP(A3992,Planilha2!$A$2:$D$5566,4,0)</f>
        <v>BA</v>
      </c>
    </row>
    <row r="3993" spans="1:3" x14ac:dyDescent="0.35">
      <c r="A3993">
        <v>291690</v>
      </c>
      <c r="B3993" t="str">
        <f>VLOOKUP(A3993,Planilha2!$A$2:$C$5566,3,0)</f>
        <v>ITIRUÇU</v>
      </c>
      <c r="C3993" t="str">
        <f>VLOOKUP(A3993,Planilha2!$A$2:$D$5566,4,0)</f>
        <v>BA</v>
      </c>
    </row>
    <row r="3994" spans="1:3" x14ac:dyDescent="0.35">
      <c r="A3994">
        <v>292220</v>
      </c>
      <c r="B3994" t="str">
        <f>VLOOKUP(A3994,Planilha2!$A$2:$C$5566,3,0)</f>
        <v>MUNIZ FERREIRA</v>
      </c>
      <c r="C3994" t="str">
        <f>VLOOKUP(A3994,Planilha2!$A$2:$D$5566,4,0)</f>
        <v>BA</v>
      </c>
    </row>
    <row r="3995" spans="1:3" x14ac:dyDescent="0.35">
      <c r="A3995">
        <v>290550</v>
      </c>
      <c r="B3995" t="str">
        <f>VLOOKUP(A3995,Planilha2!$A$2:$C$5566,3,0)</f>
        <v>CALDEIRÃO GRANDE</v>
      </c>
      <c r="C3995" t="str">
        <f>VLOOKUP(A3995,Planilha2!$A$2:$D$5566,4,0)</f>
        <v>BA</v>
      </c>
    </row>
    <row r="3996" spans="1:3" x14ac:dyDescent="0.35">
      <c r="A3996">
        <v>290225</v>
      </c>
      <c r="B3996" t="str">
        <f>VLOOKUP(A3996,Planilha2!$A$2:$C$5566,3,0)</f>
        <v>ARATACA</v>
      </c>
      <c r="C3996" t="str">
        <f>VLOOKUP(A3996,Planilha2!$A$2:$D$5566,4,0)</f>
        <v>BA</v>
      </c>
    </row>
    <row r="3997" spans="1:3" x14ac:dyDescent="0.35">
      <c r="A3997">
        <v>316045</v>
      </c>
      <c r="B3997" t="str">
        <f>VLOOKUP(A3997,Planilha2!$A$2:$C$5566,3,0)</f>
        <v>SANTO ANTÔNIO DO RETIRO</v>
      </c>
      <c r="C3997" t="str">
        <f>VLOOKUP(A3997,Planilha2!$A$2:$D$5566,4,0)</f>
        <v>MG</v>
      </c>
    </row>
    <row r="3998" spans="1:3" x14ac:dyDescent="0.35">
      <c r="A3998">
        <v>314200</v>
      </c>
      <c r="B3998" t="str">
        <f>VLOOKUP(A3998,Planilha2!$A$2:$C$5566,3,0)</f>
        <v>MIRABELA</v>
      </c>
      <c r="C3998" t="str">
        <f>VLOOKUP(A3998,Planilha2!$A$2:$D$5566,4,0)</f>
        <v>MG</v>
      </c>
    </row>
    <row r="3999" spans="1:3" x14ac:dyDescent="0.35">
      <c r="A3999">
        <v>316520</v>
      </c>
      <c r="B3999" t="str">
        <f>VLOOKUP(A3999,Planilha2!$A$2:$C$5566,3,0)</f>
        <v>SÃO THOMÉ DAS LETRAS</v>
      </c>
      <c r="C3999" t="str">
        <f>VLOOKUP(A3999,Planilha2!$A$2:$D$5566,4,0)</f>
        <v>MG</v>
      </c>
    </row>
    <row r="4000" spans="1:3" x14ac:dyDescent="0.35">
      <c r="A4000">
        <v>312170</v>
      </c>
      <c r="B4000" t="str">
        <f>VLOOKUP(A4000,Planilha2!$A$2:$C$5566,3,0)</f>
        <v>DIOGO DE VASCONCELOS</v>
      </c>
      <c r="C4000" t="str">
        <f>VLOOKUP(A4000,Planilha2!$A$2:$D$5566,4,0)</f>
        <v>MG</v>
      </c>
    </row>
    <row r="4001" spans="1:3" x14ac:dyDescent="0.35">
      <c r="A4001">
        <v>316810</v>
      </c>
      <c r="B4001" t="str">
        <f>VLOOKUP(A4001,Planilha2!$A$2:$C$5566,3,0)</f>
        <v>TAPIRA</v>
      </c>
      <c r="C4001" t="str">
        <f>VLOOKUP(A4001,Planilha2!$A$2:$D$5566,4,0)</f>
        <v>MG</v>
      </c>
    </row>
    <row r="4002" spans="1:3" x14ac:dyDescent="0.35">
      <c r="A4002">
        <v>312460</v>
      </c>
      <c r="B4002" t="str">
        <f>VLOOKUP(A4002,Planilha2!$A$2:$C$5566,3,0)</f>
        <v>ESTRELA DALVA</v>
      </c>
      <c r="C4002" t="str">
        <f>VLOOKUP(A4002,Planilha2!$A$2:$D$5566,4,0)</f>
        <v>MG</v>
      </c>
    </row>
    <row r="4003" spans="1:3" x14ac:dyDescent="0.35">
      <c r="A4003">
        <v>314270</v>
      </c>
      <c r="B4003" t="str">
        <f>VLOOKUP(A4003,Planilha2!$A$2:$C$5566,3,0)</f>
        <v>MONTALVÂNIA</v>
      </c>
      <c r="C4003" t="str">
        <f>VLOOKUP(A4003,Planilha2!$A$2:$D$5566,4,0)</f>
        <v>MG</v>
      </c>
    </row>
    <row r="4004" spans="1:3" x14ac:dyDescent="0.35">
      <c r="A4004">
        <v>310825</v>
      </c>
      <c r="B4004" t="str">
        <f>VLOOKUP(A4004,Planilha2!$A$2:$C$5566,3,0)</f>
        <v>BONITO DE MINAS</v>
      </c>
      <c r="C4004" t="str">
        <f>VLOOKUP(A4004,Planilha2!$A$2:$D$5566,4,0)</f>
        <v>MG</v>
      </c>
    </row>
    <row r="4005" spans="1:3" x14ac:dyDescent="0.35">
      <c r="A4005">
        <v>313020</v>
      </c>
      <c r="B4005" t="str">
        <f>VLOOKUP(A4005,Planilha2!$A$2:$C$5566,3,0)</f>
        <v>IGARATINGA</v>
      </c>
      <c r="C4005" t="str">
        <f>VLOOKUP(A4005,Planilha2!$A$2:$D$5566,4,0)</f>
        <v>MG</v>
      </c>
    </row>
    <row r="4006" spans="1:3" x14ac:dyDescent="0.35">
      <c r="A4006">
        <v>310770</v>
      </c>
      <c r="B4006" t="str">
        <f>VLOOKUP(A4006,Planilha2!$A$2:$C$5566,3,0)</f>
        <v>BOM JESUS DO AMPARO</v>
      </c>
      <c r="C4006" t="str">
        <f>VLOOKUP(A4006,Planilha2!$A$2:$D$5566,4,0)</f>
        <v>MG</v>
      </c>
    </row>
    <row r="4007" spans="1:3" x14ac:dyDescent="0.35">
      <c r="A4007">
        <v>315260</v>
      </c>
      <c r="B4007" t="str">
        <f>VLOOKUP(A4007,Planilha2!$A$2:$C$5566,3,0)</f>
        <v>POUSO ALTO</v>
      </c>
      <c r="C4007" t="str">
        <f>VLOOKUP(A4007,Planilha2!$A$2:$D$5566,4,0)</f>
        <v>MG</v>
      </c>
    </row>
    <row r="4008" spans="1:3" x14ac:dyDescent="0.35">
      <c r="A4008">
        <v>310120</v>
      </c>
      <c r="B4008" t="str">
        <f>VLOOKUP(A4008,Planilha2!$A$2:$C$5566,3,0)</f>
        <v>AIURUOCA</v>
      </c>
      <c r="C4008" t="str">
        <f>VLOOKUP(A4008,Planilha2!$A$2:$D$5566,4,0)</f>
        <v>MG</v>
      </c>
    </row>
    <row r="4009" spans="1:3" x14ac:dyDescent="0.35">
      <c r="A4009">
        <v>316680</v>
      </c>
      <c r="B4009" t="str">
        <f>VLOOKUP(A4009,Planilha2!$A$2:$C$5566,3,0)</f>
        <v>SERRA DO SALITRE</v>
      </c>
      <c r="C4009" t="str">
        <f>VLOOKUP(A4009,Planilha2!$A$2:$D$5566,4,0)</f>
        <v>MG</v>
      </c>
    </row>
    <row r="4010" spans="1:3" x14ac:dyDescent="0.35">
      <c r="A4010">
        <v>315910</v>
      </c>
      <c r="B4010" t="str">
        <f>VLOOKUP(A4010,Planilha2!$A$2:$C$5566,3,0)</f>
        <v>SANTANA DOS MONTES</v>
      </c>
      <c r="C4010" t="str">
        <f>VLOOKUP(A4010,Planilha2!$A$2:$D$5566,4,0)</f>
        <v>MG</v>
      </c>
    </row>
    <row r="4011" spans="1:3" x14ac:dyDescent="0.35">
      <c r="A4011">
        <v>315800</v>
      </c>
      <c r="B4011" t="str">
        <f>VLOOKUP(A4011,Planilha2!$A$2:$C$5566,3,0)</f>
        <v>SANTA MARIA DE ITABIRA</v>
      </c>
      <c r="C4011" t="str">
        <f>VLOOKUP(A4011,Planilha2!$A$2:$D$5566,4,0)</f>
        <v>MG</v>
      </c>
    </row>
    <row r="4012" spans="1:3" x14ac:dyDescent="0.35">
      <c r="A4012">
        <v>312240</v>
      </c>
      <c r="B4012" t="str">
        <f>VLOOKUP(A4012,Planilha2!$A$2:$C$5566,3,0)</f>
        <v>DIVISA NOVA</v>
      </c>
      <c r="C4012" t="str">
        <f>VLOOKUP(A4012,Planilha2!$A$2:$D$5566,4,0)</f>
        <v>MG</v>
      </c>
    </row>
    <row r="4013" spans="1:3" x14ac:dyDescent="0.35">
      <c r="A4013">
        <v>313690</v>
      </c>
      <c r="B4013" t="str">
        <f>VLOOKUP(A4013,Planilha2!$A$2:$C$5566,3,0)</f>
        <v>JURUAIA</v>
      </c>
      <c r="C4013" t="str">
        <f>VLOOKUP(A4013,Planilha2!$A$2:$D$5566,4,0)</f>
        <v>MG</v>
      </c>
    </row>
    <row r="4014" spans="1:3" x14ac:dyDescent="0.35">
      <c r="A4014">
        <v>317140</v>
      </c>
      <c r="B4014" t="str">
        <f>VLOOKUP(A4014,Planilha2!$A$2:$C$5566,3,0)</f>
        <v>VIEIRAS</v>
      </c>
      <c r="C4014" t="str">
        <f>VLOOKUP(A4014,Planilha2!$A$2:$D$5566,4,0)</f>
        <v>MG</v>
      </c>
    </row>
    <row r="4015" spans="1:3" x14ac:dyDescent="0.35">
      <c r="A4015">
        <v>316294</v>
      </c>
      <c r="B4015" t="str">
        <f>VLOOKUP(A4015,Planilha2!$A$2:$C$5566,3,0)</f>
        <v>SÃO JOSÉ DA BARRA</v>
      </c>
      <c r="C4015" t="str">
        <f>VLOOKUP(A4015,Planilha2!$A$2:$D$5566,4,0)</f>
        <v>MG</v>
      </c>
    </row>
    <row r="4016" spans="1:3" x14ac:dyDescent="0.35">
      <c r="A4016">
        <v>311440</v>
      </c>
      <c r="B4016" t="str">
        <f>VLOOKUP(A4016,Planilha2!$A$2:$C$5566,3,0)</f>
        <v>CARMO DO RIO CLARO</v>
      </c>
      <c r="C4016" t="str">
        <f>VLOOKUP(A4016,Planilha2!$A$2:$D$5566,4,0)</f>
        <v>MG</v>
      </c>
    </row>
    <row r="4017" spans="1:3" x14ac:dyDescent="0.35">
      <c r="A4017">
        <v>311970</v>
      </c>
      <c r="B4017" t="str">
        <f>VLOOKUP(A4017,Planilha2!$A$2:$C$5566,3,0)</f>
        <v>CORONEL XAVIER CHAVES</v>
      </c>
      <c r="C4017" t="str">
        <f>VLOOKUP(A4017,Planilha2!$A$2:$D$5566,4,0)</f>
        <v>MG</v>
      </c>
    </row>
    <row r="4018" spans="1:3" x14ac:dyDescent="0.35">
      <c r="A4018">
        <v>314315</v>
      </c>
      <c r="B4018" t="str">
        <f>VLOOKUP(A4018,Planilha2!$A$2:$C$5566,3,0)</f>
        <v>MONTE FORMOSO</v>
      </c>
      <c r="C4018" t="str">
        <f>VLOOKUP(A4018,Planilha2!$A$2:$D$5566,4,0)</f>
        <v>MG</v>
      </c>
    </row>
    <row r="4019" spans="1:3" x14ac:dyDescent="0.35">
      <c r="A4019">
        <v>310040</v>
      </c>
      <c r="B4019" t="str">
        <f>VLOOKUP(A4019,Planilha2!$A$2:$C$5566,3,0)</f>
        <v>ACAIACA</v>
      </c>
      <c r="C4019" t="str">
        <f>VLOOKUP(A4019,Planilha2!$A$2:$D$5566,4,0)</f>
        <v>MG</v>
      </c>
    </row>
    <row r="4020" spans="1:3" x14ac:dyDescent="0.35">
      <c r="A4020">
        <v>320016</v>
      </c>
      <c r="B4020" t="str">
        <f>VLOOKUP(A4020,Planilha2!$A$2:$C$5566,3,0)</f>
        <v>ÁGUA DOCE DO NORTE</v>
      </c>
      <c r="C4020" t="str">
        <f>VLOOKUP(A4020,Planilha2!$A$2:$D$5566,4,0)</f>
        <v>ES</v>
      </c>
    </row>
    <row r="4021" spans="1:3" x14ac:dyDescent="0.35">
      <c r="A4021">
        <v>320495</v>
      </c>
      <c r="B4021" t="str">
        <f>VLOOKUP(A4021,Planilha2!$A$2:$C$5566,3,0)</f>
        <v>SÃO ROQUE DO CANAÃ</v>
      </c>
      <c r="C4021" t="str">
        <f>VLOOKUP(A4021,Planilha2!$A$2:$D$5566,4,0)</f>
        <v>ES</v>
      </c>
    </row>
    <row r="4022" spans="1:3" x14ac:dyDescent="0.35">
      <c r="A4022">
        <v>352490</v>
      </c>
      <c r="B4022" t="str">
        <f>VLOOKUP(A4022,Planilha2!$A$2:$C$5566,3,0)</f>
        <v>JAMBEIRO</v>
      </c>
      <c r="C4022" t="str">
        <f>VLOOKUP(A4022,Planilha2!$A$2:$D$5566,4,0)</f>
        <v>SP</v>
      </c>
    </row>
    <row r="4023" spans="1:3" x14ac:dyDescent="0.35">
      <c r="A4023">
        <v>354230</v>
      </c>
      <c r="B4023" t="str">
        <f>VLOOKUP(A4023,Planilha2!$A$2:$C$5566,3,0)</f>
        <v>REDENÇÃO DA SERRA</v>
      </c>
      <c r="C4023" t="str">
        <f>VLOOKUP(A4023,Planilha2!$A$2:$D$5566,4,0)</f>
        <v>SP</v>
      </c>
    </row>
    <row r="4024" spans="1:3" x14ac:dyDescent="0.35">
      <c r="A4024">
        <v>354600</v>
      </c>
      <c r="B4024" t="str">
        <f>VLOOKUP(A4024,Planilha2!$A$2:$C$5566,3,0)</f>
        <v>SANTA BRANCA</v>
      </c>
      <c r="C4024" t="str">
        <f>VLOOKUP(A4024,Planilha2!$A$2:$D$5566,4,0)</f>
        <v>SP</v>
      </c>
    </row>
    <row r="4025" spans="1:3" x14ac:dyDescent="0.35">
      <c r="A4025">
        <v>355130</v>
      </c>
      <c r="B4025" t="str">
        <f>VLOOKUP(A4025,Planilha2!$A$2:$C$5566,3,0)</f>
        <v>SEBASTIANÓPOLIS DO SUL</v>
      </c>
      <c r="C4025" t="str">
        <f>VLOOKUP(A4025,Planilha2!$A$2:$D$5566,4,0)</f>
        <v>SP</v>
      </c>
    </row>
    <row r="4026" spans="1:3" x14ac:dyDescent="0.35">
      <c r="A4026">
        <v>353690</v>
      </c>
      <c r="B4026" t="str">
        <f>VLOOKUP(A4026,Planilha2!$A$2:$C$5566,3,0)</f>
        <v>PEDRANÓPOLIS</v>
      </c>
      <c r="C4026" t="str">
        <f>VLOOKUP(A4026,Planilha2!$A$2:$D$5566,4,0)</f>
        <v>SP</v>
      </c>
    </row>
    <row r="4027" spans="1:3" x14ac:dyDescent="0.35">
      <c r="A4027">
        <v>351980</v>
      </c>
      <c r="B4027" t="str">
        <f>VLOOKUP(A4027,Planilha2!$A$2:$C$5566,3,0)</f>
        <v>ICÉM</v>
      </c>
      <c r="C4027" t="str">
        <f>VLOOKUP(A4027,Planilha2!$A$2:$D$5566,4,0)</f>
        <v>SP</v>
      </c>
    </row>
    <row r="4028" spans="1:3" x14ac:dyDescent="0.35">
      <c r="A4028">
        <v>354480</v>
      </c>
      <c r="B4028" t="str">
        <f>VLOOKUP(A4028,Planilha2!$A$2:$C$5566,3,0)</f>
        <v>SALES</v>
      </c>
      <c r="C4028" t="str">
        <f>VLOOKUP(A4028,Planilha2!$A$2:$D$5566,4,0)</f>
        <v>SP</v>
      </c>
    </row>
    <row r="4029" spans="1:3" x14ac:dyDescent="0.35">
      <c r="A4029">
        <v>351650</v>
      </c>
      <c r="B4029" t="str">
        <f>VLOOKUP(A4029,Planilha2!$A$2:$C$5566,3,0)</f>
        <v>GABRIEL MONTEIRO</v>
      </c>
      <c r="C4029" t="str">
        <f>VLOOKUP(A4029,Planilha2!$A$2:$D$5566,4,0)</f>
        <v>SP</v>
      </c>
    </row>
    <row r="4030" spans="1:3" x14ac:dyDescent="0.35">
      <c r="A4030">
        <v>354165</v>
      </c>
      <c r="B4030" t="str">
        <f>VLOOKUP(A4030,Planilha2!$A$2:$C$5566,3,0)</f>
        <v>QUADRA</v>
      </c>
      <c r="C4030" t="str">
        <f>VLOOKUP(A4030,Planilha2!$A$2:$D$5566,4,0)</f>
        <v>SP</v>
      </c>
    </row>
    <row r="4031" spans="1:3" x14ac:dyDescent="0.35">
      <c r="A4031">
        <v>350055</v>
      </c>
      <c r="B4031" t="str">
        <f>VLOOKUP(A4031,Planilha2!$A$2:$C$5566,3,0)</f>
        <v>ÁGUAS DE SANTA BÁRBARA</v>
      </c>
      <c r="C4031" t="str">
        <f>VLOOKUP(A4031,Planilha2!$A$2:$D$5566,4,0)</f>
        <v>SP</v>
      </c>
    </row>
    <row r="4032" spans="1:3" x14ac:dyDescent="0.35">
      <c r="A4032">
        <v>352890</v>
      </c>
      <c r="B4032" t="str">
        <f>VLOOKUP(A4032,Planilha2!$A$2:$C$5566,3,0)</f>
        <v>MARIÁPOLIS</v>
      </c>
      <c r="C4032" t="str">
        <f>VLOOKUP(A4032,Planilha2!$A$2:$D$5566,4,0)</f>
        <v>SP</v>
      </c>
    </row>
    <row r="4033" spans="1:3" x14ac:dyDescent="0.35">
      <c r="A4033">
        <v>290380</v>
      </c>
      <c r="B4033" t="str">
        <f>VLOOKUP(A4033,Planilha2!$A$2:$C$5566,3,0)</f>
        <v>BOA VISTA DO TUPIM</v>
      </c>
      <c r="C4033" t="str">
        <f>VLOOKUP(A4033,Planilha2!$A$2:$D$5566,4,0)</f>
        <v>BA</v>
      </c>
    </row>
    <row r="4034" spans="1:3" x14ac:dyDescent="0.35">
      <c r="A4034">
        <v>352585</v>
      </c>
      <c r="B4034" t="str">
        <f>VLOOKUP(A4034,Planilha2!$A$2:$C$5566,3,0)</f>
        <v>JUMIRIM</v>
      </c>
      <c r="C4034" t="str">
        <f>VLOOKUP(A4034,Planilha2!$A$2:$D$5566,4,0)</f>
        <v>SP</v>
      </c>
    </row>
    <row r="4035" spans="1:3" x14ac:dyDescent="0.35">
      <c r="A4035">
        <v>350130</v>
      </c>
      <c r="B4035" t="str">
        <f>VLOOKUP(A4035,Planilha2!$A$2:$C$5566,3,0)</f>
        <v>ÁLVARES MACHADO</v>
      </c>
      <c r="C4035" t="str">
        <f>VLOOKUP(A4035,Planilha2!$A$2:$D$5566,4,0)</f>
        <v>SP</v>
      </c>
    </row>
    <row r="4036" spans="1:3" x14ac:dyDescent="0.35">
      <c r="A4036">
        <v>412865</v>
      </c>
      <c r="B4036" t="str">
        <f>VLOOKUP(A4036,Planilha2!$A$2:$C$5566,3,0)</f>
        <v>VIRMOND</v>
      </c>
      <c r="C4036" t="str">
        <f>VLOOKUP(A4036,Planilha2!$A$2:$D$5566,4,0)</f>
        <v>PR</v>
      </c>
    </row>
    <row r="4037" spans="1:3" x14ac:dyDescent="0.35">
      <c r="A4037">
        <v>412160</v>
      </c>
      <c r="B4037" t="str">
        <f>VLOOKUP(A4037,Planilha2!$A$2:$C$5566,3,0)</f>
        <v>RENASCENÇA</v>
      </c>
      <c r="C4037" t="str">
        <f>VLOOKUP(A4037,Planilha2!$A$2:$D$5566,4,0)</f>
        <v>PR</v>
      </c>
    </row>
    <row r="4038" spans="1:3" x14ac:dyDescent="0.35">
      <c r="A4038">
        <v>410710</v>
      </c>
      <c r="B4038" t="str">
        <f>VLOOKUP(A4038,Planilha2!$A$2:$C$5566,3,0)</f>
        <v>DIAMANTE DO NORTE</v>
      </c>
      <c r="C4038" t="str">
        <f>VLOOKUP(A4038,Planilha2!$A$2:$D$5566,4,0)</f>
        <v>PR</v>
      </c>
    </row>
    <row r="4039" spans="1:3" x14ac:dyDescent="0.35">
      <c r="A4039">
        <v>410657</v>
      </c>
      <c r="B4039" t="str">
        <f>VLOOKUP(A4039,Planilha2!$A$2:$C$5566,3,0)</f>
        <v>CRUZEIRO DO IGUAÇU</v>
      </c>
      <c r="C4039" t="str">
        <f>VLOOKUP(A4039,Planilha2!$A$2:$D$5566,4,0)</f>
        <v>PR</v>
      </c>
    </row>
    <row r="4040" spans="1:3" x14ac:dyDescent="0.35">
      <c r="A4040">
        <v>412440</v>
      </c>
      <c r="B4040" t="str">
        <f>VLOOKUP(A4040,Planilha2!$A$2:$C$5566,3,0)</f>
        <v>SANTO ANTÔNIO DO SUDOESTE</v>
      </c>
      <c r="C4040" t="str">
        <f>VLOOKUP(A4040,Planilha2!$A$2:$D$5566,4,0)</f>
        <v>PR</v>
      </c>
    </row>
    <row r="4041" spans="1:3" x14ac:dyDescent="0.35">
      <c r="A4041">
        <v>410712</v>
      </c>
      <c r="B4041" t="str">
        <f>VLOOKUP(A4041,Planilha2!$A$2:$C$5566,3,0)</f>
        <v>DIAMANTE DO SUL</v>
      </c>
      <c r="C4041" t="str">
        <f>VLOOKUP(A4041,Planilha2!$A$2:$D$5566,4,0)</f>
        <v>PR</v>
      </c>
    </row>
    <row r="4042" spans="1:3" x14ac:dyDescent="0.35">
      <c r="A4042">
        <v>412110</v>
      </c>
      <c r="B4042" t="str">
        <f>VLOOKUP(A4042,Planilha2!$A$2:$C$5566,3,0)</f>
        <v>QUINTA DO SOL</v>
      </c>
      <c r="C4042" t="str">
        <f>VLOOKUP(A4042,Planilha2!$A$2:$D$5566,4,0)</f>
        <v>PR</v>
      </c>
    </row>
    <row r="4043" spans="1:3" x14ac:dyDescent="0.35">
      <c r="A4043">
        <v>411080</v>
      </c>
      <c r="B4043" t="str">
        <f>VLOOKUP(A4043,Planilha2!$A$2:$C$5566,3,0)</f>
        <v>IRETAMA</v>
      </c>
      <c r="C4043" t="str">
        <f>VLOOKUP(A4043,Planilha2!$A$2:$D$5566,4,0)</f>
        <v>PR</v>
      </c>
    </row>
    <row r="4044" spans="1:3" x14ac:dyDescent="0.35">
      <c r="A4044">
        <v>410655</v>
      </c>
      <c r="B4044" t="str">
        <f>VLOOKUP(A4044,Planilha2!$A$2:$C$5566,3,0)</f>
        <v>CORUMBATAÍ DO SUL</v>
      </c>
      <c r="C4044" t="str">
        <f>VLOOKUP(A4044,Planilha2!$A$2:$D$5566,4,0)</f>
        <v>PR</v>
      </c>
    </row>
    <row r="4045" spans="1:3" x14ac:dyDescent="0.35">
      <c r="A4045">
        <v>412635</v>
      </c>
      <c r="B4045" t="str">
        <f>VLOOKUP(A4045,Planilha2!$A$2:$C$5566,3,0)</f>
        <v>SERRANÓPOLIS DO IGUAÇU</v>
      </c>
      <c r="C4045" t="str">
        <f>VLOOKUP(A4045,Planilha2!$A$2:$D$5566,4,0)</f>
        <v>PR</v>
      </c>
    </row>
    <row r="4046" spans="1:3" x14ac:dyDescent="0.35">
      <c r="A4046">
        <v>410990</v>
      </c>
      <c r="B4046" t="str">
        <f>VLOOKUP(A4046,Planilha2!$A$2:$C$5566,3,0)</f>
        <v>ICARAÍMA</v>
      </c>
      <c r="C4046" t="str">
        <f>VLOOKUP(A4046,Planilha2!$A$2:$D$5566,4,0)</f>
        <v>PR</v>
      </c>
    </row>
    <row r="4047" spans="1:3" x14ac:dyDescent="0.35">
      <c r="A4047">
        <v>412535</v>
      </c>
      <c r="B4047" t="str">
        <f>VLOOKUP(A4047,Planilha2!$A$2:$C$5566,3,0)</f>
        <v>SÃO JORGE DO PATROCÍNIO</v>
      </c>
      <c r="C4047" t="str">
        <f>VLOOKUP(A4047,Planilha2!$A$2:$D$5566,4,0)</f>
        <v>PR</v>
      </c>
    </row>
    <row r="4048" spans="1:3" x14ac:dyDescent="0.35">
      <c r="A4048">
        <v>410090</v>
      </c>
      <c r="B4048" t="str">
        <f>VLOOKUP(A4048,Planilha2!$A$2:$C$5566,3,0)</f>
        <v>AMAPORÃ</v>
      </c>
      <c r="C4048" t="str">
        <f>VLOOKUP(A4048,Planilha2!$A$2:$D$5566,4,0)</f>
        <v>PR</v>
      </c>
    </row>
    <row r="4049" spans="1:3" x14ac:dyDescent="0.35">
      <c r="A4049">
        <v>412210</v>
      </c>
      <c r="B4049" t="str">
        <f>VLOOKUP(A4049,Planilha2!$A$2:$C$5566,3,0)</f>
        <v>RIO BOM</v>
      </c>
      <c r="C4049" t="str">
        <f>VLOOKUP(A4049,Planilha2!$A$2:$D$5566,4,0)</f>
        <v>PR</v>
      </c>
    </row>
    <row r="4050" spans="1:3" x14ac:dyDescent="0.35">
      <c r="A4050">
        <v>410280</v>
      </c>
      <c r="B4050" t="str">
        <f>VLOOKUP(A4050,Planilha2!$A$2:$C$5566,3,0)</f>
        <v>BELA VISTA DO PARAÍSO</v>
      </c>
      <c r="C4050" t="str">
        <f>VLOOKUP(A4050,Planilha2!$A$2:$D$5566,4,0)</f>
        <v>PR</v>
      </c>
    </row>
    <row r="4051" spans="1:3" x14ac:dyDescent="0.35">
      <c r="A4051">
        <v>412150</v>
      </c>
      <c r="B4051" t="str">
        <f>VLOOKUP(A4051,Planilha2!$A$2:$C$5566,3,0)</f>
        <v>REBOUÇAS</v>
      </c>
      <c r="C4051" t="str">
        <f>VLOOKUP(A4051,Planilha2!$A$2:$D$5566,4,0)</f>
        <v>PR</v>
      </c>
    </row>
    <row r="4052" spans="1:3" x14ac:dyDescent="0.35">
      <c r="A4052">
        <v>412620</v>
      </c>
      <c r="B4052" t="str">
        <f>VLOOKUP(A4052,Planilha2!$A$2:$C$5566,3,0)</f>
        <v>SAPOPEMA</v>
      </c>
      <c r="C4052" t="str">
        <f>VLOOKUP(A4052,Planilha2!$A$2:$D$5566,4,0)</f>
        <v>PR</v>
      </c>
    </row>
    <row r="4053" spans="1:3" x14ac:dyDescent="0.35">
      <c r="A4053">
        <v>412470</v>
      </c>
      <c r="B4053" t="str">
        <f>VLOOKUP(A4053,Planilha2!$A$2:$C$5566,3,0)</f>
        <v>SÃO JERÔNIMO DA SERRA</v>
      </c>
      <c r="C4053" t="str">
        <f>VLOOKUP(A4053,Planilha2!$A$2:$D$5566,4,0)</f>
        <v>PR</v>
      </c>
    </row>
    <row r="4054" spans="1:3" x14ac:dyDescent="0.35">
      <c r="A4054">
        <v>421189</v>
      </c>
      <c r="B4054" t="str">
        <f>VLOOKUP(A4054,Planilha2!$A$2:$C$5566,3,0)</f>
        <v>PAINEL</v>
      </c>
      <c r="C4054" t="str">
        <f>VLOOKUP(A4054,Planilha2!$A$2:$D$5566,4,0)</f>
        <v>SC</v>
      </c>
    </row>
    <row r="4055" spans="1:3" x14ac:dyDescent="0.35">
      <c r="A4055">
        <v>420800</v>
      </c>
      <c r="B4055" t="str">
        <f>VLOOKUP(A4055,Planilha2!$A$2:$C$5566,3,0)</f>
        <v>ITÁ</v>
      </c>
      <c r="C4055" t="str">
        <f>VLOOKUP(A4055,Planilha2!$A$2:$D$5566,4,0)</f>
        <v>SC</v>
      </c>
    </row>
    <row r="4056" spans="1:3" x14ac:dyDescent="0.35">
      <c r="A4056">
        <v>420760</v>
      </c>
      <c r="B4056" t="str">
        <f>VLOOKUP(A4056,Planilha2!$A$2:$C$5566,3,0)</f>
        <v>IPIRA</v>
      </c>
      <c r="C4056" t="str">
        <f>VLOOKUP(A4056,Planilha2!$A$2:$D$5566,4,0)</f>
        <v>SC</v>
      </c>
    </row>
    <row r="4057" spans="1:3" x14ac:dyDescent="0.35">
      <c r="A4057">
        <v>421220</v>
      </c>
      <c r="B4057" t="str">
        <f>VLOOKUP(A4057,Planilha2!$A$2:$C$5566,3,0)</f>
        <v>PAPANDUVA</v>
      </c>
      <c r="C4057" t="str">
        <f>VLOOKUP(A4057,Planilha2!$A$2:$D$5566,4,0)</f>
        <v>SC</v>
      </c>
    </row>
    <row r="4058" spans="1:3" x14ac:dyDescent="0.35">
      <c r="A4058">
        <v>421567</v>
      </c>
      <c r="B4058" t="str">
        <f>VLOOKUP(A4058,Planilha2!$A$2:$C$5566,3,0)</f>
        <v>SANTA TEREZINHA</v>
      </c>
      <c r="C4058" t="str">
        <f>VLOOKUP(A4058,Planilha2!$A$2:$D$5566,4,0)</f>
        <v>SC</v>
      </c>
    </row>
    <row r="4059" spans="1:3" x14ac:dyDescent="0.35">
      <c r="A4059">
        <v>420680</v>
      </c>
      <c r="B4059" t="str">
        <f>VLOOKUP(A4059,Planilha2!$A$2:$C$5566,3,0)</f>
        <v>IBICARÉ</v>
      </c>
      <c r="C4059" t="str">
        <f>VLOOKUP(A4059,Planilha2!$A$2:$D$5566,4,0)</f>
        <v>SC</v>
      </c>
    </row>
    <row r="4060" spans="1:3" x14ac:dyDescent="0.35">
      <c r="A4060">
        <v>420960</v>
      </c>
      <c r="B4060" t="str">
        <f>VLOOKUP(A4060,Planilha2!$A$2:$C$5566,3,0)</f>
        <v>LAURO MULLER</v>
      </c>
      <c r="C4060" t="str">
        <f>VLOOKUP(A4060,Planilha2!$A$2:$D$5566,4,0)</f>
        <v>SC</v>
      </c>
    </row>
    <row r="4061" spans="1:3" x14ac:dyDescent="0.35">
      <c r="A4061">
        <v>420790</v>
      </c>
      <c r="B4061" t="str">
        <f>VLOOKUP(A4061,Planilha2!$A$2:$C$5566,3,0)</f>
        <v>IRINEÓPOLIS</v>
      </c>
      <c r="C4061" t="str">
        <f>VLOOKUP(A4061,Planilha2!$A$2:$D$5566,4,0)</f>
        <v>SC</v>
      </c>
    </row>
    <row r="4062" spans="1:3" x14ac:dyDescent="0.35">
      <c r="A4062">
        <v>432100</v>
      </c>
      <c r="B4062" t="str">
        <f>VLOOKUP(A4062,Planilha2!$A$2:$C$5566,3,0)</f>
        <v>TAPERA</v>
      </c>
      <c r="C4062" t="str">
        <f>VLOOKUP(A4062,Planilha2!$A$2:$D$5566,4,0)</f>
        <v>RS</v>
      </c>
    </row>
    <row r="4063" spans="1:3" x14ac:dyDescent="0.35">
      <c r="A4063">
        <v>430965</v>
      </c>
      <c r="B4063" t="str">
        <f>VLOOKUP(A4063,Planilha2!$A$2:$C$5566,3,0)</f>
        <v>HULHA NEGRA</v>
      </c>
      <c r="C4063" t="str">
        <f>VLOOKUP(A4063,Planilha2!$A$2:$D$5566,4,0)</f>
        <v>RS</v>
      </c>
    </row>
    <row r="4064" spans="1:3" x14ac:dyDescent="0.35">
      <c r="A4064">
        <v>431335</v>
      </c>
      <c r="B4064" t="str">
        <f>VLOOKUP(A4064,Planilha2!$A$2:$C$5566,3,0)</f>
        <v>NOVA ROMA DO SUL</v>
      </c>
      <c r="C4064" t="str">
        <f>VLOOKUP(A4064,Planilha2!$A$2:$D$5566,4,0)</f>
        <v>RS</v>
      </c>
    </row>
    <row r="4065" spans="1:3" x14ac:dyDescent="0.35">
      <c r="A4065">
        <v>431930</v>
      </c>
      <c r="B4065" t="str">
        <f>VLOOKUP(A4065,Planilha2!$A$2:$C$5566,3,0)</f>
        <v>SÃO PAULO DAS MISSÕES</v>
      </c>
      <c r="C4065" t="str">
        <f>VLOOKUP(A4065,Planilha2!$A$2:$D$5566,4,0)</f>
        <v>RS</v>
      </c>
    </row>
    <row r="4066" spans="1:3" x14ac:dyDescent="0.35">
      <c r="A4066">
        <v>431053</v>
      </c>
      <c r="B4066" t="str">
        <f>VLOOKUP(A4066,Planilha2!$A$2:$C$5566,3,0)</f>
        <v>ITAARA</v>
      </c>
      <c r="C4066" t="str">
        <f>VLOOKUP(A4066,Planilha2!$A$2:$D$5566,4,0)</f>
        <v>RS</v>
      </c>
    </row>
    <row r="4067" spans="1:3" x14ac:dyDescent="0.35">
      <c r="A4067">
        <v>500500</v>
      </c>
      <c r="B4067" t="str">
        <f>VLOOKUP(A4067,Planilha2!$A$2:$C$5566,3,0)</f>
        <v>JARDIM</v>
      </c>
      <c r="C4067" t="str">
        <f>VLOOKUP(A4067,Planilha2!$A$2:$D$5566,4,0)</f>
        <v>MS</v>
      </c>
    </row>
    <row r="4068" spans="1:3" x14ac:dyDescent="0.35">
      <c r="A4068">
        <v>500755</v>
      </c>
      <c r="B4068" t="str">
        <f>VLOOKUP(A4068,Planilha2!$A$2:$C$5566,3,0)</f>
        <v>SANTA RITA DO PARDO</v>
      </c>
      <c r="C4068" t="str">
        <f>VLOOKUP(A4068,Planilha2!$A$2:$D$5566,4,0)</f>
        <v>MS</v>
      </c>
    </row>
    <row r="4069" spans="1:3" x14ac:dyDescent="0.35">
      <c r="A4069">
        <v>500315</v>
      </c>
      <c r="B4069" t="str">
        <f>VLOOKUP(A4069,Planilha2!$A$2:$C$5566,3,0)</f>
        <v>CORONEL SAPUCAIA</v>
      </c>
      <c r="C4069" t="str">
        <f>VLOOKUP(A4069,Planilha2!$A$2:$D$5566,4,0)</f>
        <v>MS</v>
      </c>
    </row>
    <row r="4070" spans="1:3" x14ac:dyDescent="0.35">
      <c r="A4070">
        <v>521940</v>
      </c>
      <c r="B4070" t="str">
        <f>VLOOKUP(A4070,Planilha2!$A$2:$C$5566,3,0)</f>
        <v>SANTA RITA DO ARAGUAIA</v>
      </c>
      <c r="C4070" t="str">
        <f>VLOOKUP(A4070,Planilha2!$A$2:$D$5566,4,0)</f>
        <v>GO</v>
      </c>
    </row>
    <row r="4071" spans="1:3" x14ac:dyDescent="0.35">
      <c r="A4071">
        <v>500793</v>
      </c>
      <c r="B4071" t="str">
        <f>VLOOKUP(A4071,Planilha2!$A$2:$C$5566,3,0)</f>
        <v>SONORA</v>
      </c>
      <c r="C4071" t="str">
        <f>VLOOKUP(A4071,Planilha2!$A$2:$D$5566,4,0)</f>
        <v>MS</v>
      </c>
    </row>
    <row r="4072" spans="1:3" x14ac:dyDescent="0.35">
      <c r="A4072">
        <v>510720</v>
      </c>
      <c r="B4072" t="str">
        <f>VLOOKUP(A4072,Planilha2!$A$2:$C$5566,3,0)</f>
        <v>RIO BRANCO</v>
      </c>
      <c r="C4072" t="str">
        <f>VLOOKUP(A4072,Planilha2!$A$2:$D$5566,4,0)</f>
        <v>MT</v>
      </c>
    </row>
    <row r="4073" spans="1:3" x14ac:dyDescent="0.35">
      <c r="A4073">
        <v>510450</v>
      </c>
      <c r="B4073" t="str">
        <f>VLOOKUP(A4073,Planilha2!$A$2:$C$5566,3,0)</f>
        <v>INDIAVAÍ</v>
      </c>
      <c r="C4073" t="str">
        <f>VLOOKUP(A4073,Planilha2!$A$2:$D$5566,4,0)</f>
        <v>MT</v>
      </c>
    </row>
    <row r="4074" spans="1:3" x14ac:dyDescent="0.35">
      <c r="A4074">
        <v>510715</v>
      </c>
      <c r="B4074" t="str">
        <f>VLOOKUP(A4074,Planilha2!$A$2:$C$5566,3,0)</f>
        <v>RESERVA DO CABAÇAL</v>
      </c>
      <c r="C4074" t="str">
        <f>VLOOKUP(A4074,Planilha2!$A$2:$D$5566,4,0)</f>
        <v>MT</v>
      </c>
    </row>
    <row r="4075" spans="1:3" x14ac:dyDescent="0.35">
      <c r="A4075">
        <v>522170</v>
      </c>
      <c r="B4075" t="str">
        <f>VLOOKUP(A4075,Planilha2!$A$2:$C$5566,3,0)</f>
        <v>URUANA</v>
      </c>
      <c r="C4075" t="str">
        <f>VLOOKUP(A4075,Planilha2!$A$2:$D$5566,4,0)</f>
        <v>GO</v>
      </c>
    </row>
    <row r="4076" spans="1:3" x14ac:dyDescent="0.35">
      <c r="A4076">
        <v>520215</v>
      </c>
      <c r="B4076" t="str">
        <f>VLOOKUP(A4076,Planilha2!$A$2:$C$5566,3,0)</f>
        <v>ARAGUAPAZ</v>
      </c>
      <c r="C4076" t="str">
        <f>VLOOKUP(A4076,Planilha2!$A$2:$D$5566,4,0)</f>
        <v>GO</v>
      </c>
    </row>
    <row r="4077" spans="1:3" x14ac:dyDescent="0.35">
      <c r="A4077">
        <v>520082</v>
      </c>
      <c r="B4077" t="str">
        <f>VLOOKUP(A4077,Planilha2!$A$2:$C$5566,3,0)</f>
        <v>AMARALINA</v>
      </c>
      <c r="C4077" t="str">
        <f>VLOOKUP(A4077,Planilha2!$A$2:$D$5566,4,0)</f>
        <v>GO</v>
      </c>
    </row>
    <row r="4078" spans="1:3" x14ac:dyDescent="0.35">
      <c r="A4078">
        <v>430845</v>
      </c>
      <c r="B4078" t="str">
        <f>VLOOKUP(A4078,Planilha2!$A$2:$C$5566,3,0)</f>
        <v>FORTALEZA DOS VALOS</v>
      </c>
      <c r="C4078" t="str">
        <f>VLOOKUP(A4078,Planilha2!$A$2:$D$5566,4,0)</f>
        <v>RS</v>
      </c>
    </row>
    <row r="4079" spans="1:3" x14ac:dyDescent="0.35">
      <c r="A4079">
        <v>150410</v>
      </c>
      <c r="B4079" t="str">
        <f>VLOOKUP(A4079,Planilha2!$A$2:$C$5566,3,0)</f>
        <v>MAGALHÃES BARATA</v>
      </c>
      <c r="C4079" t="str">
        <f>VLOOKUP(A4079,Planilha2!$A$2:$D$5566,4,0)</f>
        <v>PA</v>
      </c>
    </row>
    <row r="4080" spans="1:3" x14ac:dyDescent="0.35">
      <c r="A4080">
        <v>110092</v>
      </c>
      <c r="B4080" t="str">
        <f>VLOOKUP(A4080,Planilha2!$A$2:$C$5566,3,0)</f>
        <v>CHUPINGUAIA</v>
      </c>
      <c r="C4080" t="str">
        <f>VLOOKUP(A4080,Planilha2!$A$2:$D$5566,4,0)</f>
        <v>RO</v>
      </c>
    </row>
    <row r="4081" spans="1:3" x14ac:dyDescent="0.35">
      <c r="A4081">
        <v>170215</v>
      </c>
      <c r="B4081" t="str">
        <f>VLOOKUP(A4081,Planilha2!$A$2:$C$5566,3,0)</f>
        <v>ARAGUANÃ</v>
      </c>
      <c r="C4081" t="str">
        <f>VLOOKUP(A4081,Planilha2!$A$2:$D$5566,4,0)</f>
        <v>TO</v>
      </c>
    </row>
    <row r="4082" spans="1:3" x14ac:dyDescent="0.35">
      <c r="A4082">
        <v>210390</v>
      </c>
      <c r="B4082" t="str">
        <f>VLOOKUP(A4082,Planilha2!$A$2:$C$5566,3,0)</f>
        <v>DUQUE BACELAR</v>
      </c>
      <c r="C4082" t="str">
        <f>VLOOKUP(A4082,Planilha2!$A$2:$D$5566,4,0)</f>
        <v>MA</v>
      </c>
    </row>
    <row r="4083" spans="1:3" x14ac:dyDescent="0.35">
      <c r="A4083">
        <v>221037</v>
      </c>
      <c r="B4083" t="str">
        <f>VLOOKUP(A4083,Planilha2!$A$2:$C$5566,3,0)</f>
        <v>SÃO LUIS DO PIAUÍ</v>
      </c>
      <c r="C4083" t="str">
        <f>VLOOKUP(A4083,Planilha2!$A$2:$D$5566,4,0)</f>
        <v>PI</v>
      </c>
    </row>
    <row r="4084" spans="1:3" x14ac:dyDescent="0.35">
      <c r="A4084">
        <v>220545</v>
      </c>
      <c r="B4084" t="str">
        <f>VLOOKUP(A4084,Planilha2!$A$2:$C$5566,3,0)</f>
        <v>JOCA MARQUES</v>
      </c>
      <c r="C4084" t="str">
        <f>VLOOKUP(A4084,Planilha2!$A$2:$D$5566,4,0)</f>
        <v>PI</v>
      </c>
    </row>
    <row r="4085" spans="1:3" x14ac:dyDescent="0.35">
      <c r="A4085">
        <v>220070</v>
      </c>
      <c r="B4085" t="str">
        <f>VLOOKUP(A4085,Planilha2!$A$2:$C$5566,3,0)</f>
        <v>ANÍSIO DE ABREU</v>
      </c>
      <c r="C4085" t="str">
        <f>VLOOKUP(A4085,Planilha2!$A$2:$D$5566,4,0)</f>
        <v>PI</v>
      </c>
    </row>
    <row r="4086" spans="1:3" x14ac:dyDescent="0.35">
      <c r="A4086">
        <v>220600</v>
      </c>
      <c r="B4086" t="str">
        <f>VLOOKUP(A4086,Planilha2!$A$2:$C$5566,3,0)</f>
        <v>MARCOS PARENTE</v>
      </c>
      <c r="C4086" t="str">
        <f>VLOOKUP(A4086,Planilha2!$A$2:$D$5566,4,0)</f>
        <v>PI</v>
      </c>
    </row>
    <row r="4087" spans="1:3" x14ac:dyDescent="0.35">
      <c r="A4087">
        <v>241320</v>
      </c>
      <c r="B4087" t="str">
        <f>VLOOKUP(A4087,Planilha2!$A$2:$C$5566,3,0)</f>
        <v>SENADOR GEORGINO AVELINO</v>
      </c>
      <c r="C4087" t="str">
        <f>VLOOKUP(A4087,Planilha2!$A$2:$D$5566,4,0)</f>
        <v>RN</v>
      </c>
    </row>
    <row r="4088" spans="1:3" x14ac:dyDescent="0.35">
      <c r="A4088">
        <v>241070</v>
      </c>
      <c r="B4088" t="str">
        <f>VLOOKUP(A4088,Planilha2!$A$2:$C$5566,3,0)</f>
        <v>RIACHO DA CRUZ</v>
      </c>
      <c r="C4088" t="str">
        <f>VLOOKUP(A4088,Planilha2!$A$2:$D$5566,4,0)</f>
        <v>RN</v>
      </c>
    </row>
    <row r="4089" spans="1:3" x14ac:dyDescent="0.35">
      <c r="A4089">
        <v>251060</v>
      </c>
      <c r="B4089" t="str">
        <f>VLOOKUP(A4089,Planilha2!$A$2:$C$5566,3,0)</f>
        <v>OURO VELHO</v>
      </c>
      <c r="C4089" t="str">
        <f>VLOOKUP(A4089,Planilha2!$A$2:$D$5566,4,0)</f>
        <v>PB</v>
      </c>
    </row>
    <row r="4090" spans="1:3" x14ac:dyDescent="0.35">
      <c r="A4090">
        <v>250650</v>
      </c>
      <c r="B4090" t="str">
        <f>VLOOKUP(A4090,Planilha2!$A$2:$C$5566,3,0)</f>
        <v>GURJÃO</v>
      </c>
      <c r="C4090" t="str">
        <f>VLOOKUP(A4090,Planilha2!$A$2:$D$5566,4,0)</f>
        <v>PB</v>
      </c>
    </row>
    <row r="4091" spans="1:3" x14ac:dyDescent="0.35">
      <c r="A4091">
        <v>251680</v>
      </c>
      <c r="B4091" t="str">
        <f>VLOOKUP(A4091,Planilha2!$A$2:$C$5566,3,0)</f>
        <v>TRIUNFO</v>
      </c>
      <c r="C4091" t="str">
        <f>VLOOKUP(A4091,Planilha2!$A$2:$D$5566,4,0)</f>
        <v>PB</v>
      </c>
    </row>
    <row r="4092" spans="1:3" x14ac:dyDescent="0.35">
      <c r="A4092">
        <v>250280</v>
      </c>
      <c r="B4092" t="str">
        <f>VLOOKUP(A4092,Planilha2!$A$2:$C$5566,3,0)</f>
        <v>BREJO DO CRUZ</v>
      </c>
      <c r="C4092" t="str">
        <f>VLOOKUP(A4092,Planilha2!$A$2:$D$5566,4,0)</f>
        <v>PB</v>
      </c>
    </row>
    <row r="4093" spans="1:3" x14ac:dyDescent="0.35">
      <c r="A4093">
        <v>290020</v>
      </c>
      <c r="B4093" t="str">
        <f>VLOOKUP(A4093,Planilha2!$A$2:$C$5566,3,0)</f>
        <v>ABARÉ</v>
      </c>
      <c r="C4093" t="str">
        <f>VLOOKUP(A4093,Planilha2!$A$2:$D$5566,4,0)</f>
        <v>BA</v>
      </c>
    </row>
    <row r="4094" spans="1:3" x14ac:dyDescent="0.35">
      <c r="A4094">
        <v>312850</v>
      </c>
      <c r="B4094" t="str">
        <f>VLOOKUP(A4094,Planilha2!$A$2:$C$5566,3,0)</f>
        <v>GUARARÁ</v>
      </c>
      <c r="C4094" t="str">
        <f>VLOOKUP(A4094,Planilha2!$A$2:$D$5566,4,0)</f>
        <v>MG</v>
      </c>
    </row>
    <row r="4095" spans="1:3" x14ac:dyDescent="0.35">
      <c r="A4095">
        <v>313660</v>
      </c>
      <c r="B4095" t="str">
        <f>VLOOKUP(A4095,Planilha2!$A$2:$C$5566,3,0)</f>
        <v>NOVA UNIÃO</v>
      </c>
      <c r="C4095" t="str">
        <f>VLOOKUP(A4095,Planilha2!$A$2:$D$5566,4,0)</f>
        <v>MG</v>
      </c>
    </row>
    <row r="4096" spans="1:3" x14ac:dyDescent="0.35">
      <c r="A4096">
        <v>313810</v>
      </c>
      <c r="B4096" t="str">
        <f>VLOOKUP(A4096,Planilha2!$A$2:$C$5566,3,0)</f>
        <v>LASSANCE</v>
      </c>
      <c r="C4096" t="str">
        <f>VLOOKUP(A4096,Planilha2!$A$2:$D$5566,4,0)</f>
        <v>MG</v>
      </c>
    </row>
    <row r="4097" spans="1:3" x14ac:dyDescent="0.35">
      <c r="A4097">
        <v>315727</v>
      </c>
      <c r="B4097" t="str">
        <f>VLOOKUP(A4097,Planilha2!$A$2:$C$5566,3,0)</f>
        <v>SANTA BÁRBARA DO MONTE VERDE</v>
      </c>
      <c r="C4097" t="str">
        <f>VLOOKUP(A4097,Planilha2!$A$2:$D$5566,4,0)</f>
        <v>MG</v>
      </c>
    </row>
    <row r="4098" spans="1:3" x14ac:dyDescent="0.35">
      <c r="A4098">
        <v>311620</v>
      </c>
      <c r="B4098" t="str">
        <f>VLOOKUP(A4098,Planilha2!$A$2:$C$5566,3,0)</f>
        <v>CHIADOR</v>
      </c>
      <c r="C4098" t="str">
        <f>VLOOKUP(A4098,Planilha2!$A$2:$D$5566,4,0)</f>
        <v>MG</v>
      </c>
    </row>
    <row r="4099" spans="1:3" x14ac:dyDescent="0.35">
      <c r="A4099">
        <v>350730</v>
      </c>
      <c r="B4099" t="str">
        <f>VLOOKUP(A4099,Planilha2!$A$2:$C$5566,3,0)</f>
        <v>BORACÉIA</v>
      </c>
      <c r="C4099" t="str">
        <f>VLOOKUP(A4099,Planilha2!$A$2:$D$5566,4,0)</f>
        <v>SP</v>
      </c>
    </row>
    <row r="4100" spans="1:3" x14ac:dyDescent="0.35">
      <c r="A4100">
        <v>355385</v>
      </c>
      <c r="B4100" t="str">
        <f>VLOOKUP(A4100,Planilha2!$A$2:$C$5566,3,0)</f>
        <v>TAQUARIVAÍ</v>
      </c>
      <c r="C4100" t="str">
        <f>VLOOKUP(A4100,Planilha2!$A$2:$D$5566,4,0)</f>
        <v>SP</v>
      </c>
    </row>
    <row r="4101" spans="1:3" x14ac:dyDescent="0.35">
      <c r="A4101">
        <v>352070</v>
      </c>
      <c r="B4101" t="str">
        <f>VLOOKUP(A4101,Planilha2!$A$2:$C$5566,3,0)</f>
        <v>INDIAPORÃ</v>
      </c>
      <c r="C4101" t="str">
        <f>VLOOKUP(A4101,Planilha2!$A$2:$D$5566,4,0)</f>
        <v>SP</v>
      </c>
    </row>
    <row r="4102" spans="1:3" x14ac:dyDescent="0.35">
      <c r="A4102">
        <v>411010</v>
      </c>
      <c r="B4102" t="str">
        <f>VLOOKUP(A4102,Planilha2!$A$2:$C$5566,3,0)</f>
        <v>IMBITUVA</v>
      </c>
      <c r="C4102" t="str">
        <f>VLOOKUP(A4102,Planilha2!$A$2:$D$5566,4,0)</f>
        <v>PR</v>
      </c>
    </row>
    <row r="4103" spans="1:3" x14ac:dyDescent="0.35">
      <c r="A4103">
        <v>410910</v>
      </c>
      <c r="B4103" t="str">
        <f>VLOOKUP(A4103,Planilha2!$A$2:$C$5566,3,0)</f>
        <v>GUAPOREMA</v>
      </c>
      <c r="C4103" t="str">
        <f>VLOOKUP(A4103,Planilha2!$A$2:$D$5566,4,0)</f>
        <v>PR</v>
      </c>
    </row>
    <row r="4104" spans="1:3" x14ac:dyDescent="0.35">
      <c r="A4104">
        <v>410775</v>
      </c>
      <c r="B4104" t="str">
        <f>VLOOKUP(A4104,Planilha2!$A$2:$C$5566,3,0)</f>
        <v>FIGUEIRA</v>
      </c>
      <c r="C4104" t="str">
        <f>VLOOKUP(A4104,Planilha2!$A$2:$D$5566,4,0)</f>
        <v>PR</v>
      </c>
    </row>
    <row r="4105" spans="1:3" x14ac:dyDescent="0.35">
      <c r="A4105">
        <v>410020</v>
      </c>
      <c r="B4105" t="str">
        <f>VLOOKUP(A4105,Planilha2!$A$2:$C$5566,3,0)</f>
        <v>ADRIANÓPOLIS</v>
      </c>
      <c r="C4105" t="str">
        <f>VLOOKUP(A4105,Planilha2!$A$2:$D$5566,4,0)</f>
        <v>PR</v>
      </c>
    </row>
    <row r="4106" spans="1:3" x14ac:dyDescent="0.35">
      <c r="A4106">
        <v>412265</v>
      </c>
      <c r="B4106" t="str">
        <f>VLOOKUP(A4106,Planilha2!$A$2:$C$5566,3,0)</f>
        <v>ROSÁRIO DO IVAÍ</v>
      </c>
      <c r="C4106" t="str">
        <f>VLOOKUP(A4106,Planilha2!$A$2:$D$5566,4,0)</f>
        <v>PR</v>
      </c>
    </row>
    <row r="4107" spans="1:3" x14ac:dyDescent="0.35">
      <c r="A4107">
        <v>431550</v>
      </c>
      <c r="B4107" t="str">
        <f>VLOOKUP(A4107,Planilha2!$A$2:$C$5566,3,0)</f>
        <v>RESTINGA SECA</v>
      </c>
      <c r="C4107" t="str">
        <f>VLOOKUP(A4107,Planilha2!$A$2:$D$5566,4,0)</f>
        <v>RS</v>
      </c>
    </row>
    <row r="4108" spans="1:3" x14ac:dyDescent="0.35">
      <c r="A4108">
        <v>430465</v>
      </c>
      <c r="B4108" t="str">
        <f>VLOOKUP(A4108,Planilha2!$A$2:$C$5566,3,0)</f>
        <v>CAPÃO DO CIPÓ</v>
      </c>
      <c r="C4108" t="str">
        <f>VLOOKUP(A4108,Planilha2!$A$2:$D$5566,4,0)</f>
        <v>RS</v>
      </c>
    </row>
    <row r="4109" spans="1:3" x14ac:dyDescent="0.35">
      <c r="A4109">
        <v>430915</v>
      </c>
      <c r="B4109" t="str">
        <f>VLOOKUP(A4109,Planilha2!$A$2:$C$5566,3,0)</f>
        <v>GRAMADO XAVIER</v>
      </c>
      <c r="C4109" t="str">
        <f>VLOOKUP(A4109,Planilha2!$A$2:$D$5566,4,0)</f>
        <v>RS</v>
      </c>
    </row>
    <row r="4110" spans="1:3" x14ac:dyDescent="0.35">
      <c r="A4110">
        <v>431112</v>
      </c>
      <c r="B4110" t="str">
        <f>VLOOKUP(A4110,Planilha2!$A$2:$C$5566,3,0)</f>
        <v>JAQUIRANA</v>
      </c>
      <c r="C4110" t="str">
        <f>VLOOKUP(A4110,Planilha2!$A$2:$D$5566,4,0)</f>
        <v>RS</v>
      </c>
    </row>
    <row r="4111" spans="1:3" x14ac:dyDescent="0.35">
      <c r="A4111">
        <v>500310</v>
      </c>
      <c r="B4111" t="str">
        <f>VLOOKUP(A4111,Planilha2!$A$2:$C$5566,3,0)</f>
        <v>CORGUINHO</v>
      </c>
      <c r="C4111" t="str">
        <f>VLOOKUP(A4111,Planilha2!$A$2:$D$5566,4,0)</f>
        <v>MS</v>
      </c>
    </row>
    <row r="4112" spans="1:3" x14ac:dyDescent="0.35">
      <c r="A4112">
        <v>500750</v>
      </c>
      <c r="B4112" t="str">
        <f>VLOOKUP(A4112,Planilha2!$A$2:$C$5566,3,0)</f>
        <v>ROCHEDO</v>
      </c>
      <c r="C4112" t="str">
        <f>VLOOKUP(A4112,Planilha2!$A$2:$D$5566,4,0)</f>
        <v>MS</v>
      </c>
    </row>
    <row r="4113" spans="1:3" x14ac:dyDescent="0.35">
      <c r="A4113">
        <v>510895</v>
      </c>
      <c r="B4113" t="str">
        <f>VLOOKUP(A4113,Planilha2!$A$2:$C$5566,3,0)</f>
        <v>NOVA MONTE VERDE</v>
      </c>
      <c r="C4113" t="str">
        <f>VLOOKUP(A4113,Planilha2!$A$2:$D$5566,4,0)</f>
        <v>MT</v>
      </c>
    </row>
    <row r="4114" spans="1:3" x14ac:dyDescent="0.35">
      <c r="A4114">
        <v>510629</v>
      </c>
      <c r="B4114" t="str">
        <f>VLOOKUP(A4114,Planilha2!$A$2:$C$5566,3,0)</f>
        <v>PARANAÍTA</v>
      </c>
      <c r="C4114" t="str">
        <f>VLOOKUP(A4114,Planilha2!$A$2:$D$5566,4,0)</f>
        <v>MT</v>
      </c>
    </row>
    <row r="4115" spans="1:3" x14ac:dyDescent="0.35">
      <c r="A4115">
        <v>510140</v>
      </c>
      <c r="B4115" t="str">
        <f>VLOOKUP(A4115,Planilha2!$A$2:$C$5566,3,0)</f>
        <v>ARIPUANÃ</v>
      </c>
      <c r="C4115" t="str">
        <f>VLOOKUP(A4115,Planilha2!$A$2:$D$5566,4,0)</f>
        <v>MT</v>
      </c>
    </row>
    <row r="4116" spans="1:3" x14ac:dyDescent="0.35">
      <c r="A4116">
        <v>520465</v>
      </c>
      <c r="B4116" t="str">
        <f>VLOOKUP(A4116,Planilha2!$A$2:$C$5566,3,0)</f>
        <v>CAMPINAÇU</v>
      </c>
      <c r="C4116" t="str">
        <f>VLOOKUP(A4116,Planilha2!$A$2:$D$5566,4,0)</f>
        <v>GO</v>
      </c>
    </row>
    <row r="4117" spans="1:3" x14ac:dyDescent="0.35">
      <c r="A4117">
        <v>521377</v>
      </c>
      <c r="B4117" t="str">
        <f>VLOOKUP(A4117,Planilha2!$A$2:$C$5566,3,0)</f>
        <v>MONTIVIDIU DO NORTE</v>
      </c>
      <c r="C4117" t="str">
        <f>VLOOKUP(A4117,Planilha2!$A$2:$D$5566,4,0)</f>
        <v>GO</v>
      </c>
    </row>
    <row r="4118" spans="1:3" x14ac:dyDescent="0.35">
      <c r="A4118">
        <v>521140</v>
      </c>
      <c r="B4118" t="str">
        <f>VLOOKUP(A4118,Planilha2!$A$2:$C$5566,3,0)</f>
        <v>ITAUÇU</v>
      </c>
      <c r="C4118" t="str">
        <f>VLOOKUP(A4118,Planilha2!$A$2:$D$5566,4,0)</f>
        <v>GO</v>
      </c>
    </row>
    <row r="4119" spans="1:3" x14ac:dyDescent="0.35">
      <c r="A4119">
        <v>521971</v>
      </c>
      <c r="B4119" t="str">
        <f>VLOOKUP(A4119,Planilha2!$A$2:$C$5566,3,0)</f>
        <v>SANTO ANTÔNIO DA BARRA</v>
      </c>
      <c r="C4119" t="str">
        <f>VLOOKUP(A4119,Planilha2!$A$2:$D$5566,4,0)</f>
        <v>GO</v>
      </c>
    </row>
    <row r="4120" spans="1:3" x14ac:dyDescent="0.35">
      <c r="A4120">
        <v>520410</v>
      </c>
      <c r="B4120" t="str">
        <f>VLOOKUP(A4120,Planilha2!$A$2:$C$5566,3,0)</f>
        <v>CACHOEIRA ALTA</v>
      </c>
      <c r="C4120" t="str">
        <f>VLOOKUP(A4120,Planilha2!$A$2:$D$5566,4,0)</f>
        <v>GO</v>
      </c>
    </row>
    <row r="4121" spans="1:3" x14ac:dyDescent="0.35">
      <c r="A4121">
        <v>520735</v>
      </c>
      <c r="B4121" t="str">
        <f>VLOOKUP(A4121,Planilha2!$A$2:$C$5566,3,0)</f>
        <v>EDEALINA</v>
      </c>
      <c r="C4121" t="str">
        <f>VLOOKUP(A4121,Planilha2!$A$2:$D$5566,4,0)</f>
        <v>GO</v>
      </c>
    </row>
    <row r="4122" spans="1:3" x14ac:dyDescent="0.35">
      <c r="A4122">
        <v>521210</v>
      </c>
      <c r="B4122" t="str">
        <f>VLOOKUP(A4122,Planilha2!$A$2:$C$5566,3,0)</f>
        <v>JOVIÂNIA</v>
      </c>
      <c r="C4122" t="str">
        <f>VLOOKUP(A4122,Planilha2!$A$2:$D$5566,4,0)</f>
        <v>GO</v>
      </c>
    </row>
    <row r="4123" spans="1:3" x14ac:dyDescent="0.35">
      <c r="A4123">
        <v>293345</v>
      </c>
      <c r="B4123" t="str">
        <f>VLOOKUP(A4123,Planilha2!$A$2:$C$5566,3,0)</f>
        <v>WANDERLEY</v>
      </c>
      <c r="C4123" t="str">
        <f>VLOOKUP(A4123,Planilha2!$A$2:$D$5566,4,0)</f>
        <v>BA</v>
      </c>
    </row>
    <row r="4124" spans="1:3" x14ac:dyDescent="0.35">
      <c r="A4124">
        <v>170625</v>
      </c>
      <c r="B4124" t="str">
        <f>VLOOKUP(A4124,Planilha2!$A$2:$C$5566,3,0)</f>
        <v>CRIXÁS DO TOCANTINS</v>
      </c>
      <c r="C4124" t="str">
        <f>VLOOKUP(A4124,Planilha2!$A$2:$D$5566,4,0)</f>
        <v>TO</v>
      </c>
    </row>
    <row r="4125" spans="1:3" x14ac:dyDescent="0.35">
      <c r="A4125">
        <v>170700</v>
      </c>
      <c r="B4125" t="str">
        <f>VLOOKUP(A4125,Planilha2!$A$2:$C$5566,3,0)</f>
        <v>DIANÓPOLIS</v>
      </c>
      <c r="C4125" t="str">
        <f>VLOOKUP(A4125,Planilha2!$A$2:$D$5566,4,0)</f>
        <v>TO</v>
      </c>
    </row>
    <row r="4126" spans="1:3" x14ac:dyDescent="0.35">
      <c r="A4126">
        <v>170710</v>
      </c>
      <c r="B4126" t="str">
        <f>VLOOKUP(A4126,Planilha2!$A$2:$C$5566,3,0)</f>
        <v>DIVINÓPOLIS DO TOCANTINS</v>
      </c>
      <c r="C4126" t="str">
        <f>VLOOKUP(A4126,Planilha2!$A$2:$D$5566,4,0)</f>
        <v>TO</v>
      </c>
    </row>
    <row r="4127" spans="1:3" x14ac:dyDescent="0.35">
      <c r="A4127">
        <v>170510</v>
      </c>
      <c r="B4127" t="str">
        <f>VLOOKUP(A4127,Planilha2!$A$2:$C$5566,3,0)</f>
        <v>CHAPADA DA NATIVIDADE</v>
      </c>
      <c r="C4127" t="str">
        <f>VLOOKUP(A4127,Planilha2!$A$2:$D$5566,4,0)</f>
        <v>TO</v>
      </c>
    </row>
    <row r="4128" spans="1:3" x14ac:dyDescent="0.35">
      <c r="A4128">
        <v>172208</v>
      </c>
      <c r="B4128" t="str">
        <f>VLOOKUP(A4128,Planilha2!$A$2:$C$5566,3,0)</f>
        <v>WANDERLÂNDIA</v>
      </c>
      <c r="C4128" t="str">
        <f>VLOOKUP(A4128,Planilha2!$A$2:$D$5566,4,0)</f>
        <v>TO</v>
      </c>
    </row>
    <row r="4129" spans="1:3" x14ac:dyDescent="0.35">
      <c r="A4129">
        <v>210173</v>
      </c>
      <c r="B4129" t="str">
        <f>VLOOKUP(A4129,Planilha2!$A$2:$C$5566,3,0)</f>
        <v>BELÁGUA</v>
      </c>
      <c r="C4129" t="str">
        <f>VLOOKUP(A4129,Planilha2!$A$2:$D$5566,4,0)</f>
        <v>MA</v>
      </c>
    </row>
    <row r="4130" spans="1:3" x14ac:dyDescent="0.35">
      <c r="A4130">
        <v>210180</v>
      </c>
      <c r="B4130" t="str">
        <f>VLOOKUP(A4130,Planilha2!$A$2:$C$5566,3,0)</f>
        <v>BENEDITO LEITE</v>
      </c>
      <c r="C4130" t="str">
        <f>VLOOKUP(A4130,Planilha2!$A$2:$D$5566,4,0)</f>
        <v>MA</v>
      </c>
    </row>
    <row r="4131" spans="1:3" x14ac:dyDescent="0.35">
      <c r="A4131">
        <v>210632</v>
      </c>
      <c r="B4131" t="str">
        <f>VLOOKUP(A4131,Planilha2!$A$2:$C$5566,3,0)</f>
        <v>MARACAÇUMÉ</v>
      </c>
      <c r="C4131" t="str">
        <f>VLOOKUP(A4131,Planilha2!$A$2:$D$5566,4,0)</f>
        <v>MA</v>
      </c>
    </row>
    <row r="4132" spans="1:3" x14ac:dyDescent="0.35">
      <c r="A4132">
        <v>220940</v>
      </c>
      <c r="B4132" t="str">
        <f>VLOOKUP(A4132,Planilha2!$A$2:$C$5566,3,0)</f>
        <v>SANTO ANTÔNIO DE LISBOA</v>
      </c>
      <c r="C4132" t="str">
        <f>VLOOKUP(A4132,Planilha2!$A$2:$D$5566,4,0)</f>
        <v>PI</v>
      </c>
    </row>
    <row r="4133" spans="1:3" x14ac:dyDescent="0.35">
      <c r="A4133">
        <v>220559</v>
      </c>
      <c r="B4133" t="str">
        <f>VLOOKUP(A4133,Planilha2!$A$2:$C$5566,3,0)</f>
        <v>LAGOA DO SÍTIO</v>
      </c>
      <c r="C4133" t="str">
        <f>VLOOKUP(A4133,Planilha2!$A$2:$D$5566,4,0)</f>
        <v>PI</v>
      </c>
    </row>
    <row r="4134" spans="1:3" x14ac:dyDescent="0.35">
      <c r="A4134">
        <v>220551</v>
      </c>
      <c r="B4134" t="str">
        <f>VLOOKUP(A4134,Planilha2!$A$2:$C$5566,3,0)</f>
        <v>JUAZEIRO DO PIAUÍ</v>
      </c>
      <c r="C4134" t="str">
        <f>VLOOKUP(A4134,Planilha2!$A$2:$D$5566,4,0)</f>
        <v>PI</v>
      </c>
    </row>
    <row r="4135" spans="1:3" x14ac:dyDescent="0.35">
      <c r="A4135">
        <v>220985</v>
      </c>
      <c r="B4135" t="str">
        <f>VLOOKUP(A4135,Planilha2!$A$2:$C$5566,3,0)</f>
        <v>SÃO JOÃO DA CANABRAVA</v>
      </c>
      <c r="C4135" t="str">
        <f>VLOOKUP(A4135,Planilha2!$A$2:$D$5566,4,0)</f>
        <v>PI</v>
      </c>
    </row>
    <row r="4136" spans="1:3" x14ac:dyDescent="0.35">
      <c r="A4136">
        <v>230533</v>
      </c>
      <c r="B4136" t="str">
        <f>VLOOKUP(A4136,Planilha2!$A$2:$C$5566,3,0)</f>
        <v>IBICUITINGA</v>
      </c>
      <c r="C4136" t="str">
        <f>VLOOKUP(A4136,Planilha2!$A$2:$D$5566,4,0)</f>
        <v>CE</v>
      </c>
    </row>
    <row r="4137" spans="1:3" x14ac:dyDescent="0.35">
      <c r="A4137">
        <v>231260</v>
      </c>
      <c r="B4137" t="str">
        <f>VLOOKUP(A4137,Planilha2!$A$2:$C$5566,3,0)</f>
        <v>SÃO LUÍS DO CURU</v>
      </c>
      <c r="C4137" t="str">
        <f>VLOOKUP(A4137,Planilha2!$A$2:$D$5566,4,0)</f>
        <v>CE</v>
      </c>
    </row>
    <row r="4138" spans="1:3" x14ac:dyDescent="0.35">
      <c r="A4138">
        <v>230365</v>
      </c>
      <c r="B4138" t="str">
        <f>VLOOKUP(A4138,Planilha2!$A$2:$C$5566,3,0)</f>
        <v>CATUNDA</v>
      </c>
      <c r="C4138" t="str">
        <f>VLOOKUP(A4138,Planilha2!$A$2:$D$5566,4,0)</f>
        <v>CE</v>
      </c>
    </row>
    <row r="4139" spans="1:3" x14ac:dyDescent="0.35">
      <c r="A4139">
        <v>240060</v>
      </c>
      <c r="B4139" t="str">
        <f>VLOOKUP(A4139,Planilha2!$A$2:$C$5566,3,0)</f>
        <v>ALMINO AFONSO</v>
      </c>
      <c r="C4139" t="str">
        <f>VLOOKUP(A4139,Planilha2!$A$2:$D$5566,4,0)</f>
        <v>RN</v>
      </c>
    </row>
    <row r="4140" spans="1:3" x14ac:dyDescent="0.35">
      <c r="A4140">
        <v>241340</v>
      </c>
      <c r="B4140" t="str">
        <f>VLOOKUP(A4140,Planilha2!$A$2:$C$5566,3,0)</f>
        <v>SERRA NEGRA DO NORTE</v>
      </c>
      <c r="C4140" t="str">
        <f>VLOOKUP(A4140,Planilha2!$A$2:$D$5566,4,0)</f>
        <v>RN</v>
      </c>
    </row>
    <row r="4141" spans="1:3" x14ac:dyDescent="0.35">
      <c r="A4141">
        <v>240510</v>
      </c>
      <c r="B4141" t="str">
        <f>VLOOKUP(A4141,Planilha2!$A$2:$C$5566,3,0)</f>
        <v>JANDAÍRA</v>
      </c>
      <c r="C4141" t="str">
        <f>VLOOKUP(A4141,Planilha2!$A$2:$D$5566,4,0)</f>
        <v>RN</v>
      </c>
    </row>
    <row r="4142" spans="1:3" x14ac:dyDescent="0.35">
      <c r="A4142">
        <v>251593</v>
      </c>
      <c r="B4142" t="str">
        <f>VLOOKUP(A4142,Planilha2!$A$2:$C$5566,3,0)</f>
        <v>SERTÃOZINHO</v>
      </c>
      <c r="C4142" t="str">
        <f>VLOOKUP(A4142,Planilha2!$A$2:$D$5566,4,0)</f>
        <v>PB</v>
      </c>
    </row>
    <row r="4143" spans="1:3" x14ac:dyDescent="0.35">
      <c r="A4143">
        <v>250355</v>
      </c>
      <c r="B4143" t="str">
        <f>VLOOKUP(A4143,Planilha2!$A$2:$C$5566,3,0)</f>
        <v>CACIMBAS</v>
      </c>
      <c r="C4143" t="str">
        <f>VLOOKUP(A4143,Planilha2!$A$2:$D$5566,4,0)</f>
        <v>PB</v>
      </c>
    </row>
    <row r="4144" spans="1:3" x14ac:dyDescent="0.35">
      <c r="A4144">
        <v>250523</v>
      </c>
      <c r="B4144" t="str">
        <f>VLOOKUP(A4144,Planilha2!$A$2:$C$5566,3,0)</f>
        <v>CUITÉ DE MAMANGUAPE</v>
      </c>
      <c r="C4144" t="str">
        <f>VLOOKUP(A4144,Planilha2!$A$2:$D$5566,4,0)</f>
        <v>PB</v>
      </c>
    </row>
    <row r="4145" spans="1:3" x14ac:dyDescent="0.35">
      <c r="A4145">
        <v>250580</v>
      </c>
      <c r="B4145" t="str">
        <f>VLOOKUP(A4145,Planilha2!$A$2:$C$5566,3,0)</f>
        <v>DUAS ESTRADAS</v>
      </c>
      <c r="C4145" t="str">
        <f>VLOOKUP(A4145,Planilha2!$A$2:$D$5566,4,0)</f>
        <v>PB</v>
      </c>
    </row>
    <row r="4146" spans="1:3" x14ac:dyDescent="0.35">
      <c r="A4146">
        <v>261610</v>
      </c>
      <c r="B4146" t="str">
        <f>VLOOKUP(A4146,Planilha2!$A$2:$C$5566,3,0)</f>
        <v>VERDEJANTE</v>
      </c>
      <c r="C4146" t="str">
        <f>VLOOKUP(A4146,Planilha2!$A$2:$D$5566,4,0)</f>
        <v>PE</v>
      </c>
    </row>
    <row r="4147" spans="1:3" x14ac:dyDescent="0.35">
      <c r="A4147">
        <v>261400</v>
      </c>
      <c r="B4147" t="str">
        <f>VLOOKUP(A4147,Planilha2!$A$2:$C$5566,3,0)</f>
        <v>SERRITA</v>
      </c>
      <c r="C4147" t="str">
        <f>VLOOKUP(A4147,Planilha2!$A$2:$D$5566,4,0)</f>
        <v>PE</v>
      </c>
    </row>
    <row r="4148" spans="1:3" x14ac:dyDescent="0.35">
      <c r="A4148">
        <v>260270</v>
      </c>
      <c r="B4148" t="str">
        <f>VLOOKUP(A4148,Planilha2!$A$2:$C$5566,3,0)</f>
        <v>BUENOS AIRES</v>
      </c>
      <c r="C4148" t="str">
        <f>VLOOKUP(A4148,Planilha2!$A$2:$D$5566,4,0)</f>
        <v>PE</v>
      </c>
    </row>
    <row r="4149" spans="1:3" x14ac:dyDescent="0.35">
      <c r="A4149">
        <v>270170</v>
      </c>
      <c r="B4149" t="str">
        <f>VLOOKUP(A4149,Planilha2!$A$2:$C$5566,3,0)</f>
        <v>CAPELA</v>
      </c>
      <c r="C4149" t="str">
        <f>VLOOKUP(A4149,Planilha2!$A$2:$D$5566,4,0)</f>
        <v>AL</v>
      </c>
    </row>
    <row r="4150" spans="1:3" x14ac:dyDescent="0.35">
      <c r="A4150">
        <v>270340</v>
      </c>
      <c r="B4150" t="str">
        <f>VLOOKUP(A4150,Planilha2!$A$2:$C$5566,3,0)</f>
        <v>JACARÉ DOS HOMENS</v>
      </c>
      <c r="C4150" t="str">
        <f>VLOOKUP(A4150,Planilha2!$A$2:$D$5566,4,0)</f>
        <v>AL</v>
      </c>
    </row>
    <row r="4151" spans="1:3" x14ac:dyDescent="0.35">
      <c r="A4151">
        <v>292285</v>
      </c>
      <c r="B4151" t="str">
        <f>VLOOKUP(A4151,Planilha2!$A$2:$C$5566,3,0)</f>
        <v>NOVA REDENÇÃO</v>
      </c>
      <c r="C4151" t="str">
        <f>VLOOKUP(A4151,Planilha2!$A$2:$D$5566,4,0)</f>
        <v>BA</v>
      </c>
    </row>
    <row r="4152" spans="1:3" x14ac:dyDescent="0.35">
      <c r="A4152">
        <v>292620</v>
      </c>
      <c r="B4152" t="str">
        <f>VLOOKUP(A4152,Planilha2!$A$2:$C$5566,3,0)</f>
        <v>RIACHÃO DAS NEVES</v>
      </c>
      <c r="C4152" t="str">
        <f>VLOOKUP(A4152,Planilha2!$A$2:$D$5566,4,0)</f>
        <v>BA</v>
      </c>
    </row>
    <row r="4153" spans="1:3" x14ac:dyDescent="0.35">
      <c r="A4153">
        <v>292570</v>
      </c>
      <c r="B4153" t="str">
        <f>VLOOKUP(A4153,Planilha2!$A$2:$C$5566,3,0)</f>
        <v>PRESIDENTE JÂNIO QUADROS</v>
      </c>
      <c r="C4153" t="str">
        <f>VLOOKUP(A4153,Planilha2!$A$2:$D$5566,4,0)</f>
        <v>BA</v>
      </c>
    </row>
    <row r="4154" spans="1:3" x14ac:dyDescent="0.35">
      <c r="A4154">
        <v>292470</v>
      </c>
      <c r="B4154" t="str">
        <f>VLOOKUP(A4154,Planilha2!$A$2:$C$5566,3,0)</f>
        <v>PIRIPÁ</v>
      </c>
      <c r="C4154" t="str">
        <f>VLOOKUP(A4154,Planilha2!$A$2:$D$5566,4,0)</f>
        <v>BA</v>
      </c>
    </row>
    <row r="4155" spans="1:3" x14ac:dyDescent="0.35">
      <c r="A4155">
        <v>291540</v>
      </c>
      <c r="B4155" t="str">
        <f>VLOOKUP(A4155,Planilha2!$A$2:$C$5566,3,0)</f>
        <v>ITAJU DO COLÔNIA</v>
      </c>
      <c r="C4155" t="str">
        <f>VLOOKUP(A4155,Planilha2!$A$2:$D$5566,4,0)</f>
        <v>BA</v>
      </c>
    </row>
    <row r="4156" spans="1:3" x14ac:dyDescent="0.35">
      <c r="A4156">
        <v>291620</v>
      </c>
      <c r="B4156" t="str">
        <f>VLOOKUP(A4156,Planilha2!$A$2:$C$5566,3,0)</f>
        <v>ITAPÉ</v>
      </c>
      <c r="C4156" t="str">
        <f>VLOOKUP(A4156,Planilha2!$A$2:$D$5566,4,0)</f>
        <v>BA</v>
      </c>
    </row>
    <row r="4157" spans="1:3" x14ac:dyDescent="0.35">
      <c r="A4157">
        <v>312840</v>
      </c>
      <c r="B4157" t="str">
        <f>VLOOKUP(A4157,Planilha2!$A$2:$C$5566,3,0)</f>
        <v>GUARANI</v>
      </c>
      <c r="C4157" t="str">
        <f>VLOOKUP(A4157,Planilha2!$A$2:$D$5566,4,0)</f>
        <v>MG</v>
      </c>
    </row>
    <row r="4158" spans="1:3" x14ac:dyDescent="0.35">
      <c r="A4158">
        <v>314570</v>
      </c>
      <c r="B4158" t="str">
        <f>VLOOKUP(A4158,Planilha2!$A$2:$C$5566,3,0)</f>
        <v>OLIVEIRA FORTES</v>
      </c>
      <c r="C4158" t="str">
        <f>VLOOKUP(A4158,Planilha2!$A$2:$D$5566,4,0)</f>
        <v>MG</v>
      </c>
    </row>
    <row r="4159" spans="1:3" x14ac:dyDescent="0.35">
      <c r="A4159">
        <v>313640</v>
      </c>
      <c r="B4159" t="str">
        <f>VLOOKUP(A4159,Planilha2!$A$2:$C$5566,3,0)</f>
        <v>JOAQUIM FELÍCIO</v>
      </c>
      <c r="C4159" t="str">
        <f>VLOOKUP(A4159,Planilha2!$A$2:$D$5566,4,0)</f>
        <v>MG</v>
      </c>
    </row>
    <row r="4160" spans="1:3" x14ac:dyDescent="0.35">
      <c r="A4160">
        <v>311170</v>
      </c>
      <c r="B4160" t="str">
        <f>VLOOKUP(A4160,Planilha2!$A$2:$C$5566,3,0)</f>
        <v>CANAÃ</v>
      </c>
      <c r="C4160" t="str">
        <f>VLOOKUP(A4160,Planilha2!$A$2:$D$5566,4,0)</f>
        <v>MG</v>
      </c>
    </row>
    <row r="4161" spans="1:3" x14ac:dyDescent="0.35">
      <c r="A4161">
        <v>314587</v>
      </c>
      <c r="B4161" t="str">
        <f>VLOOKUP(A4161,Planilha2!$A$2:$C$5566,3,0)</f>
        <v>ORIZÂNIA</v>
      </c>
      <c r="C4161" t="str">
        <f>VLOOKUP(A4161,Planilha2!$A$2:$D$5566,4,0)</f>
        <v>MG</v>
      </c>
    </row>
    <row r="4162" spans="1:3" x14ac:dyDescent="0.35">
      <c r="A4162">
        <v>310010</v>
      </c>
      <c r="B4162" t="str">
        <f>VLOOKUP(A4162,Planilha2!$A$2:$C$5566,3,0)</f>
        <v>ABADIA DOS DOURADOS</v>
      </c>
      <c r="C4162" t="str">
        <f>VLOOKUP(A4162,Planilha2!$A$2:$D$5566,4,0)</f>
        <v>MG</v>
      </c>
    </row>
    <row r="4163" spans="1:3" x14ac:dyDescent="0.35">
      <c r="A4163">
        <v>317110</v>
      </c>
      <c r="B4163" t="str">
        <f>VLOOKUP(A4163,Planilha2!$A$2:$C$5566,3,0)</f>
        <v>VERÍSSIMO</v>
      </c>
      <c r="C4163" t="str">
        <f>VLOOKUP(A4163,Planilha2!$A$2:$D$5566,4,0)</f>
        <v>MG</v>
      </c>
    </row>
    <row r="4164" spans="1:3" x14ac:dyDescent="0.35">
      <c r="A4164">
        <v>313868</v>
      </c>
      <c r="B4164" t="str">
        <f>VLOOKUP(A4164,Planilha2!$A$2:$C$5566,3,0)</f>
        <v>LUISLÂNDIA</v>
      </c>
      <c r="C4164" t="str">
        <f>VLOOKUP(A4164,Planilha2!$A$2:$D$5566,4,0)</f>
        <v>MG</v>
      </c>
    </row>
    <row r="4165" spans="1:3" x14ac:dyDescent="0.35">
      <c r="A4165">
        <v>312965</v>
      </c>
      <c r="B4165" t="str">
        <f>VLOOKUP(A4165,Planilha2!$A$2:$C$5566,3,0)</f>
        <v>IBIRACATU</v>
      </c>
      <c r="C4165" t="str">
        <f>VLOOKUP(A4165,Planilha2!$A$2:$D$5566,4,0)</f>
        <v>MG</v>
      </c>
    </row>
    <row r="4166" spans="1:3" x14ac:dyDescent="0.35">
      <c r="A4166">
        <v>312110</v>
      </c>
      <c r="B4166" t="str">
        <f>VLOOKUP(A4166,Planilha2!$A$2:$C$5566,3,0)</f>
        <v>DELFIM MOREIRA</v>
      </c>
      <c r="C4166" t="str">
        <f>VLOOKUP(A4166,Planilha2!$A$2:$D$5566,4,0)</f>
        <v>MG</v>
      </c>
    </row>
    <row r="4167" spans="1:3" x14ac:dyDescent="0.35">
      <c r="A4167">
        <v>311360</v>
      </c>
      <c r="B4167" t="str">
        <f>VLOOKUP(A4167,Planilha2!$A$2:$C$5566,3,0)</f>
        <v>CAREAÇU</v>
      </c>
      <c r="C4167" t="str">
        <f>VLOOKUP(A4167,Planilha2!$A$2:$D$5566,4,0)</f>
        <v>MG</v>
      </c>
    </row>
    <row r="4168" spans="1:3" x14ac:dyDescent="0.35">
      <c r="A4168">
        <v>313300</v>
      </c>
      <c r="B4168" t="str">
        <f>VLOOKUP(A4168,Planilha2!$A$2:$C$5566,3,0)</f>
        <v>ITAMONTE</v>
      </c>
      <c r="C4168" t="str">
        <f>VLOOKUP(A4168,Planilha2!$A$2:$D$5566,4,0)</f>
        <v>MG</v>
      </c>
    </row>
    <row r="4169" spans="1:3" x14ac:dyDescent="0.35">
      <c r="A4169">
        <v>312470</v>
      </c>
      <c r="B4169" t="str">
        <f>VLOOKUP(A4169,Planilha2!$A$2:$C$5566,3,0)</f>
        <v>ESTRELA DO INDAIÁ</v>
      </c>
      <c r="C4169" t="str">
        <f>VLOOKUP(A4169,Planilha2!$A$2:$D$5566,4,0)</f>
        <v>MG</v>
      </c>
    </row>
    <row r="4170" spans="1:3" x14ac:dyDescent="0.35">
      <c r="A4170">
        <v>313220</v>
      </c>
      <c r="B4170" t="str">
        <f>VLOOKUP(A4170,Planilha2!$A$2:$C$5566,3,0)</f>
        <v>ITAGUARA</v>
      </c>
      <c r="C4170" t="str">
        <f>VLOOKUP(A4170,Planilha2!$A$2:$D$5566,4,0)</f>
        <v>MG</v>
      </c>
    </row>
    <row r="4171" spans="1:3" x14ac:dyDescent="0.35">
      <c r="A4171">
        <v>316630</v>
      </c>
      <c r="B4171" t="str">
        <f>VLOOKUP(A4171,Planilha2!$A$2:$C$5566,3,0)</f>
        <v>SERICITA</v>
      </c>
      <c r="C4171" t="str">
        <f>VLOOKUP(A4171,Planilha2!$A$2:$D$5566,4,0)</f>
        <v>MG</v>
      </c>
    </row>
    <row r="4172" spans="1:3" x14ac:dyDescent="0.35">
      <c r="A4172">
        <v>310840</v>
      </c>
      <c r="B4172" t="str">
        <f>VLOOKUP(A4172,Planilha2!$A$2:$C$5566,3,0)</f>
        <v>BOTELHOS</v>
      </c>
      <c r="C4172" t="str">
        <f>VLOOKUP(A4172,Planilha2!$A$2:$D$5566,4,0)</f>
        <v>MG</v>
      </c>
    </row>
    <row r="4173" spans="1:3" x14ac:dyDescent="0.35">
      <c r="A4173">
        <v>314030</v>
      </c>
      <c r="B4173" t="str">
        <f>VLOOKUP(A4173,Planilha2!$A$2:$C$5566,3,0)</f>
        <v>MARLIÉRIA</v>
      </c>
      <c r="C4173" t="str">
        <f>VLOOKUP(A4173,Planilha2!$A$2:$D$5566,4,0)</f>
        <v>MG</v>
      </c>
    </row>
    <row r="4174" spans="1:3" x14ac:dyDescent="0.35">
      <c r="A4174">
        <v>316430</v>
      </c>
      <c r="B4174" t="str">
        <f>VLOOKUP(A4174,Planilha2!$A$2:$C$5566,3,0)</f>
        <v>SÃO ROQUE DE MINAS</v>
      </c>
      <c r="C4174" t="str">
        <f>VLOOKUP(A4174,Planilha2!$A$2:$D$5566,4,0)</f>
        <v>MG</v>
      </c>
    </row>
    <row r="4175" spans="1:3" x14ac:dyDescent="0.35">
      <c r="A4175">
        <v>313970</v>
      </c>
      <c r="B4175" t="str">
        <f>VLOOKUP(A4175,Planilha2!$A$2:$C$5566,3,0)</f>
        <v>MARAVILHAS</v>
      </c>
      <c r="C4175" t="str">
        <f>VLOOKUP(A4175,Planilha2!$A$2:$D$5566,4,0)</f>
        <v>MG</v>
      </c>
    </row>
    <row r="4176" spans="1:3" x14ac:dyDescent="0.35">
      <c r="A4176">
        <v>314960</v>
      </c>
      <c r="B4176" t="str">
        <f>VLOOKUP(A4176,Planilha2!$A$2:$C$5566,3,0)</f>
        <v>PEQUI</v>
      </c>
      <c r="C4176" t="str">
        <f>VLOOKUP(A4176,Planilha2!$A$2:$D$5566,4,0)</f>
        <v>MG</v>
      </c>
    </row>
    <row r="4177" spans="1:3" x14ac:dyDescent="0.35">
      <c r="A4177">
        <v>320250</v>
      </c>
      <c r="B4177" t="str">
        <f>VLOOKUP(A4177,Planilha2!$A$2:$C$5566,3,0)</f>
        <v>IBIRAÇU</v>
      </c>
      <c r="C4177" t="str">
        <f>VLOOKUP(A4177,Planilha2!$A$2:$D$5566,4,0)</f>
        <v>ES</v>
      </c>
    </row>
    <row r="4178" spans="1:3" x14ac:dyDescent="0.35">
      <c r="A4178">
        <v>330412</v>
      </c>
      <c r="B4178" t="str">
        <f>VLOOKUP(A4178,Planilha2!$A$2:$C$5566,3,0)</f>
        <v>QUATIS</v>
      </c>
      <c r="C4178" t="str">
        <f>VLOOKUP(A4178,Planilha2!$A$2:$D$5566,4,0)</f>
        <v>RJ</v>
      </c>
    </row>
    <row r="4179" spans="1:3" x14ac:dyDescent="0.35">
      <c r="A4179">
        <v>355080</v>
      </c>
      <c r="B4179" t="str">
        <f>VLOOKUP(A4179,Planilha2!$A$2:$C$5566,3,0)</f>
        <v>SÃO SEBASTIÃO DA GRAMA</v>
      </c>
      <c r="C4179" t="str">
        <f>VLOOKUP(A4179,Planilha2!$A$2:$D$5566,4,0)</f>
        <v>SP</v>
      </c>
    </row>
    <row r="4180" spans="1:3" x14ac:dyDescent="0.35">
      <c r="A4180">
        <v>353320</v>
      </c>
      <c r="B4180" t="str">
        <f>VLOOKUP(A4180,Planilha2!$A$2:$C$5566,3,0)</f>
        <v>NOVA INDEPENDÊNCIA</v>
      </c>
      <c r="C4180" t="str">
        <f>VLOOKUP(A4180,Planilha2!$A$2:$D$5566,4,0)</f>
        <v>SP</v>
      </c>
    </row>
    <row r="4181" spans="1:3" x14ac:dyDescent="0.35">
      <c r="A4181">
        <v>352150</v>
      </c>
      <c r="B4181" t="str">
        <f>VLOOKUP(A4181,Planilha2!$A$2:$C$5566,3,0)</f>
        <v>IRAPUÃ</v>
      </c>
      <c r="C4181" t="str">
        <f>VLOOKUP(A4181,Planilha2!$A$2:$D$5566,4,0)</f>
        <v>SP</v>
      </c>
    </row>
    <row r="4182" spans="1:3" x14ac:dyDescent="0.35">
      <c r="A4182">
        <v>350440</v>
      </c>
      <c r="B4182" t="str">
        <f>VLOOKUP(A4182,Planilha2!$A$2:$C$5566,3,0)</f>
        <v>AVANHANDAVA</v>
      </c>
      <c r="C4182" t="str">
        <f>VLOOKUP(A4182,Planilha2!$A$2:$D$5566,4,0)</f>
        <v>SP</v>
      </c>
    </row>
    <row r="4183" spans="1:3" x14ac:dyDescent="0.35">
      <c r="A4183">
        <v>351330</v>
      </c>
      <c r="B4183" t="str">
        <f>VLOOKUP(A4183,Planilha2!$A$2:$C$5566,3,0)</f>
        <v>CRUZÁLIA</v>
      </c>
      <c r="C4183" t="str">
        <f>VLOOKUP(A4183,Planilha2!$A$2:$D$5566,4,0)</f>
        <v>SP</v>
      </c>
    </row>
    <row r="4184" spans="1:3" x14ac:dyDescent="0.35">
      <c r="A4184">
        <v>350430</v>
      </c>
      <c r="B4184" t="str">
        <f>VLOOKUP(A4184,Planilha2!$A$2:$C$5566,3,0)</f>
        <v>AVAÍ</v>
      </c>
      <c r="C4184" t="str">
        <f>VLOOKUP(A4184,Planilha2!$A$2:$D$5566,4,0)</f>
        <v>SP</v>
      </c>
    </row>
    <row r="4185" spans="1:3" x14ac:dyDescent="0.35">
      <c r="A4185">
        <v>352860</v>
      </c>
      <c r="B4185" t="str">
        <f>VLOOKUP(A4185,Planilha2!$A$2:$C$5566,3,0)</f>
        <v>MANDURI</v>
      </c>
      <c r="C4185" t="str">
        <f>VLOOKUP(A4185,Planilha2!$A$2:$D$5566,4,0)</f>
        <v>SP</v>
      </c>
    </row>
    <row r="4186" spans="1:3" x14ac:dyDescent="0.35">
      <c r="A4186">
        <v>353000</v>
      </c>
      <c r="B4186" t="str">
        <f>VLOOKUP(A4186,Planilha2!$A$2:$C$5566,3,0)</f>
        <v>MIRA ESTRELA</v>
      </c>
      <c r="C4186" t="str">
        <f>VLOOKUP(A4186,Planilha2!$A$2:$D$5566,4,0)</f>
        <v>SP</v>
      </c>
    </row>
    <row r="4187" spans="1:3" x14ac:dyDescent="0.35">
      <c r="A4187">
        <v>351810</v>
      </c>
      <c r="B4187" t="str">
        <f>VLOOKUP(A4187,Planilha2!$A$2:$C$5566,3,0)</f>
        <v>GUARANTÃ</v>
      </c>
      <c r="C4187" t="str">
        <f>VLOOKUP(A4187,Planilha2!$A$2:$D$5566,4,0)</f>
        <v>SP</v>
      </c>
    </row>
    <row r="4188" spans="1:3" x14ac:dyDescent="0.35">
      <c r="A4188">
        <v>354050</v>
      </c>
      <c r="B4188" t="str">
        <f>VLOOKUP(A4188,Planilha2!$A$2:$C$5566,3,0)</f>
        <v>PORANGABA</v>
      </c>
      <c r="C4188" t="str">
        <f>VLOOKUP(A4188,Planilha2!$A$2:$D$5566,4,0)</f>
        <v>SP</v>
      </c>
    </row>
    <row r="4189" spans="1:3" x14ac:dyDescent="0.35">
      <c r="A4189">
        <v>350660</v>
      </c>
      <c r="B4189" t="str">
        <f>VLOOKUP(A4189,Planilha2!$A$2:$C$5566,3,0)</f>
        <v>BIRITIBA-MIRIM</v>
      </c>
      <c r="C4189" t="str">
        <f>VLOOKUP(A4189,Planilha2!$A$2:$D$5566,4,0)</f>
        <v>SP</v>
      </c>
    </row>
    <row r="4190" spans="1:3" x14ac:dyDescent="0.35">
      <c r="A4190">
        <v>350350</v>
      </c>
      <c r="B4190" t="str">
        <f>VLOOKUP(A4190,Planilha2!$A$2:$C$5566,3,0)</f>
        <v>AREIAS</v>
      </c>
      <c r="C4190" t="str">
        <f>VLOOKUP(A4190,Planilha2!$A$2:$D$5566,4,0)</f>
        <v>SP</v>
      </c>
    </row>
    <row r="4191" spans="1:3" x14ac:dyDescent="0.35">
      <c r="A4191">
        <v>350620</v>
      </c>
      <c r="B4191" t="str">
        <f>VLOOKUP(A4191,Planilha2!$A$2:$C$5566,3,0)</f>
        <v>BENTO DE ABREU</v>
      </c>
      <c r="C4191" t="str">
        <f>VLOOKUP(A4191,Planilha2!$A$2:$D$5566,4,0)</f>
        <v>SP</v>
      </c>
    </row>
    <row r="4192" spans="1:3" x14ac:dyDescent="0.35">
      <c r="A4192">
        <v>355320</v>
      </c>
      <c r="B4192" t="str">
        <f>VLOOKUP(A4192,Planilha2!$A$2:$C$5566,3,0)</f>
        <v>TAIÚVA</v>
      </c>
      <c r="C4192" t="str">
        <f>VLOOKUP(A4192,Planilha2!$A$2:$D$5566,4,0)</f>
        <v>SP</v>
      </c>
    </row>
    <row r="4193" spans="1:3" x14ac:dyDescent="0.35">
      <c r="A4193">
        <v>410865</v>
      </c>
      <c r="B4193" t="str">
        <f>VLOOKUP(A4193,Planilha2!$A$2:$C$5566,3,0)</f>
        <v>GOIOXIM</v>
      </c>
      <c r="C4193" t="str">
        <f>VLOOKUP(A4193,Planilha2!$A$2:$D$5566,4,0)</f>
        <v>PR</v>
      </c>
    </row>
    <row r="4194" spans="1:3" x14ac:dyDescent="0.35">
      <c r="A4194">
        <v>412870</v>
      </c>
      <c r="B4194" t="str">
        <f>VLOOKUP(A4194,Planilha2!$A$2:$C$5566,3,0)</f>
        <v>VITORINO</v>
      </c>
      <c r="C4194" t="str">
        <f>VLOOKUP(A4194,Planilha2!$A$2:$D$5566,4,0)</f>
        <v>PR</v>
      </c>
    </row>
    <row r="4195" spans="1:3" x14ac:dyDescent="0.35">
      <c r="A4195">
        <v>410725</v>
      </c>
      <c r="B4195" t="str">
        <f>VLOOKUP(A4195,Planilha2!$A$2:$C$5566,3,0)</f>
        <v>DOURADINA</v>
      </c>
      <c r="C4195" t="str">
        <f>VLOOKUP(A4195,Planilha2!$A$2:$D$5566,4,0)</f>
        <v>PR</v>
      </c>
    </row>
    <row r="4196" spans="1:3" x14ac:dyDescent="0.35">
      <c r="A4196">
        <v>410050</v>
      </c>
      <c r="B4196" t="str">
        <f>VLOOKUP(A4196,Planilha2!$A$2:$C$5566,3,0)</f>
        <v>ALTÔNIA</v>
      </c>
      <c r="C4196" t="str">
        <f>VLOOKUP(A4196,Planilha2!$A$2:$D$5566,4,0)</f>
        <v>PR</v>
      </c>
    </row>
    <row r="4197" spans="1:3" x14ac:dyDescent="0.35">
      <c r="A4197">
        <v>411030</v>
      </c>
      <c r="B4197" t="str">
        <f>VLOOKUP(A4197,Planilha2!$A$2:$C$5566,3,0)</f>
        <v>INAJÁ</v>
      </c>
      <c r="C4197" t="str">
        <f>VLOOKUP(A4197,Planilha2!$A$2:$D$5566,4,0)</f>
        <v>PR</v>
      </c>
    </row>
    <row r="4198" spans="1:3" x14ac:dyDescent="0.35">
      <c r="A4198">
        <v>412540</v>
      </c>
      <c r="B4198" t="str">
        <f>VLOOKUP(A4198,Planilha2!$A$2:$C$5566,3,0)</f>
        <v>SÃO JOSÉ DA BOA VISTA</v>
      </c>
      <c r="C4198" t="str">
        <f>VLOOKUP(A4198,Planilha2!$A$2:$D$5566,4,0)</f>
        <v>PR</v>
      </c>
    </row>
    <row r="4199" spans="1:3" x14ac:dyDescent="0.35">
      <c r="A4199">
        <v>411500</v>
      </c>
      <c r="B4199" t="str">
        <f>VLOOKUP(A4199,Planilha2!$A$2:$C$5566,3,0)</f>
        <v>MARILENA</v>
      </c>
      <c r="C4199" t="str">
        <f>VLOOKUP(A4199,Planilha2!$A$2:$D$5566,4,0)</f>
        <v>PR</v>
      </c>
    </row>
    <row r="4200" spans="1:3" x14ac:dyDescent="0.35">
      <c r="A4200">
        <v>410405</v>
      </c>
      <c r="B4200" t="str">
        <f>VLOOKUP(A4200,Planilha2!$A$2:$C$5566,3,0)</f>
        <v>CAMPO BONITO</v>
      </c>
      <c r="C4200" t="str">
        <f>VLOOKUP(A4200,Planilha2!$A$2:$D$5566,4,0)</f>
        <v>PR</v>
      </c>
    </row>
    <row r="4201" spans="1:3" x14ac:dyDescent="0.35">
      <c r="A4201">
        <v>411090</v>
      </c>
      <c r="B4201" t="str">
        <f>VLOOKUP(A4201,Planilha2!$A$2:$C$5566,3,0)</f>
        <v>ITAGUAJÉ</v>
      </c>
      <c r="C4201" t="str">
        <f>VLOOKUP(A4201,Planilha2!$A$2:$D$5566,4,0)</f>
        <v>PR</v>
      </c>
    </row>
    <row r="4202" spans="1:3" x14ac:dyDescent="0.35">
      <c r="A4202">
        <v>421670</v>
      </c>
      <c r="B4202" t="str">
        <f>VLOOKUP(A4202,Planilha2!$A$2:$C$5566,3,0)</f>
        <v>SÃO JOSÉ DO CEDRO</v>
      </c>
      <c r="C4202" t="str">
        <f>VLOOKUP(A4202,Planilha2!$A$2:$D$5566,4,0)</f>
        <v>SC</v>
      </c>
    </row>
    <row r="4203" spans="1:3" x14ac:dyDescent="0.35">
      <c r="A4203">
        <v>421680</v>
      </c>
      <c r="B4203" t="str">
        <f>VLOOKUP(A4203,Planilha2!$A$2:$C$5566,3,0)</f>
        <v>SÃO JOSÉ DO CERRITO</v>
      </c>
      <c r="C4203" t="str">
        <f>VLOOKUP(A4203,Planilha2!$A$2:$D$5566,4,0)</f>
        <v>SC</v>
      </c>
    </row>
    <row r="4204" spans="1:3" x14ac:dyDescent="0.35">
      <c r="A4204">
        <v>421430</v>
      </c>
      <c r="B4204" t="str">
        <f>VLOOKUP(A4204,Planilha2!$A$2:$C$5566,3,0)</f>
        <v>RANCHO QUEIMADO</v>
      </c>
      <c r="C4204" t="str">
        <f>VLOOKUP(A4204,Planilha2!$A$2:$D$5566,4,0)</f>
        <v>SC</v>
      </c>
    </row>
    <row r="4205" spans="1:3" x14ac:dyDescent="0.35">
      <c r="A4205">
        <v>420845</v>
      </c>
      <c r="B4205" t="str">
        <f>VLOOKUP(A4205,Planilha2!$A$2:$C$5566,3,0)</f>
        <v>ITAPOÁ</v>
      </c>
      <c r="C4205" t="str">
        <f>VLOOKUP(A4205,Planilha2!$A$2:$D$5566,4,0)</f>
        <v>SC</v>
      </c>
    </row>
    <row r="4206" spans="1:3" x14ac:dyDescent="0.35">
      <c r="A4206">
        <v>421885</v>
      </c>
      <c r="B4206" t="str">
        <f>VLOOKUP(A4206,Planilha2!$A$2:$C$5566,3,0)</f>
        <v>UNIÃO DO OESTE</v>
      </c>
      <c r="C4206" t="str">
        <f>VLOOKUP(A4206,Planilha2!$A$2:$D$5566,4,0)</f>
        <v>SC</v>
      </c>
    </row>
    <row r="4207" spans="1:3" x14ac:dyDescent="0.35">
      <c r="A4207">
        <v>420620</v>
      </c>
      <c r="B4207" t="str">
        <f>VLOOKUP(A4207,Planilha2!$A$2:$C$5566,3,0)</f>
        <v>GRAVATAL</v>
      </c>
      <c r="C4207" t="str">
        <f>VLOOKUP(A4207,Planilha2!$A$2:$D$5566,4,0)</f>
        <v>SC</v>
      </c>
    </row>
    <row r="4208" spans="1:3" x14ac:dyDescent="0.35">
      <c r="A4208">
        <v>420900</v>
      </c>
      <c r="B4208" t="str">
        <f>VLOOKUP(A4208,Planilha2!$A$2:$C$5566,3,0)</f>
        <v>JOAÇABA</v>
      </c>
      <c r="C4208" t="str">
        <f>VLOOKUP(A4208,Planilha2!$A$2:$D$5566,4,0)</f>
        <v>SC</v>
      </c>
    </row>
    <row r="4209" spans="1:3" x14ac:dyDescent="0.35">
      <c r="A4209">
        <v>420270</v>
      </c>
      <c r="B4209" t="str">
        <f>VLOOKUP(A4209,Planilha2!$A$2:$C$5566,3,0)</f>
        <v>BOTUVERÁ</v>
      </c>
      <c r="C4209" t="str">
        <f>VLOOKUP(A4209,Planilha2!$A$2:$D$5566,4,0)</f>
        <v>SC</v>
      </c>
    </row>
    <row r="4210" spans="1:3" x14ac:dyDescent="0.35">
      <c r="A4210">
        <v>421470</v>
      </c>
      <c r="B4210" t="str">
        <f>VLOOKUP(A4210,Planilha2!$A$2:$C$5566,3,0)</f>
        <v>RIO DOS CEDROS</v>
      </c>
      <c r="C4210" t="str">
        <f>VLOOKUP(A4210,Planilha2!$A$2:$D$5566,4,0)</f>
        <v>SC</v>
      </c>
    </row>
    <row r="4211" spans="1:3" x14ac:dyDescent="0.35">
      <c r="A4211">
        <v>420710</v>
      </c>
      <c r="B4211" t="str">
        <f>VLOOKUP(A4211,Planilha2!$A$2:$C$5566,3,0)</f>
        <v>ILHOTA</v>
      </c>
      <c r="C4211" t="str">
        <f>VLOOKUP(A4211,Planilha2!$A$2:$D$5566,4,0)</f>
        <v>SC</v>
      </c>
    </row>
    <row r="4212" spans="1:3" x14ac:dyDescent="0.35">
      <c r="A4212">
        <v>420245</v>
      </c>
      <c r="B4212" t="str">
        <f>VLOOKUP(A4212,Planilha2!$A$2:$C$5566,3,0)</f>
        <v>BOMBINHAS</v>
      </c>
      <c r="C4212" t="str">
        <f>VLOOKUP(A4212,Planilha2!$A$2:$D$5566,4,0)</f>
        <v>SC</v>
      </c>
    </row>
    <row r="4213" spans="1:3" x14ac:dyDescent="0.35">
      <c r="A4213">
        <v>421835</v>
      </c>
      <c r="B4213" t="str">
        <f>VLOOKUP(A4213,Planilha2!$A$2:$C$5566,3,0)</f>
        <v>TREVISO</v>
      </c>
      <c r="C4213" t="str">
        <f>VLOOKUP(A4213,Planilha2!$A$2:$D$5566,4,0)</f>
        <v>SC</v>
      </c>
    </row>
    <row r="4214" spans="1:3" x14ac:dyDescent="0.35">
      <c r="A4214">
        <v>421840</v>
      </c>
      <c r="B4214" t="str">
        <f>VLOOKUP(A4214,Planilha2!$A$2:$C$5566,3,0)</f>
        <v>TREZE DE MAIO</v>
      </c>
      <c r="C4214" t="str">
        <f>VLOOKUP(A4214,Planilha2!$A$2:$D$5566,4,0)</f>
        <v>SC</v>
      </c>
    </row>
    <row r="4215" spans="1:3" x14ac:dyDescent="0.35">
      <c r="A4215">
        <v>431517</v>
      </c>
      <c r="B4215" t="str">
        <f>VLOOKUP(A4215,Planilha2!$A$2:$C$5566,3,0)</f>
        <v>PROTÁSIO ALVES</v>
      </c>
      <c r="C4215" t="str">
        <f>VLOOKUP(A4215,Planilha2!$A$2:$D$5566,4,0)</f>
        <v>RS</v>
      </c>
    </row>
    <row r="4216" spans="1:3" x14ac:dyDescent="0.35">
      <c r="A4216">
        <v>430225</v>
      </c>
      <c r="B4216" t="str">
        <f>VLOOKUP(A4216,Planilha2!$A$2:$C$5566,3,0)</f>
        <v>BOA VISTA DO SUL</v>
      </c>
      <c r="C4216" t="str">
        <f>VLOOKUP(A4216,Planilha2!$A$2:$D$5566,4,0)</f>
        <v>RS</v>
      </c>
    </row>
    <row r="4217" spans="1:3" x14ac:dyDescent="0.35">
      <c r="A4217">
        <v>430593</v>
      </c>
      <c r="B4217" t="str">
        <f>VLOOKUP(A4217,Planilha2!$A$2:$C$5566,3,0)</f>
        <v>CORONEL PILAR</v>
      </c>
      <c r="C4217" t="str">
        <f>VLOOKUP(A4217,Planilha2!$A$2:$D$5566,4,0)</f>
        <v>RS</v>
      </c>
    </row>
    <row r="4218" spans="1:3" x14ac:dyDescent="0.35">
      <c r="A4218">
        <v>430130</v>
      </c>
      <c r="B4218" t="str">
        <f>VLOOKUP(A4218,Planilha2!$A$2:$C$5566,3,0)</f>
        <v>ARROIO GRANDE</v>
      </c>
      <c r="C4218" t="str">
        <f>VLOOKUP(A4218,Planilha2!$A$2:$D$5566,4,0)</f>
        <v>RS</v>
      </c>
    </row>
    <row r="4219" spans="1:3" x14ac:dyDescent="0.35">
      <c r="A4219">
        <v>430175</v>
      </c>
      <c r="B4219" t="str">
        <f>VLOOKUP(A4219,Planilha2!$A$2:$C$5566,3,0)</f>
        <v>BARÃO DO TRIUNFO</v>
      </c>
      <c r="C4219" t="str">
        <f>VLOOKUP(A4219,Planilha2!$A$2:$D$5566,4,0)</f>
        <v>RS</v>
      </c>
    </row>
    <row r="4220" spans="1:3" x14ac:dyDescent="0.35">
      <c r="A4220">
        <v>430107</v>
      </c>
      <c r="B4220" t="str">
        <f>VLOOKUP(A4220,Planilha2!$A$2:$C$5566,3,0)</f>
        <v>ARROIO DO PADRE</v>
      </c>
      <c r="C4220" t="str">
        <f>VLOOKUP(A4220,Planilha2!$A$2:$D$5566,4,0)</f>
        <v>RS</v>
      </c>
    </row>
    <row r="4221" spans="1:3" x14ac:dyDescent="0.35">
      <c r="A4221">
        <v>431670</v>
      </c>
      <c r="B4221" t="str">
        <f>VLOOKUP(A4221,Planilha2!$A$2:$C$5566,3,0)</f>
        <v>SANTA BÁRBARA DO SUL</v>
      </c>
      <c r="C4221" t="str">
        <f>VLOOKUP(A4221,Planilha2!$A$2:$D$5566,4,0)</f>
        <v>RS</v>
      </c>
    </row>
    <row r="4222" spans="1:3" x14ac:dyDescent="0.35">
      <c r="A4222">
        <v>431210</v>
      </c>
      <c r="B4222" t="str">
        <f>VLOOKUP(A4222,Planilha2!$A$2:$C$5566,3,0)</f>
        <v>MATA</v>
      </c>
      <c r="C4222" t="str">
        <f>VLOOKUP(A4222,Planilha2!$A$2:$D$5566,4,0)</f>
        <v>RS</v>
      </c>
    </row>
    <row r="4223" spans="1:3" x14ac:dyDescent="0.35">
      <c r="A4223">
        <v>500440</v>
      </c>
      <c r="B4223" t="str">
        <f>VLOOKUP(A4223,Planilha2!$A$2:$C$5566,3,0)</f>
        <v>INOCÊNCIA</v>
      </c>
      <c r="C4223" t="str">
        <f>VLOOKUP(A4223,Planilha2!$A$2:$D$5566,4,0)</f>
        <v>MS</v>
      </c>
    </row>
    <row r="4224" spans="1:3" x14ac:dyDescent="0.35">
      <c r="A4224">
        <v>500230</v>
      </c>
      <c r="B4224" t="str">
        <f>VLOOKUP(A4224,Planilha2!$A$2:$C$5566,3,0)</f>
        <v>BRASILÂNDIA</v>
      </c>
      <c r="C4224" t="str">
        <f>VLOOKUP(A4224,Planilha2!$A$2:$D$5566,4,0)</f>
        <v>MS</v>
      </c>
    </row>
    <row r="4225" spans="1:3" x14ac:dyDescent="0.35">
      <c r="A4225">
        <v>510685</v>
      </c>
      <c r="B4225" t="str">
        <f>VLOOKUP(A4225,Planilha2!$A$2:$C$5566,3,0)</f>
        <v>PORTO ESTRELA</v>
      </c>
      <c r="C4225" t="str">
        <f>VLOOKUP(A4225,Planilha2!$A$2:$D$5566,4,0)</f>
        <v>MT</v>
      </c>
    </row>
    <row r="4226" spans="1:3" x14ac:dyDescent="0.35">
      <c r="A4226">
        <v>510724</v>
      </c>
      <c r="B4226" t="str">
        <f>VLOOKUP(A4226,Planilha2!$A$2:$C$5566,3,0)</f>
        <v>SANTA CARMEM</v>
      </c>
      <c r="C4226" t="str">
        <f>VLOOKUP(A4226,Planilha2!$A$2:$D$5566,4,0)</f>
        <v>MT</v>
      </c>
    </row>
    <row r="4227" spans="1:3" x14ac:dyDescent="0.35">
      <c r="A4227">
        <v>510454</v>
      </c>
      <c r="B4227" t="str">
        <f>VLOOKUP(A4227,Planilha2!$A$2:$C$5566,3,0)</f>
        <v>ITANHANGÁ</v>
      </c>
      <c r="C4227" t="str">
        <f>VLOOKUP(A4227,Planilha2!$A$2:$D$5566,4,0)</f>
        <v>MT</v>
      </c>
    </row>
    <row r="4228" spans="1:3" x14ac:dyDescent="0.35">
      <c r="A4228">
        <v>510500</v>
      </c>
      <c r="B4228" t="str">
        <f>VLOOKUP(A4228,Planilha2!$A$2:$C$5566,3,0)</f>
        <v>JAURU</v>
      </c>
      <c r="C4228" t="str">
        <f>VLOOKUP(A4228,Planilha2!$A$2:$D$5566,4,0)</f>
        <v>MT</v>
      </c>
    </row>
    <row r="4229" spans="1:3" x14ac:dyDescent="0.35">
      <c r="A4229">
        <v>510600</v>
      </c>
      <c r="B4229" t="str">
        <f>VLOOKUP(A4229,Planilha2!$A$2:$C$5566,3,0)</f>
        <v>NORTELÂNDIA</v>
      </c>
      <c r="C4229" t="str">
        <f>VLOOKUP(A4229,Planilha2!$A$2:$D$5566,4,0)</f>
        <v>MT</v>
      </c>
    </row>
    <row r="4230" spans="1:3" x14ac:dyDescent="0.35">
      <c r="A4230">
        <v>521015</v>
      </c>
      <c r="B4230" t="str">
        <f>VLOOKUP(A4230,Planilha2!$A$2:$C$5566,3,0)</f>
        <v>IPIRANGA DE GOIÁS</v>
      </c>
      <c r="C4230" t="str">
        <f>VLOOKUP(A4230,Planilha2!$A$2:$D$5566,4,0)</f>
        <v>GO</v>
      </c>
    </row>
    <row r="4231" spans="1:3" x14ac:dyDescent="0.35">
      <c r="A4231">
        <v>520380</v>
      </c>
      <c r="B4231" t="str">
        <f>VLOOKUP(A4231,Planilha2!$A$2:$C$5566,3,0)</f>
        <v>BRITÂNIA</v>
      </c>
      <c r="C4231" t="str">
        <f>VLOOKUP(A4231,Planilha2!$A$2:$D$5566,4,0)</f>
        <v>GO</v>
      </c>
    </row>
    <row r="4232" spans="1:3" x14ac:dyDescent="0.35">
      <c r="A4232">
        <v>520680</v>
      </c>
      <c r="B4232" t="str">
        <f>VLOOKUP(A4232,Planilha2!$A$2:$C$5566,3,0)</f>
        <v>DAMOLÂNDIA</v>
      </c>
      <c r="C4232" t="str">
        <f>VLOOKUP(A4232,Planilha2!$A$2:$D$5566,4,0)</f>
        <v>GO</v>
      </c>
    </row>
    <row r="4233" spans="1:3" x14ac:dyDescent="0.35">
      <c r="A4233">
        <v>520810</v>
      </c>
      <c r="B4233" t="str">
        <f>VLOOKUP(A4233,Planilha2!$A$2:$C$5566,3,0)</f>
        <v>FORMOSO</v>
      </c>
      <c r="C4233" t="str">
        <f>VLOOKUP(A4233,Planilha2!$A$2:$D$5566,4,0)</f>
        <v>GO</v>
      </c>
    </row>
    <row r="4234" spans="1:3" x14ac:dyDescent="0.35">
      <c r="A4234">
        <v>520725</v>
      </c>
      <c r="B4234" t="str">
        <f>VLOOKUP(A4234,Planilha2!$A$2:$C$5566,3,0)</f>
        <v>DOVERLÂNDIA</v>
      </c>
      <c r="C4234" t="str">
        <f>VLOOKUP(A4234,Planilha2!$A$2:$D$5566,4,0)</f>
        <v>GO</v>
      </c>
    </row>
    <row r="4235" spans="1:3" x14ac:dyDescent="0.35">
      <c r="A4235">
        <v>520080</v>
      </c>
      <c r="B4235" t="str">
        <f>VLOOKUP(A4235,Planilha2!$A$2:$C$5566,3,0)</f>
        <v>ALVORADA DO NORTE</v>
      </c>
      <c r="C4235" t="str">
        <f>VLOOKUP(A4235,Planilha2!$A$2:$D$5566,4,0)</f>
        <v>GO</v>
      </c>
    </row>
    <row r="4236" spans="1:3" x14ac:dyDescent="0.35">
      <c r="A4236">
        <v>521540</v>
      </c>
      <c r="B4236" t="str">
        <f>VLOOKUP(A4236,Planilha2!$A$2:$C$5566,3,0)</f>
        <v>OURO VERDE DE GOIÁS</v>
      </c>
      <c r="C4236" t="str">
        <f>VLOOKUP(A4236,Planilha2!$A$2:$D$5566,4,0)</f>
        <v>GO</v>
      </c>
    </row>
    <row r="4237" spans="1:3" x14ac:dyDescent="0.35">
      <c r="A4237">
        <v>521973</v>
      </c>
      <c r="B4237" t="str">
        <f>VLOOKUP(A4237,Planilha2!$A$2:$C$5566,3,0)</f>
        <v>SANTO ANTÔNIO DE GOIÁS</v>
      </c>
      <c r="C4237" t="str">
        <f>VLOOKUP(A4237,Planilha2!$A$2:$D$5566,4,0)</f>
        <v>GO</v>
      </c>
    </row>
    <row r="4238" spans="1:3" x14ac:dyDescent="0.35">
      <c r="A4238">
        <v>352560</v>
      </c>
      <c r="B4238" t="str">
        <f>VLOOKUP(A4238,Planilha2!$A$2:$C$5566,3,0)</f>
        <v>JOÃO RAMALHO</v>
      </c>
      <c r="C4238" t="str">
        <f>VLOOKUP(A4238,Planilha2!$A$2:$D$5566,4,0)</f>
        <v>SP</v>
      </c>
    </row>
    <row r="4239" spans="1:3" x14ac:dyDescent="0.35">
      <c r="A4239">
        <v>330230</v>
      </c>
      <c r="B4239" t="str">
        <f>VLOOKUP(A4239,Planilha2!$A$2:$C$5566,3,0)</f>
        <v>LAJE DO MURIAÉ</v>
      </c>
      <c r="C4239" t="str">
        <f>VLOOKUP(A4239,Planilha2!$A$2:$D$5566,4,0)</f>
        <v>RJ</v>
      </c>
    </row>
    <row r="4240" spans="1:3" x14ac:dyDescent="0.35">
      <c r="A4240">
        <v>150690</v>
      </c>
      <c r="B4240" t="str">
        <f>VLOOKUP(A4240,Planilha2!$A$2:$C$5566,3,0)</f>
        <v>SANTARÉM NOVO</v>
      </c>
      <c r="C4240" t="str">
        <f>VLOOKUP(A4240,Planilha2!$A$2:$D$5566,4,0)</f>
        <v>PA</v>
      </c>
    </row>
    <row r="4241" spans="1:3" x14ac:dyDescent="0.35">
      <c r="A4241">
        <v>110120</v>
      </c>
      <c r="B4241" t="str">
        <f>VLOOKUP(A4241,Planilha2!$A$2:$C$5566,3,0)</f>
        <v>MINISTRO ANDREAZZA</v>
      </c>
      <c r="C4241" t="str">
        <f>VLOOKUP(A4241,Planilha2!$A$2:$D$5566,4,0)</f>
        <v>RO</v>
      </c>
    </row>
    <row r="4242" spans="1:3" x14ac:dyDescent="0.35">
      <c r="A4242">
        <v>110143</v>
      </c>
      <c r="B4242" t="str">
        <f>VLOOKUP(A4242,Planilha2!$A$2:$C$5566,3,0)</f>
        <v>NOVA UNIÃO</v>
      </c>
      <c r="C4242" t="str">
        <f>VLOOKUP(A4242,Planilha2!$A$2:$D$5566,4,0)</f>
        <v>RO</v>
      </c>
    </row>
    <row r="4243" spans="1:3" x14ac:dyDescent="0.35">
      <c r="A4243">
        <v>110160</v>
      </c>
      <c r="B4243" t="str">
        <f>VLOOKUP(A4243,Planilha2!$A$2:$C$5566,3,0)</f>
        <v>THEOBROMA</v>
      </c>
      <c r="C4243" t="str">
        <f>VLOOKUP(A4243,Planilha2!$A$2:$D$5566,4,0)</f>
        <v>RO</v>
      </c>
    </row>
    <row r="4244" spans="1:3" x14ac:dyDescent="0.35">
      <c r="A4244">
        <v>172065</v>
      </c>
      <c r="B4244" t="str">
        <f>VLOOKUP(A4244,Planilha2!$A$2:$C$5566,3,0)</f>
        <v>SILVANÓPOLIS</v>
      </c>
      <c r="C4244" t="str">
        <f>VLOOKUP(A4244,Planilha2!$A$2:$D$5566,4,0)</f>
        <v>TO</v>
      </c>
    </row>
    <row r="4245" spans="1:3" x14ac:dyDescent="0.35">
      <c r="A4245">
        <v>220280</v>
      </c>
      <c r="B4245" t="str">
        <f>VLOOKUP(A4245,Planilha2!$A$2:$C$5566,3,0)</f>
        <v>CONCEIÇÃO DO CANINDÉ</v>
      </c>
      <c r="C4245" t="str">
        <f>VLOOKUP(A4245,Planilha2!$A$2:$D$5566,4,0)</f>
        <v>PI</v>
      </c>
    </row>
    <row r="4246" spans="1:3" x14ac:dyDescent="0.35">
      <c r="A4246">
        <v>220198</v>
      </c>
      <c r="B4246" t="str">
        <f>VLOOKUP(A4246,Planilha2!$A$2:$C$5566,3,0)</f>
        <v>BREJO DO PIAUÍ</v>
      </c>
      <c r="C4246" t="str">
        <f>VLOOKUP(A4246,Planilha2!$A$2:$D$5566,4,0)</f>
        <v>PI</v>
      </c>
    </row>
    <row r="4247" spans="1:3" x14ac:dyDescent="0.35">
      <c r="A4247">
        <v>230980</v>
      </c>
      <c r="B4247" t="str">
        <f>VLOOKUP(A4247,Planilha2!$A$2:$C$5566,3,0)</f>
        <v>PACOTI</v>
      </c>
      <c r="C4247" t="str">
        <f>VLOOKUP(A4247,Planilha2!$A$2:$D$5566,4,0)</f>
        <v>CE</v>
      </c>
    </row>
    <row r="4248" spans="1:3" x14ac:dyDescent="0.35">
      <c r="A4248">
        <v>230910</v>
      </c>
      <c r="B4248" t="str">
        <f>VLOOKUP(A4248,Planilha2!$A$2:$C$5566,3,0)</f>
        <v>MULUNGU</v>
      </c>
      <c r="C4248" t="str">
        <f>VLOOKUP(A4248,Planilha2!$A$2:$D$5566,4,0)</f>
        <v>CE</v>
      </c>
    </row>
    <row r="4249" spans="1:3" x14ac:dyDescent="0.35">
      <c r="A4249">
        <v>240980</v>
      </c>
      <c r="B4249" t="str">
        <f>VLOOKUP(A4249,Planilha2!$A$2:$C$5566,3,0)</f>
        <v>PEDRO VELHO</v>
      </c>
      <c r="C4249" t="str">
        <f>VLOOKUP(A4249,Planilha2!$A$2:$D$5566,4,0)</f>
        <v>RN</v>
      </c>
    </row>
    <row r="4250" spans="1:3" x14ac:dyDescent="0.35">
      <c r="A4250">
        <v>261560</v>
      </c>
      <c r="B4250" t="str">
        <f>VLOOKUP(A4250,Planilha2!$A$2:$C$5566,3,0)</f>
        <v>TRINDADE</v>
      </c>
      <c r="C4250" t="str">
        <f>VLOOKUP(A4250,Planilha2!$A$2:$D$5566,4,0)</f>
        <v>PE</v>
      </c>
    </row>
    <row r="4251" spans="1:3" x14ac:dyDescent="0.35">
      <c r="A4251">
        <v>292020</v>
      </c>
      <c r="B4251" t="str">
        <f>VLOOKUP(A4251,Planilha2!$A$2:$C$5566,3,0)</f>
        <v>MALHADA</v>
      </c>
      <c r="C4251" t="str">
        <f>VLOOKUP(A4251,Planilha2!$A$2:$D$5566,4,0)</f>
        <v>BA</v>
      </c>
    </row>
    <row r="4252" spans="1:3" x14ac:dyDescent="0.35">
      <c r="A4252">
        <v>315950</v>
      </c>
      <c r="B4252" t="str">
        <f>VLOOKUP(A4252,Planilha2!$A$2:$C$5566,3,0)</f>
        <v>SANTA RITA DO ITUETO</v>
      </c>
      <c r="C4252" t="str">
        <f>VLOOKUP(A4252,Planilha2!$A$2:$D$5566,4,0)</f>
        <v>MG</v>
      </c>
    </row>
    <row r="4253" spans="1:3" x14ac:dyDescent="0.35">
      <c r="A4253">
        <v>311890</v>
      </c>
      <c r="B4253" t="str">
        <f>VLOOKUP(A4253,Planilha2!$A$2:$C$5566,3,0)</f>
        <v>CORDISBURGO</v>
      </c>
      <c r="C4253" t="str">
        <f>VLOOKUP(A4253,Planilha2!$A$2:$D$5566,4,0)</f>
        <v>MG</v>
      </c>
    </row>
    <row r="4254" spans="1:3" x14ac:dyDescent="0.35">
      <c r="A4254">
        <v>320050</v>
      </c>
      <c r="B4254" t="str">
        <f>VLOOKUP(A4254,Planilha2!$A$2:$C$5566,3,0)</f>
        <v>APIACÁ</v>
      </c>
      <c r="C4254" t="str">
        <f>VLOOKUP(A4254,Planilha2!$A$2:$D$5566,4,0)</f>
        <v>ES</v>
      </c>
    </row>
    <row r="4255" spans="1:3" x14ac:dyDescent="0.35">
      <c r="A4255">
        <v>431770</v>
      </c>
      <c r="B4255" t="str">
        <f>VLOOKUP(A4255,Planilha2!$A$2:$C$5566,3,0)</f>
        <v>SANTO ANTÔNIO DAS MISSÕES</v>
      </c>
      <c r="C4255" t="str">
        <f>VLOOKUP(A4255,Planilha2!$A$2:$D$5566,4,0)</f>
        <v>RS</v>
      </c>
    </row>
    <row r="4256" spans="1:3" x14ac:dyDescent="0.35">
      <c r="A4256">
        <v>430513</v>
      </c>
      <c r="B4256" t="str">
        <f>VLOOKUP(A4256,Planilha2!$A$2:$C$5566,3,0)</f>
        <v>CERRO BRANCO</v>
      </c>
      <c r="C4256" t="str">
        <f>VLOOKUP(A4256,Planilha2!$A$2:$D$5566,4,0)</f>
        <v>RS</v>
      </c>
    </row>
    <row r="4257" spans="1:3" x14ac:dyDescent="0.35">
      <c r="A4257">
        <v>431848</v>
      </c>
      <c r="B4257" t="str">
        <f>VLOOKUP(A4257,Planilha2!$A$2:$C$5566,3,0)</f>
        <v>SÃO JOSÉ DO HORTÊNCIO</v>
      </c>
      <c r="C4257" t="str">
        <f>VLOOKUP(A4257,Planilha2!$A$2:$D$5566,4,0)</f>
        <v>RS</v>
      </c>
    </row>
    <row r="4258" spans="1:3" x14ac:dyDescent="0.35">
      <c r="A4258">
        <v>432340</v>
      </c>
      <c r="B4258" t="str">
        <f>VLOOKUP(A4258,Planilha2!$A$2:$C$5566,3,0)</f>
        <v>VILA MARIA</v>
      </c>
      <c r="C4258" t="str">
        <f>VLOOKUP(A4258,Planilha2!$A$2:$D$5566,4,0)</f>
        <v>RS</v>
      </c>
    </row>
    <row r="4259" spans="1:3" x14ac:dyDescent="0.35">
      <c r="A4259">
        <v>522000</v>
      </c>
      <c r="B4259" t="str">
        <f>VLOOKUP(A4259,Planilha2!$A$2:$C$5566,3,0)</f>
        <v>SÃO JOÃO D`ALIANÇA</v>
      </c>
      <c r="C4259" t="str">
        <f>VLOOKUP(A4259,Planilha2!$A$2:$D$5566,4,0)</f>
        <v>GO</v>
      </c>
    </row>
    <row r="4260" spans="1:3" x14ac:dyDescent="0.35">
      <c r="A4260">
        <v>521130</v>
      </c>
      <c r="B4260" t="str">
        <f>VLOOKUP(A4260,Planilha2!$A$2:$C$5566,3,0)</f>
        <v>ITARUMÃ</v>
      </c>
      <c r="C4260" t="str">
        <f>VLOOKUP(A4260,Planilha2!$A$2:$D$5566,4,0)</f>
        <v>GO</v>
      </c>
    </row>
    <row r="4261" spans="1:3" x14ac:dyDescent="0.35">
      <c r="A4261">
        <v>120001</v>
      </c>
      <c r="B4261" t="str">
        <f>VLOOKUP(A4261,Planilha2!$A$2:$C$5566,3,0)</f>
        <v>ACRELÂNDIA</v>
      </c>
      <c r="C4261" t="str">
        <f>VLOOKUP(A4261,Planilha2!$A$2:$D$5566,4,0)</f>
        <v>AC</v>
      </c>
    </row>
    <row r="4262" spans="1:3" x14ac:dyDescent="0.35">
      <c r="A4262">
        <v>172080</v>
      </c>
      <c r="B4262" t="str">
        <f>VLOOKUP(A4262,Planilha2!$A$2:$C$5566,3,0)</f>
        <v>SÍTIO NOVO DO TOCANTINS</v>
      </c>
      <c r="C4262" t="str">
        <f>VLOOKUP(A4262,Planilha2!$A$2:$D$5566,4,0)</f>
        <v>TO</v>
      </c>
    </row>
    <row r="4263" spans="1:3" x14ac:dyDescent="0.35">
      <c r="A4263">
        <v>170025</v>
      </c>
      <c r="B4263" t="str">
        <f>VLOOKUP(A4263,Planilha2!$A$2:$C$5566,3,0)</f>
        <v>ABREULÂNDIA</v>
      </c>
      <c r="C4263" t="str">
        <f>VLOOKUP(A4263,Planilha2!$A$2:$D$5566,4,0)</f>
        <v>TO</v>
      </c>
    </row>
    <row r="4264" spans="1:3" x14ac:dyDescent="0.35">
      <c r="A4264">
        <v>170370</v>
      </c>
      <c r="B4264" t="str">
        <f>VLOOKUP(A4264,Planilha2!$A$2:$C$5566,3,0)</f>
        <v>BREJINHO DE NAZARÉ</v>
      </c>
      <c r="C4264" t="str">
        <f>VLOOKUP(A4264,Planilha2!$A$2:$D$5566,4,0)</f>
        <v>TO</v>
      </c>
    </row>
    <row r="4265" spans="1:3" x14ac:dyDescent="0.35">
      <c r="A4265">
        <v>171195</v>
      </c>
      <c r="B4265" t="str">
        <f>VLOOKUP(A4265,Planilha2!$A$2:$C$5566,3,0)</f>
        <v>LAGOA DO TOCANTINS</v>
      </c>
      <c r="C4265" t="str">
        <f>VLOOKUP(A4265,Planilha2!$A$2:$D$5566,4,0)</f>
        <v>TO</v>
      </c>
    </row>
    <row r="4266" spans="1:3" x14ac:dyDescent="0.35">
      <c r="A4266">
        <v>171570</v>
      </c>
      <c r="B4266" t="str">
        <f>VLOOKUP(A4266,Planilha2!$A$2:$C$5566,3,0)</f>
        <v>PALMEIRANTE</v>
      </c>
      <c r="C4266" t="str">
        <f>VLOOKUP(A4266,Planilha2!$A$2:$D$5566,4,0)</f>
        <v>TO</v>
      </c>
    </row>
    <row r="4267" spans="1:3" x14ac:dyDescent="0.35">
      <c r="A4267">
        <v>171886</v>
      </c>
      <c r="B4267" t="str">
        <f>VLOOKUP(A4267,Planilha2!$A$2:$C$5566,3,0)</f>
        <v>SANTA FÉ DO ARAGUAIA</v>
      </c>
      <c r="C4267" t="str">
        <f>VLOOKUP(A4267,Planilha2!$A$2:$D$5566,4,0)</f>
        <v>TO</v>
      </c>
    </row>
    <row r="4268" spans="1:3" x14ac:dyDescent="0.35">
      <c r="A4268">
        <v>210635</v>
      </c>
      <c r="B4268" t="str">
        <f>VLOOKUP(A4268,Planilha2!$A$2:$C$5566,3,0)</f>
        <v>MARAJÁ DO SENA</v>
      </c>
      <c r="C4268" t="str">
        <f>VLOOKUP(A4268,Planilha2!$A$2:$D$5566,4,0)</f>
        <v>MA</v>
      </c>
    </row>
    <row r="4269" spans="1:3" x14ac:dyDescent="0.35">
      <c r="A4269">
        <v>210950</v>
      </c>
      <c r="B4269" t="str">
        <f>VLOOKUP(A4269,Planilha2!$A$2:$C$5566,3,0)</f>
        <v>RIACHÃO</v>
      </c>
      <c r="C4269" t="str">
        <f>VLOOKUP(A4269,Planilha2!$A$2:$D$5566,4,0)</f>
        <v>MA</v>
      </c>
    </row>
    <row r="4270" spans="1:3" x14ac:dyDescent="0.35">
      <c r="A4270">
        <v>210375</v>
      </c>
      <c r="B4270" t="str">
        <f>VLOOKUP(A4270,Planilha2!$A$2:$C$5566,3,0)</f>
        <v>DAVINÓPOLIS</v>
      </c>
      <c r="C4270" t="str">
        <f>VLOOKUP(A4270,Planilha2!$A$2:$D$5566,4,0)</f>
        <v>MA</v>
      </c>
    </row>
    <row r="4271" spans="1:3" x14ac:dyDescent="0.35">
      <c r="A4271">
        <v>210590</v>
      </c>
      <c r="B4271" t="str">
        <f>VLOOKUP(A4271,Planilha2!$A$2:$C$5566,3,0)</f>
        <v>LAGO VERDE</v>
      </c>
      <c r="C4271" t="str">
        <f>VLOOKUP(A4271,Planilha2!$A$2:$D$5566,4,0)</f>
        <v>MA</v>
      </c>
    </row>
    <row r="4272" spans="1:3" x14ac:dyDescent="0.35">
      <c r="A4272">
        <v>210710</v>
      </c>
      <c r="B4272" t="str">
        <f>VLOOKUP(A4272,Planilha2!$A$2:$C$5566,3,0)</f>
        <v>MORROS</v>
      </c>
      <c r="C4272" t="str">
        <f>VLOOKUP(A4272,Planilha2!$A$2:$D$5566,4,0)</f>
        <v>MA</v>
      </c>
    </row>
    <row r="4273" spans="1:3" x14ac:dyDescent="0.35">
      <c r="A4273">
        <v>220640</v>
      </c>
      <c r="B4273" t="str">
        <f>VLOOKUP(A4273,Planilha2!$A$2:$C$5566,3,0)</f>
        <v>MONSENHOR GIL</v>
      </c>
      <c r="C4273" t="str">
        <f>VLOOKUP(A4273,Planilha2!$A$2:$D$5566,4,0)</f>
        <v>PI</v>
      </c>
    </row>
    <row r="4274" spans="1:3" x14ac:dyDescent="0.35">
      <c r="A4274">
        <v>221062</v>
      </c>
      <c r="B4274" t="str">
        <f>VLOOKUP(A4274,Planilha2!$A$2:$C$5566,3,0)</f>
        <v>SEBASTIÃO BARROS</v>
      </c>
      <c r="C4274" t="str">
        <f>VLOOKUP(A4274,Planilha2!$A$2:$D$5566,4,0)</f>
        <v>PI</v>
      </c>
    </row>
    <row r="4275" spans="1:3" x14ac:dyDescent="0.35">
      <c r="A4275">
        <v>220680</v>
      </c>
      <c r="B4275" t="str">
        <f>VLOOKUP(A4275,Planilha2!$A$2:$C$5566,3,0)</f>
        <v>NOSSA SENHORA DOS REMÉDIOS</v>
      </c>
      <c r="C4275" t="str">
        <f>VLOOKUP(A4275,Planilha2!$A$2:$D$5566,4,0)</f>
        <v>PI</v>
      </c>
    </row>
    <row r="4276" spans="1:3" x14ac:dyDescent="0.35">
      <c r="A4276">
        <v>220672</v>
      </c>
      <c r="B4276" t="str">
        <f>VLOOKUP(A4276,Planilha2!$A$2:$C$5566,3,0)</f>
        <v>NAZARIA</v>
      </c>
      <c r="C4276" t="str">
        <f>VLOOKUP(A4276,Planilha2!$A$2:$D$5566,4,0)</f>
        <v>PI</v>
      </c>
    </row>
    <row r="4277" spans="1:3" x14ac:dyDescent="0.35">
      <c r="A4277">
        <v>220490</v>
      </c>
      <c r="B4277" t="str">
        <f>VLOOKUP(A4277,Planilha2!$A$2:$C$5566,3,0)</f>
        <v>ISAÍAS COELHO</v>
      </c>
      <c r="C4277" t="str">
        <f>VLOOKUP(A4277,Planilha2!$A$2:$D$5566,4,0)</f>
        <v>PI</v>
      </c>
    </row>
    <row r="4278" spans="1:3" x14ac:dyDescent="0.35">
      <c r="A4278">
        <v>231080</v>
      </c>
      <c r="B4278" t="str">
        <f>VLOOKUP(A4278,Planilha2!$A$2:$C$5566,3,0)</f>
        <v>PEREIRO</v>
      </c>
      <c r="C4278" t="str">
        <f>VLOOKUP(A4278,Planilha2!$A$2:$D$5566,4,0)</f>
        <v>CE</v>
      </c>
    </row>
    <row r="4279" spans="1:3" x14ac:dyDescent="0.35">
      <c r="A4279">
        <v>230790</v>
      </c>
      <c r="B4279" t="str">
        <f>VLOOKUP(A4279,Planilha2!$A$2:$C$5566,3,0)</f>
        <v>MARTINÓPOLE</v>
      </c>
      <c r="C4279" t="str">
        <f>VLOOKUP(A4279,Planilha2!$A$2:$D$5566,4,0)</f>
        <v>CE</v>
      </c>
    </row>
    <row r="4280" spans="1:3" x14ac:dyDescent="0.35">
      <c r="A4280">
        <v>230520</v>
      </c>
      <c r="B4280" t="str">
        <f>VLOOKUP(A4280,Planilha2!$A$2:$C$5566,3,0)</f>
        <v>HIDROLÂNDIA</v>
      </c>
      <c r="C4280" t="str">
        <f>VLOOKUP(A4280,Planilha2!$A$2:$D$5566,4,0)</f>
        <v>CE</v>
      </c>
    </row>
    <row r="4281" spans="1:3" x14ac:dyDescent="0.35">
      <c r="A4281">
        <v>231325</v>
      </c>
      <c r="B4281" t="str">
        <f>VLOOKUP(A4281,Planilha2!$A$2:$C$5566,3,0)</f>
        <v>TARRAFAS</v>
      </c>
      <c r="C4281" t="str">
        <f>VLOOKUP(A4281,Planilha2!$A$2:$D$5566,4,0)</f>
        <v>CE</v>
      </c>
    </row>
    <row r="4282" spans="1:3" x14ac:dyDescent="0.35">
      <c r="A4282">
        <v>240375</v>
      </c>
      <c r="B4282" t="str">
        <f>VLOOKUP(A4282,Planilha2!$A$2:$C$5566,3,0)</f>
        <v>FERNANDO PEDROZA</v>
      </c>
      <c r="C4282" t="str">
        <f>VLOOKUP(A4282,Planilha2!$A$2:$D$5566,4,0)</f>
        <v>RN</v>
      </c>
    </row>
    <row r="4283" spans="1:3" x14ac:dyDescent="0.35">
      <c r="A4283">
        <v>240630</v>
      </c>
      <c r="B4283" t="str">
        <f>VLOOKUP(A4283,Planilha2!$A$2:$C$5566,3,0)</f>
        <v>LAGOA DE PEDRAS</v>
      </c>
      <c r="C4283" t="str">
        <f>VLOOKUP(A4283,Planilha2!$A$2:$D$5566,4,0)</f>
        <v>RN</v>
      </c>
    </row>
    <row r="4284" spans="1:3" x14ac:dyDescent="0.35">
      <c r="A4284">
        <v>250980</v>
      </c>
      <c r="B4284" t="str">
        <f>VLOOKUP(A4284,Planilha2!$A$2:$C$5566,3,0)</f>
        <v>MULUNGU</v>
      </c>
      <c r="C4284" t="str">
        <f>VLOOKUP(A4284,Planilha2!$A$2:$D$5566,4,0)</f>
        <v>PB</v>
      </c>
    </row>
    <row r="4285" spans="1:3" x14ac:dyDescent="0.35">
      <c r="A4285">
        <v>250930</v>
      </c>
      <c r="B4285" t="str">
        <f>VLOOKUP(A4285,Planilha2!$A$2:$C$5566,3,0)</f>
        <v>MATARACA</v>
      </c>
      <c r="C4285" t="str">
        <f>VLOOKUP(A4285,Planilha2!$A$2:$D$5566,4,0)</f>
        <v>PB</v>
      </c>
    </row>
    <row r="4286" spans="1:3" x14ac:dyDescent="0.35">
      <c r="A4286">
        <v>250860</v>
      </c>
      <c r="B4286" t="str">
        <f>VLOOKUP(A4286,Planilha2!$A$2:$C$5566,3,0)</f>
        <v>LUCENA</v>
      </c>
      <c r="C4286" t="str">
        <f>VLOOKUP(A4286,Planilha2!$A$2:$D$5566,4,0)</f>
        <v>PB</v>
      </c>
    </row>
    <row r="4287" spans="1:3" x14ac:dyDescent="0.35">
      <c r="A4287">
        <v>251280</v>
      </c>
      <c r="B4287" t="str">
        <f>VLOOKUP(A4287,Planilha2!$A$2:$C$5566,3,0)</f>
        <v>RIACHO DOS CAVALOS</v>
      </c>
      <c r="C4287" t="str">
        <f>VLOOKUP(A4287,Planilha2!$A$2:$D$5566,4,0)</f>
        <v>PB</v>
      </c>
    </row>
    <row r="4288" spans="1:3" x14ac:dyDescent="0.35">
      <c r="A4288">
        <v>260590</v>
      </c>
      <c r="B4288" t="str">
        <f>VLOOKUP(A4288,Planilha2!$A$2:$C$5566,3,0)</f>
        <v>GAMELEIRA</v>
      </c>
      <c r="C4288" t="str">
        <f>VLOOKUP(A4288,Planilha2!$A$2:$D$5566,4,0)</f>
        <v>PE</v>
      </c>
    </row>
    <row r="4289" spans="1:3" x14ac:dyDescent="0.35">
      <c r="A4289">
        <v>260650</v>
      </c>
      <c r="B4289" t="str">
        <f>VLOOKUP(A4289,Planilha2!$A$2:$C$5566,3,0)</f>
        <v>IATI</v>
      </c>
      <c r="C4289" t="str">
        <f>VLOOKUP(A4289,Planilha2!$A$2:$D$5566,4,0)</f>
        <v>PE</v>
      </c>
    </row>
    <row r="4290" spans="1:3" x14ac:dyDescent="0.35">
      <c r="A4290">
        <v>280510</v>
      </c>
      <c r="B4290" t="str">
        <f>VLOOKUP(A4290,Planilha2!$A$2:$C$5566,3,0)</f>
        <v>PEDRINHAS</v>
      </c>
      <c r="C4290" t="str">
        <f>VLOOKUP(A4290,Planilha2!$A$2:$D$5566,4,0)</f>
        <v>SE</v>
      </c>
    </row>
    <row r="4291" spans="1:3" x14ac:dyDescent="0.35">
      <c r="A4291">
        <v>280590</v>
      </c>
      <c r="B4291" t="str">
        <f>VLOOKUP(A4291,Planilha2!$A$2:$C$5566,3,0)</f>
        <v>RIACHUELO</v>
      </c>
      <c r="C4291" t="str">
        <f>VLOOKUP(A4291,Planilha2!$A$2:$D$5566,4,0)</f>
        <v>SE</v>
      </c>
    </row>
    <row r="4292" spans="1:3" x14ac:dyDescent="0.35">
      <c r="A4292">
        <v>293075</v>
      </c>
      <c r="B4292" t="str">
        <f>VLOOKUP(A4292,Planilha2!$A$2:$C$5566,3,0)</f>
        <v>SÍTIO DO MATO</v>
      </c>
      <c r="C4292" t="str">
        <f>VLOOKUP(A4292,Planilha2!$A$2:$D$5566,4,0)</f>
        <v>BA</v>
      </c>
    </row>
    <row r="4293" spans="1:3" x14ac:dyDescent="0.35">
      <c r="A4293">
        <v>292280</v>
      </c>
      <c r="B4293" t="str">
        <f>VLOOKUP(A4293,Planilha2!$A$2:$C$5566,3,0)</f>
        <v>NOVA ITARANA</v>
      </c>
      <c r="C4293" t="str">
        <f>VLOOKUP(A4293,Planilha2!$A$2:$D$5566,4,0)</f>
        <v>BA</v>
      </c>
    </row>
    <row r="4294" spans="1:3" x14ac:dyDescent="0.35">
      <c r="A4294">
        <v>291000</v>
      </c>
      <c r="B4294" t="str">
        <f>VLOOKUP(A4294,Planilha2!$A$2:$C$5566,3,0)</f>
        <v>DÁRIO MEIRA</v>
      </c>
      <c r="C4294" t="str">
        <f>VLOOKUP(A4294,Planilha2!$A$2:$D$5566,4,0)</f>
        <v>BA</v>
      </c>
    </row>
    <row r="4295" spans="1:3" x14ac:dyDescent="0.35">
      <c r="A4295">
        <v>291790</v>
      </c>
      <c r="B4295" t="str">
        <f>VLOOKUP(A4295,Planilha2!$A$2:$C$5566,3,0)</f>
        <v>JANDAÍRA</v>
      </c>
      <c r="C4295" t="str">
        <f>VLOOKUP(A4295,Planilha2!$A$2:$D$5566,4,0)</f>
        <v>BA</v>
      </c>
    </row>
    <row r="4296" spans="1:3" x14ac:dyDescent="0.35">
      <c r="A4296">
        <v>292830</v>
      </c>
      <c r="B4296" t="str">
        <f>VLOOKUP(A4296,Planilha2!$A$2:$C$5566,3,0)</f>
        <v>SANTANÓPOLIS</v>
      </c>
      <c r="C4296" t="str">
        <f>VLOOKUP(A4296,Planilha2!$A$2:$D$5566,4,0)</f>
        <v>BA</v>
      </c>
    </row>
    <row r="4297" spans="1:3" x14ac:dyDescent="0.35">
      <c r="A4297">
        <v>293220</v>
      </c>
      <c r="B4297" t="str">
        <f>VLOOKUP(A4297,Planilha2!$A$2:$C$5566,3,0)</f>
        <v>UBAITABA</v>
      </c>
      <c r="C4297" t="str">
        <f>VLOOKUP(A4297,Planilha2!$A$2:$D$5566,4,0)</f>
        <v>BA</v>
      </c>
    </row>
    <row r="4298" spans="1:3" x14ac:dyDescent="0.35">
      <c r="A4298">
        <v>315010</v>
      </c>
      <c r="B4298" t="str">
        <f>VLOOKUP(A4298,Planilha2!$A$2:$C$5566,3,0)</f>
        <v>PIAU</v>
      </c>
      <c r="C4298" t="str">
        <f>VLOOKUP(A4298,Planilha2!$A$2:$D$5566,4,0)</f>
        <v>MG</v>
      </c>
    </row>
    <row r="4299" spans="1:3" x14ac:dyDescent="0.35">
      <c r="A4299">
        <v>314537</v>
      </c>
      <c r="B4299" t="str">
        <f>VLOOKUP(A4299,Planilha2!$A$2:$C$5566,3,0)</f>
        <v>NOVORIZONTE</v>
      </c>
      <c r="C4299" t="str">
        <f>VLOOKUP(A4299,Planilha2!$A$2:$D$5566,4,0)</f>
        <v>MG</v>
      </c>
    </row>
    <row r="4300" spans="1:3" x14ac:dyDescent="0.35">
      <c r="A4300">
        <v>311070</v>
      </c>
      <c r="B4300" t="str">
        <f>VLOOKUP(A4300,Planilha2!$A$2:$C$5566,3,0)</f>
        <v>CAMBUQUIRA</v>
      </c>
      <c r="C4300" t="str">
        <f>VLOOKUP(A4300,Planilha2!$A$2:$D$5566,4,0)</f>
        <v>MG</v>
      </c>
    </row>
    <row r="4301" spans="1:3" x14ac:dyDescent="0.35">
      <c r="A4301">
        <v>312595</v>
      </c>
      <c r="B4301" t="str">
        <f>VLOOKUP(A4301,Planilha2!$A$2:$C$5566,3,0)</f>
        <v>FERVEDOURO</v>
      </c>
      <c r="C4301" t="str">
        <f>VLOOKUP(A4301,Planilha2!$A$2:$D$5566,4,0)</f>
        <v>MG</v>
      </c>
    </row>
    <row r="4302" spans="1:3" x14ac:dyDescent="0.35">
      <c r="A4302">
        <v>311740</v>
      </c>
      <c r="B4302" t="str">
        <f>VLOOKUP(A4302,Planilha2!$A$2:$C$5566,3,0)</f>
        <v>CONCEIÇÃO DE IPANEMA</v>
      </c>
      <c r="C4302" t="str">
        <f>VLOOKUP(A4302,Planilha2!$A$2:$D$5566,4,0)</f>
        <v>MG</v>
      </c>
    </row>
    <row r="4303" spans="1:3" x14ac:dyDescent="0.35">
      <c r="A4303">
        <v>316450</v>
      </c>
      <c r="B4303" t="str">
        <f>VLOOKUP(A4303,Planilha2!$A$2:$C$5566,3,0)</f>
        <v>SÃO SEBASTIÃO DO MARANHÃO</v>
      </c>
      <c r="C4303" t="str">
        <f>VLOOKUP(A4303,Planilha2!$A$2:$D$5566,4,0)</f>
        <v>MG</v>
      </c>
    </row>
    <row r="4304" spans="1:3" x14ac:dyDescent="0.35">
      <c r="A4304">
        <v>313570</v>
      </c>
      <c r="B4304" t="str">
        <f>VLOOKUP(A4304,Planilha2!$A$2:$C$5566,3,0)</f>
        <v>JEQUITIBÁ</v>
      </c>
      <c r="C4304" t="str">
        <f>VLOOKUP(A4304,Planilha2!$A$2:$D$5566,4,0)</f>
        <v>MG</v>
      </c>
    </row>
    <row r="4305" spans="1:3" x14ac:dyDescent="0.35">
      <c r="A4305">
        <v>315370</v>
      </c>
      <c r="B4305" t="str">
        <f>VLOOKUP(A4305,Planilha2!$A$2:$C$5566,3,0)</f>
        <v>QUARTEL GERAL</v>
      </c>
      <c r="C4305" t="str">
        <f>VLOOKUP(A4305,Planilha2!$A$2:$D$5566,4,0)</f>
        <v>MG</v>
      </c>
    </row>
    <row r="4306" spans="1:3" x14ac:dyDescent="0.35">
      <c r="A4306">
        <v>310370</v>
      </c>
      <c r="B4306" t="str">
        <f>VLOOKUP(A4306,Planilha2!$A$2:$C$5566,3,0)</f>
        <v>ARAPONGA</v>
      </c>
      <c r="C4306" t="str">
        <f>VLOOKUP(A4306,Planilha2!$A$2:$D$5566,4,0)</f>
        <v>MG</v>
      </c>
    </row>
    <row r="4307" spans="1:3" x14ac:dyDescent="0.35">
      <c r="A4307">
        <v>316190</v>
      </c>
      <c r="B4307" t="str">
        <f>VLOOKUP(A4307,Planilha2!$A$2:$C$5566,3,0)</f>
        <v>SÃO GONÇALO DO RIO ABAIXO</v>
      </c>
      <c r="C4307" t="str">
        <f>VLOOKUP(A4307,Planilha2!$A$2:$D$5566,4,0)</f>
        <v>MG</v>
      </c>
    </row>
    <row r="4308" spans="1:3" x14ac:dyDescent="0.35">
      <c r="A4308">
        <v>316830</v>
      </c>
      <c r="B4308" t="str">
        <f>VLOOKUP(A4308,Planilha2!$A$2:$C$5566,3,0)</f>
        <v>TAQUARAÇU DE MINAS</v>
      </c>
      <c r="C4308" t="str">
        <f>VLOOKUP(A4308,Planilha2!$A$2:$D$5566,4,0)</f>
        <v>MG</v>
      </c>
    </row>
    <row r="4309" spans="1:3" x14ac:dyDescent="0.35">
      <c r="A4309">
        <v>316090</v>
      </c>
      <c r="B4309" t="str">
        <f>VLOOKUP(A4309,Planilha2!$A$2:$C$5566,3,0)</f>
        <v>SÃO BRÁS DO SUAÇUÍ</v>
      </c>
      <c r="C4309" t="str">
        <f>VLOOKUP(A4309,Planilha2!$A$2:$D$5566,4,0)</f>
        <v>MG</v>
      </c>
    </row>
    <row r="4310" spans="1:3" x14ac:dyDescent="0.35">
      <c r="A4310">
        <v>316610</v>
      </c>
      <c r="B4310" t="str">
        <f>VLOOKUP(A4310,Planilha2!$A$2:$C$5566,3,0)</f>
        <v>SENHORA DO PORTO</v>
      </c>
      <c r="C4310" t="str">
        <f>VLOOKUP(A4310,Planilha2!$A$2:$D$5566,4,0)</f>
        <v>MG</v>
      </c>
    </row>
    <row r="4311" spans="1:3" x14ac:dyDescent="0.35">
      <c r="A4311">
        <v>312590</v>
      </c>
      <c r="B4311" t="str">
        <f>VLOOKUP(A4311,Planilha2!$A$2:$C$5566,3,0)</f>
        <v>FERROS</v>
      </c>
      <c r="C4311" t="str">
        <f>VLOOKUP(A4311,Planilha2!$A$2:$D$5566,4,0)</f>
        <v>MG</v>
      </c>
    </row>
    <row r="4312" spans="1:3" x14ac:dyDescent="0.35">
      <c r="A4312">
        <v>317180</v>
      </c>
      <c r="B4312" t="str">
        <f>VLOOKUP(A4312,Planilha2!$A$2:$C$5566,3,0)</f>
        <v>VIRGINÓPOLIS</v>
      </c>
      <c r="C4312" t="str">
        <f>VLOOKUP(A4312,Planilha2!$A$2:$D$5566,4,0)</f>
        <v>MG</v>
      </c>
    </row>
    <row r="4313" spans="1:3" x14ac:dyDescent="0.35">
      <c r="A4313">
        <v>312520</v>
      </c>
      <c r="B4313" t="str">
        <f>VLOOKUP(A4313,Planilha2!$A$2:$C$5566,3,0)</f>
        <v>FAMA</v>
      </c>
      <c r="C4313" t="str">
        <f>VLOOKUP(A4313,Planilha2!$A$2:$D$5566,4,0)</f>
        <v>MG</v>
      </c>
    </row>
    <row r="4314" spans="1:3" x14ac:dyDescent="0.35">
      <c r="A4314">
        <v>312385</v>
      </c>
      <c r="B4314" t="str">
        <f>VLOOKUP(A4314,Planilha2!$A$2:$C$5566,3,0)</f>
        <v>ENTRE FOLHAS</v>
      </c>
      <c r="C4314" t="str">
        <f>VLOOKUP(A4314,Planilha2!$A$2:$D$5566,4,0)</f>
        <v>MG</v>
      </c>
    </row>
    <row r="4315" spans="1:3" x14ac:dyDescent="0.35">
      <c r="A4315">
        <v>313480</v>
      </c>
      <c r="B4315" t="str">
        <f>VLOOKUP(A4315,Planilha2!$A$2:$C$5566,3,0)</f>
        <v>JACUÍ</v>
      </c>
      <c r="C4315" t="str">
        <f>VLOOKUP(A4315,Planilha2!$A$2:$D$5566,4,0)</f>
        <v>MG</v>
      </c>
    </row>
    <row r="4316" spans="1:3" x14ac:dyDescent="0.35">
      <c r="A4316">
        <v>320035</v>
      </c>
      <c r="B4316" t="str">
        <f>VLOOKUP(A4316,Planilha2!$A$2:$C$5566,3,0)</f>
        <v>ALTO RIO NOVO</v>
      </c>
      <c r="C4316" t="str">
        <f>VLOOKUP(A4316,Planilha2!$A$2:$D$5566,4,0)</f>
        <v>ES</v>
      </c>
    </row>
    <row r="4317" spans="1:3" x14ac:dyDescent="0.35">
      <c r="A4317">
        <v>330410</v>
      </c>
      <c r="B4317" t="str">
        <f>VLOOKUP(A4317,Planilha2!$A$2:$C$5566,3,0)</f>
        <v>PORCIÚNCULA</v>
      </c>
      <c r="C4317" t="str">
        <f>VLOOKUP(A4317,Planilha2!$A$2:$D$5566,4,0)</f>
        <v>RJ</v>
      </c>
    </row>
    <row r="4318" spans="1:3" x14ac:dyDescent="0.35">
      <c r="A4318">
        <v>330513</v>
      </c>
      <c r="B4318" t="str">
        <f>VLOOKUP(A4318,Planilha2!$A$2:$C$5566,3,0)</f>
        <v>SÃO JOSÉ DE UBÁ</v>
      </c>
      <c r="C4318" t="str">
        <f>VLOOKUP(A4318,Planilha2!$A$2:$D$5566,4,0)</f>
        <v>RJ</v>
      </c>
    </row>
    <row r="4319" spans="1:3" x14ac:dyDescent="0.35">
      <c r="A4319">
        <v>355330</v>
      </c>
      <c r="B4319" t="str">
        <f>VLOOKUP(A4319,Planilha2!$A$2:$C$5566,3,0)</f>
        <v>TAMBAÚ</v>
      </c>
      <c r="C4319" t="str">
        <f>VLOOKUP(A4319,Planilha2!$A$2:$D$5566,4,0)</f>
        <v>SP</v>
      </c>
    </row>
    <row r="4320" spans="1:3" x14ac:dyDescent="0.35">
      <c r="A4320">
        <v>353570</v>
      </c>
      <c r="B4320" t="str">
        <f>VLOOKUP(A4320,Planilha2!$A$2:$C$5566,3,0)</f>
        <v>PARAÍSO</v>
      </c>
      <c r="C4320" t="str">
        <f>VLOOKUP(A4320,Planilha2!$A$2:$D$5566,4,0)</f>
        <v>SP</v>
      </c>
    </row>
    <row r="4321" spans="1:3" x14ac:dyDescent="0.35">
      <c r="A4321">
        <v>353475</v>
      </c>
      <c r="B4321" t="str">
        <f>VLOOKUP(A4321,Planilha2!$A$2:$C$5566,3,0)</f>
        <v>OUROESTE</v>
      </c>
      <c r="C4321" t="str">
        <f>VLOOKUP(A4321,Planilha2!$A$2:$D$5566,4,0)</f>
        <v>SP</v>
      </c>
    </row>
    <row r="4322" spans="1:3" x14ac:dyDescent="0.35">
      <c r="A4322">
        <v>350510</v>
      </c>
      <c r="B4322" t="str">
        <f>VLOOKUP(A4322,Planilha2!$A$2:$C$5566,3,0)</f>
        <v>BARBOSA</v>
      </c>
      <c r="C4322" t="str">
        <f>VLOOKUP(A4322,Planilha2!$A$2:$D$5566,4,0)</f>
        <v>SP</v>
      </c>
    </row>
    <row r="4323" spans="1:3" x14ac:dyDescent="0.35">
      <c r="A4323">
        <v>350200</v>
      </c>
      <c r="B4323" t="str">
        <f>VLOOKUP(A4323,Planilha2!$A$2:$C$5566,3,0)</f>
        <v>ANALÂNDIA</v>
      </c>
      <c r="C4323" t="str">
        <f>VLOOKUP(A4323,Planilha2!$A$2:$D$5566,4,0)</f>
        <v>SP</v>
      </c>
    </row>
    <row r="4324" spans="1:3" x14ac:dyDescent="0.35">
      <c r="A4324">
        <v>355200</v>
      </c>
      <c r="B4324" t="str">
        <f>VLOOKUP(A4324,Planilha2!$A$2:$C$5566,3,0)</f>
        <v>SILVEIRAS</v>
      </c>
      <c r="C4324" t="str">
        <f>VLOOKUP(A4324,Planilha2!$A$2:$D$5566,4,0)</f>
        <v>SP</v>
      </c>
    </row>
    <row r="4325" spans="1:3" x14ac:dyDescent="0.35">
      <c r="A4325">
        <v>355300</v>
      </c>
      <c r="B4325" t="str">
        <f>VLOOKUP(A4325,Planilha2!$A$2:$C$5566,3,0)</f>
        <v>TAGUAÍ</v>
      </c>
      <c r="C4325" t="str">
        <f>VLOOKUP(A4325,Planilha2!$A$2:$D$5566,4,0)</f>
        <v>SP</v>
      </c>
    </row>
    <row r="4326" spans="1:3" x14ac:dyDescent="0.35">
      <c r="A4326">
        <v>353940</v>
      </c>
      <c r="B4326" t="str">
        <f>VLOOKUP(A4326,Planilha2!$A$2:$C$5566,3,0)</f>
        <v>PIRATININGA</v>
      </c>
      <c r="C4326" t="str">
        <f>VLOOKUP(A4326,Planilha2!$A$2:$D$5566,4,0)</f>
        <v>SP</v>
      </c>
    </row>
    <row r="4327" spans="1:3" x14ac:dyDescent="0.35">
      <c r="A4327">
        <v>351420</v>
      </c>
      <c r="B4327" t="str">
        <f>VLOOKUP(A4327,Planilha2!$A$2:$C$5566,3,0)</f>
        <v>DOLCINÓPOLIS</v>
      </c>
      <c r="C4327" t="str">
        <f>VLOOKUP(A4327,Planilha2!$A$2:$D$5566,4,0)</f>
        <v>SP</v>
      </c>
    </row>
    <row r="4328" spans="1:3" x14ac:dyDescent="0.35">
      <c r="A4328">
        <v>353410</v>
      </c>
      <c r="B4328" t="str">
        <f>VLOOKUP(A4328,Planilha2!$A$2:$C$5566,3,0)</f>
        <v>ORIENTE</v>
      </c>
      <c r="C4328" t="str">
        <f>VLOOKUP(A4328,Planilha2!$A$2:$D$5566,4,0)</f>
        <v>SP</v>
      </c>
    </row>
    <row r="4329" spans="1:3" x14ac:dyDescent="0.35">
      <c r="A4329">
        <v>354510</v>
      </c>
      <c r="B4329" t="str">
        <f>VLOOKUP(A4329,Planilha2!$A$2:$C$5566,3,0)</f>
        <v>SALMOURÃO</v>
      </c>
      <c r="C4329" t="str">
        <f>VLOOKUP(A4329,Planilha2!$A$2:$D$5566,4,0)</f>
        <v>SP</v>
      </c>
    </row>
    <row r="4330" spans="1:3" x14ac:dyDescent="0.35">
      <c r="A4330">
        <v>354490</v>
      </c>
      <c r="B4330" t="str">
        <f>VLOOKUP(A4330,Planilha2!$A$2:$C$5566,3,0)</f>
        <v>SALES OLIVEIRA</v>
      </c>
      <c r="C4330" t="str">
        <f>VLOOKUP(A4330,Planilha2!$A$2:$D$5566,4,0)</f>
        <v>SP</v>
      </c>
    </row>
    <row r="4331" spans="1:3" x14ac:dyDescent="0.35">
      <c r="A4331">
        <v>500780</v>
      </c>
      <c r="B4331" t="str">
        <f>VLOOKUP(A4331,Planilha2!$A$2:$C$5566,3,0)</f>
        <v>SELVÍRIA</v>
      </c>
      <c r="C4331" t="str">
        <f>VLOOKUP(A4331,Planilha2!$A$2:$D$5566,4,0)</f>
        <v>MS</v>
      </c>
    </row>
    <row r="4332" spans="1:3" x14ac:dyDescent="0.35">
      <c r="A4332">
        <v>411880</v>
      </c>
      <c r="B4332" t="str">
        <f>VLOOKUP(A4332,Planilha2!$A$2:$C$5566,3,0)</f>
        <v>PEABIRU</v>
      </c>
      <c r="C4332" t="str">
        <f>VLOOKUP(A4332,Planilha2!$A$2:$D$5566,4,0)</f>
        <v>PR</v>
      </c>
    </row>
    <row r="4333" spans="1:3" x14ac:dyDescent="0.35">
      <c r="A4333">
        <v>411373</v>
      </c>
      <c r="B4333" t="str">
        <f>VLOOKUP(A4333,Planilha2!$A$2:$C$5566,3,0)</f>
        <v>LUIZIANA</v>
      </c>
      <c r="C4333" t="str">
        <f>VLOOKUP(A4333,Planilha2!$A$2:$D$5566,4,0)</f>
        <v>PR</v>
      </c>
    </row>
    <row r="4334" spans="1:3" x14ac:dyDescent="0.35">
      <c r="A4334">
        <v>410070</v>
      </c>
      <c r="B4334" t="str">
        <f>VLOOKUP(A4334,Planilha2!$A$2:$C$5566,3,0)</f>
        <v>ALTO PIQUIRI</v>
      </c>
      <c r="C4334" t="str">
        <f>VLOOKUP(A4334,Planilha2!$A$2:$D$5566,4,0)</f>
        <v>PR</v>
      </c>
    </row>
    <row r="4335" spans="1:3" x14ac:dyDescent="0.35">
      <c r="A4335">
        <v>411550</v>
      </c>
      <c r="B4335" t="str">
        <f>VLOOKUP(A4335,Planilha2!$A$2:$C$5566,3,0)</f>
        <v>MARUMBI</v>
      </c>
      <c r="C4335" t="str">
        <f>VLOOKUP(A4335,Planilha2!$A$2:$D$5566,4,0)</f>
        <v>PR</v>
      </c>
    </row>
    <row r="4336" spans="1:3" x14ac:dyDescent="0.35">
      <c r="A4336">
        <v>411575</v>
      </c>
      <c r="B4336" t="str">
        <f>VLOOKUP(A4336,Planilha2!$A$2:$C$5566,3,0)</f>
        <v>MAUÁ DA SERRA</v>
      </c>
      <c r="C4336" t="str">
        <f>VLOOKUP(A4336,Planilha2!$A$2:$D$5566,4,0)</f>
        <v>PR</v>
      </c>
    </row>
    <row r="4337" spans="1:3" x14ac:dyDescent="0.35">
      <c r="A4337">
        <v>410950</v>
      </c>
      <c r="B4337" t="str">
        <f>VLOOKUP(A4337,Planilha2!$A$2:$C$5566,3,0)</f>
        <v>GUARAQUEÇABA</v>
      </c>
      <c r="C4337" t="str">
        <f>VLOOKUP(A4337,Planilha2!$A$2:$D$5566,4,0)</f>
        <v>PR</v>
      </c>
    </row>
    <row r="4338" spans="1:3" x14ac:dyDescent="0.35">
      <c r="A4338">
        <v>412033</v>
      </c>
      <c r="B4338" t="str">
        <f>VLOOKUP(A4338,Planilha2!$A$2:$C$5566,3,0)</f>
        <v>PRADO FERREIRA</v>
      </c>
      <c r="C4338" t="str">
        <f>VLOOKUP(A4338,Planilha2!$A$2:$D$5566,4,0)</f>
        <v>PR</v>
      </c>
    </row>
    <row r="4339" spans="1:3" x14ac:dyDescent="0.35">
      <c r="A4339">
        <v>410900</v>
      </c>
      <c r="B4339" t="str">
        <f>VLOOKUP(A4339,Planilha2!$A$2:$C$5566,3,0)</f>
        <v>GUAPIRAMA</v>
      </c>
      <c r="C4339" t="str">
        <f>VLOOKUP(A4339,Planilha2!$A$2:$D$5566,4,0)</f>
        <v>PR</v>
      </c>
    </row>
    <row r="4340" spans="1:3" x14ac:dyDescent="0.35">
      <c r="A4340">
        <v>410442</v>
      </c>
      <c r="B4340" t="str">
        <f>VLOOKUP(A4340,Planilha2!$A$2:$C$5566,3,0)</f>
        <v>CANDÓI</v>
      </c>
      <c r="C4340" t="str">
        <f>VLOOKUP(A4340,Planilha2!$A$2:$D$5566,4,0)</f>
        <v>PR</v>
      </c>
    </row>
    <row r="4341" spans="1:3" x14ac:dyDescent="0.35">
      <c r="A4341">
        <v>421935</v>
      </c>
      <c r="B4341" t="str">
        <f>VLOOKUP(A4341,Planilha2!$A$2:$C$5566,3,0)</f>
        <v>VITOR MEIRELES</v>
      </c>
      <c r="C4341" t="str">
        <f>VLOOKUP(A4341,Planilha2!$A$2:$D$5566,4,0)</f>
        <v>SC</v>
      </c>
    </row>
    <row r="4342" spans="1:3" x14ac:dyDescent="0.35">
      <c r="A4342">
        <v>421175</v>
      </c>
      <c r="B4342" t="str">
        <f>VLOOKUP(A4342,Planilha2!$A$2:$C$5566,3,0)</f>
        <v>OTACÍLIO COSTA</v>
      </c>
      <c r="C4342" t="str">
        <f>VLOOKUP(A4342,Planilha2!$A$2:$D$5566,4,0)</f>
        <v>SC</v>
      </c>
    </row>
    <row r="4343" spans="1:3" x14ac:dyDescent="0.35">
      <c r="A4343">
        <v>421850</v>
      </c>
      <c r="B4343" t="str">
        <f>VLOOKUP(A4343,Planilha2!$A$2:$C$5566,3,0)</f>
        <v>TREZE TÍLIAS</v>
      </c>
      <c r="C4343" t="str">
        <f>VLOOKUP(A4343,Planilha2!$A$2:$D$5566,4,0)</f>
        <v>SC</v>
      </c>
    </row>
    <row r="4344" spans="1:3" x14ac:dyDescent="0.35">
      <c r="A4344">
        <v>420080</v>
      </c>
      <c r="B4344" t="str">
        <f>VLOOKUP(A4344,Planilha2!$A$2:$C$5566,3,0)</f>
        <v>ANCHIETA</v>
      </c>
      <c r="C4344" t="str">
        <f>VLOOKUP(A4344,Planilha2!$A$2:$D$5566,4,0)</f>
        <v>SC</v>
      </c>
    </row>
    <row r="4345" spans="1:3" x14ac:dyDescent="0.35">
      <c r="A4345">
        <v>410260</v>
      </c>
      <c r="B4345" t="str">
        <f>VLOOKUP(A4345,Planilha2!$A$2:$C$5566,3,0)</f>
        <v>BARRACÃO</v>
      </c>
      <c r="C4345" t="str">
        <f>VLOOKUP(A4345,Planilha2!$A$2:$D$5566,4,0)</f>
        <v>PR</v>
      </c>
    </row>
    <row r="4346" spans="1:3" x14ac:dyDescent="0.35">
      <c r="A4346">
        <v>420870</v>
      </c>
      <c r="B4346" t="str">
        <f>VLOOKUP(A4346,Planilha2!$A$2:$C$5566,3,0)</f>
        <v>JACINTO MACHADO</v>
      </c>
      <c r="C4346" t="str">
        <f>VLOOKUP(A4346,Planilha2!$A$2:$D$5566,4,0)</f>
        <v>SC</v>
      </c>
    </row>
    <row r="4347" spans="1:3" x14ac:dyDescent="0.35">
      <c r="A4347">
        <v>421410</v>
      </c>
      <c r="B4347" t="str">
        <f>VLOOKUP(A4347,Planilha2!$A$2:$C$5566,3,0)</f>
        <v>PRESIDENTE NEREU</v>
      </c>
      <c r="C4347" t="str">
        <f>VLOOKUP(A4347,Planilha2!$A$2:$D$5566,4,0)</f>
        <v>SC</v>
      </c>
    </row>
    <row r="4348" spans="1:3" x14ac:dyDescent="0.35">
      <c r="A4348">
        <v>420510</v>
      </c>
      <c r="B4348" t="str">
        <f>VLOOKUP(A4348,Planilha2!$A$2:$C$5566,3,0)</f>
        <v>DONA EMMA</v>
      </c>
      <c r="C4348" t="str">
        <f>VLOOKUP(A4348,Planilha2!$A$2:$D$5566,4,0)</f>
        <v>SC</v>
      </c>
    </row>
    <row r="4349" spans="1:3" x14ac:dyDescent="0.35">
      <c r="A4349">
        <v>421545</v>
      </c>
      <c r="B4349" t="str">
        <f>VLOOKUP(A4349,Planilha2!$A$2:$C$5566,3,0)</f>
        <v>SANGÃO</v>
      </c>
      <c r="C4349" t="str">
        <f>VLOOKUP(A4349,Planilha2!$A$2:$D$5566,4,0)</f>
        <v>SC</v>
      </c>
    </row>
    <row r="4350" spans="1:3" x14ac:dyDescent="0.35">
      <c r="A4350">
        <v>430560</v>
      </c>
      <c r="B4350" t="str">
        <f>VLOOKUP(A4350,Planilha2!$A$2:$C$5566,3,0)</f>
        <v>COLORADO</v>
      </c>
      <c r="C4350" t="str">
        <f>VLOOKUP(A4350,Planilha2!$A$2:$D$5566,4,0)</f>
        <v>RS</v>
      </c>
    </row>
    <row r="4351" spans="1:3" x14ac:dyDescent="0.35">
      <c r="A4351">
        <v>430187</v>
      </c>
      <c r="B4351" t="str">
        <f>VLOOKUP(A4351,Planilha2!$A$2:$C$5566,3,0)</f>
        <v>BARRA DO QUARAÍ</v>
      </c>
      <c r="C4351" t="str">
        <f>VLOOKUP(A4351,Planilha2!$A$2:$D$5566,4,0)</f>
        <v>RS</v>
      </c>
    </row>
    <row r="4352" spans="1:3" x14ac:dyDescent="0.35">
      <c r="A4352">
        <v>431245</v>
      </c>
      <c r="B4352" t="str">
        <f>VLOOKUP(A4352,Planilha2!$A$2:$C$5566,3,0)</f>
        <v>MORRO REDONDO</v>
      </c>
      <c r="C4352" t="str">
        <f>VLOOKUP(A4352,Planilha2!$A$2:$D$5566,4,0)</f>
        <v>RS</v>
      </c>
    </row>
    <row r="4353" spans="1:3" x14ac:dyDescent="0.35">
      <c r="A4353">
        <v>432330</v>
      </c>
      <c r="B4353" t="str">
        <f>VLOOKUP(A4353,Planilha2!$A$2:$C$5566,3,0)</f>
        <v>VILA FLORES</v>
      </c>
      <c r="C4353" t="str">
        <f>VLOOKUP(A4353,Planilha2!$A$2:$D$5566,4,0)</f>
        <v>RS</v>
      </c>
    </row>
    <row r="4354" spans="1:3" x14ac:dyDescent="0.35">
      <c r="A4354">
        <v>431280</v>
      </c>
      <c r="B4354" t="str">
        <f>VLOOKUP(A4354,Planilha2!$A$2:$C$5566,3,0)</f>
        <v>NOVA ARAÇÁ</v>
      </c>
      <c r="C4354" t="str">
        <f>VLOOKUP(A4354,Planilha2!$A$2:$D$5566,4,0)</f>
        <v>RS</v>
      </c>
    </row>
    <row r="4355" spans="1:3" x14ac:dyDescent="0.35">
      <c r="A4355">
        <v>432067</v>
      </c>
      <c r="B4355" t="str">
        <f>VLOOKUP(A4355,Planilha2!$A$2:$C$5566,3,0)</f>
        <v>SINIMBU</v>
      </c>
      <c r="C4355" t="str">
        <f>VLOOKUP(A4355,Planilha2!$A$2:$D$5566,4,0)</f>
        <v>RS</v>
      </c>
    </row>
    <row r="4356" spans="1:3" x14ac:dyDescent="0.35">
      <c r="A4356">
        <v>510310</v>
      </c>
      <c r="B4356" t="str">
        <f>VLOOKUP(A4356,Planilha2!$A$2:$C$5566,3,0)</f>
        <v>COCALINHO</v>
      </c>
      <c r="C4356" t="str">
        <f>VLOOKUP(A4356,Planilha2!$A$2:$D$5566,4,0)</f>
        <v>MT</v>
      </c>
    </row>
    <row r="4357" spans="1:3" x14ac:dyDescent="0.35">
      <c r="A4357">
        <v>510562</v>
      </c>
      <c r="B4357" t="str">
        <f>VLOOKUP(A4357,Planilha2!$A$2:$C$5566,3,0)</f>
        <v>MIRASSOL D`OESTE</v>
      </c>
      <c r="C4357" t="str">
        <f>VLOOKUP(A4357,Planilha2!$A$2:$D$5566,4,0)</f>
        <v>MT</v>
      </c>
    </row>
    <row r="4358" spans="1:3" x14ac:dyDescent="0.35">
      <c r="A4358">
        <v>510010</v>
      </c>
      <c r="B4358" t="str">
        <f>VLOOKUP(A4358,Planilha2!$A$2:$C$5566,3,0)</f>
        <v>ACORIZAL</v>
      </c>
      <c r="C4358" t="str">
        <f>VLOOKUP(A4358,Planilha2!$A$2:$D$5566,4,0)</f>
        <v>MT</v>
      </c>
    </row>
    <row r="4359" spans="1:3" x14ac:dyDescent="0.35">
      <c r="A4359">
        <v>520980</v>
      </c>
      <c r="B4359" t="str">
        <f>VLOOKUP(A4359,Planilha2!$A$2:$C$5566,3,0)</f>
        <v>HIDROLINA</v>
      </c>
      <c r="C4359" t="str">
        <f>VLOOKUP(A4359,Planilha2!$A$2:$D$5566,4,0)</f>
        <v>GO</v>
      </c>
    </row>
    <row r="4360" spans="1:3" x14ac:dyDescent="0.35">
      <c r="A4360">
        <v>211170</v>
      </c>
      <c r="B4360" t="str">
        <f>VLOOKUP(A4360,Planilha2!$A$2:$C$5566,3,0)</f>
        <v>SÃO VICENTE FERRER</v>
      </c>
      <c r="C4360" t="str">
        <f>VLOOKUP(A4360,Planilha2!$A$2:$D$5566,4,0)</f>
        <v>MA</v>
      </c>
    </row>
    <row r="4361" spans="1:3" x14ac:dyDescent="0.35">
      <c r="A4361">
        <v>520355</v>
      </c>
      <c r="B4361" t="str">
        <f>VLOOKUP(A4361,Planilha2!$A$2:$C$5566,3,0)</f>
        <v>BONFINÓPOLIS</v>
      </c>
      <c r="C4361" t="str">
        <f>VLOOKUP(A4361,Planilha2!$A$2:$D$5566,4,0)</f>
        <v>GO</v>
      </c>
    </row>
    <row r="4362" spans="1:3" x14ac:dyDescent="0.35">
      <c r="A4362">
        <v>520010</v>
      </c>
      <c r="B4362" t="str">
        <f>VLOOKUP(A4362,Planilha2!$A$2:$C$5566,3,0)</f>
        <v>ABADIÂNIA</v>
      </c>
      <c r="C4362" t="str">
        <f>VLOOKUP(A4362,Planilha2!$A$2:$D$5566,4,0)</f>
        <v>GO</v>
      </c>
    </row>
    <row r="4363" spans="1:3" x14ac:dyDescent="0.35">
      <c r="A4363">
        <v>522108</v>
      </c>
      <c r="B4363" t="str">
        <f>VLOOKUP(A4363,Planilha2!$A$2:$C$5566,3,0)</f>
        <v>TERESINA DE GOIÁS</v>
      </c>
      <c r="C4363" t="str">
        <f>VLOOKUP(A4363,Planilha2!$A$2:$D$5566,4,0)</f>
        <v>GO</v>
      </c>
    </row>
    <row r="4364" spans="1:3" x14ac:dyDescent="0.35">
      <c r="A4364">
        <v>240150</v>
      </c>
      <c r="B4364" t="str">
        <f>VLOOKUP(A4364,Planilha2!$A$2:$C$5566,3,0)</f>
        <v>BARCELONA</v>
      </c>
      <c r="C4364" t="str">
        <f>VLOOKUP(A4364,Planilha2!$A$2:$D$5566,4,0)</f>
        <v>RN</v>
      </c>
    </row>
    <row r="4365" spans="1:3" x14ac:dyDescent="0.35">
      <c r="A4365">
        <v>500580</v>
      </c>
      <c r="B4365" t="str">
        <f>VLOOKUP(A4365,Planilha2!$A$2:$C$5566,3,0)</f>
        <v>NIOAQUE</v>
      </c>
      <c r="C4365" t="str">
        <f>VLOOKUP(A4365,Planilha2!$A$2:$D$5566,4,0)</f>
        <v>MS</v>
      </c>
    </row>
    <row r="4366" spans="1:3" x14ac:dyDescent="0.35">
      <c r="A4366">
        <v>150070</v>
      </c>
      <c r="B4366" t="str">
        <f>VLOOKUP(A4366,Planilha2!$A$2:$C$5566,3,0)</f>
        <v>ANAJÁS</v>
      </c>
      <c r="C4366" t="str">
        <f>VLOOKUP(A4366,Planilha2!$A$2:$D$5566,4,0)</f>
        <v>PA</v>
      </c>
    </row>
    <row r="4367" spans="1:3" x14ac:dyDescent="0.35">
      <c r="A4367">
        <v>150790</v>
      </c>
      <c r="B4367" t="str">
        <f>VLOOKUP(A4367,Planilha2!$A$2:$C$5566,3,0)</f>
        <v>SOURE</v>
      </c>
      <c r="C4367" t="str">
        <f>VLOOKUP(A4367,Planilha2!$A$2:$D$5566,4,0)</f>
        <v>PA</v>
      </c>
    </row>
    <row r="4368" spans="1:3" x14ac:dyDescent="0.35">
      <c r="A4368">
        <v>160053</v>
      </c>
      <c r="B4368" t="str">
        <f>VLOOKUP(A4368,Planilha2!$A$2:$C$5566,3,0)</f>
        <v>PORTO GRANDE</v>
      </c>
      <c r="C4368" t="str">
        <f>VLOOKUP(A4368,Planilha2!$A$2:$D$5566,4,0)</f>
        <v>AP</v>
      </c>
    </row>
    <row r="4369" spans="1:3" x14ac:dyDescent="0.35">
      <c r="A4369">
        <v>220325</v>
      </c>
      <c r="B4369" t="str">
        <f>VLOOKUP(A4369,Planilha2!$A$2:$C$5566,3,0)</f>
        <v>CURRALINHO</v>
      </c>
      <c r="C4369" t="str">
        <f>VLOOKUP(A4369,Planilha2!$A$2:$D$5566,4,0)</f>
        <v>PI</v>
      </c>
    </row>
    <row r="4370" spans="1:3" x14ac:dyDescent="0.35">
      <c r="A4370">
        <v>314437</v>
      </c>
      <c r="B4370" t="str">
        <f>VLOOKUP(A4370,Planilha2!$A$2:$C$5566,3,0)</f>
        <v>NATALÂNDIA</v>
      </c>
      <c r="C4370" t="str">
        <f>VLOOKUP(A4370,Planilha2!$A$2:$D$5566,4,0)</f>
        <v>MG</v>
      </c>
    </row>
    <row r="4371" spans="1:3" x14ac:dyDescent="0.35">
      <c r="A4371">
        <v>421230</v>
      </c>
      <c r="B4371" t="str">
        <f>VLOOKUP(A4371,Planilha2!$A$2:$C$5566,3,0)</f>
        <v>PAULO LOPES</v>
      </c>
      <c r="C4371" t="str">
        <f>VLOOKUP(A4371,Planilha2!$A$2:$D$5566,4,0)</f>
        <v>SC</v>
      </c>
    </row>
    <row r="4372" spans="1:3" x14ac:dyDescent="0.35">
      <c r="A4372">
        <v>140002</v>
      </c>
      <c r="B4372" t="str">
        <f>VLOOKUP(A4372,Planilha2!$A$2:$C$5566,3,0)</f>
        <v>AMAJARI</v>
      </c>
      <c r="C4372" t="str">
        <f>VLOOKUP(A4372,Planilha2!$A$2:$D$5566,4,0)</f>
        <v>RR</v>
      </c>
    </row>
    <row r="4373" spans="1:3" x14ac:dyDescent="0.35">
      <c r="A4373">
        <v>160021</v>
      </c>
      <c r="B4373" t="str">
        <f>VLOOKUP(A4373,Planilha2!$A$2:$C$5566,3,0)</f>
        <v>CUTIAS</v>
      </c>
      <c r="C4373" t="str">
        <f>VLOOKUP(A4373,Planilha2!$A$2:$D$5566,4,0)</f>
        <v>AP</v>
      </c>
    </row>
    <row r="4374" spans="1:3" x14ac:dyDescent="0.35">
      <c r="A4374">
        <v>171395</v>
      </c>
      <c r="B4374" t="str">
        <f>VLOOKUP(A4374,Planilha2!$A$2:$C$5566,3,0)</f>
        <v>MURICILÂNDIA</v>
      </c>
      <c r="C4374" t="str">
        <f>VLOOKUP(A4374,Planilha2!$A$2:$D$5566,4,0)</f>
        <v>TO</v>
      </c>
    </row>
    <row r="4375" spans="1:3" x14ac:dyDescent="0.35">
      <c r="A4375">
        <v>210420</v>
      </c>
      <c r="B4375" t="str">
        <f>VLOOKUP(A4375,Planilha2!$A$2:$C$5566,3,0)</f>
        <v>FORTUNA</v>
      </c>
      <c r="C4375" t="str">
        <f>VLOOKUP(A4375,Planilha2!$A$2:$D$5566,4,0)</f>
        <v>MA</v>
      </c>
    </row>
    <row r="4376" spans="1:3" x14ac:dyDescent="0.35">
      <c r="A4376">
        <v>210465</v>
      </c>
      <c r="B4376" t="str">
        <f>VLOOKUP(A4376,Planilha2!$A$2:$C$5566,3,0)</f>
        <v>GOVERNADOR NEWTON BELLO</v>
      </c>
      <c r="C4376" t="str">
        <f>VLOOKUP(A4376,Planilha2!$A$2:$D$5566,4,0)</f>
        <v>MA</v>
      </c>
    </row>
    <row r="4377" spans="1:3" x14ac:dyDescent="0.35">
      <c r="A4377">
        <v>221070</v>
      </c>
      <c r="B4377" t="str">
        <f>VLOOKUP(A4377,Planilha2!$A$2:$C$5566,3,0)</f>
        <v>SIMÕES</v>
      </c>
      <c r="C4377" t="str">
        <f>VLOOKUP(A4377,Planilha2!$A$2:$D$5566,4,0)</f>
        <v>PI</v>
      </c>
    </row>
    <row r="4378" spans="1:3" x14ac:dyDescent="0.35">
      <c r="A4378">
        <v>240933</v>
      </c>
      <c r="B4378" t="str">
        <f>VLOOKUP(A4378,Planilha2!$A$2:$C$5566,3,0)</f>
        <v>SANTA MARIA</v>
      </c>
      <c r="C4378" t="str">
        <f>VLOOKUP(A4378,Planilha2!$A$2:$D$5566,4,0)</f>
        <v>RN</v>
      </c>
    </row>
    <row r="4379" spans="1:3" x14ac:dyDescent="0.35">
      <c r="A4379">
        <v>240670</v>
      </c>
      <c r="B4379" t="str">
        <f>VLOOKUP(A4379,Planilha2!$A$2:$C$5566,3,0)</f>
        <v>LAJES</v>
      </c>
      <c r="C4379" t="str">
        <f>VLOOKUP(A4379,Planilha2!$A$2:$D$5566,4,0)</f>
        <v>RN</v>
      </c>
    </row>
    <row r="4380" spans="1:3" x14ac:dyDescent="0.35">
      <c r="A4380">
        <v>251615</v>
      </c>
      <c r="B4380" t="str">
        <f>VLOOKUP(A4380,Planilha2!$A$2:$C$5566,3,0)</f>
        <v>SOSSÊGO</v>
      </c>
      <c r="C4380" t="str">
        <f>VLOOKUP(A4380,Planilha2!$A$2:$D$5566,4,0)</f>
        <v>PB</v>
      </c>
    </row>
    <row r="4381" spans="1:3" x14ac:dyDescent="0.35">
      <c r="A4381">
        <v>250990</v>
      </c>
      <c r="B4381" t="str">
        <f>VLOOKUP(A4381,Planilha2!$A$2:$C$5566,3,0)</f>
        <v>NATUBA</v>
      </c>
      <c r="C4381" t="str">
        <f>VLOOKUP(A4381,Planilha2!$A$2:$D$5566,4,0)</f>
        <v>PB</v>
      </c>
    </row>
    <row r="4382" spans="1:3" x14ac:dyDescent="0.35">
      <c r="A4382">
        <v>261430</v>
      </c>
      <c r="B4382" t="str">
        <f>VLOOKUP(A4382,Planilha2!$A$2:$C$5566,3,0)</f>
        <v>MOREILÂNDIA</v>
      </c>
      <c r="C4382" t="str">
        <f>VLOOKUP(A4382,Planilha2!$A$2:$D$5566,4,0)</f>
        <v>PE</v>
      </c>
    </row>
    <row r="4383" spans="1:3" x14ac:dyDescent="0.35">
      <c r="A4383">
        <v>270610</v>
      </c>
      <c r="B4383" t="str">
        <f>VLOOKUP(A4383,Planilha2!$A$2:$C$5566,3,0)</f>
        <v>OURO BRANCO</v>
      </c>
      <c r="C4383" t="str">
        <f>VLOOKUP(A4383,Planilha2!$A$2:$D$5566,4,0)</f>
        <v>AL</v>
      </c>
    </row>
    <row r="4384" spans="1:3" x14ac:dyDescent="0.35">
      <c r="A4384">
        <v>270680</v>
      </c>
      <c r="B4384" t="str">
        <f>VLOOKUP(A4384,Planilha2!$A$2:$C$5566,3,0)</f>
        <v>PIAÇABUÇU</v>
      </c>
      <c r="C4384" t="str">
        <f>VLOOKUP(A4384,Planilha2!$A$2:$D$5566,4,0)</f>
        <v>AL</v>
      </c>
    </row>
    <row r="4385" spans="1:3" x14ac:dyDescent="0.35">
      <c r="A4385">
        <v>292895</v>
      </c>
      <c r="B4385" t="str">
        <f>VLOOKUP(A4385,Planilha2!$A$2:$C$5566,3,0)</f>
        <v>SÃO DOMINGOS</v>
      </c>
      <c r="C4385" t="str">
        <f>VLOOKUP(A4385,Planilha2!$A$2:$D$5566,4,0)</f>
        <v>BA</v>
      </c>
    </row>
    <row r="4386" spans="1:3" x14ac:dyDescent="0.35">
      <c r="A4386">
        <v>293280</v>
      </c>
      <c r="B4386" t="str">
        <f>VLOOKUP(A4386,Planilha2!$A$2:$C$5566,3,0)</f>
        <v>UTINGA</v>
      </c>
      <c r="C4386" t="str">
        <f>VLOOKUP(A4386,Planilha2!$A$2:$D$5566,4,0)</f>
        <v>BA</v>
      </c>
    </row>
    <row r="4387" spans="1:3" x14ac:dyDescent="0.35">
      <c r="A4387">
        <v>291530</v>
      </c>
      <c r="B4387" t="str">
        <f>VLOOKUP(A4387,Planilha2!$A$2:$C$5566,3,0)</f>
        <v>ITAGIMIRIM</v>
      </c>
      <c r="C4387" t="str">
        <f>VLOOKUP(A4387,Planilha2!$A$2:$D$5566,4,0)</f>
        <v>BA</v>
      </c>
    </row>
    <row r="4388" spans="1:3" x14ac:dyDescent="0.35">
      <c r="A4388">
        <v>290515</v>
      </c>
      <c r="B4388" t="str">
        <f>VLOOKUP(A4388,Planilha2!$A$2:$C$5566,3,0)</f>
        <v>CAETANOS</v>
      </c>
      <c r="C4388" t="str">
        <f>VLOOKUP(A4388,Planilha2!$A$2:$D$5566,4,0)</f>
        <v>BA</v>
      </c>
    </row>
    <row r="4389" spans="1:3" x14ac:dyDescent="0.35">
      <c r="A4389">
        <v>313652</v>
      </c>
      <c r="B4389" t="str">
        <f>VLOOKUP(A4389,Planilha2!$A$2:$C$5566,3,0)</f>
        <v>JOSÉ GONÇALVES DE MINAS</v>
      </c>
      <c r="C4389" t="str">
        <f>VLOOKUP(A4389,Planilha2!$A$2:$D$5566,4,0)</f>
        <v>MG</v>
      </c>
    </row>
    <row r="4390" spans="1:3" x14ac:dyDescent="0.35">
      <c r="A4390">
        <v>313835</v>
      </c>
      <c r="B4390" t="str">
        <f>VLOOKUP(A4390,Planilha2!$A$2:$C$5566,3,0)</f>
        <v>LEME DO PRADO</v>
      </c>
      <c r="C4390" t="str">
        <f>VLOOKUP(A4390,Planilha2!$A$2:$D$5566,4,0)</f>
        <v>MG</v>
      </c>
    </row>
    <row r="4391" spans="1:3" x14ac:dyDescent="0.35">
      <c r="A4391">
        <v>314880</v>
      </c>
      <c r="B4391" t="str">
        <f>VLOOKUP(A4391,Planilha2!$A$2:$C$5566,3,0)</f>
        <v>PEDRA DO ANTA</v>
      </c>
      <c r="C4391" t="str">
        <f>VLOOKUP(A4391,Planilha2!$A$2:$D$5566,4,0)</f>
        <v>MG</v>
      </c>
    </row>
    <row r="4392" spans="1:3" x14ac:dyDescent="0.35">
      <c r="A4392">
        <v>313140</v>
      </c>
      <c r="B4392" t="str">
        <f>VLOOKUP(A4392,Planilha2!$A$2:$C$5566,3,0)</f>
        <v>IPIAÇU</v>
      </c>
      <c r="C4392" t="str">
        <f>VLOOKUP(A4392,Planilha2!$A$2:$D$5566,4,0)</f>
        <v>MG</v>
      </c>
    </row>
    <row r="4393" spans="1:3" x14ac:dyDescent="0.35">
      <c r="A4393">
        <v>312738</v>
      </c>
      <c r="B4393" t="str">
        <f>VLOOKUP(A4393,Planilha2!$A$2:$C$5566,3,0)</f>
        <v>GOIANÁ</v>
      </c>
      <c r="C4393" t="str">
        <f>VLOOKUP(A4393,Planilha2!$A$2:$D$5566,4,0)</f>
        <v>MG</v>
      </c>
    </row>
    <row r="4394" spans="1:3" x14ac:dyDescent="0.35">
      <c r="A4394">
        <v>354930</v>
      </c>
      <c r="B4394" t="str">
        <f>VLOOKUP(A4394,Planilha2!$A$2:$C$5566,3,0)</f>
        <v>SÃO JOÃO DO PAU D`ALHO</v>
      </c>
      <c r="C4394" t="str">
        <f>VLOOKUP(A4394,Planilha2!$A$2:$D$5566,4,0)</f>
        <v>SP</v>
      </c>
    </row>
    <row r="4395" spans="1:3" x14ac:dyDescent="0.35">
      <c r="A4395">
        <v>412860</v>
      </c>
      <c r="B4395" t="str">
        <f>VLOOKUP(A4395,Planilha2!$A$2:$C$5566,3,0)</f>
        <v>VERÊ</v>
      </c>
      <c r="C4395" t="str">
        <f>VLOOKUP(A4395,Planilha2!$A$2:$D$5566,4,0)</f>
        <v>PR</v>
      </c>
    </row>
    <row r="4396" spans="1:3" x14ac:dyDescent="0.35">
      <c r="A4396">
        <v>410620</v>
      </c>
      <c r="B4396" t="str">
        <f>VLOOKUP(A4396,Planilha2!$A$2:$C$5566,3,0)</f>
        <v>CONTENDA</v>
      </c>
      <c r="C4396" t="str">
        <f>VLOOKUP(A4396,Planilha2!$A$2:$D$5566,4,0)</f>
        <v>PR</v>
      </c>
    </row>
    <row r="4397" spans="1:3" x14ac:dyDescent="0.35">
      <c r="A4397">
        <v>412530</v>
      </c>
      <c r="B4397" t="str">
        <f>VLOOKUP(A4397,Planilha2!$A$2:$C$5566,3,0)</f>
        <v>SÃO JORGE DO IVAÍ</v>
      </c>
      <c r="C4397" t="str">
        <f>VLOOKUP(A4397,Planilha2!$A$2:$D$5566,4,0)</f>
        <v>PR</v>
      </c>
    </row>
    <row r="4398" spans="1:3" x14ac:dyDescent="0.35">
      <c r="A4398">
        <v>410700</v>
      </c>
      <c r="B4398" t="str">
        <f>VLOOKUP(A4398,Planilha2!$A$2:$C$5566,3,0)</f>
        <v>CURIÚVA</v>
      </c>
      <c r="C4398" t="str">
        <f>VLOOKUP(A4398,Planilha2!$A$2:$D$5566,4,0)</f>
        <v>PR</v>
      </c>
    </row>
    <row r="4399" spans="1:3" x14ac:dyDescent="0.35">
      <c r="A4399">
        <v>431500</v>
      </c>
      <c r="B4399" t="str">
        <f>VLOOKUP(A4399,Planilha2!$A$2:$C$5566,3,0)</f>
        <v>PORTO LUCENA</v>
      </c>
      <c r="C4399" t="str">
        <f>VLOOKUP(A4399,Planilha2!$A$2:$D$5566,4,0)</f>
        <v>RS</v>
      </c>
    </row>
    <row r="4400" spans="1:3" x14ac:dyDescent="0.35">
      <c r="A4400">
        <v>432234</v>
      </c>
      <c r="B4400" t="str">
        <f>VLOOKUP(A4400,Planilha2!$A$2:$C$5566,3,0)</f>
        <v>UBIRETAMA</v>
      </c>
      <c r="C4400" t="str">
        <f>VLOOKUP(A4400,Planilha2!$A$2:$D$5566,4,0)</f>
        <v>RS</v>
      </c>
    </row>
    <row r="4401" spans="1:3" x14ac:dyDescent="0.35">
      <c r="A4401">
        <v>431346</v>
      </c>
      <c r="B4401" t="str">
        <f>VLOOKUP(A4401,Planilha2!$A$2:$C$5566,3,0)</f>
        <v>NOVO XINGU</v>
      </c>
      <c r="C4401" t="str">
        <f>VLOOKUP(A4401,Planilha2!$A$2:$D$5566,4,0)</f>
        <v>RS</v>
      </c>
    </row>
    <row r="4402" spans="1:3" x14ac:dyDescent="0.35">
      <c r="A4402">
        <v>430150</v>
      </c>
      <c r="B4402" t="str">
        <f>VLOOKUP(A4402,Planilha2!$A$2:$C$5566,3,0)</f>
        <v>AUGUSTO PESTANA</v>
      </c>
      <c r="C4402" t="str">
        <f>VLOOKUP(A4402,Planilha2!$A$2:$D$5566,4,0)</f>
        <v>RS</v>
      </c>
    </row>
    <row r="4403" spans="1:3" x14ac:dyDescent="0.35">
      <c r="A4403">
        <v>431505</v>
      </c>
      <c r="B4403" t="str">
        <f>VLOOKUP(A4403,Planilha2!$A$2:$C$5566,3,0)</f>
        <v>PORTO MAUÁ</v>
      </c>
      <c r="C4403" t="str">
        <f>VLOOKUP(A4403,Planilha2!$A$2:$D$5566,4,0)</f>
        <v>RS</v>
      </c>
    </row>
    <row r="4404" spans="1:3" x14ac:dyDescent="0.35">
      <c r="A4404">
        <v>431846</v>
      </c>
      <c r="B4404" t="str">
        <f>VLOOKUP(A4404,Planilha2!$A$2:$C$5566,3,0)</f>
        <v>SÃO JOSÉ DO HERVAL</v>
      </c>
      <c r="C4404" t="str">
        <f>VLOOKUP(A4404,Planilha2!$A$2:$D$5566,4,0)</f>
        <v>RS</v>
      </c>
    </row>
    <row r="4405" spans="1:3" x14ac:dyDescent="0.35">
      <c r="A4405">
        <v>430350</v>
      </c>
      <c r="B4405" t="str">
        <f>VLOOKUP(A4405,Planilha2!$A$2:$C$5566,3,0)</f>
        <v>CAMAQUÃ</v>
      </c>
      <c r="C4405" t="str">
        <f>VLOOKUP(A4405,Planilha2!$A$2:$D$5566,4,0)</f>
        <v>RS</v>
      </c>
    </row>
    <row r="4406" spans="1:3" x14ac:dyDescent="0.35">
      <c r="A4406">
        <v>431080</v>
      </c>
      <c r="B4406" t="str">
        <f>VLOOKUP(A4406,Planilha2!$A$2:$C$5566,3,0)</f>
        <v>IVOTI</v>
      </c>
      <c r="C4406" t="str">
        <f>VLOOKUP(A4406,Planilha2!$A$2:$D$5566,4,0)</f>
        <v>RS</v>
      </c>
    </row>
    <row r="4407" spans="1:3" x14ac:dyDescent="0.35">
      <c r="A4407">
        <v>430495</v>
      </c>
      <c r="B4407" t="str">
        <f>VLOOKUP(A4407,Planilha2!$A$2:$C$5566,3,0)</f>
        <v>CASEIROS</v>
      </c>
      <c r="C4407" t="str">
        <f>VLOOKUP(A4407,Planilha2!$A$2:$D$5566,4,0)</f>
        <v>RS</v>
      </c>
    </row>
    <row r="4408" spans="1:3" x14ac:dyDescent="0.35">
      <c r="A4408">
        <v>432040</v>
      </c>
      <c r="B4408" t="str">
        <f>VLOOKUP(A4408,Planilha2!$A$2:$C$5566,3,0)</f>
        <v>SERAFINA CORRÊA</v>
      </c>
      <c r="C4408" t="str">
        <f>VLOOKUP(A4408,Planilha2!$A$2:$D$5566,4,0)</f>
        <v>RS</v>
      </c>
    </row>
    <row r="4409" spans="1:3" x14ac:dyDescent="0.35">
      <c r="A4409">
        <v>500795</v>
      </c>
      <c r="B4409" t="str">
        <f>VLOOKUP(A4409,Planilha2!$A$2:$C$5566,3,0)</f>
        <v>TACURU</v>
      </c>
      <c r="C4409" t="str">
        <f>VLOOKUP(A4409,Planilha2!$A$2:$D$5566,4,0)</f>
        <v>MS</v>
      </c>
    </row>
    <row r="4410" spans="1:3" x14ac:dyDescent="0.35">
      <c r="A4410">
        <v>500345</v>
      </c>
      <c r="B4410" t="str">
        <f>VLOOKUP(A4410,Planilha2!$A$2:$C$5566,3,0)</f>
        <v>DEODÁPOLIS</v>
      </c>
      <c r="C4410" t="str">
        <f>VLOOKUP(A4410,Planilha2!$A$2:$D$5566,4,0)</f>
        <v>MS</v>
      </c>
    </row>
    <row r="4411" spans="1:3" x14ac:dyDescent="0.35">
      <c r="A4411">
        <v>520590</v>
      </c>
      <c r="B4411" t="str">
        <f>VLOOKUP(A4411,Planilha2!$A$2:$C$5566,3,0)</f>
        <v>CORUMBAÍBA</v>
      </c>
      <c r="C4411" t="str">
        <f>VLOOKUP(A4411,Planilha2!$A$2:$D$5566,4,0)</f>
        <v>GO</v>
      </c>
    </row>
    <row r="4412" spans="1:3" x14ac:dyDescent="0.35">
      <c r="A4412">
        <v>520150</v>
      </c>
      <c r="B4412" t="str">
        <f>VLOOKUP(A4412,Planilha2!$A$2:$C$5566,3,0)</f>
        <v>APORÉ</v>
      </c>
      <c r="C4412" t="str">
        <f>VLOOKUP(A4412,Planilha2!$A$2:$D$5566,4,0)</f>
        <v>GO</v>
      </c>
    </row>
    <row r="4413" spans="1:3" x14ac:dyDescent="0.35">
      <c r="A4413">
        <v>312620</v>
      </c>
      <c r="B4413" t="str">
        <f>VLOOKUP(A4413,Planilha2!$A$2:$C$5566,3,0)</f>
        <v>FORMOSO</v>
      </c>
      <c r="C4413" t="str">
        <f>VLOOKUP(A4413,Planilha2!$A$2:$D$5566,4,0)</f>
        <v>MG</v>
      </c>
    </row>
    <row r="4414" spans="1:3" x14ac:dyDescent="0.35">
      <c r="A4414">
        <v>120042</v>
      </c>
      <c r="B4414" t="str">
        <f>VLOOKUP(A4414,Planilha2!$A$2:$C$5566,3,0)</f>
        <v>RODRIGUES ALVES</v>
      </c>
      <c r="C4414" t="str">
        <f>VLOOKUP(A4414,Planilha2!$A$2:$D$5566,4,0)</f>
        <v>AC</v>
      </c>
    </row>
    <row r="4415" spans="1:3" x14ac:dyDescent="0.35">
      <c r="A4415">
        <v>171320</v>
      </c>
      <c r="B4415" t="str">
        <f>VLOOKUP(A4415,Planilha2!$A$2:$C$5566,3,0)</f>
        <v>MIRACEMA DO TOCANTINS</v>
      </c>
      <c r="C4415" t="str">
        <f>VLOOKUP(A4415,Planilha2!$A$2:$D$5566,4,0)</f>
        <v>TO</v>
      </c>
    </row>
    <row r="4416" spans="1:3" x14ac:dyDescent="0.35">
      <c r="A4416">
        <v>171190</v>
      </c>
      <c r="B4416" t="str">
        <f>VLOOKUP(A4416,Planilha2!$A$2:$C$5566,3,0)</f>
        <v>LAGOA DA CONFUSÃO</v>
      </c>
      <c r="C4416" t="str">
        <f>VLOOKUP(A4416,Planilha2!$A$2:$D$5566,4,0)</f>
        <v>TO</v>
      </c>
    </row>
    <row r="4417" spans="1:3" x14ac:dyDescent="0.35">
      <c r="A4417">
        <v>170820</v>
      </c>
      <c r="B4417" t="str">
        <f>VLOOKUP(A4417,Planilha2!$A$2:$C$5566,3,0)</f>
        <v>FORMOSO DO ARAGUAIA</v>
      </c>
      <c r="C4417" t="str">
        <f>VLOOKUP(A4417,Planilha2!$A$2:$D$5566,4,0)</f>
        <v>TO</v>
      </c>
    </row>
    <row r="4418" spans="1:3" x14ac:dyDescent="0.35">
      <c r="A4418">
        <v>170380</v>
      </c>
      <c r="B4418" t="str">
        <f>VLOOKUP(A4418,Planilha2!$A$2:$C$5566,3,0)</f>
        <v>BURITI DO TOCANTINS</v>
      </c>
      <c r="C4418" t="str">
        <f>VLOOKUP(A4418,Planilha2!$A$2:$D$5566,4,0)</f>
        <v>TO</v>
      </c>
    </row>
    <row r="4419" spans="1:3" x14ac:dyDescent="0.35">
      <c r="A4419">
        <v>170030</v>
      </c>
      <c r="B4419" t="str">
        <f>VLOOKUP(A4419,Planilha2!$A$2:$C$5566,3,0)</f>
        <v>AGUIARNÓPOLIS</v>
      </c>
      <c r="C4419" t="str">
        <f>VLOOKUP(A4419,Planilha2!$A$2:$D$5566,4,0)</f>
        <v>TO</v>
      </c>
    </row>
    <row r="4420" spans="1:3" x14ac:dyDescent="0.35">
      <c r="A4420">
        <v>211172</v>
      </c>
      <c r="B4420" t="str">
        <f>VLOOKUP(A4420,Planilha2!$A$2:$C$5566,3,0)</f>
        <v>SATUBINHA</v>
      </c>
      <c r="C4420" t="str">
        <f>VLOOKUP(A4420,Planilha2!$A$2:$D$5566,4,0)</f>
        <v>MA</v>
      </c>
    </row>
    <row r="4421" spans="1:3" x14ac:dyDescent="0.35">
      <c r="A4421">
        <v>210565</v>
      </c>
      <c r="B4421" t="str">
        <f>VLOOKUP(A4421,Planilha2!$A$2:$C$5566,3,0)</f>
        <v>JUNCO DO MARANHÃO</v>
      </c>
      <c r="C4421" t="str">
        <f>VLOOKUP(A4421,Planilha2!$A$2:$D$5566,4,0)</f>
        <v>MA</v>
      </c>
    </row>
    <row r="4422" spans="1:3" x14ac:dyDescent="0.35">
      <c r="A4422">
        <v>220273</v>
      </c>
      <c r="B4422" t="str">
        <f>VLOOKUP(A4422,Planilha2!$A$2:$C$5566,3,0)</f>
        <v>COIVARAS</v>
      </c>
      <c r="C4422" t="str">
        <f>VLOOKUP(A4422,Planilha2!$A$2:$D$5566,4,0)</f>
        <v>PI</v>
      </c>
    </row>
    <row r="4423" spans="1:3" x14ac:dyDescent="0.35">
      <c r="A4423">
        <v>231250</v>
      </c>
      <c r="B4423" t="str">
        <f>VLOOKUP(A4423,Planilha2!$A$2:$C$5566,3,0)</f>
        <v>SÃO JOÃO DO JAGUARIBE</v>
      </c>
      <c r="C4423" t="str">
        <f>VLOOKUP(A4423,Planilha2!$A$2:$D$5566,4,0)</f>
        <v>CE</v>
      </c>
    </row>
    <row r="4424" spans="1:3" x14ac:dyDescent="0.35">
      <c r="A4424">
        <v>230495</v>
      </c>
      <c r="B4424" t="str">
        <f>VLOOKUP(A4424,Planilha2!$A$2:$C$5566,3,0)</f>
        <v>GUAIÚBA</v>
      </c>
      <c r="C4424" t="str">
        <f>VLOOKUP(A4424,Planilha2!$A$2:$D$5566,4,0)</f>
        <v>CE</v>
      </c>
    </row>
    <row r="4425" spans="1:3" x14ac:dyDescent="0.35">
      <c r="A4425">
        <v>240650</v>
      </c>
      <c r="B4425" t="str">
        <f>VLOOKUP(A4425,Planilha2!$A$2:$C$5566,3,0)</f>
        <v>LAGOA NOVA</v>
      </c>
      <c r="C4425" t="str">
        <f>VLOOKUP(A4425,Planilha2!$A$2:$D$5566,4,0)</f>
        <v>RN</v>
      </c>
    </row>
    <row r="4426" spans="1:3" x14ac:dyDescent="0.35">
      <c r="A4426">
        <v>241210</v>
      </c>
      <c r="B4426" t="str">
        <f>VLOOKUP(A4426,Planilha2!$A$2:$C$5566,3,0)</f>
        <v>SÃO JOÃO DO SABUGI</v>
      </c>
      <c r="C4426" t="str">
        <f>VLOOKUP(A4426,Planilha2!$A$2:$D$5566,4,0)</f>
        <v>RN</v>
      </c>
    </row>
    <row r="4427" spans="1:3" x14ac:dyDescent="0.35">
      <c r="A4427">
        <v>240540</v>
      </c>
      <c r="B4427" t="str">
        <f>VLOOKUP(A4427,Planilha2!$A$2:$C$5566,3,0)</f>
        <v>JAPI</v>
      </c>
      <c r="C4427" t="str">
        <f>VLOOKUP(A4427,Planilha2!$A$2:$D$5566,4,0)</f>
        <v>RN</v>
      </c>
    </row>
    <row r="4428" spans="1:3" x14ac:dyDescent="0.35">
      <c r="A4428">
        <v>260910</v>
      </c>
      <c r="B4428" t="str">
        <f>VLOOKUP(A4428,Planilha2!$A$2:$C$5566,3,0)</f>
        <v>MACHADOS</v>
      </c>
      <c r="C4428" t="str">
        <f>VLOOKUP(A4428,Planilha2!$A$2:$D$5566,4,0)</f>
        <v>PE</v>
      </c>
    </row>
    <row r="4429" spans="1:3" x14ac:dyDescent="0.35">
      <c r="A4429">
        <v>260670</v>
      </c>
      <c r="B4429" t="str">
        <f>VLOOKUP(A4429,Planilha2!$A$2:$C$5566,3,0)</f>
        <v>IBIRAJUBA</v>
      </c>
      <c r="C4429" t="str">
        <f>VLOOKUP(A4429,Planilha2!$A$2:$D$5566,4,0)</f>
        <v>PE</v>
      </c>
    </row>
    <row r="4430" spans="1:3" x14ac:dyDescent="0.35">
      <c r="A4430">
        <v>280200</v>
      </c>
      <c r="B4430" t="str">
        <f>VLOOKUP(A4430,Planilha2!$A$2:$C$5566,3,0)</f>
        <v>DIVINA PASTORA</v>
      </c>
      <c r="C4430" t="str">
        <f>VLOOKUP(A4430,Planilha2!$A$2:$D$5566,4,0)</f>
        <v>SE</v>
      </c>
    </row>
    <row r="4431" spans="1:3" x14ac:dyDescent="0.35">
      <c r="A4431">
        <v>291660</v>
      </c>
      <c r="B4431" t="str">
        <f>VLOOKUP(A4431,Planilha2!$A$2:$C$5566,3,0)</f>
        <v>ITAPITANGA</v>
      </c>
      <c r="C4431" t="str">
        <f>VLOOKUP(A4431,Planilha2!$A$2:$D$5566,4,0)</f>
        <v>BA</v>
      </c>
    </row>
    <row r="4432" spans="1:3" x14ac:dyDescent="0.35">
      <c r="A4432">
        <v>290130</v>
      </c>
      <c r="B4432" t="str">
        <f>VLOOKUP(A4432,Planilha2!$A$2:$C$5566,3,0)</f>
        <v>ANDARAÍ</v>
      </c>
      <c r="C4432" t="str">
        <f>VLOOKUP(A4432,Planilha2!$A$2:$D$5566,4,0)</f>
        <v>BA</v>
      </c>
    </row>
    <row r="4433" spans="1:3" x14ac:dyDescent="0.35">
      <c r="A4433">
        <v>292190</v>
      </c>
      <c r="B4433" t="str">
        <f>VLOOKUP(A4433,Planilha2!$A$2:$C$5566,3,0)</f>
        <v>MUCUGÊ</v>
      </c>
      <c r="C4433" t="str">
        <f>VLOOKUP(A4433,Planilha2!$A$2:$D$5566,4,0)</f>
        <v>BA</v>
      </c>
    </row>
    <row r="4434" spans="1:3" x14ac:dyDescent="0.35">
      <c r="A4434">
        <v>291900</v>
      </c>
      <c r="B4434" t="str">
        <f>VLOOKUP(A4434,Planilha2!$A$2:$C$5566,3,0)</f>
        <v>LAJEDINHO</v>
      </c>
      <c r="C4434" t="str">
        <f>VLOOKUP(A4434,Planilha2!$A$2:$D$5566,4,0)</f>
        <v>BA</v>
      </c>
    </row>
    <row r="4435" spans="1:3" x14ac:dyDescent="0.35">
      <c r="A4435">
        <v>292303</v>
      </c>
      <c r="B4435" t="str">
        <f>VLOOKUP(A4435,Planilha2!$A$2:$C$5566,3,0)</f>
        <v>NOVO HORIZONTE</v>
      </c>
      <c r="C4435" t="str">
        <f>VLOOKUP(A4435,Planilha2!$A$2:$D$5566,4,0)</f>
        <v>BA</v>
      </c>
    </row>
    <row r="4436" spans="1:3" x14ac:dyDescent="0.35">
      <c r="A4436">
        <v>290940</v>
      </c>
      <c r="B4436" t="str">
        <f>VLOOKUP(A4436,Planilha2!$A$2:$C$5566,3,0)</f>
        <v>COTEGIPE</v>
      </c>
      <c r="C4436" t="str">
        <f>VLOOKUP(A4436,Planilha2!$A$2:$D$5566,4,0)</f>
        <v>BA</v>
      </c>
    </row>
    <row r="4437" spans="1:3" x14ac:dyDescent="0.35">
      <c r="A4437">
        <v>290900</v>
      </c>
      <c r="B4437" t="str">
        <f>VLOOKUP(A4437,Planilha2!$A$2:$C$5566,3,0)</f>
        <v>CORDEIROS</v>
      </c>
      <c r="C4437" t="str">
        <f>VLOOKUP(A4437,Planilha2!$A$2:$D$5566,4,0)</f>
        <v>BA</v>
      </c>
    </row>
    <row r="4438" spans="1:3" x14ac:dyDescent="0.35">
      <c r="A4438">
        <v>291040</v>
      </c>
      <c r="B4438" t="str">
        <f>VLOOKUP(A4438,Planilha2!$A$2:$C$5566,3,0)</f>
        <v>ENCRUZILHADA</v>
      </c>
      <c r="C4438" t="str">
        <f>VLOOKUP(A4438,Planilha2!$A$2:$D$5566,4,0)</f>
        <v>BA</v>
      </c>
    </row>
    <row r="4439" spans="1:3" x14ac:dyDescent="0.35">
      <c r="A4439">
        <v>290160</v>
      </c>
      <c r="B4439" t="str">
        <f>VLOOKUP(A4439,Planilha2!$A$2:$C$5566,3,0)</f>
        <v>ANTAS</v>
      </c>
      <c r="C4439" t="str">
        <f>VLOOKUP(A4439,Planilha2!$A$2:$D$5566,4,0)</f>
        <v>BA</v>
      </c>
    </row>
    <row r="4440" spans="1:3" x14ac:dyDescent="0.35">
      <c r="A4440">
        <v>310270</v>
      </c>
      <c r="B4440" t="str">
        <f>VLOOKUP(A4440,Planilha2!$A$2:$C$5566,3,0)</f>
        <v>CACHOEIRA DE PAJEÚ</v>
      </c>
      <c r="C4440" t="str">
        <f>VLOOKUP(A4440,Planilha2!$A$2:$D$5566,4,0)</f>
        <v>MG</v>
      </c>
    </row>
    <row r="4441" spans="1:3" x14ac:dyDescent="0.35">
      <c r="A4441">
        <v>313920</v>
      </c>
      <c r="B4441" t="str">
        <f>VLOOKUP(A4441,Planilha2!$A$2:$C$5566,3,0)</f>
        <v>MALACACHETA</v>
      </c>
      <c r="C4441" t="str">
        <f>VLOOKUP(A4441,Planilha2!$A$2:$D$5566,4,0)</f>
        <v>MG</v>
      </c>
    </row>
    <row r="4442" spans="1:3" x14ac:dyDescent="0.35">
      <c r="A4442">
        <v>316555</v>
      </c>
      <c r="B4442" t="str">
        <f>VLOOKUP(A4442,Planilha2!$A$2:$C$5566,3,0)</f>
        <v>SETUBINHA</v>
      </c>
      <c r="C4442" t="str">
        <f>VLOOKUP(A4442,Planilha2!$A$2:$D$5566,4,0)</f>
        <v>MG</v>
      </c>
    </row>
    <row r="4443" spans="1:3" x14ac:dyDescent="0.35">
      <c r="A4443">
        <v>313750</v>
      </c>
      <c r="B4443" t="str">
        <f>VLOOKUP(A4443,Planilha2!$A$2:$C$5566,3,0)</f>
        <v>LAGOA FORMOSA</v>
      </c>
      <c r="C4443" t="str">
        <f>VLOOKUP(A4443,Planilha2!$A$2:$D$5566,4,0)</f>
        <v>MG</v>
      </c>
    </row>
    <row r="4444" spans="1:3" x14ac:dyDescent="0.35">
      <c r="A4444">
        <v>312290</v>
      </c>
      <c r="B4444" t="str">
        <f>VLOOKUP(A4444,Planilha2!$A$2:$C$5566,3,0)</f>
        <v>DONA EUSÉBIA</v>
      </c>
      <c r="C4444" t="str">
        <f>VLOOKUP(A4444,Planilha2!$A$2:$D$5566,4,0)</f>
        <v>MG</v>
      </c>
    </row>
    <row r="4445" spans="1:3" x14ac:dyDescent="0.35">
      <c r="A4445">
        <v>313150</v>
      </c>
      <c r="B4445" t="str">
        <f>VLOOKUP(A4445,Planilha2!$A$2:$C$5566,3,0)</f>
        <v>IPUIÚNA</v>
      </c>
      <c r="C4445" t="str">
        <f>VLOOKUP(A4445,Planilha2!$A$2:$D$5566,4,0)</f>
        <v>MG</v>
      </c>
    </row>
    <row r="4446" spans="1:3" x14ac:dyDescent="0.35">
      <c r="A4446">
        <v>311790</v>
      </c>
      <c r="B4446" t="str">
        <f>VLOOKUP(A4446,Planilha2!$A$2:$C$5566,3,0)</f>
        <v>CONGONHAL</v>
      </c>
      <c r="C4446" t="str">
        <f>VLOOKUP(A4446,Planilha2!$A$2:$D$5566,4,0)</f>
        <v>MG</v>
      </c>
    </row>
    <row r="4447" spans="1:3" x14ac:dyDescent="0.35">
      <c r="A4447">
        <v>314260</v>
      </c>
      <c r="B4447" t="str">
        <f>VLOOKUP(A4447,Planilha2!$A$2:$C$5566,3,0)</f>
        <v>MONSENHOR PAULO</v>
      </c>
      <c r="C4447" t="str">
        <f>VLOOKUP(A4447,Planilha2!$A$2:$D$5566,4,0)</f>
        <v>MG</v>
      </c>
    </row>
    <row r="4448" spans="1:3" x14ac:dyDescent="0.35">
      <c r="A4448">
        <v>314580</v>
      </c>
      <c r="B4448" t="str">
        <f>VLOOKUP(A4448,Planilha2!$A$2:$C$5566,3,0)</f>
        <v>ONÇA DE PITANGUI</v>
      </c>
      <c r="C4448" t="str">
        <f>VLOOKUP(A4448,Planilha2!$A$2:$D$5566,4,0)</f>
        <v>MG</v>
      </c>
    </row>
    <row r="4449" spans="1:3" x14ac:dyDescent="0.35">
      <c r="A4449">
        <v>313710</v>
      </c>
      <c r="B4449" t="str">
        <f>VLOOKUP(A4449,Planilha2!$A$2:$C$5566,3,0)</f>
        <v>LAGAMAR</v>
      </c>
      <c r="C4449" t="str">
        <f>VLOOKUP(A4449,Planilha2!$A$2:$D$5566,4,0)</f>
        <v>MG</v>
      </c>
    </row>
    <row r="4450" spans="1:3" x14ac:dyDescent="0.35">
      <c r="A4450">
        <v>312860</v>
      </c>
      <c r="B4450" t="str">
        <f>VLOOKUP(A4450,Planilha2!$A$2:$C$5566,3,0)</f>
        <v>GUARDA-MOR</v>
      </c>
      <c r="C4450" t="str">
        <f>VLOOKUP(A4450,Planilha2!$A$2:$D$5566,4,0)</f>
        <v>MG</v>
      </c>
    </row>
    <row r="4451" spans="1:3" x14ac:dyDescent="0.35">
      <c r="A4451">
        <v>312220</v>
      </c>
      <c r="B4451" t="str">
        <f>VLOOKUP(A4451,Planilha2!$A$2:$C$5566,3,0)</f>
        <v>DIVINOLÂNDIA DE MINAS</v>
      </c>
      <c r="C4451" t="str">
        <f>VLOOKUP(A4451,Planilha2!$A$2:$D$5566,4,0)</f>
        <v>MG</v>
      </c>
    </row>
    <row r="4452" spans="1:3" x14ac:dyDescent="0.35">
      <c r="A4452">
        <v>311100</v>
      </c>
      <c r="B4452" t="str">
        <f>VLOOKUP(A4452,Planilha2!$A$2:$C$5566,3,0)</f>
        <v>CAMPESTRE</v>
      </c>
      <c r="C4452" t="str">
        <f>VLOOKUP(A4452,Planilha2!$A$2:$D$5566,4,0)</f>
        <v>MG</v>
      </c>
    </row>
    <row r="4453" spans="1:3" x14ac:dyDescent="0.35">
      <c r="A4453">
        <v>317057</v>
      </c>
      <c r="B4453" t="str">
        <f>VLOOKUP(A4453,Planilha2!$A$2:$C$5566,3,0)</f>
        <v>VARGEM ALEGRE</v>
      </c>
      <c r="C4453" t="str">
        <f>VLOOKUP(A4453,Planilha2!$A$2:$D$5566,4,0)</f>
        <v>MG</v>
      </c>
    </row>
    <row r="4454" spans="1:3" x14ac:dyDescent="0.35">
      <c r="A4454">
        <v>314210</v>
      </c>
      <c r="B4454" t="str">
        <f>VLOOKUP(A4454,Planilha2!$A$2:$C$5566,3,0)</f>
        <v>MIRADOURO</v>
      </c>
      <c r="C4454" t="str">
        <f>VLOOKUP(A4454,Planilha2!$A$2:$D$5566,4,0)</f>
        <v>MG</v>
      </c>
    </row>
    <row r="4455" spans="1:3" x14ac:dyDescent="0.35">
      <c r="A4455">
        <v>315290</v>
      </c>
      <c r="B4455" t="str">
        <f>VLOOKUP(A4455,Planilha2!$A$2:$C$5566,3,0)</f>
        <v>PRATÁPOLIS</v>
      </c>
      <c r="C4455" t="str">
        <f>VLOOKUP(A4455,Planilha2!$A$2:$D$5566,4,0)</f>
        <v>MG</v>
      </c>
    </row>
    <row r="4456" spans="1:3" x14ac:dyDescent="0.35">
      <c r="A4456">
        <v>315320</v>
      </c>
      <c r="B4456" t="str">
        <f>VLOOKUP(A4456,Planilha2!$A$2:$C$5566,3,0)</f>
        <v>PRESIDENTE JUSCELINO</v>
      </c>
      <c r="C4456" t="str">
        <f>VLOOKUP(A4456,Planilha2!$A$2:$D$5566,4,0)</f>
        <v>MG</v>
      </c>
    </row>
    <row r="4457" spans="1:3" x14ac:dyDescent="0.35">
      <c r="A4457">
        <v>320305</v>
      </c>
      <c r="B4457" t="str">
        <f>VLOOKUP(A4457,Planilha2!$A$2:$C$5566,3,0)</f>
        <v>JAGUARÉ</v>
      </c>
      <c r="C4457" t="str">
        <f>VLOOKUP(A4457,Planilha2!$A$2:$D$5566,4,0)</f>
        <v>ES</v>
      </c>
    </row>
    <row r="4458" spans="1:3" x14ac:dyDescent="0.35">
      <c r="A4458">
        <v>355120</v>
      </c>
      <c r="B4458" t="str">
        <f>VLOOKUP(A4458,Planilha2!$A$2:$C$5566,3,0)</f>
        <v>SARUTAIÁ</v>
      </c>
      <c r="C4458" t="str">
        <f>VLOOKUP(A4458,Planilha2!$A$2:$D$5566,4,0)</f>
        <v>SP</v>
      </c>
    </row>
    <row r="4459" spans="1:3" x14ac:dyDescent="0.35">
      <c r="A4459">
        <v>352750</v>
      </c>
      <c r="B4459" t="str">
        <f>VLOOKUP(A4459,Planilha2!$A$2:$C$5566,3,0)</f>
        <v>LUCIANÓPOLIS</v>
      </c>
      <c r="C4459" t="str">
        <f>VLOOKUP(A4459,Planilha2!$A$2:$D$5566,4,0)</f>
        <v>SP</v>
      </c>
    </row>
    <row r="4460" spans="1:3" x14ac:dyDescent="0.35">
      <c r="A4460">
        <v>350745</v>
      </c>
      <c r="B4460" t="str">
        <f>VLOOKUP(A4460,Planilha2!$A$2:$C$5566,3,0)</f>
        <v>BOREBI</v>
      </c>
      <c r="C4460" t="str">
        <f>VLOOKUP(A4460,Planilha2!$A$2:$D$5566,4,0)</f>
        <v>SP</v>
      </c>
    </row>
    <row r="4461" spans="1:3" x14ac:dyDescent="0.35">
      <c r="A4461">
        <v>353520</v>
      </c>
      <c r="B4461" t="str">
        <f>VLOOKUP(A4461,Planilha2!$A$2:$C$5566,3,0)</f>
        <v>PALMEIRA D`OESTE</v>
      </c>
      <c r="C4461" t="str">
        <f>VLOOKUP(A4461,Planilha2!$A$2:$D$5566,4,0)</f>
        <v>SP</v>
      </c>
    </row>
    <row r="4462" spans="1:3" x14ac:dyDescent="0.35">
      <c r="A4462">
        <v>354925</v>
      </c>
      <c r="B4462" t="str">
        <f>VLOOKUP(A4462,Planilha2!$A$2:$C$5566,3,0)</f>
        <v>SÃO JOÃO DE IRACEMA</v>
      </c>
      <c r="C4462" t="str">
        <f>VLOOKUP(A4462,Planilha2!$A$2:$D$5566,4,0)</f>
        <v>SP</v>
      </c>
    </row>
    <row r="4463" spans="1:3" x14ac:dyDescent="0.35">
      <c r="A4463">
        <v>355530</v>
      </c>
      <c r="B4463" t="str">
        <f>VLOOKUP(A4463,Planilha2!$A$2:$C$5566,3,0)</f>
        <v>TURMALINA</v>
      </c>
      <c r="C4463" t="str">
        <f>VLOOKUP(A4463,Planilha2!$A$2:$D$5566,4,0)</f>
        <v>SP</v>
      </c>
    </row>
    <row r="4464" spans="1:3" x14ac:dyDescent="0.35">
      <c r="A4464">
        <v>352960</v>
      </c>
      <c r="B4464" t="str">
        <f>VLOOKUP(A4464,Planilha2!$A$2:$C$5566,3,0)</f>
        <v>MERIDIANO</v>
      </c>
      <c r="C4464" t="str">
        <f>VLOOKUP(A4464,Planilha2!$A$2:$D$5566,4,0)</f>
        <v>SP</v>
      </c>
    </row>
    <row r="4465" spans="1:3" x14ac:dyDescent="0.35">
      <c r="A4465">
        <v>354200</v>
      </c>
      <c r="B4465" t="str">
        <f>VLOOKUP(A4465,Planilha2!$A$2:$C$5566,3,0)</f>
        <v>QUINTANA</v>
      </c>
      <c r="C4465" t="str">
        <f>VLOOKUP(A4465,Planilha2!$A$2:$D$5566,4,0)</f>
        <v>SP</v>
      </c>
    </row>
    <row r="4466" spans="1:3" x14ac:dyDescent="0.35">
      <c r="A4466">
        <v>355470</v>
      </c>
      <c r="B4466" t="str">
        <f>VLOOKUP(A4466,Planilha2!$A$2:$C$5566,3,0)</f>
        <v>TORRINHA</v>
      </c>
      <c r="C4466" t="str">
        <f>VLOOKUP(A4466,Planilha2!$A$2:$D$5566,4,0)</f>
        <v>SP</v>
      </c>
    </row>
    <row r="4467" spans="1:3" x14ac:dyDescent="0.35">
      <c r="A4467">
        <v>350540</v>
      </c>
      <c r="B4467" t="str">
        <f>VLOOKUP(A4467,Planilha2!$A$2:$C$5566,3,0)</f>
        <v>BARRA DO TURVO</v>
      </c>
      <c r="C4467" t="str">
        <f>VLOOKUP(A4467,Planilha2!$A$2:$D$5566,4,0)</f>
        <v>SP</v>
      </c>
    </row>
    <row r="4468" spans="1:3" x14ac:dyDescent="0.35">
      <c r="A4468">
        <v>350990</v>
      </c>
      <c r="B4468" t="str">
        <f>VLOOKUP(A4468,Planilha2!$A$2:$C$5566,3,0)</f>
        <v>CANANÉIA</v>
      </c>
      <c r="C4468" t="str">
        <f>VLOOKUP(A4468,Planilha2!$A$2:$D$5566,4,0)</f>
        <v>SP</v>
      </c>
    </row>
    <row r="4469" spans="1:3" x14ac:dyDescent="0.35">
      <c r="A4469">
        <v>353205</v>
      </c>
      <c r="B4469" t="str">
        <f>VLOOKUP(A4469,Planilha2!$A$2:$C$5566,3,0)</f>
        <v>MOTUCA</v>
      </c>
      <c r="C4469" t="str">
        <f>VLOOKUP(A4469,Planilha2!$A$2:$D$5566,4,0)</f>
        <v>SP</v>
      </c>
    </row>
    <row r="4470" spans="1:3" x14ac:dyDescent="0.35">
      <c r="A4470">
        <v>352300</v>
      </c>
      <c r="B4470" t="str">
        <f>VLOOKUP(A4470,Planilha2!$A$2:$C$5566,3,0)</f>
        <v>ITAPURA</v>
      </c>
      <c r="C4470" t="str">
        <f>VLOOKUP(A4470,Planilha2!$A$2:$D$5566,4,0)</f>
        <v>SP</v>
      </c>
    </row>
    <row r="4471" spans="1:3" x14ac:dyDescent="0.35">
      <c r="A4471">
        <v>412402</v>
      </c>
      <c r="B4471" t="str">
        <f>VLOOKUP(A4471,Planilha2!$A$2:$C$5566,3,0)</f>
        <v>SANTA TEREZA DO OESTE</v>
      </c>
      <c r="C4471" t="str">
        <f>VLOOKUP(A4471,Planilha2!$A$2:$D$5566,4,0)</f>
        <v>PR</v>
      </c>
    </row>
    <row r="4472" spans="1:3" x14ac:dyDescent="0.35">
      <c r="A4472">
        <v>410820</v>
      </c>
      <c r="B4472" t="str">
        <f>VLOOKUP(A4472,Planilha2!$A$2:$C$5566,3,0)</f>
        <v>FORMOSA DO OESTE</v>
      </c>
      <c r="C4472" t="str">
        <f>VLOOKUP(A4472,Planilha2!$A$2:$D$5566,4,0)</f>
        <v>PR</v>
      </c>
    </row>
    <row r="4473" spans="1:3" x14ac:dyDescent="0.35">
      <c r="A4473">
        <v>412690</v>
      </c>
      <c r="B4473" t="str">
        <f>VLOOKUP(A4473,Planilha2!$A$2:$C$5566,3,0)</f>
        <v>TAPIRA</v>
      </c>
      <c r="C4473" t="str">
        <f>VLOOKUP(A4473,Planilha2!$A$2:$D$5566,4,0)</f>
        <v>PR</v>
      </c>
    </row>
    <row r="4474" spans="1:3" x14ac:dyDescent="0.35">
      <c r="A4474">
        <v>411410</v>
      </c>
      <c r="B4474" t="str">
        <f>VLOOKUP(A4474,Planilha2!$A$2:$C$5566,3,0)</f>
        <v>MANDAGUAÇU</v>
      </c>
      <c r="C4474" t="str">
        <f>VLOOKUP(A4474,Planilha2!$A$2:$D$5566,4,0)</f>
        <v>PR</v>
      </c>
    </row>
    <row r="4475" spans="1:3" x14ac:dyDescent="0.35">
      <c r="A4475">
        <v>510279</v>
      </c>
      <c r="B4475" t="str">
        <f>VLOOKUP(A4475,Planilha2!$A$2:$C$5566,3,0)</f>
        <v>CARLINDA</v>
      </c>
      <c r="C4475" t="str">
        <f>VLOOKUP(A4475,Planilha2!$A$2:$D$5566,4,0)</f>
        <v>MT</v>
      </c>
    </row>
    <row r="4476" spans="1:3" x14ac:dyDescent="0.35">
      <c r="A4476">
        <v>421050</v>
      </c>
      <c r="B4476" t="str">
        <f>VLOOKUP(A4476,Planilha2!$A$2:$C$5566,3,0)</f>
        <v>MARAVILHA</v>
      </c>
      <c r="C4476" t="str">
        <f>VLOOKUP(A4476,Planilha2!$A$2:$D$5566,4,0)</f>
        <v>SC</v>
      </c>
    </row>
    <row r="4477" spans="1:3" x14ac:dyDescent="0.35">
      <c r="A4477">
        <v>410315</v>
      </c>
      <c r="B4477" t="str">
        <f>VLOOKUP(A4477,Planilha2!$A$2:$C$5566,3,0)</f>
        <v>BOM JESUS DO SUL</v>
      </c>
      <c r="C4477" t="str">
        <f>VLOOKUP(A4477,Planilha2!$A$2:$D$5566,4,0)</f>
        <v>PR</v>
      </c>
    </row>
    <row r="4478" spans="1:3" x14ac:dyDescent="0.35">
      <c r="A4478">
        <v>420770</v>
      </c>
      <c r="B4478" t="str">
        <f>VLOOKUP(A4478,Planilha2!$A$2:$C$5566,3,0)</f>
        <v>IPUMIRIM</v>
      </c>
      <c r="C4478" t="str">
        <f>VLOOKUP(A4478,Planilha2!$A$2:$D$5566,4,0)</f>
        <v>SC</v>
      </c>
    </row>
    <row r="4479" spans="1:3" x14ac:dyDescent="0.35">
      <c r="A4479">
        <v>421825</v>
      </c>
      <c r="B4479" t="str">
        <f>VLOOKUP(A4479,Planilha2!$A$2:$C$5566,3,0)</f>
        <v>TIMBÓ GRANDE</v>
      </c>
      <c r="C4479" t="str">
        <f>VLOOKUP(A4479,Planilha2!$A$2:$D$5566,4,0)</f>
        <v>SC</v>
      </c>
    </row>
    <row r="4480" spans="1:3" x14ac:dyDescent="0.35">
      <c r="A4480">
        <v>421040</v>
      </c>
      <c r="B4480" t="str">
        <f>VLOOKUP(A4480,Planilha2!$A$2:$C$5566,3,0)</f>
        <v>MARACAJÁ</v>
      </c>
      <c r="C4480" t="str">
        <f>VLOOKUP(A4480,Planilha2!$A$2:$D$5566,4,0)</f>
        <v>SC</v>
      </c>
    </row>
    <row r="4481" spans="1:3" x14ac:dyDescent="0.35">
      <c r="A4481">
        <v>430435</v>
      </c>
      <c r="B4481" t="str">
        <f>VLOOKUP(A4481,Planilha2!$A$2:$C$5566,3,0)</f>
        <v>CANDIOTA</v>
      </c>
      <c r="C4481" t="str">
        <f>VLOOKUP(A4481,Planilha2!$A$2:$D$5566,4,0)</f>
        <v>RS</v>
      </c>
    </row>
    <row r="4482" spans="1:3" x14ac:dyDescent="0.35">
      <c r="A4482">
        <v>431275</v>
      </c>
      <c r="B4482" t="str">
        <f>VLOOKUP(A4482,Planilha2!$A$2:$C$5566,3,0)</f>
        <v>NOVA ALVORADA</v>
      </c>
      <c r="C4482" t="str">
        <f>VLOOKUP(A4482,Planilha2!$A$2:$D$5566,4,0)</f>
        <v>RS</v>
      </c>
    </row>
    <row r="4483" spans="1:3" x14ac:dyDescent="0.35">
      <c r="A4483">
        <v>430637</v>
      </c>
      <c r="B4483" t="str">
        <f>VLOOKUP(A4483,Planilha2!$A$2:$C$5566,3,0)</f>
        <v>DILERMANDO DE AGUIAR</v>
      </c>
      <c r="C4483" t="str">
        <f>VLOOKUP(A4483,Planilha2!$A$2:$D$5566,4,0)</f>
        <v>RS</v>
      </c>
    </row>
    <row r="4484" spans="1:3" x14ac:dyDescent="0.35">
      <c r="A4484">
        <v>500797</v>
      </c>
      <c r="B4484" t="str">
        <f>VLOOKUP(A4484,Planilha2!$A$2:$C$5566,3,0)</f>
        <v>TAQUARUSSU</v>
      </c>
      <c r="C4484" t="str">
        <f>VLOOKUP(A4484,Planilha2!$A$2:$D$5566,4,0)</f>
        <v>MS</v>
      </c>
    </row>
    <row r="4485" spans="1:3" x14ac:dyDescent="0.35">
      <c r="A4485">
        <v>510665</v>
      </c>
      <c r="B4485" t="str">
        <f>VLOOKUP(A4485,Planilha2!$A$2:$C$5566,3,0)</f>
        <v>PONTAL DO ARAGUAIA</v>
      </c>
      <c r="C4485" t="str">
        <f>VLOOKUP(A4485,Planilha2!$A$2:$D$5566,4,0)</f>
        <v>MT</v>
      </c>
    </row>
    <row r="4486" spans="1:3" x14ac:dyDescent="0.35">
      <c r="A4486">
        <v>510030</v>
      </c>
      <c r="B4486" t="str">
        <f>VLOOKUP(A4486,Planilha2!$A$2:$C$5566,3,0)</f>
        <v>ALTO ARAGUAIA</v>
      </c>
      <c r="C4486" t="str">
        <f>VLOOKUP(A4486,Planilha2!$A$2:$D$5566,4,0)</f>
        <v>MT</v>
      </c>
    </row>
    <row r="4487" spans="1:3" x14ac:dyDescent="0.35">
      <c r="A4487">
        <v>510794</v>
      </c>
      <c r="B4487" t="str">
        <f>VLOOKUP(A4487,Planilha2!$A$2:$C$5566,3,0)</f>
        <v>TABAPORÃ</v>
      </c>
      <c r="C4487" t="str">
        <f>VLOOKUP(A4487,Planilha2!$A$2:$D$5566,4,0)</f>
        <v>MT</v>
      </c>
    </row>
    <row r="4488" spans="1:3" x14ac:dyDescent="0.35">
      <c r="A4488">
        <v>510624</v>
      </c>
      <c r="B4488" t="str">
        <f>VLOOKUP(A4488,Planilha2!$A$2:$C$5566,3,0)</f>
        <v>NOVA UBIRATÃ</v>
      </c>
      <c r="C4488" t="str">
        <f>VLOOKUP(A4488,Planilha2!$A$2:$D$5566,4,0)</f>
        <v>MT</v>
      </c>
    </row>
    <row r="4489" spans="1:3" x14ac:dyDescent="0.35">
      <c r="A4489">
        <v>510185</v>
      </c>
      <c r="B4489" t="str">
        <f>VLOOKUP(A4489,Planilha2!$A$2:$C$5566,3,0)</f>
        <v>BOM JESUS DO ARAGUAIA</v>
      </c>
      <c r="C4489" t="str">
        <f>VLOOKUP(A4489,Planilha2!$A$2:$D$5566,4,0)</f>
        <v>MT</v>
      </c>
    </row>
    <row r="4490" spans="1:3" x14ac:dyDescent="0.35">
      <c r="A4490">
        <v>510626</v>
      </c>
      <c r="B4490" t="str">
        <f>VLOOKUP(A4490,Planilha2!$A$2:$C$5566,3,0)</f>
        <v>NOVO MUNDO</v>
      </c>
      <c r="C4490" t="str">
        <f>VLOOKUP(A4490,Planilha2!$A$2:$D$5566,4,0)</f>
        <v>MT</v>
      </c>
    </row>
    <row r="4491" spans="1:3" x14ac:dyDescent="0.35">
      <c r="A4491">
        <v>521390</v>
      </c>
      <c r="B4491" t="str">
        <f>VLOOKUP(A4491,Planilha2!$A$2:$C$5566,3,0)</f>
        <v>MOSSÂMEDES</v>
      </c>
      <c r="C4491" t="str">
        <f>VLOOKUP(A4491,Planilha2!$A$2:$D$5566,4,0)</f>
        <v>GO</v>
      </c>
    </row>
    <row r="4492" spans="1:3" x14ac:dyDescent="0.35">
      <c r="A4492">
        <v>520830</v>
      </c>
      <c r="B4492" t="str">
        <f>VLOOKUP(A4492,Planilha2!$A$2:$C$5566,3,0)</f>
        <v>DIVINÓPOLIS DE GOIÁS</v>
      </c>
      <c r="C4492" t="str">
        <f>VLOOKUP(A4492,Planilha2!$A$2:$D$5566,4,0)</f>
        <v>GO</v>
      </c>
    </row>
    <row r="4493" spans="1:3" x14ac:dyDescent="0.35">
      <c r="A4493">
        <v>520455</v>
      </c>
      <c r="B4493" t="str">
        <f>VLOOKUP(A4493,Planilha2!$A$2:$C$5566,3,0)</f>
        <v>CALDAZINHA</v>
      </c>
      <c r="C4493" t="str">
        <f>VLOOKUP(A4493,Planilha2!$A$2:$D$5566,4,0)</f>
        <v>GO</v>
      </c>
    </row>
    <row r="4494" spans="1:3" x14ac:dyDescent="0.35">
      <c r="A4494">
        <v>521270</v>
      </c>
      <c r="B4494" t="str">
        <f>VLOOKUP(A4494,Planilha2!$A$2:$C$5566,3,0)</f>
        <v>MAMBAÍ</v>
      </c>
      <c r="C4494" t="str">
        <f>VLOOKUP(A4494,Planilha2!$A$2:$D$5566,4,0)</f>
        <v>GO</v>
      </c>
    </row>
    <row r="4495" spans="1:3" x14ac:dyDescent="0.35">
      <c r="A4495">
        <v>231010</v>
      </c>
      <c r="B4495" t="str">
        <f>VLOOKUP(A4495,Planilha2!$A$2:$C$5566,3,0)</f>
        <v>PALMÁCIA</v>
      </c>
      <c r="C4495" t="str">
        <f>VLOOKUP(A4495,Planilha2!$A$2:$D$5566,4,0)</f>
        <v>CE</v>
      </c>
    </row>
    <row r="4496" spans="1:3" x14ac:dyDescent="0.35">
      <c r="A4496">
        <v>421985</v>
      </c>
      <c r="B4496" t="str">
        <f>VLOOKUP(A4496,Planilha2!$A$2:$C$5566,3,0)</f>
        <v>ZORTÉA</v>
      </c>
      <c r="C4496" t="str">
        <f>VLOOKUP(A4496,Planilha2!$A$2:$D$5566,4,0)</f>
        <v>SC</v>
      </c>
    </row>
    <row r="4497" spans="1:3" x14ac:dyDescent="0.35">
      <c r="A4497">
        <v>251220</v>
      </c>
      <c r="B4497" t="str">
        <f>VLOOKUP(A4497,Planilha2!$A$2:$C$5566,3,0)</f>
        <v>PRATA</v>
      </c>
      <c r="C4497" t="str">
        <f>VLOOKUP(A4497,Planilha2!$A$2:$D$5566,4,0)</f>
        <v>PB</v>
      </c>
    </row>
    <row r="4498" spans="1:3" x14ac:dyDescent="0.35">
      <c r="A4498">
        <v>420860</v>
      </c>
      <c r="B4498" t="str">
        <f>VLOOKUP(A4498,Planilha2!$A$2:$C$5566,3,0)</f>
        <v>JABORÁ</v>
      </c>
      <c r="C4498" t="str">
        <f>VLOOKUP(A4498,Planilha2!$A$2:$D$5566,4,0)</f>
        <v>SC</v>
      </c>
    </row>
    <row r="4499" spans="1:3" x14ac:dyDescent="0.35">
      <c r="A4499">
        <v>520530</v>
      </c>
      <c r="B4499" t="str">
        <f>VLOOKUP(A4499,Planilha2!$A$2:$C$5566,3,0)</f>
        <v>CAVALCANTE</v>
      </c>
      <c r="C4499" t="str">
        <f>VLOOKUP(A4499,Planilha2!$A$2:$D$5566,4,0)</f>
        <v>GO</v>
      </c>
    </row>
    <row r="4500" spans="1:3" x14ac:dyDescent="0.35">
      <c r="A4500">
        <v>130400</v>
      </c>
      <c r="B4500" t="str">
        <f>VLOOKUP(A4500,Planilha2!$A$2:$C$5566,3,0)</f>
        <v>SILVES</v>
      </c>
      <c r="C4500" t="str">
        <f>VLOOKUP(A4500,Planilha2!$A$2:$D$5566,4,0)</f>
        <v>AM</v>
      </c>
    </row>
    <row r="4501" spans="1:3" x14ac:dyDescent="0.35">
      <c r="A4501">
        <v>130165</v>
      </c>
      <c r="B4501" t="str">
        <f>VLOOKUP(A4501,Planilha2!$A$2:$C$5566,3,0)</f>
        <v>GUAJARÁ</v>
      </c>
      <c r="C4501" t="str">
        <f>VLOOKUP(A4501,Planilha2!$A$2:$D$5566,4,0)</f>
        <v>AM</v>
      </c>
    </row>
    <row r="4502" spans="1:3" x14ac:dyDescent="0.35">
      <c r="A4502">
        <v>221090</v>
      </c>
      <c r="B4502" t="str">
        <f>VLOOKUP(A4502,Planilha2!$A$2:$C$5566,3,0)</f>
        <v>SOCORRO DO PIAUÍ</v>
      </c>
      <c r="C4502" t="str">
        <f>VLOOKUP(A4502,Planilha2!$A$2:$D$5566,4,0)</f>
        <v>PI</v>
      </c>
    </row>
    <row r="4503" spans="1:3" x14ac:dyDescent="0.35">
      <c r="A4503">
        <v>220380</v>
      </c>
      <c r="B4503" t="str">
        <f>VLOOKUP(A4503,Planilha2!$A$2:$C$5566,3,0)</f>
        <v>FLORES DO PIAUÍ</v>
      </c>
      <c r="C4503" t="str">
        <f>VLOOKUP(A4503,Planilha2!$A$2:$D$5566,4,0)</f>
        <v>PI</v>
      </c>
    </row>
    <row r="4504" spans="1:3" x14ac:dyDescent="0.35">
      <c r="A4504">
        <v>230510</v>
      </c>
      <c r="B4504" t="str">
        <f>VLOOKUP(A4504,Planilha2!$A$2:$C$5566,3,0)</f>
        <v>GUARAMIRANGA</v>
      </c>
      <c r="C4504" t="str">
        <f>VLOOKUP(A4504,Planilha2!$A$2:$D$5566,4,0)</f>
        <v>CE</v>
      </c>
    </row>
    <row r="4505" spans="1:3" x14ac:dyDescent="0.35">
      <c r="A4505">
        <v>241370</v>
      </c>
      <c r="B4505" t="str">
        <f>VLOOKUP(A4505,Planilha2!$A$2:$C$5566,3,0)</f>
        <v>SÍTIO NOVO</v>
      </c>
      <c r="C4505" t="str">
        <f>VLOOKUP(A4505,Planilha2!$A$2:$D$5566,4,0)</f>
        <v>RN</v>
      </c>
    </row>
    <row r="4506" spans="1:3" x14ac:dyDescent="0.35">
      <c r="A4506">
        <v>241190</v>
      </c>
      <c r="B4506" t="str">
        <f>VLOOKUP(A4506,Planilha2!$A$2:$C$5566,3,0)</f>
        <v>SÃO FRANCISCO DO OESTE</v>
      </c>
      <c r="C4506" t="str">
        <f>VLOOKUP(A4506,Planilha2!$A$2:$D$5566,4,0)</f>
        <v>RN</v>
      </c>
    </row>
    <row r="4507" spans="1:3" x14ac:dyDescent="0.35">
      <c r="A4507">
        <v>240850</v>
      </c>
      <c r="B4507" t="str">
        <f>VLOOKUP(A4507,Planilha2!$A$2:$C$5566,3,0)</f>
        <v>OURO BRANCO</v>
      </c>
      <c r="C4507" t="str">
        <f>VLOOKUP(A4507,Planilha2!$A$2:$D$5566,4,0)</f>
        <v>RN</v>
      </c>
    </row>
    <row r="4508" spans="1:3" x14ac:dyDescent="0.35">
      <c r="A4508">
        <v>251050</v>
      </c>
      <c r="B4508" t="str">
        <f>VLOOKUP(A4508,Planilha2!$A$2:$C$5566,3,0)</f>
        <v>OLIVEDOS</v>
      </c>
      <c r="C4508" t="str">
        <f>VLOOKUP(A4508,Planilha2!$A$2:$D$5566,4,0)</f>
        <v>PB</v>
      </c>
    </row>
    <row r="4509" spans="1:3" x14ac:dyDescent="0.35">
      <c r="A4509">
        <v>291735</v>
      </c>
      <c r="B4509" t="str">
        <f>VLOOKUP(A4509,Planilha2!$A$2:$C$5566,3,0)</f>
        <v>JABORANDI</v>
      </c>
      <c r="C4509" t="str">
        <f>VLOOKUP(A4509,Planilha2!$A$2:$D$5566,4,0)</f>
        <v>BA</v>
      </c>
    </row>
    <row r="4510" spans="1:3" x14ac:dyDescent="0.35">
      <c r="A4510">
        <v>312083</v>
      </c>
      <c r="B4510" t="str">
        <f>VLOOKUP(A4510,Planilha2!$A$2:$C$5566,3,0)</f>
        <v>CUPARAQUE</v>
      </c>
      <c r="C4510" t="str">
        <f>VLOOKUP(A4510,Planilha2!$A$2:$D$5566,4,0)</f>
        <v>MG</v>
      </c>
    </row>
    <row r="4511" spans="1:3" x14ac:dyDescent="0.35">
      <c r="A4511">
        <v>330530</v>
      </c>
      <c r="B4511" t="str">
        <f>VLOOKUP(A4511,Planilha2!$A$2:$C$5566,3,0)</f>
        <v>SÃO SEBASTIÃO DO ALTO</v>
      </c>
      <c r="C4511" t="str">
        <f>VLOOKUP(A4511,Planilha2!$A$2:$D$5566,4,0)</f>
        <v>RJ</v>
      </c>
    </row>
    <row r="4512" spans="1:3" x14ac:dyDescent="0.35">
      <c r="A4512">
        <v>354350</v>
      </c>
      <c r="B4512" t="str">
        <f>VLOOKUP(A4512,Planilha2!$A$2:$C$5566,3,0)</f>
        <v>RIVERSUL</v>
      </c>
      <c r="C4512" t="str">
        <f>VLOOKUP(A4512,Planilha2!$A$2:$D$5566,4,0)</f>
        <v>SP</v>
      </c>
    </row>
    <row r="4513" spans="1:3" x14ac:dyDescent="0.35">
      <c r="A4513">
        <v>351535</v>
      </c>
      <c r="B4513" t="str">
        <f>VLOOKUP(A4513,Planilha2!$A$2:$C$5566,3,0)</f>
        <v>EUCLIDES DA CUNHA PAULISTA</v>
      </c>
      <c r="C4513" t="str">
        <f>VLOOKUP(A4513,Planilha2!$A$2:$D$5566,4,0)</f>
        <v>SP</v>
      </c>
    </row>
    <row r="4514" spans="1:3" x14ac:dyDescent="0.35">
      <c r="A4514">
        <v>412380</v>
      </c>
      <c r="B4514" t="str">
        <f>VLOOKUP(A4514,Planilha2!$A$2:$C$5566,3,0)</f>
        <v>SANTA IZABEL DO OESTE</v>
      </c>
      <c r="C4514" t="str">
        <f>VLOOKUP(A4514,Planilha2!$A$2:$D$5566,4,0)</f>
        <v>PR</v>
      </c>
    </row>
    <row r="4515" spans="1:3" x14ac:dyDescent="0.35">
      <c r="A4515">
        <v>420400</v>
      </c>
      <c r="B4515" t="str">
        <f>VLOOKUP(A4515,Planilha2!$A$2:$C$5566,3,0)</f>
        <v>CATANDUVAS</v>
      </c>
      <c r="C4515" t="str">
        <f>VLOOKUP(A4515,Planilha2!$A$2:$D$5566,4,0)</f>
        <v>SC</v>
      </c>
    </row>
    <row r="4516" spans="1:3" x14ac:dyDescent="0.35">
      <c r="A4516">
        <v>420250</v>
      </c>
      <c r="B4516" t="str">
        <f>VLOOKUP(A4516,Planilha2!$A$2:$C$5566,3,0)</f>
        <v>BOM JARDIM DA SERRA</v>
      </c>
      <c r="C4516" t="str">
        <f>VLOOKUP(A4516,Planilha2!$A$2:$D$5566,4,0)</f>
        <v>SC</v>
      </c>
    </row>
    <row r="4517" spans="1:3" x14ac:dyDescent="0.35">
      <c r="A4517">
        <v>431430</v>
      </c>
      <c r="B4517" t="str">
        <f>VLOOKUP(A4517,Planilha2!$A$2:$C$5566,3,0)</f>
        <v>PEJUÇARA</v>
      </c>
      <c r="C4517" t="str">
        <f>VLOOKUP(A4517,Planilha2!$A$2:$D$5566,4,0)</f>
        <v>RS</v>
      </c>
    </row>
    <row r="4518" spans="1:3" x14ac:dyDescent="0.35">
      <c r="A4518">
        <v>430697</v>
      </c>
      <c r="B4518" t="str">
        <f>VLOOKUP(A4518,Planilha2!$A$2:$C$5566,3,0)</f>
        <v>EREBANGO</v>
      </c>
      <c r="C4518" t="str">
        <f>VLOOKUP(A4518,Planilha2!$A$2:$D$5566,4,0)</f>
        <v>RS</v>
      </c>
    </row>
    <row r="4519" spans="1:3" x14ac:dyDescent="0.35">
      <c r="A4519">
        <v>430170</v>
      </c>
      <c r="B4519" t="str">
        <f>VLOOKUP(A4519,Planilha2!$A$2:$C$5566,3,0)</f>
        <v>BARÃO DE COTEGIPE</v>
      </c>
      <c r="C4519" t="str">
        <f>VLOOKUP(A4519,Planilha2!$A$2:$D$5566,4,0)</f>
        <v>RS</v>
      </c>
    </row>
    <row r="4520" spans="1:3" x14ac:dyDescent="0.35">
      <c r="A4520">
        <v>431478</v>
      </c>
      <c r="B4520" t="str">
        <f>VLOOKUP(A4520,Planilha2!$A$2:$C$5566,3,0)</f>
        <v>PONTE PRETA</v>
      </c>
      <c r="C4520" t="str">
        <f>VLOOKUP(A4520,Planilha2!$A$2:$D$5566,4,0)</f>
        <v>RS</v>
      </c>
    </row>
    <row r="4521" spans="1:3" x14ac:dyDescent="0.35">
      <c r="A4521">
        <v>431455</v>
      </c>
      <c r="B4521" t="str">
        <f>VLOOKUP(A4521,Planilha2!$A$2:$C$5566,3,0)</f>
        <v>PIRAPÓ</v>
      </c>
      <c r="C4521" t="str">
        <f>VLOOKUP(A4521,Planilha2!$A$2:$D$5566,4,0)</f>
        <v>RS</v>
      </c>
    </row>
    <row r="4522" spans="1:3" x14ac:dyDescent="0.35">
      <c r="A4522">
        <v>431520</v>
      </c>
      <c r="B4522" t="str">
        <f>VLOOKUP(A4522,Planilha2!$A$2:$C$5566,3,0)</f>
        <v>PUTINGA</v>
      </c>
      <c r="C4522" t="str">
        <f>VLOOKUP(A4522,Planilha2!$A$2:$D$5566,4,0)</f>
        <v>RS</v>
      </c>
    </row>
    <row r="4523" spans="1:3" x14ac:dyDescent="0.35">
      <c r="A4523">
        <v>431675</v>
      </c>
      <c r="B4523" t="str">
        <f>VLOOKUP(A4523,Planilha2!$A$2:$C$5566,3,0)</f>
        <v>SANTA CLARA DO SUL</v>
      </c>
      <c r="C4523" t="str">
        <f>VLOOKUP(A4523,Planilha2!$A$2:$D$5566,4,0)</f>
        <v>RS</v>
      </c>
    </row>
    <row r="4524" spans="1:3" x14ac:dyDescent="0.35">
      <c r="A4524">
        <v>430970</v>
      </c>
      <c r="B4524" t="str">
        <f>VLOOKUP(A4524,Planilha2!$A$2:$C$5566,3,0)</f>
        <v>HUMAITÁ</v>
      </c>
      <c r="C4524" t="str">
        <f>VLOOKUP(A4524,Planilha2!$A$2:$D$5566,4,0)</f>
        <v>RS</v>
      </c>
    </row>
    <row r="4525" spans="1:3" x14ac:dyDescent="0.35">
      <c r="A4525">
        <v>431230</v>
      </c>
      <c r="B4525" t="str">
        <f>VLOOKUP(A4525,Planilha2!$A$2:$C$5566,3,0)</f>
        <v>MIRAGUAÍ</v>
      </c>
      <c r="C4525" t="str">
        <f>VLOOKUP(A4525,Planilha2!$A$2:$D$5566,4,0)</f>
        <v>RS</v>
      </c>
    </row>
    <row r="4526" spans="1:3" x14ac:dyDescent="0.35">
      <c r="A4526">
        <v>432255</v>
      </c>
      <c r="B4526" t="str">
        <f>VLOOKUP(A4526,Planilha2!$A$2:$C$5566,3,0)</f>
        <v>VANINI</v>
      </c>
      <c r="C4526" t="str">
        <f>VLOOKUP(A4526,Planilha2!$A$2:$D$5566,4,0)</f>
        <v>RS</v>
      </c>
    </row>
    <row r="4527" spans="1:3" x14ac:dyDescent="0.35">
      <c r="A4527">
        <v>432162</v>
      </c>
      <c r="B4527" t="str">
        <f>VLOOKUP(A4527,Planilha2!$A$2:$C$5566,3,0)</f>
        <v>TRAVESSEIRO</v>
      </c>
      <c r="C4527" t="str">
        <f>VLOOKUP(A4527,Planilha2!$A$2:$D$5566,4,0)</f>
        <v>RS</v>
      </c>
    </row>
    <row r="4528" spans="1:3" x14ac:dyDescent="0.35">
      <c r="A4528">
        <v>500568</v>
      </c>
      <c r="B4528" t="str">
        <f>VLOOKUP(A4528,Planilha2!$A$2:$C$5566,3,0)</f>
        <v>MUNDO NOVO</v>
      </c>
      <c r="C4528" t="str">
        <f>VLOOKUP(A4528,Planilha2!$A$2:$D$5566,4,0)</f>
        <v>MS</v>
      </c>
    </row>
    <row r="4529" spans="1:3" x14ac:dyDescent="0.35">
      <c r="A4529">
        <v>500490</v>
      </c>
      <c r="B4529" t="str">
        <f>VLOOKUP(A4529,Planilha2!$A$2:$C$5566,3,0)</f>
        <v>JARAGUARI</v>
      </c>
      <c r="C4529" t="str">
        <f>VLOOKUP(A4529,Planilha2!$A$2:$D$5566,4,0)</f>
        <v>MS</v>
      </c>
    </row>
    <row r="4530" spans="1:3" x14ac:dyDescent="0.35">
      <c r="A4530">
        <v>510890</v>
      </c>
      <c r="B4530" t="str">
        <f>VLOOKUP(A4530,Planilha2!$A$2:$C$5566,3,0)</f>
        <v>NOVA MARINGÁ</v>
      </c>
      <c r="C4530" t="str">
        <f>VLOOKUP(A4530,Planilha2!$A$2:$D$5566,4,0)</f>
        <v>MT</v>
      </c>
    </row>
    <row r="4531" spans="1:3" x14ac:dyDescent="0.35">
      <c r="A4531">
        <v>520505</v>
      </c>
      <c r="B4531" t="str">
        <f>VLOOKUP(A4531,Planilha2!$A$2:$C$5566,3,0)</f>
        <v>CASTELÂNDIA</v>
      </c>
      <c r="C4531" t="str">
        <f>VLOOKUP(A4531,Planilha2!$A$2:$D$5566,4,0)</f>
        <v>GO</v>
      </c>
    </row>
    <row r="4532" spans="1:3" x14ac:dyDescent="0.35">
      <c r="A4532">
        <v>110155</v>
      </c>
      <c r="B4532" t="str">
        <f>VLOOKUP(A4532,Planilha2!$A$2:$C$5566,3,0)</f>
        <v>TEIXEIRÓPOLIS</v>
      </c>
      <c r="C4532" t="str">
        <f>VLOOKUP(A4532,Planilha2!$A$2:$D$5566,4,0)</f>
        <v>RO</v>
      </c>
    </row>
    <row r="4533" spans="1:3" x14ac:dyDescent="0.35">
      <c r="A4533">
        <v>120080</v>
      </c>
      <c r="B4533" t="str">
        <f>VLOOKUP(A4533,Planilha2!$A$2:$C$5566,3,0)</f>
        <v>PORTO ACRE</v>
      </c>
      <c r="C4533" t="str">
        <f>VLOOKUP(A4533,Planilha2!$A$2:$D$5566,4,0)</f>
        <v>AC</v>
      </c>
    </row>
    <row r="4534" spans="1:3" x14ac:dyDescent="0.35">
      <c r="A4534">
        <v>172049</v>
      </c>
      <c r="B4534" t="str">
        <f>VLOOKUP(A4534,Planilha2!$A$2:$C$5566,3,0)</f>
        <v>SÃO VALÉRIO DA NATIVIDADE</v>
      </c>
      <c r="C4534" t="str">
        <f>VLOOKUP(A4534,Planilha2!$A$2:$D$5566,4,0)</f>
        <v>TO</v>
      </c>
    </row>
    <row r="4535" spans="1:3" x14ac:dyDescent="0.35">
      <c r="A4535">
        <v>171890</v>
      </c>
      <c r="B4535" t="str">
        <f>VLOOKUP(A4535,Planilha2!$A$2:$C$5566,3,0)</f>
        <v>SANTA ROSA DO TOCANTINS</v>
      </c>
      <c r="C4535" t="str">
        <f>VLOOKUP(A4535,Planilha2!$A$2:$D$5566,4,0)</f>
        <v>TO</v>
      </c>
    </row>
    <row r="4536" spans="1:3" x14ac:dyDescent="0.35">
      <c r="A4536">
        <v>170130</v>
      </c>
      <c r="B4536" t="str">
        <f>VLOOKUP(A4536,Planilha2!$A$2:$C$5566,3,0)</f>
        <v>ARAGOMINAS</v>
      </c>
      <c r="C4536" t="str">
        <f>VLOOKUP(A4536,Planilha2!$A$2:$D$5566,4,0)</f>
        <v>TO</v>
      </c>
    </row>
    <row r="4537" spans="1:3" x14ac:dyDescent="0.35">
      <c r="A4537">
        <v>171488</v>
      </c>
      <c r="B4537" t="str">
        <f>VLOOKUP(A4537,Planilha2!$A$2:$C$5566,3,0)</f>
        <v>NOVA OLINDA</v>
      </c>
      <c r="C4537" t="str">
        <f>VLOOKUP(A4537,Planilha2!$A$2:$D$5566,4,0)</f>
        <v>TO</v>
      </c>
    </row>
    <row r="4538" spans="1:3" x14ac:dyDescent="0.35">
      <c r="A4538">
        <v>210110</v>
      </c>
      <c r="B4538" t="str">
        <f>VLOOKUP(A4538,Planilha2!$A$2:$C$5566,3,0)</f>
        <v>AXIXÁ</v>
      </c>
      <c r="C4538" t="str">
        <f>VLOOKUP(A4538,Planilha2!$A$2:$D$5566,4,0)</f>
        <v>MA</v>
      </c>
    </row>
    <row r="4539" spans="1:3" x14ac:dyDescent="0.35">
      <c r="A4539">
        <v>210520</v>
      </c>
      <c r="B4539" t="str">
        <f>VLOOKUP(A4539,Planilha2!$A$2:$C$5566,3,0)</f>
        <v>IGARAPÉ GRANDE</v>
      </c>
      <c r="C4539" t="str">
        <f>VLOOKUP(A4539,Planilha2!$A$2:$D$5566,4,0)</f>
        <v>MA</v>
      </c>
    </row>
    <row r="4540" spans="1:3" x14ac:dyDescent="0.35">
      <c r="A4540">
        <v>220610</v>
      </c>
      <c r="B4540" t="str">
        <f>VLOOKUP(A4540,Planilha2!$A$2:$C$5566,3,0)</f>
        <v>MATIAS OLÍMPIO</v>
      </c>
      <c r="C4540" t="str">
        <f>VLOOKUP(A4540,Planilha2!$A$2:$D$5566,4,0)</f>
        <v>PI</v>
      </c>
    </row>
    <row r="4541" spans="1:3" x14ac:dyDescent="0.35">
      <c r="A4541">
        <v>220300</v>
      </c>
      <c r="B4541" t="str">
        <f>VLOOKUP(A4541,Planilha2!$A$2:$C$5566,3,0)</f>
        <v>CRISTALÂNDIA DO PIAUÍ</v>
      </c>
      <c r="C4541" t="str">
        <f>VLOOKUP(A4541,Planilha2!$A$2:$D$5566,4,0)</f>
        <v>PI</v>
      </c>
    </row>
    <row r="4542" spans="1:3" x14ac:dyDescent="0.35">
      <c r="A4542">
        <v>221065</v>
      </c>
      <c r="B4542" t="str">
        <f>VLOOKUP(A4542,Planilha2!$A$2:$C$5566,3,0)</f>
        <v>SIGEFREDO PACHECO</v>
      </c>
      <c r="C4542" t="str">
        <f>VLOOKUP(A4542,Planilha2!$A$2:$D$5566,4,0)</f>
        <v>PI</v>
      </c>
    </row>
    <row r="4543" spans="1:3" x14ac:dyDescent="0.35">
      <c r="A4543">
        <v>220795</v>
      </c>
      <c r="B4543" t="str">
        <f>VLOOKUP(A4543,Planilha2!$A$2:$C$5566,3,0)</f>
        <v>NOVA SANTA RITA</v>
      </c>
      <c r="C4543" t="str">
        <f>VLOOKUP(A4543,Planilha2!$A$2:$D$5566,4,0)</f>
        <v>PI</v>
      </c>
    </row>
    <row r="4544" spans="1:3" x14ac:dyDescent="0.35">
      <c r="A4544">
        <v>220310</v>
      </c>
      <c r="B4544" t="str">
        <f>VLOOKUP(A4544,Planilha2!$A$2:$C$5566,3,0)</f>
        <v>CRISTINO CASTRO</v>
      </c>
      <c r="C4544" t="str">
        <f>VLOOKUP(A4544,Planilha2!$A$2:$D$5566,4,0)</f>
        <v>PI</v>
      </c>
    </row>
    <row r="4545" spans="1:3" x14ac:dyDescent="0.35">
      <c r="A4545">
        <v>220870</v>
      </c>
      <c r="B4545" t="str">
        <f>VLOOKUP(A4545,Planilha2!$A$2:$C$5566,3,0)</f>
        <v>REDENÇÃO DO GURGUÉIA</v>
      </c>
      <c r="C4545" t="str">
        <f>VLOOKUP(A4545,Planilha2!$A$2:$D$5566,4,0)</f>
        <v>PI</v>
      </c>
    </row>
    <row r="4546" spans="1:3" x14ac:dyDescent="0.35">
      <c r="A4546">
        <v>240500</v>
      </c>
      <c r="B4546" t="str">
        <f>VLOOKUP(A4546,Planilha2!$A$2:$C$5566,3,0)</f>
        <v>JAÇANÃ</v>
      </c>
      <c r="C4546" t="str">
        <f>VLOOKUP(A4546,Planilha2!$A$2:$D$5566,4,0)</f>
        <v>RN</v>
      </c>
    </row>
    <row r="4547" spans="1:3" x14ac:dyDescent="0.35">
      <c r="A4547">
        <v>250215</v>
      </c>
      <c r="B4547" t="str">
        <f>VLOOKUP(A4547,Planilha2!$A$2:$C$5566,3,0)</f>
        <v>BOA VISTA</v>
      </c>
      <c r="C4547" t="str">
        <f>VLOOKUP(A4547,Planilha2!$A$2:$D$5566,4,0)</f>
        <v>PB</v>
      </c>
    </row>
    <row r="4548" spans="1:3" x14ac:dyDescent="0.35">
      <c r="A4548">
        <v>250403</v>
      </c>
      <c r="B4548" t="str">
        <f>VLOOKUP(A4548,Planilha2!$A$2:$C$5566,3,0)</f>
        <v>CAPIM</v>
      </c>
      <c r="C4548" t="str">
        <f>VLOOKUP(A4548,Planilha2!$A$2:$D$5566,4,0)</f>
        <v>PB</v>
      </c>
    </row>
    <row r="4549" spans="1:3" x14ac:dyDescent="0.35">
      <c r="A4549">
        <v>250540</v>
      </c>
      <c r="B4549" t="str">
        <f>VLOOKUP(A4549,Planilha2!$A$2:$C$5566,3,0)</f>
        <v>DESTERRO</v>
      </c>
      <c r="C4549" t="str">
        <f>VLOOKUP(A4549,Planilha2!$A$2:$D$5566,4,0)</f>
        <v>PB</v>
      </c>
    </row>
    <row r="4550" spans="1:3" x14ac:dyDescent="0.35">
      <c r="A4550">
        <v>260060</v>
      </c>
      <c r="B4550" t="str">
        <f>VLOOKUP(A4550,Planilha2!$A$2:$C$5566,3,0)</f>
        <v>ALAGOINHA</v>
      </c>
      <c r="C4550" t="str">
        <f>VLOOKUP(A4550,Planilha2!$A$2:$D$5566,4,0)</f>
        <v>PE</v>
      </c>
    </row>
    <row r="4551" spans="1:3" x14ac:dyDescent="0.35">
      <c r="A4551">
        <v>261210</v>
      </c>
      <c r="B4551" t="str">
        <f>VLOOKUP(A4551,Planilha2!$A$2:$C$5566,3,0)</f>
        <v>SALGADINHO</v>
      </c>
      <c r="C4551" t="str">
        <f>VLOOKUP(A4551,Planilha2!$A$2:$D$5566,4,0)</f>
        <v>PE</v>
      </c>
    </row>
    <row r="4552" spans="1:3" x14ac:dyDescent="0.35">
      <c r="A4552">
        <v>270540</v>
      </c>
      <c r="B4552" t="str">
        <f>VLOOKUP(A4552,Planilha2!$A$2:$C$5566,3,0)</f>
        <v>MONTEIRÓPOLIS</v>
      </c>
      <c r="C4552" t="str">
        <f>VLOOKUP(A4552,Planilha2!$A$2:$D$5566,4,0)</f>
        <v>AL</v>
      </c>
    </row>
    <row r="4553" spans="1:3" x14ac:dyDescent="0.35">
      <c r="A4553">
        <v>292805</v>
      </c>
      <c r="B4553" t="str">
        <f>VLOOKUP(A4553,Planilha2!$A$2:$C$5566,3,0)</f>
        <v>SANTA LUZIA</v>
      </c>
      <c r="C4553" t="str">
        <f>VLOOKUP(A4553,Planilha2!$A$2:$D$5566,4,0)</f>
        <v>BA</v>
      </c>
    </row>
    <row r="4554" spans="1:3" x14ac:dyDescent="0.35">
      <c r="A4554">
        <v>290195</v>
      </c>
      <c r="B4554" t="str">
        <f>VLOOKUP(A4554,Planilha2!$A$2:$C$5566,3,0)</f>
        <v>APUAREMA</v>
      </c>
      <c r="C4554" t="str">
        <f>VLOOKUP(A4554,Planilha2!$A$2:$D$5566,4,0)</f>
        <v>BA</v>
      </c>
    </row>
    <row r="4555" spans="1:3" x14ac:dyDescent="0.35">
      <c r="A4555">
        <v>292850</v>
      </c>
      <c r="B4555" t="str">
        <f>VLOOKUP(A4555,Planilha2!$A$2:$C$5566,3,0)</f>
        <v>SANTA TERESINHA</v>
      </c>
      <c r="C4555" t="str">
        <f>VLOOKUP(A4555,Planilha2!$A$2:$D$5566,4,0)</f>
        <v>BA</v>
      </c>
    </row>
    <row r="4556" spans="1:3" x14ac:dyDescent="0.35">
      <c r="A4556">
        <v>291240</v>
      </c>
      <c r="B4556" t="str">
        <f>VLOOKUP(A4556,Planilha2!$A$2:$C$5566,3,0)</f>
        <v>IBIPEBA</v>
      </c>
      <c r="C4556" t="str">
        <f>VLOOKUP(A4556,Planilha2!$A$2:$D$5566,4,0)</f>
        <v>BA</v>
      </c>
    </row>
    <row r="4557" spans="1:3" x14ac:dyDescent="0.35">
      <c r="A4557">
        <v>292225</v>
      </c>
      <c r="B4557" t="str">
        <f>VLOOKUP(A4557,Planilha2!$A$2:$C$5566,3,0)</f>
        <v>MUQUÉM DE SÃO FRANCISCO</v>
      </c>
      <c r="C4557" t="str">
        <f>VLOOKUP(A4557,Planilha2!$A$2:$D$5566,4,0)</f>
        <v>BA</v>
      </c>
    </row>
    <row r="4558" spans="1:3" x14ac:dyDescent="0.35">
      <c r="A4558">
        <v>291100</v>
      </c>
      <c r="B4558" t="str">
        <f>VLOOKUP(A4558,Planilha2!$A$2:$C$5566,3,0)</f>
        <v>FLORESTA AZUL</v>
      </c>
      <c r="C4558" t="str">
        <f>VLOOKUP(A4558,Planilha2!$A$2:$D$5566,4,0)</f>
        <v>BA</v>
      </c>
    </row>
    <row r="4559" spans="1:3" x14ac:dyDescent="0.35">
      <c r="A4559">
        <v>291125</v>
      </c>
      <c r="B4559" t="str">
        <f>VLOOKUP(A4559,Planilha2!$A$2:$C$5566,3,0)</f>
        <v>GAVIÃO</v>
      </c>
      <c r="C4559" t="str">
        <f>VLOOKUP(A4559,Planilha2!$A$2:$D$5566,4,0)</f>
        <v>BA</v>
      </c>
    </row>
    <row r="4560" spans="1:3" x14ac:dyDescent="0.35">
      <c r="A4560">
        <v>292593</v>
      </c>
      <c r="B4560" t="str">
        <f>VLOOKUP(A4560,Planilha2!$A$2:$C$5566,3,0)</f>
        <v>QUIXABEIRA</v>
      </c>
      <c r="C4560" t="str">
        <f>VLOOKUP(A4560,Planilha2!$A$2:$D$5566,4,0)</f>
        <v>BA</v>
      </c>
    </row>
    <row r="4561" spans="1:3" x14ac:dyDescent="0.35">
      <c r="A4561">
        <v>314540</v>
      </c>
      <c r="B4561" t="str">
        <f>VLOOKUP(A4561,Planilha2!$A$2:$C$5566,3,0)</f>
        <v>OLARIA</v>
      </c>
      <c r="C4561" t="str">
        <f>VLOOKUP(A4561,Planilha2!$A$2:$D$5566,4,0)</f>
        <v>MG</v>
      </c>
    </row>
    <row r="4562" spans="1:3" x14ac:dyDescent="0.35">
      <c r="A4562">
        <v>312733</v>
      </c>
      <c r="B4562" t="str">
        <f>VLOOKUP(A4562,Planilha2!$A$2:$C$5566,3,0)</f>
        <v>GAMELEIRAS</v>
      </c>
      <c r="C4562" t="str">
        <f>VLOOKUP(A4562,Planilha2!$A$2:$D$5566,4,0)</f>
        <v>MG</v>
      </c>
    </row>
    <row r="4563" spans="1:3" x14ac:dyDescent="0.35">
      <c r="A4563">
        <v>310380</v>
      </c>
      <c r="B4563" t="str">
        <f>VLOOKUP(A4563,Planilha2!$A$2:$C$5566,3,0)</f>
        <v>ARAPUÁ</v>
      </c>
      <c r="C4563" t="str">
        <f>VLOOKUP(A4563,Planilha2!$A$2:$D$5566,4,0)</f>
        <v>MG</v>
      </c>
    </row>
    <row r="4564" spans="1:3" x14ac:dyDescent="0.35">
      <c r="A4564">
        <v>311400</v>
      </c>
      <c r="B4564" t="str">
        <f>VLOOKUP(A4564,Planilha2!$A$2:$C$5566,3,0)</f>
        <v>CARMO DA MATA</v>
      </c>
      <c r="C4564" t="str">
        <f>VLOOKUP(A4564,Planilha2!$A$2:$D$5566,4,0)</f>
        <v>MG</v>
      </c>
    </row>
    <row r="4565" spans="1:3" x14ac:dyDescent="0.35">
      <c r="A4565">
        <v>310640</v>
      </c>
      <c r="B4565" t="str">
        <f>VLOOKUP(A4565,Planilha2!$A$2:$C$5566,3,0)</f>
        <v>BELO VALE</v>
      </c>
      <c r="C4565" t="str">
        <f>VLOOKUP(A4565,Planilha2!$A$2:$D$5566,4,0)</f>
        <v>MG</v>
      </c>
    </row>
    <row r="4566" spans="1:3" x14ac:dyDescent="0.35">
      <c r="A4566">
        <v>315090</v>
      </c>
      <c r="B4566" t="str">
        <f>VLOOKUP(A4566,Planilha2!$A$2:$C$5566,3,0)</f>
        <v>PIRANGUÇU</v>
      </c>
      <c r="C4566" t="str">
        <f>VLOOKUP(A4566,Planilha2!$A$2:$D$5566,4,0)</f>
        <v>MG</v>
      </c>
    </row>
    <row r="4567" spans="1:3" x14ac:dyDescent="0.35">
      <c r="A4567">
        <v>311460</v>
      </c>
      <c r="B4567" t="str">
        <f>VLOOKUP(A4567,Planilha2!$A$2:$C$5566,3,0)</f>
        <v>CARRANCAS</v>
      </c>
      <c r="C4567" t="str">
        <f>VLOOKUP(A4567,Planilha2!$A$2:$D$5566,4,0)</f>
        <v>MG</v>
      </c>
    </row>
    <row r="4568" spans="1:3" x14ac:dyDescent="0.35">
      <c r="A4568">
        <v>310180</v>
      </c>
      <c r="B4568" t="str">
        <f>VLOOKUP(A4568,Planilha2!$A$2:$C$5566,3,0)</f>
        <v>ALPERCATA</v>
      </c>
      <c r="C4568" t="str">
        <f>VLOOKUP(A4568,Planilha2!$A$2:$D$5566,4,0)</f>
        <v>MG</v>
      </c>
    </row>
    <row r="4569" spans="1:3" x14ac:dyDescent="0.35">
      <c r="A4569">
        <v>520690</v>
      </c>
      <c r="B4569" t="str">
        <f>VLOOKUP(A4569,Planilha2!$A$2:$C$5566,3,0)</f>
        <v>DAVINÓPOLIS</v>
      </c>
      <c r="C4569" t="str">
        <f>VLOOKUP(A4569,Planilha2!$A$2:$D$5566,4,0)</f>
        <v>GO</v>
      </c>
    </row>
    <row r="4570" spans="1:3" x14ac:dyDescent="0.35">
      <c r="A4570">
        <v>312300</v>
      </c>
      <c r="B4570" t="str">
        <f>VLOOKUP(A4570,Planilha2!$A$2:$C$5566,3,0)</f>
        <v>DORES DE CAMPOS</v>
      </c>
      <c r="C4570" t="str">
        <f>VLOOKUP(A4570,Planilha2!$A$2:$D$5566,4,0)</f>
        <v>MG</v>
      </c>
    </row>
    <row r="4571" spans="1:3" x14ac:dyDescent="0.35">
      <c r="A4571">
        <v>316556</v>
      </c>
      <c r="B4571" t="str">
        <f>VLOOKUP(A4571,Planilha2!$A$2:$C$5566,3,0)</f>
        <v>SEM-PEIXE</v>
      </c>
      <c r="C4571" t="str">
        <f>VLOOKUP(A4571,Planilha2!$A$2:$D$5566,4,0)</f>
        <v>MG</v>
      </c>
    </row>
    <row r="4572" spans="1:3" x14ac:dyDescent="0.35">
      <c r="A4572">
        <v>312180</v>
      </c>
      <c r="B4572" t="str">
        <f>VLOOKUP(A4572,Planilha2!$A$2:$C$5566,3,0)</f>
        <v>DIONÍSIO</v>
      </c>
      <c r="C4572" t="str">
        <f>VLOOKUP(A4572,Planilha2!$A$2:$D$5566,4,0)</f>
        <v>MG</v>
      </c>
    </row>
    <row r="4573" spans="1:3" x14ac:dyDescent="0.35">
      <c r="A4573">
        <v>314435</v>
      </c>
      <c r="B4573" t="str">
        <f>VLOOKUP(A4573,Planilha2!$A$2:$C$5566,3,0)</f>
        <v>NAQUE</v>
      </c>
      <c r="C4573" t="str">
        <f>VLOOKUP(A4573,Planilha2!$A$2:$D$5566,4,0)</f>
        <v>MG</v>
      </c>
    </row>
    <row r="4574" spans="1:3" x14ac:dyDescent="0.35">
      <c r="A4574">
        <v>311670</v>
      </c>
      <c r="B4574" t="str">
        <f>VLOOKUP(A4574,Planilha2!$A$2:$C$5566,3,0)</f>
        <v>COIMBRA</v>
      </c>
      <c r="C4574" t="str">
        <f>VLOOKUP(A4574,Planilha2!$A$2:$D$5566,4,0)</f>
        <v>MG</v>
      </c>
    </row>
    <row r="4575" spans="1:3" x14ac:dyDescent="0.35">
      <c r="A4575">
        <v>313740</v>
      </c>
      <c r="B4575" t="str">
        <f>VLOOKUP(A4575,Planilha2!$A$2:$C$5566,3,0)</f>
        <v>LAGOA DOURADA</v>
      </c>
      <c r="C4575" t="str">
        <f>VLOOKUP(A4575,Planilha2!$A$2:$D$5566,4,0)</f>
        <v>MG</v>
      </c>
    </row>
    <row r="4576" spans="1:3" x14ac:dyDescent="0.35">
      <c r="A4576">
        <v>352830</v>
      </c>
      <c r="B4576" t="str">
        <f>VLOOKUP(A4576,Planilha2!$A$2:$C$5566,3,0)</f>
        <v>MAGDA</v>
      </c>
      <c r="C4576" t="str">
        <f>VLOOKUP(A4576,Planilha2!$A$2:$D$5566,4,0)</f>
        <v>SP</v>
      </c>
    </row>
    <row r="4577" spans="1:3" x14ac:dyDescent="0.35">
      <c r="A4577">
        <v>353100</v>
      </c>
      <c r="B4577" t="str">
        <f>VLOOKUP(A4577,Planilha2!$A$2:$C$5566,3,0)</f>
        <v>MONÇÕES</v>
      </c>
      <c r="C4577" t="str">
        <f>VLOOKUP(A4577,Planilha2!$A$2:$D$5566,4,0)</f>
        <v>SP</v>
      </c>
    </row>
    <row r="4578" spans="1:3" x14ac:dyDescent="0.35">
      <c r="A4578">
        <v>354500</v>
      </c>
      <c r="B4578" t="str">
        <f>VLOOKUP(A4578,Planilha2!$A$2:$C$5566,3,0)</f>
        <v>SALESÓPOLIS</v>
      </c>
      <c r="C4578" t="str">
        <f>VLOOKUP(A4578,Planilha2!$A$2:$D$5566,4,0)</f>
        <v>SP</v>
      </c>
    </row>
    <row r="4579" spans="1:3" x14ac:dyDescent="0.35">
      <c r="A4579">
        <v>352020</v>
      </c>
      <c r="B4579" t="str">
        <f>VLOOKUP(A4579,Planilha2!$A$2:$C$5566,3,0)</f>
        <v>IGARATÁ</v>
      </c>
      <c r="C4579" t="str">
        <f>VLOOKUP(A4579,Planilha2!$A$2:$D$5566,4,0)</f>
        <v>SP</v>
      </c>
    </row>
    <row r="4580" spans="1:3" x14ac:dyDescent="0.35">
      <c r="A4580">
        <v>311630</v>
      </c>
      <c r="B4580" t="str">
        <f>VLOOKUP(A4580,Planilha2!$A$2:$C$5566,3,0)</f>
        <v>CIPOTÂNEA</v>
      </c>
      <c r="C4580" t="str">
        <f>VLOOKUP(A4580,Planilha2!$A$2:$D$5566,4,0)</f>
        <v>MG</v>
      </c>
    </row>
    <row r="4581" spans="1:3" x14ac:dyDescent="0.35">
      <c r="A4581">
        <v>352650</v>
      </c>
      <c r="B4581" t="str">
        <f>VLOOKUP(A4581,Planilha2!$A$2:$C$5566,3,0)</f>
        <v>LAVÍNIA</v>
      </c>
      <c r="C4581" t="str">
        <f>VLOOKUP(A4581,Planilha2!$A$2:$D$5566,4,0)</f>
        <v>SP</v>
      </c>
    </row>
    <row r="4582" spans="1:3" x14ac:dyDescent="0.35">
      <c r="A4582">
        <v>350930</v>
      </c>
      <c r="B4582" t="str">
        <f>VLOOKUP(A4582,Planilha2!$A$2:$C$5566,3,0)</f>
        <v>CAJOBI</v>
      </c>
      <c r="C4582" t="str">
        <f>VLOOKUP(A4582,Planilha2!$A$2:$D$5566,4,0)</f>
        <v>SP</v>
      </c>
    </row>
    <row r="4583" spans="1:3" x14ac:dyDescent="0.35">
      <c r="A4583">
        <v>353090</v>
      </c>
      <c r="B4583" t="str">
        <f>VLOOKUP(A4583,Planilha2!$A$2:$C$5566,3,0)</f>
        <v>MOMBUCA</v>
      </c>
      <c r="C4583" t="str">
        <f>VLOOKUP(A4583,Planilha2!$A$2:$D$5566,4,0)</f>
        <v>SP</v>
      </c>
    </row>
    <row r="4584" spans="1:3" x14ac:dyDescent="0.35">
      <c r="A4584">
        <v>350535</v>
      </c>
      <c r="B4584" t="str">
        <f>VLOOKUP(A4584,Planilha2!$A$2:$C$5566,3,0)</f>
        <v>BARRA DO CHAPÉU</v>
      </c>
      <c r="C4584" t="str">
        <f>VLOOKUP(A4584,Planilha2!$A$2:$D$5566,4,0)</f>
        <v>SP</v>
      </c>
    </row>
    <row r="4585" spans="1:3" x14ac:dyDescent="0.35">
      <c r="A4585">
        <v>353830</v>
      </c>
      <c r="B4585" t="str">
        <f>VLOOKUP(A4585,Planilha2!$A$2:$C$5566,3,0)</f>
        <v>PIQUEROBI</v>
      </c>
      <c r="C4585" t="str">
        <f>VLOOKUP(A4585,Planilha2!$A$2:$D$5566,4,0)</f>
        <v>SP</v>
      </c>
    </row>
    <row r="4586" spans="1:3" x14ac:dyDescent="0.35">
      <c r="A4586">
        <v>351530</v>
      </c>
      <c r="B4586" t="str">
        <f>VLOOKUP(A4586,Planilha2!$A$2:$C$5566,3,0)</f>
        <v>ESTRELA DO NORTE</v>
      </c>
      <c r="C4586" t="str">
        <f>VLOOKUP(A4586,Planilha2!$A$2:$D$5566,4,0)</f>
        <v>SP</v>
      </c>
    </row>
    <row r="4587" spans="1:3" x14ac:dyDescent="0.35">
      <c r="A4587">
        <v>355440</v>
      </c>
      <c r="B4587" t="str">
        <f>VLOOKUP(A4587,Planilha2!$A$2:$C$5566,3,0)</f>
        <v>TERRA ROXA</v>
      </c>
      <c r="C4587" t="str">
        <f>VLOOKUP(A4587,Planilha2!$A$2:$D$5566,4,0)</f>
        <v>SP</v>
      </c>
    </row>
    <row r="4588" spans="1:3" x14ac:dyDescent="0.35">
      <c r="A4588">
        <v>411325</v>
      </c>
      <c r="B4588" t="str">
        <f>VLOOKUP(A4588,Planilha2!$A$2:$C$5566,3,0)</f>
        <v>LARANJAL</v>
      </c>
      <c r="C4588" t="str">
        <f>VLOOKUP(A4588,Planilha2!$A$2:$D$5566,4,0)</f>
        <v>PR</v>
      </c>
    </row>
    <row r="4589" spans="1:3" x14ac:dyDescent="0.35">
      <c r="A4589">
        <v>412035</v>
      </c>
      <c r="B4589" t="str">
        <f>VLOOKUP(A4589,Planilha2!$A$2:$C$5566,3,0)</f>
        <v>PRANCHITA</v>
      </c>
      <c r="C4589" t="str">
        <f>VLOOKUP(A4589,Planilha2!$A$2:$D$5566,4,0)</f>
        <v>PR</v>
      </c>
    </row>
    <row r="4590" spans="1:3" x14ac:dyDescent="0.35">
      <c r="A4590">
        <v>411573</v>
      </c>
      <c r="B4590" t="str">
        <f>VLOOKUP(A4590,Planilha2!$A$2:$C$5566,3,0)</f>
        <v>MATO RICO</v>
      </c>
      <c r="C4590" t="str">
        <f>VLOOKUP(A4590,Planilha2!$A$2:$D$5566,4,0)</f>
        <v>PR</v>
      </c>
    </row>
    <row r="4591" spans="1:3" x14ac:dyDescent="0.35">
      <c r="A4591">
        <v>411180</v>
      </c>
      <c r="B4591" t="str">
        <f>VLOOKUP(A4591,Planilha2!$A$2:$C$5566,3,0)</f>
        <v>JACAREZINHO</v>
      </c>
      <c r="C4591" t="str">
        <f>VLOOKUP(A4591,Planilha2!$A$2:$D$5566,4,0)</f>
        <v>PR</v>
      </c>
    </row>
    <row r="4592" spans="1:3" x14ac:dyDescent="0.35">
      <c r="A4592">
        <v>421960</v>
      </c>
      <c r="B4592" t="str">
        <f>VLOOKUP(A4592,Planilha2!$A$2:$C$5566,3,0)</f>
        <v>XAVANTINA</v>
      </c>
      <c r="C4592" t="str">
        <f>VLOOKUP(A4592,Planilha2!$A$2:$D$5566,4,0)</f>
        <v>SC</v>
      </c>
    </row>
    <row r="4593" spans="1:3" x14ac:dyDescent="0.35">
      <c r="A4593">
        <v>421900</v>
      </c>
      <c r="B4593" t="str">
        <f>VLOOKUP(A4593,Planilha2!$A$2:$C$5566,3,0)</f>
        <v>URUSSANGA</v>
      </c>
      <c r="C4593" t="str">
        <f>VLOOKUP(A4593,Planilha2!$A$2:$D$5566,4,0)</f>
        <v>SC</v>
      </c>
    </row>
    <row r="4594" spans="1:3" x14ac:dyDescent="0.35">
      <c r="A4594">
        <v>420287</v>
      </c>
      <c r="B4594" t="str">
        <f>VLOOKUP(A4594,Planilha2!$A$2:$C$5566,3,0)</f>
        <v>BRUNÓPOLIS</v>
      </c>
      <c r="C4594" t="str">
        <f>VLOOKUP(A4594,Planilha2!$A$2:$D$5566,4,0)</f>
        <v>SC</v>
      </c>
    </row>
    <row r="4595" spans="1:3" x14ac:dyDescent="0.35">
      <c r="A4595">
        <v>421055</v>
      </c>
      <c r="B4595" t="str">
        <f>VLOOKUP(A4595,Planilha2!$A$2:$C$5566,3,0)</f>
        <v>MAREMA</v>
      </c>
      <c r="C4595" t="str">
        <f>VLOOKUP(A4595,Planilha2!$A$2:$D$5566,4,0)</f>
        <v>SC</v>
      </c>
    </row>
    <row r="4596" spans="1:3" x14ac:dyDescent="0.35">
      <c r="A4596">
        <v>420253</v>
      </c>
      <c r="B4596" t="str">
        <f>VLOOKUP(A4596,Planilha2!$A$2:$C$5566,3,0)</f>
        <v>BOM JESUS</v>
      </c>
      <c r="C4596" t="str">
        <f>VLOOKUP(A4596,Planilha2!$A$2:$D$5566,4,0)</f>
        <v>SC</v>
      </c>
    </row>
    <row r="4597" spans="1:3" x14ac:dyDescent="0.35">
      <c r="A4597">
        <v>430912</v>
      </c>
      <c r="B4597" t="str">
        <f>VLOOKUP(A4597,Planilha2!$A$2:$C$5566,3,0)</f>
        <v>GRAMADO DOS LOUREIROS</v>
      </c>
      <c r="C4597" t="str">
        <f>VLOOKUP(A4597,Planilha2!$A$2:$D$5566,4,0)</f>
        <v>RS</v>
      </c>
    </row>
    <row r="4598" spans="1:3" x14ac:dyDescent="0.35">
      <c r="A4598">
        <v>431417</v>
      </c>
      <c r="B4598" t="str">
        <f>VLOOKUP(A4598,Planilha2!$A$2:$C$5566,3,0)</f>
        <v>PEDRAS ALTAS</v>
      </c>
      <c r="C4598" t="str">
        <f>VLOOKUP(A4598,Planilha2!$A$2:$D$5566,4,0)</f>
        <v>RS</v>
      </c>
    </row>
    <row r="4599" spans="1:3" x14ac:dyDescent="0.35">
      <c r="A4599">
        <v>430462</v>
      </c>
      <c r="B4599" t="str">
        <f>VLOOKUP(A4599,Planilha2!$A$2:$C$5566,3,0)</f>
        <v>CAPÃO BONITO DO SUL</v>
      </c>
      <c r="C4599" t="str">
        <f>VLOOKUP(A4599,Planilha2!$A$2:$D$5566,4,0)</f>
        <v>RS</v>
      </c>
    </row>
    <row r="4600" spans="1:3" x14ac:dyDescent="0.35">
      <c r="A4600">
        <v>510775</v>
      </c>
      <c r="B4600" t="str">
        <f>VLOOKUP(A4600,Planilha2!$A$2:$C$5566,3,0)</f>
        <v>SALTO DO CÉU</v>
      </c>
      <c r="C4600" t="str">
        <f>VLOOKUP(A4600,Planilha2!$A$2:$D$5566,4,0)</f>
        <v>MT</v>
      </c>
    </row>
    <row r="4601" spans="1:3" x14ac:dyDescent="0.35">
      <c r="A4601">
        <v>510810</v>
      </c>
      <c r="B4601" t="str">
        <f>VLOOKUP(A4601,Planilha2!$A$2:$C$5566,3,0)</f>
        <v>TESOURO</v>
      </c>
      <c r="C4601" t="str">
        <f>VLOOKUP(A4601,Planilha2!$A$2:$D$5566,4,0)</f>
        <v>MT</v>
      </c>
    </row>
    <row r="4602" spans="1:3" x14ac:dyDescent="0.35">
      <c r="A4602">
        <v>510618</v>
      </c>
      <c r="B4602" t="str">
        <f>VLOOKUP(A4602,Planilha2!$A$2:$C$5566,3,0)</f>
        <v>NOVA LACERDA</v>
      </c>
      <c r="C4602" t="str">
        <f>VLOOKUP(A4602,Planilha2!$A$2:$D$5566,4,0)</f>
        <v>MT</v>
      </c>
    </row>
    <row r="4603" spans="1:3" x14ac:dyDescent="0.35">
      <c r="A4603">
        <v>510620</v>
      </c>
      <c r="B4603" t="str">
        <f>VLOOKUP(A4603,Planilha2!$A$2:$C$5566,3,0)</f>
        <v>NOVA BRASILÂNDIA</v>
      </c>
      <c r="C4603" t="str">
        <f>VLOOKUP(A4603,Planilha2!$A$2:$D$5566,4,0)</f>
        <v>MT</v>
      </c>
    </row>
    <row r="4604" spans="1:3" x14ac:dyDescent="0.35">
      <c r="A4604">
        <v>521945</v>
      </c>
      <c r="B4604" t="str">
        <f>VLOOKUP(A4604,Planilha2!$A$2:$C$5566,3,0)</f>
        <v>SANTA RITA DO NOVO DESTINO</v>
      </c>
      <c r="C4604" t="str">
        <f>VLOOKUP(A4604,Planilha2!$A$2:$D$5566,4,0)</f>
        <v>GO</v>
      </c>
    </row>
    <row r="4605" spans="1:3" x14ac:dyDescent="0.35">
      <c r="A4605">
        <v>521590</v>
      </c>
      <c r="B4605" t="str">
        <f>VLOOKUP(A4605,Planilha2!$A$2:$C$5566,3,0)</f>
        <v>PALMINÓPOLIS</v>
      </c>
      <c r="C4605" t="str">
        <f>VLOOKUP(A4605,Planilha2!$A$2:$D$5566,4,0)</f>
        <v>GO</v>
      </c>
    </row>
    <row r="4606" spans="1:3" x14ac:dyDescent="0.35">
      <c r="A4606">
        <v>520990</v>
      </c>
      <c r="B4606" t="str">
        <f>VLOOKUP(A4606,Planilha2!$A$2:$C$5566,3,0)</f>
        <v>IACIARA</v>
      </c>
      <c r="C4606" t="str">
        <f>VLOOKUP(A4606,Planilha2!$A$2:$D$5566,4,0)</f>
        <v>GO</v>
      </c>
    </row>
    <row r="4607" spans="1:3" x14ac:dyDescent="0.35">
      <c r="A4607">
        <v>421187</v>
      </c>
      <c r="B4607" t="str">
        <f>VLOOKUP(A4607,Planilha2!$A$2:$C$5566,3,0)</f>
        <v>PAIAL</v>
      </c>
      <c r="C4607" t="str">
        <f>VLOOKUP(A4607,Planilha2!$A$2:$D$5566,4,0)</f>
        <v>SC</v>
      </c>
    </row>
    <row r="4608" spans="1:3" x14ac:dyDescent="0.35">
      <c r="A4608">
        <v>411860</v>
      </c>
      <c r="B4608" t="str">
        <f>VLOOKUP(A4608,Planilha2!$A$2:$C$5566,3,0)</f>
        <v>PAULA FREITAS</v>
      </c>
      <c r="C4608" t="str">
        <f>VLOOKUP(A4608,Planilha2!$A$2:$D$5566,4,0)</f>
        <v>PR</v>
      </c>
    </row>
    <row r="4609" spans="1:3" x14ac:dyDescent="0.35">
      <c r="A4609">
        <v>150450</v>
      </c>
      <c r="B4609" t="str">
        <f>VLOOKUP(A4609,Planilha2!$A$2:$C$5566,3,0)</f>
        <v>MELGAÇO</v>
      </c>
      <c r="C4609" t="str">
        <f>VLOOKUP(A4609,Planilha2!$A$2:$D$5566,4,0)</f>
        <v>PA</v>
      </c>
    </row>
    <row r="4610" spans="1:3" x14ac:dyDescent="0.35">
      <c r="A4610">
        <v>220777</v>
      </c>
      <c r="B4610" t="str">
        <f>VLOOKUP(A4610,Planilha2!$A$2:$C$5566,3,0)</f>
        <v>PATOS DO PIAUÍ</v>
      </c>
      <c r="C4610" t="str">
        <f>VLOOKUP(A4610,Planilha2!$A$2:$D$5566,4,0)</f>
        <v>PI</v>
      </c>
    </row>
    <row r="4611" spans="1:3" x14ac:dyDescent="0.35">
      <c r="A4611">
        <v>110018</v>
      </c>
      <c r="B4611" t="str">
        <f>VLOOKUP(A4611,Planilha2!$A$2:$C$5566,3,0)</f>
        <v>PIMENTA BUENO</v>
      </c>
      <c r="C4611" t="str">
        <f>VLOOKUP(A4611,Planilha2!$A$2:$D$5566,4,0)</f>
        <v>RO</v>
      </c>
    </row>
    <row r="4612" spans="1:3" x14ac:dyDescent="0.35">
      <c r="A4612">
        <v>130210</v>
      </c>
      <c r="B4612" t="str">
        <f>VLOOKUP(A4612,Planilha2!$A$2:$C$5566,3,0)</f>
        <v>JAPURÁ</v>
      </c>
      <c r="C4612" t="str">
        <f>VLOOKUP(A4612,Planilha2!$A$2:$D$5566,4,0)</f>
        <v>AM</v>
      </c>
    </row>
    <row r="4613" spans="1:3" x14ac:dyDescent="0.35">
      <c r="A4613">
        <v>160023</v>
      </c>
      <c r="B4613" t="str">
        <f>VLOOKUP(A4613,Planilha2!$A$2:$C$5566,3,0)</f>
        <v>FERREIRA GOMES</v>
      </c>
      <c r="C4613" t="str">
        <f>VLOOKUP(A4613,Planilha2!$A$2:$D$5566,4,0)</f>
        <v>AP</v>
      </c>
    </row>
    <row r="4614" spans="1:3" x14ac:dyDescent="0.35">
      <c r="A4614">
        <v>171855</v>
      </c>
      <c r="B4614" t="str">
        <f>VLOOKUP(A4614,Planilha2!$A$2:$C$5566,3,0)</f>
        <v>RIACHINHO</v>
      </c>
      <c r="C4614" t="str">
        <f>VLOOKUP(A4614,Planilha2!$A$2:$D$5566,4,0)</f>
        <v>TO</v>
      </c>
    </row>
    <row r="4615" spans="1:3" x14ac:dyDescent="0.35">
      <c r="A4615">
        <v>220865</v>
      </c>
      <c r="B4615" t="str">
        <f>VLOOKUP(A4615,Planilha2!$A$2:$C$5566,3,0)</f>
        <v>QUEIMADA NOVA</v>
      </c>
      <c r="C4615" t="str">
        <f>VLOOKUP(A4615,Planilha2!$A$2:$D$5566,4,0)</f>
        <v>PI</v>
      </c>
    </row>
    <row r="4616" spans="1:3" x14ac:dyDescent="0.35">
      <c r="A4616">
        <v>241380</v>
      </c>
      <c r="B4616" t="str">
        <f>VLOOKUP(A4616,Planilha2!$A$2:$C$5566,3,0)</f>
        <v>TABOLEIRO GRANDE</v>
      </c>
      <c r="C4616" t="str">
        <f>VLOOKUP(A4616,Planilha2!$A$2:$D$5566,4,0)</f>
        <v>RN</v>
      </c>
    </row>
    <row r="4617" spans="1:3" x14ac:dyDescent="0.35">
      <c r="A4617">
        <v>240160</v>
      </c>
      <c r="B4617" t="str">
        <f>VLOOKUP(A4617,Planilha2!$A$2:$C$5566,3,0)</f>
        <v>BENTO FERNANDES</v>
      </c>
      <c r="C4617" t="str">
        <f>VLOOKUP(A4617,Planilha2!$A$2:$D$5566,4,0)</f>
        <v>RN</v>
      </c>
    </row>
    <row r="4618" spans="1:3" x14ac:dyDescent="0.35">
      <c r="A4618">
        <v>251710</v>
      </c>
      <c r="B4618" t="str">
        <f>VLOOKUP(A4618,Planilha2!$A$2:$C$5566,3,0)</f>
        <v>VÁRZEA</v>
      </c>
      <c r="C4618" t="str">
        <f>VLOOKUP(A4618,Planilha2!$A$2:$D$5566,4,0)</f>
        <v>PB</v>
      </c>
    </row>
    <row r="4619" spans="1:3" x14ac:dyDescent="0.35">
      <c r="A4619">
        <v>291650</v>
      </c>
      <c r="B4619" t="str">
        <f>VLOOKUP(A4619,Planilha2!$A$2:$C$5566,3,0)</f>
        <v>ITAPICURU</v>
      </c>
      <c r="C4619" t="str">
        <f>VLOOKUP(A4619,Planilha2!$A$2:$D$5566,4,0)</f>
        <v>BA</v>
      </c>
    </row>
    <row r="4620" spans="1:3" x14ac:dyDescent="0.35">
      <c r="A4620">
        <v>290640</v>
      </c>
      <c r="B4620" t="str">
        <f>VLOOKUP(A4620,Planilha2!$A$2:$C$5566,3,0)</f>
        <v>CANDEAL</v>
      </c>
      <c r="C4620" t="str">
        <f>VLOOKUP(A4620,Planilha2!$A$2:$D$5566,4,0)</f>
        <v>BA</v>
      </c>
    </row>
    <row r="4621" spans="1:3" x14ac:dyDescent="0.35">
      <c r="A4621">
        <v>316080</v>
      </c>
      <c r="B4621" t="str">
        <f>VLOOKUP(A4621,Planilha2!$A$2:$C$5566,3,0)</f>
        <v>SÃO BENTO ABADE</v>
      </c>
      <c r="C4621" t="str">
        <f>VLOOKUP(A4621,Planilha2!$A$2:$D$5566,4,0)</f>
        <v>MG</v>
      </c>
    </row>
    <row r="4622" spans="1:3" x14ac:dyDescent="0.35">
      <c r="A4622">
        <v>314920</v>
      </c>
      <c r="B4622" t="str">
        <f>VLOOKUP(A4622,Planilha2!$A$2:$C$5566,3,0)</f>
        <v>PEDRINÓPOLIS</v>
      </c>
      <c r="C4622" t="str">
        <f>VLOOKUP(A4622,Planilha2!$A$2:$D$5566,4,0)</f>
        <v>MG</v>
      </c>
    </row>
    <row r="4623" spans="1:3" x14ac:dyDescent="0.35">
      <c r="A4623">
        <v>410045</v>
      </c>
      <c r="B4623" t="str">
        <f>VLOOKUP(A4623,Planilha2!$A$2:$C$5566,3,0)</f>
        <v>ALTAMIRA DO PARANÁ</v>
      </c>
      <c r="C4623" t="str">
        <f>VLOOKUP(A4623,Planilha2!$A$2:$D$5566,4,0)</f>
        <v>PR</v>
      </c>
    </row>
    <row r="4624" spans="1:3" x14ac:dyDescent="0.35">
      <c r="A4624">
        <v>410753</v>
      </c>
      <c r="B4624" t="str">
        <f>VLOOKUP(A4624,Planilha2!$A$2:$C$5566,3,0)</f>
        <v>ENTRE RIOS DO OESTE</v>
      </c>
      <c r="C4624" t="str">
        <f>VLOOKUP(A4624,Planilha2!$A$2:$D$5566,4,0)</f>
        <v>PR</v>
      </c>
    </row>
    <row r="4625" spans="1:3" x14ac:dyDescent="0.35">
      <c r="A4625">
        <v>411535</v>
      </c>
      <c r="B4625" t="str">
        <f>VLOOKUP(A4625,Planilha2!$A$2:$C$5566,3,0)</f>
        <v>MARIPÁ</v>
      </c>
      <c r="C4625" t="str">
        <f>VLOOKUP(A4625,Planilha2!$A$2:$D$5566,4,0)</f>
        <v>PR</v>
      </c>
    </row>
    <row r="4626" spans="1:3" x14ac:dyDescent="0.35">
      <c r="A4626">
        <v>421227</v>
      </c>
      <c r="B4626" t="str">
        <f>VLOOKUP(A4626,Planilha2!$A$2:$C$5566,3,0)</f>
        <v>PASSOS MAIA</v>
      </c>
      <c r="C4626" t="str">
        <f>VLOOKUP(A4626,Planilha2!$A$2:$D$5566,4,0)</f>
        <v>SC</v>
      </c>
    </row>
    <row r="4627" spans="1:3" x14ac:dyDescent="0.35">
      <c r="A4627">
        <v>420640</v>
      </c>
      <c r="B4627" t="str">
        <f>VLOOKUP(A4627,Planilha2!$A$2:$C$5566,3,0)</f>
        <v>GUARACIABA</v>
      </c>
      <c r="C4627" t="str">
        <f>VLOOKUP(A4627,Planilha2!$A$2:$D$5566,4,0)</f>
        <v>SC</v>
      </c>
    </row>
    <row r="4628" spans="1:3" x14ac:dyDescent="0.35">
      <c r="A4628">
        <v>420325</v>
      </c>
      <c r="B4628" t="str">
        <f>VLOOKUP(A4628,Planilha2!$A$2:$C$5566,3,0)</f>
        <v>CAPÃO ALTO</v>
      </c>
      <c r="C4628" t="str">
        <f>VLOOKUP(A4628,Planilha2!$A$2:$D$5566,4,0)</f>
        <v>SC</v>
      </c>
    </row>
    <row r="4629" spans="1:3" x14ac:dyDescent="0.35">
      <c r="A4629">
        <v>432085</v>
      </c>
      <c r="B4629" t="str">
        <f>VLOOKUP(A4629,Planilha2!$A$2:$C$5566,3,0)</f>
        <v>TABAÍ</v>
      </c>
      <c r="C4629" t="str">
        <f>VLOOKUP(A4629,Planilha2!$A$2:$D$5566,4,0)</f>
        <v>RS</v>
      </c>
    </row>
    <row r="4630" spans="1:3" x14ac:dyDescent="0.35">
      <c r="A4630">
        <v>431085</v>
      </c>
      <c r="B4630" t="str">
        <f>VLOOKUP(A4630,Planilha2!$A$2:$C$5566,3,0)</f>
        <v>JABOTICABA</v>
      </c>
      <c r="C4630" t="str">
        <f>VLOOKUP(A4630,Planilha2!$A$2:$D$5566,4,0)</f>
        <v>RS</v>
      </c>
    </row>
    <row r="4631" spans="1:3" x14ac:dyDescent="0.35">
      <c r="A4631">
        <v>432060</v>
      </c>
      <c r="B4631" t="str">
        <f>VLOOKUP(A4631,Planilha2!$A$2:$C$5566,3,0)</f>
        <v>SEVERIANO DE ALMEIDA</v>
      </c>
      <c r="C4631" t="str">
        <f>VLOOKUP(A4631,Planilha2!$A$2:$D$5566,4,0)</f>
        <v>RS</v>
      </c>
    </row>
    <row r="4632" spans="1:3" x14ac:dyDescent="0.35">
      <c r="A4632">
        <v>430250</v>
      </c>
      <c r="B4632" t="str">
        <f>VLOOKUP(A4632,Planilha2!$A$2:$C$5566,3,0)</f>
        <v>BOSSOROCA</v>
      </c>
      <c r="C4632" t="str">
        <f>VLOOKUP(A4632,Planilha2!$A$2:$D$5566,4,0)</f>
        <v>RS</v>
      </c>
    </row>
    <row r="4633" spans="1:3" x14ac:dyDescent="0.35">
      <c r="A4633">
        <v>430540</v>
      </c>
      <c r="B4633" t="str">
        <f>VLOOKUP(A4633,Planilha2!$A$2:$C$5566,3,0)</f>
        <v>CHIAPETTA</v>
      </c>
      <c r="C4633" t="str">
        <f>VLOOKUP(A4633,Planilha2!$A$2:$D$5566,4,0)</f>
        <v>RS</v>
      </c>
    </row>
    <row r="4634" spans="1:3" x14ac:dyDescent="0.35">
      <c r="A4634">
        <v>432080</v>
      </c>
      <c r="B4634" t="str">
        <f>VLOOKUP(A4634,Planilha2!$A$2:$C$5566,3,0)</f>
        <v>SOLEDADE</v>
      </c>
      <c r="C4634" t="str">
        <f>VLOOKUP(A4634,Planilha2!$A$2:$D$5566,4,0)</f>
        <v>RS</v>
      </c>
    </row>
    <row r="4635" spans="1:3" x14ac:dyDescent="0.35">
      <c r="A4635">
        <v>500150</v>
      </c>
      <c r="B4635" t="str">
        <f>VLOOKUP(A4635,Planilha2!$A$2:$C$5566,3,0)</f>
        <v>BANDEIRANTES</v>
      </c>
      <c r="C4635" t="str">
        <f>VLOOKUP(A4635,Planilha2!$A$2:$D$5566,4,0)</f>
        <v>MS</v>
      </c>
    </row>
    <row r="4636" spans="1:3" x14ac:dyDescent="0.35">
      <c r="A4636">
        <v>510336</v>
      </c>
      <c r="B4636" t="str">
        <f>VLOOKUP(A4636,Planilha2!$A$2:$C$5566,3,0)</f>
        <v>CONQUISTA D`OESTE</v>
      </c>
      <c r="C4636" t="str">
        <f>VLOOKUP(A4636,Planilha2!$A$2:$D$5566,4,0)</f>
        <v>MT</v>
      </c>
    </row>
    <row r="4637" spans="1:3" x14ac:dyDescent="0.35">
      <c r="A4637">
        <v>510558</v>
      </c>
      <c r="B4637" t="str">
        <f>VLOOKUP(A4637,Planilha2!$A$2:$C$5566,3,0)</f>
        <v>MARCELÂNDIA</v>
      </c>
      <c r="C4637" t="str">
        <f>VLOOKUP(A4637,Planilha2!$A$2:$D$5566,4,0)</f>
        <v>MT</v>
      </c>
    </row>
    <row r="4638" spans="1:3" x14ac:dyDescent="0.35">
      <c r="A4638">
        <v>521600</v>
      </c>
      <c r="B4638" t="str">
        <f>VLOOKUP(A4638,Planilha2!$A$2:$C$5566,3,0)</f>
        <v>PANAMÁ</v>
      </c>
      <c r="C4638" t="str">
        <f>VLOOKUP(A4638,Planilha2!$A$2:$D$5566,4,0)</f>
        <v>GO</v>
      </c>
    </row>
    <row r="4639" spans="1:3" x14ac:dyDescent="0.35">
      <c r="A4639">
        <v>110005</v>
      </c>
      <c r="B4639" t="str">
        <f>VLOOKUP(A4639,Planilha2!$A$2:$C$5566,3,0)</f>
        <v>CEREJEIRAS</v>
      </c>
      <c r="C4639" t="str">
        <f>VLOOKUP(A4639,Planilha2!$A$2:$D$5566,4,0)</f>
        <v>RO</v>
      </c>
    </row>
    <row r="4640" spans="1:3" x14ac:dyDescent="0.35">
      <c r="A4640">
        <v>110180</v>
      </c>
      <c r="B4640" t="str">
        <f>VLOOKUP(A4640,Planilha2!$A$2:$C$5566,3,0)</f>
        <v>VALE DO PARAÍSO</v>
      </c>
      <c r="C4640" t="str">
        <f>VLOOKUP(A4640,Planilha2!$A$2:$D$5566,4,0)</f>
        <v>RO</v>
      </c>
    </row>
    <row r="4641" spans="1:3" x14ac:dyDescent="0.35">
      <c r="A4641">
        <v>120017</v>
      </c>
      <c r="B4641" t="str">
        <f>VLOOKUP(A4641,Planilha2!$A$2:$C$5566,3,0)</f>
        <v>CAPIXABA</v>
      </c>
      <c r="C4641" t="str">
        <f>VLOOKUP(A4641,Planilha2!$A$2:$D$5566,4,0)</f>
        <v>AC</v>
      </c>
    </row>
    <row r="4642" spans="1:3" x14ac:dyDescent="0.35">
      <c r="A4642">
        <v>120005</v>
      </c>
      <c r="B4642" t="str">
        <f>VLOOKUP(A4642,Planilha2!$A$2:$C$5566,3,0)</f>
        <v>ASSIS BRASIL</v>
      </c>
      <c r="C4642" t="str">
        <f>VLOOKUP(A4642,Planilha2!$A$2:$D$5566,4,0)</f>
        <v>AC</v>
      </c>
    </row>
    <row r="4643" spans="1:3" x14ac:dyDescent="0.35">
      <c r="A4643">
        <v>170307</v>
      </c>
      <c r="B4643" t="str">
        <f>VLOOKUP(A4643,Planilha2!$A$2:$C$5566,3,0)</f>
        <v>BARRA DO OURO</v>
      </c>
      <c r="C4643" t="str">
        <f>VLOOKUP(A4643,Planilha2!$A$2:$D$5566,4,0)</f>
        <v>TO</v>
      </c>
    </row>
    <row r="4644" spans="1:3" x14ac:dyDescent="0.35">
      <c r="A4644">
        <v>210350</v>
      </c>
      <c r="B4644" t="str">
        <f>VLOOKUP(A4644,Planilha2!$A$2:$C$5566,3,0)</f>
        <v>COLINAS</v>
      </c>
      <c r="C4644" t="str">
        <f>VLOOKUP(A4644,Planilha2!$A$2:$D$5566,4,0)</f>
        <v>MA</v>
      </c>
    </row>
    <row r="4645" spans="1:3" x14ac:dyDescent="0.35">
      <c r="A4645">
        <v>210547</v>
      </c>
      <c r="B4645" t="str">
        <f>VLOOKUP(A4645,Planilha2!$A$2:$C$5566,3,0)</f>
        <v>JENIPAPO DOS VIEIRAS</v>
      </c>
      <c r="C4645" t="str">
        <f>VLOOKUP(A4645,Planilha2!$A$2:$D$5566,4,0)</f>
        <v>MA</v>
      </c>
    </row>
    <row r="4646" spans="1:3" x14ac:dyDescent="0.35">
      <c r="A4646">
        <v>211153</v>
      </c>
      <c r="B4646" t="str">
        <f>VLOOKUP(A4646,Planilha2!$A$2:$C$5566,3,0)</f>
        <v>SÃO PEDRO DA ÁGUA BRANCA</v>
      </c>
      <c r="C4646" t="str">
        <f>VLOOKUP(A4646,Planilha2!$A$2:$D$5566,4,0)</f>
        <v>MA</v>
      </c>
    </row>
    <row r="4647" spans="1:3" x14ac:dyDescent="0.35">
      <c r="A4647">
        <v>210610</v>
      </c>
      <c r="B4647" t="str">
        <f>VLOOKUP(A4647,Planilha2!$A$2:$C$5566,3,0)</f>
        <v>LORETO</v>
      </c>
      <c r="C4647" t="str">
        <f>VLOOKUP(A4647,Planilha2!$A$2:$D$5566,4,0)</f>
        <v>MA</v>
      </c>
    </row>
    <row r="4648" spans="1:3" x14ac:dyDescent="0.35">
      <c r="A4648">
        <v>210905</v>
      </c>
      <c r="B4648" t="str">
        <f>VLOOKUP(A4648,Planilha2!$A$2:$C$5566,3,0)</f>
        <v>PORTO RICO DO MARANHÃO</v>
      </c>
      <c r="C4648" t="str">
        <f>VLOOKUP(A4648,Planilha2!$A$2:$D$5566,4,0)</f>
        <v>MA</v>
      </c>
    </row>
    <row r="4649" spans="1:3" x14ac:dyDescent="0.35">
      <c r="A4649">
        <v>211140</v>
      </c>
      <c r="B4649" t="str">
        <f>VLOOKUP(A4649,Planilha2!$A$2:$C$5566,3,0)</f>
        <v>SÃO LUÍS GONZAGA DO MARANHÃO</v>
      </c>
      <c r="C4649" t="str">
        <f>VLOOKUP(A4649,Planilha2!$A$2:$D$5566,4,0)</f>
        <v>MA</v>
      </c>
    </row>
    <row r="4650" spans="1:3" x14ac:dyDescent="0.35">
      <c r="A4650">
        <v>220208</v>
      </c>
      <c r="B4650" t="str">
        <f>VLOOKUP(A4650,Planilha2!$A$2:$C$5566,3,0)</f>
        <v>CAJUEIRO DA PRAIA</v>
      </c>
      <c r="C4650" t="str">
        <f>VLOOKUP(A4650,Planilha2!$A$2:$D$5566,4,0)</f>
        <v>PI</v>
      </c>
    </row>
    <row r="4651" spans="1:3" x14ac:dyDescent="0.35">
      <c r="A4651">
        <v>220930</v>
      </c>
      <c r="B4651" t="str">
        <f>VLOOKUP(A4651,Planilha2!$A$2:$C$5566,3,0)</f>
        <v>SANTA LUZ</v>
      </c>
      <c r="C4651" t="str">
        <f>VLOOKUP(A4651,Planilha2!$A$2:$D$5566,4,0)</f>
        <v>PI</v>
      </c>
    </row>
    <row r="4652" spans="1:3" x14ac:dyDescent="0.35">
      <c r="A4652">
        <v>240370</v>
      </c>
      <c r="B4652" t="str">
        <f>VLOOKUP(A4652,Planilha2!$A$2:$C$5566,3,0)</f>
        <v>FELIPE GUERRA</v>
      </c>
      <c r="C4652" t="str">
        <f>VLOOKUP(A4652,Planilha2!$A$2:$D$5566,4,0)</f>
        <v>RN</v>
      </c>
    </row>
    <row r="4653" spans="1:3" x14ac:dyDescent="0.35">
      <c r="A4653">
        <v>240490</v>
      </c>
      <c r="B4653" t="str">
        <f>VLOOKUP(A4653,Planilha2!$A$2:$C$5566,3,0)</f>
        <v>ITAÚ</v>
      </c>
      <c r="C4653" t="str">
        <f>VLOOKUP(A4653,Planilha2!$A$2:$D$5566,4,0)</f>
        <v>RN</v>
      </c>
    </row>
    <row r="4654" spans="1:3" x14ac:dyDescent="0.35">
      <c r="A4654">
        <v>240920</v>
      </c>
      <c r="B4654" t="str">
        <f>VLOOKUP(A4654,Planilha2!$A$2:$C$5566,3,0)</f>
        <v>PASSAGEM</v>
      </c>
      <c r="C4654" t="str">
        <f>VLOOKUP(A4654,Planilha2!$A$2:$D$5566,4,0)</f>
        <v>RN</v>
      </c>
    </row>
    <row r="4655" spans="1:3" x14ac:dyDescent="0.35">
      <c r="A4655">
        <v>240410</v>
      </c>
      <c r="B4655" t="str">
        <f>VLOOKUP(A4655,Planilha2!$A$2:$C$5566,3,0)</f>
        <v>GALINHOS</v>
      </c>
      <c r="C4655" t="str">
        <f>VLOOKUP(A4655,Planilha2!$A$2:$D$5566,4,0)</f>
        <v>RN</v>
      </c>
    </row>
    <row r="4656" spans="1:3" x14ac:dyDescent="0.35">
      <c r="A4656">
        <v>251430</v>
      </c>
      <c r="B4656" t="str">
        <f>VLOOKUP(A4656,Planilha2!$A$2:$C$5566,3,0)</f>
        <v>SÃO JOSÉ DE CAIANA</v>
      </c>
      <c r="C4656" t="str">
        <f>VLOOKUP(A4656,Planilha2!$A$2:$D$5566,4,0)</f>
        <v>PB</v>
      </c>
    </row>
    <row r="4657" spans="1:3" x14ac:dyDescent="0.35">
      <c r="A4657">
        <v>250310</v>
      </c>
      <c r="B4657" t="str">
        <f>VLOOKUP(A4657,Planilha2!$A$2:$C$5566,3,0)</f>
        <v>CABACEIRAS</v>
      </c>
      <c r="C4657" t="str">
        <f>VLOOKUP(A4657,Planilha2!$A$2:$D$5566,4,0)</f>
        <v>PB</v>
      </c>
    </row>
    <row r="4658" spans="1:3" x14ac:dyDescent="0.35">
      <c r="A4658">
        <v>261280</v>
      </c>
      <c r="B4658" t="str">
        <f>VLOOKUP(A4658,Planilha2!$A$2:$C$5566,3,0)</f>
        <v>SANTA TEREZINHA</v>
      </c>
      <c r="C4658" t="str">
        <f>VLOOKUP(A4658,Planilha2!$A$2:$D$5566,4,0)</f>
        <v>PE</v>
      </c>
    </row>
    <row r="4659" spans="1:3" x14ac:dyDescent="0.35">
      <c r="A4659">
        <v>280110</v>
      </c>
      <c r="B4659" t="str">
        <f>VLOOKUP(A4659,Planilha2!$A$2:$C$5566,3,0)</f>
        <v>CANHOBA</v>
      </c>
      <c r="C4659" t="str">
        <f>VLOOKUP(A4659,Planilha2!$A$2:$D$5566,4,0)</f>
        <v>SE</v>
      </c>
    </row>
    <row r="4660" spans="1:3" x14ac:dyDescent="0.35">
      <c r="A4660">
        <v>280380</v>
      </c>
      <c r="B4660" t="str">
        <f>VLOOKUP(A4660,Planilha2!$A$2:$C$5566,3,0)</f>
        <v>MALHADA DOS BOIS</v>
      </c>
      <c r="C4660" t="str">
        <f>VLOOKUP(A4660,Planilha2!$A$2:$D$5566,4,0)</f>
        <v>SE</v>
      </c>
    </row>
    <row r="4661" spans="1:3" x14ac:dyDescent="0.35">
      <c r="A4661">
        <v>280370</v>
      </c>
      <c r="B4661" t="str">
        <f>VLOOKUP(A4661,Planilha2!$A$2:$C$5566,3,0)</f>
        <v>MACAMBIRA</v>
      </c>
      <c r="C4661" t="str">
        <f>VLOOKUP(A4661,Planilha2!$A$2:$D$5566,4,0)</f>
        <v>SE</v>
      </c>
    </row>
    <row r="4662" spans="1:3" x14ac:dyDescent="0.35">
      <c r="A4662">
        <v>291185</v>
      </c>
      <c r="B4662" t="str">
        <f>VLOOKUP(A4662,Planilha2!$A$2:$C$5566,3,0)</f>
        <v>HELIÓPOLIS</v>
      </c>
      <c r="C4662" t="str">
        <f>VLOOKUP(A4662,Planilha2!$A$2:$D$5566,4,0)</f>
        <v>BA</v>
      </c>
    </row>
    <row r="4663" spans="1:3" x14ac:dyDescent="0.35">
      <c r="A4663">
        <v>314160</v>
      </c>
      <c r="B4663" t="str">
        <f>VLOOKUP(A4663,Planilha2!$A$2:$C$5566,3,0)</f>
        <v>MERCÊS</v>
      </c>
      <c r="C4663" t="str">
        <f>VLOOKUP(A4663,Planilha2!$A$2:$D$5566,4,0)</f>
        <v>MG</v>
      </c>
    </row>
    <row r="4664" spans="1:3" x14ac:dyDescent="0.35">
      <c r="A4664">
        <v>314465</v>
      </c>
      <c r="B4664" t="str">
        <f>VLOOKUP(A4664,Planilha2!$A$2:$C$5566,3,0)</f>
        <v>NINHEIRA</v>
      </c>
      <c r="C4664" t="str">
        <f>VLOOKUP(A4664,Planilha2!$A$2:$D$5566,4,0)</f>
        <v>MG</v>
      </c>
    </row>
    <row r="4665" spans="1:3" x14ac:dyDescent="0.35">
      <c r="A4665">
        <v>311020</v>
      </c>
      <c r="B4665" t="str">
        <f>VLOOKUP(A4665,Planilha2!$A$2:$C$5566,3,0)</f>
        <v>CAJURI</v>
      </c>
      <c r="C4665" t="str">
        <f>VLOOKUP(A4665,Planilha2!$A$2:$D$5566,4,0)</f>
        <v>MG</v>
      </c>
    </row>
    <row r="4666" spans="1:3" x14ac:dyDescent="0.35">
      <c r="A4666">
        <v>313100</v>
      </c>
      <c r="B4666" t="str">
        <f>VLOOKUP(A4666,Planilha2!$A$2:$C$5566,3,0)</f>
        <v>INHAÚMA</v>
      </c>
      <c r="C4666" t="str">
        <f>VLOOKUP(A4666,Planilha2!$A$2:$D$5566,4,0)</f>
        <v>MG</v>
      </c>
    </row>
    <row r="4667" spans="1:3" x14ac:dyDescent="0.35">
      <c r="A4667">
        <v>310140</v>
      </c>
      <c r="B4667" t="str">
        <f>VLOOKUP(A4667,Planilha2!$A$2:$C$5566,3,0)</f>
        <v>ALBERTINA</v>
      </c>
      <c r="C4667" t="str">
        <f>VLOOKUP(A4667,Planilha2!$A$2:$D$5566,4,0)</f>
        <v>MG</v>
      </c>
    </row>
    <row r="4668" spans="1:3" x14ac:dyDescent="0.35">
      <c r="A4668">
        <v>316580</v>
      </c>
      <c r="B4668" t="str">
        <f>VLOOKUP(A4668,Planilha2!$A$2:$C$5566,3,0)</f>
        <v>SENADOR JOSÉ BENTO</v>
      </c>
      <c r="C4668" t="str">
        <f>VLOOKUP(A4668,Planilha2!$A$2:$D$5566,4,0)</f>
        <v>MG</v>
      </c>
    </row>
    <row r="4669" spans="1:3" x14ac:dyDescent="0.35">
      <c r="A4669">
        <v>316440</v>
      </c>
      <c r="B4669" t="str">
        <f>VLOOKUP(A4669,Planilha2!$A$2:$C$5566,3,0)</f>
        <v>SÃO SEBASTIÃO DA BELA VISTA</v>
      </c>
      <c r="C4669" t="str">
        <f>VLOOKUP(A4669,Planilha2!$A$2:$D$5566,4,0)</f>
        <v>MG</v>
      </c>
    </row>
    <row r="4670" spans="1:3" x14ac:dyDescent="0.35">
      <c r="A4670">
        <v>316050</v>
      </c>
      <c r="B4670" t="str">
        <f>VLOOKUP(A4670,Planilha2!$A$2:$C$5566,3,0)</f>
        <v>SANTO ANTÔNIO DO RIO ABAIXO</v>
      </c>
      <c r="C4670" t="str">
        <f>VLOOKUP(A4670,Planilha2!$A$2:$D$5566,4,0)</f>
        <v>MG</v>
      </c>
    </row>
    <row r="4671" spans="1:3" x14ac:dyDescent="0.35">
      <c r="A4671">
        <v>312260</v>
      </c>
      <c r="B4671" t="str">
        <f>VLOOKUP(A4671,Planilha2!$A$2:$C$5566,3,0)</f>
        <v>DOM JOAQUIM</v>
      </c>
      <c r="C4671" t="str">
        <f>VLOOKUP(A4671,Planilha2!$A$2:$D$5566,4,0)</f>
        <v>MG</v>
      </c>
    </row>
    <row r="4672" spans="1:3" x14ac:dyDescent="0.35">
      <c r="A4672">
        <v>311380</v>
      </c>
      <c r="B4672" t="str">
        <f>VLOOKUP(A4672,Planilha2!$A$2:$C$5566,3,0)</f>
        <v>CARMÉSIA</v>
      </c>
      <c r="C4672" t="str">
        <f>VLOOKUP(A4672,Planilha2!$A$2:$D$5566,4,0)</f>
        <v>MG</v>
      </c>
    </row>
    <row r="4673" spans="1:3" x14ac:dyDescent="0.35">
      <c r="A4673">
        <v>314170</v>
      </c>
      <c r="B4673" t="str">
        <f>VLOOKUP(A4673,Planilha2!$A$2:$C$5566,3,0)</f>
        <v>MESQUITA</v>
      </c>
      <c r="C4673" t="str">
        <f>VLOOKUP(A4673,Planilha2!$A$2:$D$5566,4,0)</f>
        <v>MG</v>
      </c>
    </row>
    <row r="4674" spans="1:3" x14ac:dyDescent="0.35">
      <c r="A4674">
        <v>312190</v>
      </c>
      <c r="B4674" t="str">
        <f>VLOOKUP(A4674,Planilha2!$A$2:$C$5566,3,0)</f>
        <v>DIVINÉSIA</v>
      </c>
      <c r="C4674" t="str">
        <f>VLOOKUP(A4674,Planilha2!$A$2:$D$5566,4,0)</f>
        <v>MG</v>
      </c>
    </row>
    <row r="4675" spans="1:3" x14ac:dyDescent="0.35">
      <c r="A4675">
        <v>315360</v>
      </c>
      <c r="B4675" t="str">
        <f>VLOOKUP(A4675,Planilha2!$A$2:$C$5566,3,0)</f>
        <v>PRUDENTE DE MORAIS</v>
      </c>
      <c r="C4675" t="str">
        <f>VLOOKUP(A4675,Planilha2!$A$2:$D$5566,4,0)</f>
        <v>MG</v>
      </c>
    </row>
    <row r="4676" spans="1:3" x14ac:dyDescent="0.35">
      <c r="A4676">
        <v>330090</v>
      </c>
      <c r="B4676" t="str">
        <f>VLOOKUP(A4676,Planilha2!$A$2:$C$5566,3,0)</f>
        <v>CAMBUCI</v>
      </c>
      <c r="C4676" t="str">
        <f>VLOOKUP(A4676,Planilha2!$A$2:$D$5566,4,0)</f>
        <v>RJ</v>
      </c>
    </row>
    <row r="4677" spans="1:3" x14ac:dyDescent="0.35">
      <c r="A4677">
        <v>353680</v>
      </c>
      <c r="B4677" t="str">
        <f>VLOOKUP(A4677,Planilha2!$A$2:$C$5566,3,0)</f>
        <v>PEDRA BELA</v>
      </c>
      <c r="C4677" t="str">
        <f>VLOOKUP(A4677,Planilha2!$A$2:$D$5566,4,0)</f>
        <v>SP</v>
      </c>
    </row>
    <row r="4678" spans="1:3" x14ac:dyDescent="0.35">
      <c r="A4678">
        <v>350500</v>
      </c>
      <c r="B4678" t="str">
        <f>VLOOKUP(A4678,Planilha2!$A$2:$C$5566,3,0)</f>
        <v>BARÃO DE ANTONINA</v>
      </c>
      <c r="C4678" t="str">
        <f>VLOOKUP(A4678,Planilha2!$A$2:$D$5566,4,0)</f>
        <v>SP</v>
      </c>
    </row>
    <row r="4679" spans="1:3" x14ac:dyDescent="0.35">
      <c r="A4679">
        <v>355420</v>
      </c>
      <c r="B4679" t="str">
        <f>VLOOKUP(A4679,Planilha2!$A$2:$C$5566,3,0)</f>
        <v>TEJUPÁ</v>
      </c>
      <c r="C4679" t="str">
        <f>VLOOKUP(A4679,Planilha2!$A$2:$D$5566,4,0)</f>
        <v>SP</v>
      </c>
    </row>
    <row r="4680" spans="1:3" x14ac:dyDescent="0.35">
      <c r="A4680">
        <v>350980</v>
      </c>
      <c r="B4680" t="str">
        <f>VLOOKUP(A4680,Planilha2!$A$2:$C$5566,3,0)</f>
        <v>CAMPOS NOVOS PAULISTA</v>
      </c>
      <c r="C4680" t="str">
        <f>VLOOKUP(A4680,Planilha2!$A$2:$D$5566,4,0)</f>
        <v>SP</v>
      </c>
    </row>
    <row r="4681" spans="1:3" x14ac:dyDescent="0.35">
      <c r="A4681">
        <v>350230</v>
      </c>
      <c r="B4681" t="str">
        <f>VLOOKUP(A4681,Planilha2!$A$2:$C$5566,3,0)</f>
        <v>ANHEMBI</v>
      </c>
      <c r="C4681" t="str">
        <f>VLOOKUP(A4681,Planilha2!$A$2:$D$5566,4,0)</f>
        <v>SP</v>
      </c>
    </row>
    <row r="4682" spans="1:3" x14ac:dyDescent="0.35">
      <c r="A4682">
        <v>316540</v>
      </c>
      <c r="B4682" t="str">
        <f>VLOOKUP(A4682,Planilha2!$A$2:$C$5566,3,0)</f>
        <v>SAPUCAÍ-MIRIM</v>
      </c>
      <c r="C4682" t="str">
        <f>VLOOKUP(A4682,Planilha2!$A$2:$D$5566,4,0)</f>
        <v>MG</v>
      </c>
    </row>
    <row r="4683" spans="1:3" x14ac:dyDescent="0.35">
      <c r="A4683">
        <v>350240</v>
      </c>
      <c r="B4683" t="str">
        <f>VLOOKUP(A4683,Planilha2!$A$2:$C$5566,3,0)</f>
        <v>ANHUMAS</v>
      </c>
      <c r="C4683" t="str">
        <f>VLOOKUP(A4683,Planilha2!$A$2:$D$5566,4,0)</f>
        <v>SP</v>
      </c>
    </row>
    <row r="4684" spans="1:3" x14ac:dyDescent="0.35">
      <c r="A4684">
        <v>412030</v>
      </c>
      <c r="B4684" t="str">
        <f>VLOOKUP(A4684,Planilha2!$A$2:$C$5566,3,0)</f>
        <v>PORTO VITÓRIA</v>
      </c>
      <c r="C4684" t="str">
        <f>VLOOKUP(A4684,Planilha2!$A$2:$D$5566,4,0)</f>
        <v>PR</v>
      </c>
    </row>
    <row r="4685" spans="1:3" x14ac:dyDescent="0.35">
      <c r="A4685">
        <v>411695</v>
      </c>
      <c r="B4685" t="str">
        <f>VLOOKUP(A4685,Planilha2!$A$2:$C$5566,3,0)</f>
        <v>NOVA ESPERANÇA DO SUDOESTE</v>
      </c>
      <c r="C4685" t="str">
        <f>VLOOKUP(A4685,Planilha2!$A$2:$D$5566,4,0)</f>
        <v>PR</v>
      </c>
    </row>
    <row r="4686" spans="1:3" x14ac:dyDescent="0.35">
      <c r="A4686">
        <v>410410</v>
      </c>
      <c r="B4686" t="str">
        <f>VLOOKUP(A4686,Planilha2!$A$2:$C$5566,3,0)</f>
        <v>CAMPO DO TENENTE</v>
      </c>
      <c r="C4686" t="str">
        <f>VLOOKUP(A4686,Planilha2!$A$2:$D$5566,4,0)</f>
        <v>PR</v>
      </c>
    </row>
    <row r="4687" spans="1:3" x14ac:dyDescent="0.35">
      <c r="A4687">
        <v>412310</v>
      </c>
      <c r="B4687" t="str">
        <f>VLOOKUP(A4687,Planilha2!$A$2:$C$5566,3,0)</f>
        <v>SANTA AMÉLIA</v>
      </c>
      <c r="C4687" t="str">
        <f>VLOOKUP(A4687,Planilha2!$A$2:$D$5566,4,0)</f>
        <v>PR</v>
      </c>
    </row>
    <row r="4688" spans="1:3" x14ac:dyDescent="0.35">
      <c r="A4688">
        <v>421090</v>
      </c>
      <c r="B4688" t="str">
        <f>VLOOKUP(A4688,Planilha2!$A$2:$C$5566,3,0)</f>
        <v>MODELO</v>
      </c>
      <c r="C4688" t="str">
        <f>VLOOKUP(A4688,Planilha2!$A$2:$D$5566,4,0)</f>
        <v>SC</v>
      </c>
    </row>
    <row r="4689" spans="1:3" x14ac:dyDescent="0.35">
      <c r="A4689">
        <v>420415</v>
      </c>
      <c r="B4689" t="str">
        <f>VLOOKUP(A4689,Planilha2!$A$2:$C$5566,3,0)</f>
        <v>CELSO RAMOS</v>
      </c>
      <c r="C4689" t="str">
        <f>VLOOKUP(A4689,Planilha2!$A$2:$D$5566,4,0)</f>
        <v>SC</v>
      </c>
    </row>
    <row r="4690" spans="1:3" x14ac:dyDescent="0.35">
      <c r="A4690">
        <v>420055</v>
      </c>
      <c r="B4690" t="str">
        <f>VLOOKUP(A4690,Planilha2!$A$2:$C$5566,3,0)</f>
        <v>ÁGUAS FRIAS</v>
      </c>
      <c r="C4690" t="str">
        <f>VLOOKUP(A4690,Planilha2!$A$2:$D$5566,4,0)</f>
        <v>SC</v>
      </c>
    </row>
    <row r="4691" spans="1:3" x14ac:dyDescent="0.35">
      <c r="A4691">
        <v>420257</v>
      </c>
      <c r="B4691" t="str">
        <f>VLOOKUP(A4691,Planilha2!$A$2:$C$5566,3,0)</f>
        <v>BOM JESUS DO OESTE</v>
      </c>
      <c r="C4691" t="str">
        <f>VLOOKUP(A4691,Planilha2!$A$2:$D$5566,4,0)</f>
        <v>SC</v>
      </c>
    </row>
    <row r="4692" spans="1:3" x14ac:dyDescent="0.35">
      <c r="A4692">
        <v>420757</v>
      </c>
      <c r="B4692" t="str">
        <f>VLOOKUP(A4692,Planilha2!$A$2:$C$5566,3,0)</f>
        <v>IOMERÊ</v>
      </c>
      <c r="C4692" t="str">
        <f>VLOOKUP(A4692,Planilha2!$A$2:$D$5566,4,0)</f>
        <v>SC</v>
      </c>
    </row>
    <row r="4693" spans="1:3" x14ac:dyDescent="0.35">
      <c r="A4693">
        <v>421910</v>
      </c>
      <c r="B4693" t="str">
        <f>VLOOKUP(A4693,Planilha2!$A$2:$C$5566,3,0)</f>
        <v>VARGEÃO</v>
      </c>
      <c r="C4693" t="str">
        <f>VLOOKUP(A4693,Planilha2!$A$2:$D$5566,4,0)</f>
        <v>SC</v>
      </c>
    </row>
    <row r="4694" spans="1:3" x14ac:dyDescent="0.35">
      <c r="A4694">
        <v>421610</v>
      </c>
      <c r="B4694" t="str">
        <f>VLOOKUP(A4694,Planilha2!$A$2:$C$5566,3,0)</f>
        <v>SÃO DOMINGOS</v>
      </c>
      <c r="C4694" t="str">
        <f>VLOOKUP(A4694,Planilha2!$A$2:$D$5566,4,0)</f>
        <v>SC</v>
      </c>
    </row>
    <row r="4695" spans="1:3" x14ac:dyDescent="0.35">
      <c r="A4695">
        <v>432345</v>
      </c>
      <c r="B4695" t="str">
        <f>VLOOKUP(A4695,Planilha2!$A$2:$C$5566,3,0)</f>
        <v>VILA NOVA DO SUL</v>
      </c>
      <c r="C4695" t="str">
        <f>VLOOKUP(A4695,Planilha2!$A$2:$D$5566,4,0)</f>
        <v>RS</v>
      </c>
    </row>
    <row r="4696" spans="1:3" x14ac:dyDescent="0.35">
      <c r="A4696">
        <v>430543</v>
      </c>
      <c r="B4696" t="str">
        <f>VLOOKUP(A4696,Planilha2!$A$2:$C$5566,3,0)</f>
        <v>CHUÍ</v>
      </c>
      <c r="C4696" t="str">
        <f>VLOOKUP(A4696,Planilha2!$A$2:$D$5566,4,0)</f>
        <v>RS</v>
      </c>
    </row>
    <row r="4697" spans="1:3" x14ac:dyDescent="0.35">
      <c r="A4697" s="2">
        <v>431454</v>
      </c>
      <c r="B4697" t="str">
        <f>VLOOKUP(A4697,[1]IBGE!A$2:B$27,2,0)</f>
        <v>Pinto Bandeira</v>
      </c>
      <c r="C4697" t="str">
        <f>VLOOKUP(A4697,[1]IBGE!A$2:C$27,3,0)</f>
        <v>RS</v>
      </c>
    </row>
    <row r="4698" spans="1:3" x14ac:dyDescent="0.35">
      <c r="A4698">
        <v>430740</v>
      </c>
      <c r="B4698" t="str">
        <f>VLOOKUP(A4698,Planilha2!$A$2:$C$5566,3,0)</f>
        <v>ESMERALDA</v>
      </c>
      <c r="C4698" t="str">
        <f>VLOOKUP(A4698,Planilha2!$A$2:$D$5566,4,0)</f>
        <v>RS</v>
      </c>
    </row>
    <row r="4699" spans="1:3" x14ac:dyDescent="0.35">
      <c r="A4699">
        <v>510677</v>
      </c>
      <c r="B4699" t="str">
        <f>VLOOKUP(A4699,Planilha2!$A$2:$C$5566,3,0)</f>
        <v>PORTO ALEGRE DO NORTE</v>
      </c>
      <c r="C4699" t="str">
        <f>VLOOKUP(A4699,Planilha2!$A$2:$D$5566,4,0)</f>
        <v>MT</v>
      </c>
    </row>
    <row r="4700" spans="1:3" x14ac:dyDescent="0.35">
      <c r="A4700">
        <v>510860</v>
      </c>
      <c r="B4700" t="str">
        <f>VLOOKUP(A4700,Planilha2!$A$2:$C$5566,3,0)</f>
        <v>VILA RICA</v>
      </c>
      <c r="C4700" t="str">
        <f>VLOOKUP(A4700,Planilha2!$A$2:$D$5566,4,0)</f>
        <v>MT</v>
      </c>
    </row>
    <row r="4701" spans="1:3" x14ac:dyDescent="0.35">
      <c r="A4701">
        <v>522230</v>
      </c>
      <c r="B4701" t="str">
        <f>VLOOKUP(A4701,Planilha2!$A$2:$C$5566,3,0)</f>
        <v>VILA PROPÍCIO</v>
      </c>
      <c r="C4701" t="str">
        <f>VLOOKUP(A4701,Planilha2!$A$2:$D$5566,4,0)</f>
        <v>GO</v>
      </c>
    </row>
    <row r="4702" spans="1:3" x14ac:dyDescent="0.35">
      <c r="A4702">
        <v>230620</v>
      </c>
      <c r="B4702" t="str">
        <f>VLOOKUP(A4702,Planilha2!$A$2:$C$5566,3,0)</f>
        <v>ITAIÇABA</v>
      </c>
      <c r="C4702" t="str">
        <f>VLOOKUP(A4702,Planilha2!$A$2:$D$5566,4,0)</f>
        <v>CE</v>
      </c>
    </row>
    <row r="4703" spans="1:3" x14ac:dyDescent="0.35">
      <c r="A4703">
        <v>431535</v>
      </c>
      <c r="B4703" t="str">
        <f>VLOOKUP(A4703,Planilha2!$A$2:$C$5566,3,0)</f>
        <v>QUINZE DE NOVEMBRO</v>
      </c>
      <c r="C4703" t="str">
        <f>VLOOKUP(A4703,Planilha2!$A$2:$D$5566,4,0)</f>
        <v>RS</v>
      </c>
    </row>
    <row r="4704" spans="1:3" x14ac:dyDescent="0.35">
      <c r="A4704">
        <v>311500</v>
      </c>
      <c r="B4704" t="str">
        <f>VLOOKUP(A4704,Planilha2!$A$2:$C$5566,3,0)</f>
        <v>CASCALHO RICO</v>
      </c>
      <c r="C4704" t="str">
        <f>VLOOKUP(A4704,Planilha2!$A$2:$D$5566,4,0)</f>
        <v>MG</v>
      </c>
    </row>
    <row r="4705" spans="1:3" x14ac:dyDescent="0.35">
      <c r="A4705">
        <v>110050</v>
      </c>
      <c r="B4705" t="str">
        <f>VLOOKUP(A4705,Planilha2!$A$2:$C$5566,3,0)</f>
        <v>NOVO HORIZONTE DO OESTE</v>
      </c>
      <c r="C4705" t="str">
        <f>VLOOKUP(A4705,Planilha2!$A$2:$D$5566,4,0)</f>
        <v>RO</v>
      </c>
    </row>
    <row r="4706" spans="1:3" x14ac:dyDescent="0.35">
      <c r="A4706">
        <v>210667</v>
      </c>
      <c r="B4706" t="str">
        <f>VLOOKUP(A4706,Planilha2!$A$2:$C$5566,3,0)</f>
        <v>MILAGRES DO MARANHÃO</v>
      </c>
      <c r="C4706" t="str">
        <f>VLOOKUP(A4706,Planilha2!$A$2:$D$5566,4,0)</f>
        <v>MA</v>
      </c>
    </row>
    <row r="4707" spans="1:3" x14ac:dyDescent="0.35">
      <c r="A4707">
        <v>220730</v>
      </c>
      <c r="B4707" t="str">
        <f>VLOOKUP(A4707,Planilha2!$A$2:$C$5566,3,0)</f>
        <v>PAES LANDIM</v>
      </c>
      <c r="C4707" t="str">
        <f>VLOOKUP(A4707,Planilha2!$A$2:$D$5566,4,0)</f>
        <v>PI</v>
      </c>
    </row>
    <row r="4708" spans="1:3" x14ac:dyDescent="0.35">
      <c r="A4708">
        <v>220650</v>
      </c>
      <c r="B4708" t="str">
        <f>VLOOKUP(A4708,Planilha2!$A$2:$C$5566,3,0)</f>
        <v>MONSENHOR HIPÓLITO</v>
      </c>
      <c r="C4708" t="str">
        <f>VLOOKUP(A4708,Planilha2!$A$2:$D$5566,4,0)</f>
        <v>PI</v>
      </c>
    </row>
    <row r="4709" spans="1:3" x14ac:dyDescent="0.35">
      <c r="A4709">
        <v>220415</v>
      </c>
      <c r="B4709" t="str">
        <f>VLOOKUP(A4709,Planilha2!$A$2:$C$5566,3,0)</f>
        <v>FRANCISCO MACEDO</v>
      </c>
      <c r="C4709" t="str">
        <f>VLOOKUP(A4709,Planilha2!$A$2:$D$5566,4,0)</f>
        <v>PI</v>
      </c>
    </row>
    <row r="4710" spans="1:3" x14ac:dyDescent="0.35">
      <c r="A4710">
        <v>251396</v>
      </c>
      <c r="B4710" t="str">
        <f>VLOOKUP(A4710,Planilha2!$A$2:$C$5566,3,0)</f>
        <v>SÃO DOMINGOS DE POMBAL</v>
      </c>
      <c r="C4710" t="str">
        <f>VLOOKUP(A4710,Planilha2!$A$2:$D$5566,4,0)</f>
        <v>PB</v>
      </c>
    </row>
    <row r="4711" spans="1:3" x14ac:dyDescent="0.35">
      <c r="A4711">
        <v>270370</v>
      </c>
      <c r="B4711" t="str">
        <f>VLOOKUP(A4711,Planilha2!$A$2:$C$5566,3,0)</f>
        <v>JARAMATAIA</v>
      </c>
      <c r="C4711" t="str">
        <f>VLOOKUP(A4711,Planilha2!$A$2:$D$5566,4,0)</f>
        <v>AL</v>
      </c>
    </row>
    <row r="4712" spans="1:3" x14ac:dyDescent="0.35">
      <c r="A4712">
        <v>292030</v>
      </c>
      <c r="B4712" t="str">
        <f>VLOOKUP(A4712,Planilha2!$A$2:$C$5566,3,0)</f>
        <v>MALHADA DE PEDRAS</v>
      </c>
      <c r="C4712" t="str">
        <f>VLOOKUP(A4712,Planilha2!$A$2:$D$5566,4,0)</f>
        <v>BA</v>
      </c>
    </row>
    <row r="4713" spans="1:3" x14ac:dyDescent="0.35">
      <c r="A4713">
        <v>354790</v>
      </c>
      <c r="B4713" t="str">
        <f>VLOOKUP(A4713,Planilha2!$A$2:$C$5566,3,0)</f>
        <v>SANTO ANTÔNIO DA ALEGRIA</v>
      </c>
      <c r="C4713" t="str">
        <f>VLOOKUP(A4713,Planilha2!$A$2:$D$5566,4,0)</f>
        <v>SP</v>
      </c>
    </row>
    <row r="4714" spans="1:3" x14ac:dyDescent="0.35">
      <c r="A4714">
        <v>431842</v>
      </c>
      <c r="B4714" t="str">
        <f>VLOOKUP(A4714,Planilha2!$A$2:$C$5566,3,0)</f>
        <v>SÃO JOÃO DA URTIGA</v>
      </c>
      <c r="C4714" t="str">
        <f>VLOOKUP(A4714,Planilha2!$A$2:$D$5566,4,0)</f>
        <v>RS</v>
      </c>
    </row>
    <row r="4715" spans="1:3" x14ac:dyDescent="0.35">
      <c r="A4715">
        <v>431845</v>
      </c>
      <c r="B4715" t="str">
        <f>VLOOKUP(A4715,Planilha2!$A$2:$C$5566,3,0)</f>
        <v>SÃO JOSÉ DAS MISSÕES</v>
      </c>
      <c r="C4715" t="str">
        <f>VLOOKUP(A4715,Planilha2!$A$2:$D$5566,4,0)</f>
        <v>RS</v>
      </c>
    </row>
    <row r="4716" spans="1:3" x14ac:dyDescent="0.35">
      <c r="A4716">
        <v>431515</v>
      </c>
      <c r="B4716" t="str">
        <f>VLOOKUP(A4716,Planilha2!$A$2:$C$5566,3,0)</f>
        <v>PROGRESSO</v>
      </c>
      <c r="C4716" t="str">
        <f>VLOOKUP(A4716,Planilha2!$A$2:$D$5566,4,0)</f>
        <v>RS</v>
      </c>
    </row>
    <row r="4717" spans="1:3" x14ac:dyDescent="0.35">
      <c r="A4717">
        <v>500730</v>
      </c>
      <c r="B4717" t="str">
        <f>VLOOKUP(A4717,Planilha2!$A$2:$C$5566,3,0)</f>
        <v>RIO NEGRO</v>
      </c>
      <c r="C4717" t="str">
        <f>VLOOKUP(A4717,Planilha2!$A$2:$D$5566,4,0)</f>
        <v>MS</v>
      </c>
    </row>
    <row r="4718" spans="1:3" x14ac:dyDescent="0.35">
      <c r="A4718">
        <v>170290</v>
      </c>
      <c r="B4718" t="str">
        <f>VLOOKUP(A4718,Planilha2!$A$2:$C$5566,3,0)</f>
        <v>AXIXÁ DO TOCANTINS</v>
      </c>
      <c r="C4718" t="str">
        <f>VLOOKUP(A4718,Planilha2!$A$2:$D$5566,4,0)</f>
        <v>TO</v>
      </c>
    </row>
    <row r="4719" spans="1:3" x14ac:dyDescent="0.35">
      <c r="A4719">
        <v>210805</v>
      </c>
      <c r="B4719" t="str">
        <f>VLOOKUP(A4719,Planilha2!$A$2:$C$5566,3,0)</f>
        <v>PAULINO NEVES</v>
      </c>
      <c r="C4719" t="str">
        <f>VLOOKUP(A4719,Planilha2!$A$2:$D$5566,4,0)</f>
        <v>MA</v>
      </c>
    </row>
    <row r="4720" spans="1:3" x14ac:dyDescent="0.35">
      <c r="A4720">
        <v>210598</v>
      </c>
      <c r="B4720" t="str">
        <f>VLOOKUP(A4720,Planilha2!$A$2:$C$5566,3,0)</f>
        <v>LAJEADO NOVO</v>
      </c>
      <c r="C4720" t="str">
        <f>VLOOKUP(A4720,Planilha2!$A$2:$D$5566,4,0)</f>
        <v>MA</v>
      </c>
    </row>
    <row r="4721" spans="1:3" x14ac:dyDescent="0.35">
      <c r="A4721">
        <v>210600</v>
      </c>
      <c r="B4721" t="str">
        <f>VLOOKUP(A4721,Planilha2!$A$2:$C$5566,3,0)</f>
        <v>LIMA CAMPOS</v>
      </c>
      <c r="C4721" t="str">
        <f>VLOOKUP(A4721,Planilha2!$A$2:$D$5566,4,0)</f>
        <v>MA</v>
      </c>
    </row>
    <row r="4722" spans="1:3" x14ac:dyDescent="0.35">
      <c r="A4722" s="2">
        <v>220000</v>
      </c>
      <c r="B4722" t="str">
        <f>VLOOKUP(A4722,[1]IBGE!A$2:B$27,2,0)</f>
        <v>-</v>
      </c>
      <c r="C4722" t="str">
        <f>VLOOKUP(A4722,[1]IBGE!A$2:C$27,3,0)</f>
        <v>PI</v>
      </c>
    </row>
    <row r="4723" spans="1:3" x14ac:dyDescent="0.35">
      <c r="A4723">
        <v>221160</v>
      </c>
      <c r="B4723" t="str">
        <f>VLOOKUP(A4723,Planilha2!$A$2:$C$5566,3,0)</f>
        <v>VILA NOVA DO PIAUÍ</v>
      </c>
      <c r="C4723" t="str">
        <f>VLOOKUP(A4723,Planilha2!$A$2:$D$5566,4,0)</f>
        <v>PI</v>
      </c>
    </row>
    <row r="4724" spans="1:3" x14ac:dyDescent="0.35">
      <c r="A4724">
        <v>220920</v>
      </c>
      <c r="B4724" t="str">
        <f>VLOOKUP(A4724,Planilha2!$A$2:$C$5566,3,0)</f>
        <v>SANTA FILOMENA</v>
      </c>
      <c r="C4724" t="str">
        <f>VLOOKUP(A4724,Planilha2!$A$2:$D$5566,4,0)</f>
        <v>PI</v>
      </c>
    </row>
    <row r="4725" spans="1:3" x14ac:dyDescent="0.35">
      <c r="A4725">
        <v>240080</v>
      </c>
      <c r="B4725" t="str">
        <f>VLOOKUP(A4725,Planilha2!$A$2:$C$5566,3,0)</f>
        <v>ANGICOS</v>
      </c>
      <c r="C4725" t="str">
        <f>VLOOKUP(A4725,Planilha2!$A$2:$D$5566,4,0)</f>
        <v>RN</v>
      </c>
    </row>
    <row r="4726" spans="1:3" x14ac:dyDescent="0.35">
      <c r="A4726">
        <v>240590</v>
      </c>
      <c r="B4726" t="str">
        <f>VLOOKUP(A4726,Planilha2!$A$2:$C$5566,3,0)</f>
        <v>JOÃO DIAS</v>
      </c>
      <c r="C4726" t="str">
        <f>VLOOKUP(A4726,Planilha2!$A$2:$D$5566,4,0)</f>
        <v>RN</v>
      </c>
    </row>
    <row r="4727" spans="1:3" x14ac:dyDescent="0.35">
      <c r="A4727">
        <v>241255</v>
      </c>
      <c r="B4727" t="str">
        <f>VLOOKUP(A4727,Planilha2!$A$2:$C$5566,3,0)</f>
        <v>SÃO MIGUEL DO GOSTOSO</v>
      </c>
      <c r="C4727" t="str">
        <f>VLOOKUP(A4727,Planilha2!$A$2:$D$5566,4,0)</f>
        <v>RN</v>
      </c>
    </row>
    <row r="4728" spans="1:3" x14ac:dyDescent="0.35">
      <c r="A4728">
        <v>251700</v>
      </c>
      <c r="B4728" t="str">
        <f>VLOOKUP(A4728,Planilha2!$A$2:$C$5566,3,0)</f>
        <v>UMBUZEIRO</v>
      </c>
      <c r="C4728" t="str">
        <f>VLOOKUP(A4728,Planilha2!$A$2:$D$5566,4,0)</f>
        <v>PB</v>
      </c>
    </row>
    <row r="4729" spans="1:3" x14ac:dyDescent="0.35">
      <c r="A4729">
        <v>250470</v>
      </c>
      <c r="B4729" t="str">
        <f>VLOOKUP(A4729,Planilha2!$A$2:$C$5566,3,0)</f>
        <v>CONGO</v>
      </c>
      <c r="C4729" t="str">
        <f>VLOOKUP(A4729,Planilha2!$A$2:$D$5566,4,0)</f>
        <v>PB</v>
      </c>
    </row>
    <row r="4730" spans="1:3" x14ac:dyDescent="0.35">
      <c r="A4730">
        <v>280640</v>
      </c>
      <c r="B4730" t="str">
        <f>VLOOKUP(A4730,Planilha2!$A$2:$C$5566,3,0)</f>
        <v>SANTANA DO SÃO FRANCISCO</v>
      </c>
      <c r="C4730" t="str">
        <f>VLOOKUP(A4730,Planilha2!$A$2:$D$5566,4,0)</f>
        <v>SE</v>
      </c>
    </row>
    <row r="4731" spans="1:3" x14ac:dyDescent="0.35">
      <c r="A4731">
        <v>291110</v>
      </c>
      <c r="B4731" t="str">
        <f>VLOOKUP(A4731,Planilha2!$A$2:$C$5566,3,0)</f>
        <v>FORMOSA DO RIO PRETO</v>
      </c>
      <c r="C4731" t="str">
        <f>VLOOKUP(A4731,Planilha2!$A$2:$D$5566,4,0)</f>
        <v>BA</v>
      </c>
    </row>
    <row r="4732" spans="1:3" x14ac:dyDescent="0.35">
      <c r="A4732">
        <v>314940</v>
      </c>
      <c r="B4732" t="str">
        <f>VLOOKUP(A4732,Planilha2!$A$2:$C$5566,3,0)</f>
        <v>PEDRO TEIXEIRA</v>
      </c>
      <c r="C4732" t="str">
        <f>VLOOKUP(A4732,Planilha2!$A$2:$D$5566,4,0)</f>
        <v>MG</v>
      </c>
    </row>
    <row r="4733" spans="1:3" x14ac:dyDescent="0.35">
      <c r="A4733">
        <v>316650</v>
      </c>
      <c r="B4733" t="str">
        <f>VLOOKUP(A4733,Planilha2!$A$2:$C$5566,3,0)</f>
        <v>SERRA AZUL DE MINAS</v>
      </c>
      <c r="C4733" t="str">
        <f>VLOOKUP(A4733,Planilha2!$A$2:$D$5566,4,0)</f>
        <v>MG</v>
      </c>
    </row>
    <row r="4734" spans="1:3" x14ac:dyDescent="0.35">
      <c r="A4734">
        <v>316030</v>
      </c>
      <c r="B4734" t="str">
        <f>VLOOKUP(A4734,Planilha2!$A$2:$C$5566,3,0)</f>
        <v>SANTO ANTÔNIO DO JACINTO</v>
      </c>
      <c r="C4734" t="str">
        <f>VLOOKUP(A4734,Planilha2!$A$2:$D$5566,4,0)</f>
        <v>MG</v>
      </c>
    </row>
    <row r="4735" spans="1:3" x14ac:dyDescent="0.35">
      <c r="A4735">
        <v>310300</v>
      </c>
      <c r="B4735" t="str">
        <f>VLOOKUP(A4735,Planilha2!$A$2:$C$5566,3,0)</f>
        <v>ANTÔNIO DIAS</v>
      </c>
      <c r="C4735" t="str">
        <f>VLOOKUP(A4735,Planilha2!$A$2:$D$5566,4,0)</f>
        <v>MG</v>
      </c>
    </row>
    <row r="4736" spans="1:3" x14ac:dyDescent="0.35">
      <c r="A4736">
        <v>314500</v>
      </c>
      <c r="B4736" t="str">
        <f>VLOOKUP(A4736,Planilha2!$A$2:$C$5566,3,0)</f>
        <v>NOVA PONTE</v>
      </c>
      <c r="C4736" t="str">
        <f>VLOOKUP(A4736,Planilha2!$A$2:$D$5566,4,0)</f>
        <v>MG</v>
      </c>
    </row>
    <row r="4737" spans="1:3" x14ac:dyDescent="0.35">
      <c r="A4737">
        <v>313005</v>
      </c>
      <c r="B4737" t="str">
        <f>VLOOKUP(A4737,Planilha2!$A$2:$C$5566,3,0)</f>
        <v>ICARAÍ DE MINAS</v>
      </c>
      <c r="C4737" t="str">
        <f>VLOOKUP(A4737,Planilha2!$A$2:$D$5566,4,0)</f>
        <v>MG</v>
      </c>
    </row>
    <row r="4738" spans="1:3" x14ac:dyDescent="0.35">
      <c r="A4738">
        <v>315530</v>
      </c>
      <c r="B4738" t="str">
        <f>VLOOKUP(A4738,Planilha2!$A$2:$C$5566,3,0)</f>
        <v>RIO MANSO</v>
      </c>
      <c r="C4738" t="str">
        <f>VLOOKUP(A4738,Planilha2!$A$2:$D$5566,4,0)</f>
        <v>MG</v>
      </c>
    </row>
    <row r="4739" spans="1:3" x14ac:dyDescent="0.35">
      <c r="A4739">
        <v>314730</v>
      </c>
      <c r="B4739" t="str">
        <f>VLOOKUP(A4739,Planilha2!$A$2:$C$5566,3,0)</f>
        <v>PARAISÓPOLIS</v>
      </c>
      <c r="C4739" t="str">
        <f>VLOOKUP(A4739,Planilha2!$A$2:$D$5566,4,0)</f>
        <v>MG</v>
      </c>
    </row>
    <row r="4740" spans="1:3" x14ac:dyDescent="0.35">
      <c r="A4740">
        <v>316740</v>
      </c>
      <c r="B4740" t="str">
        <f>VLOOKUP(A4740,Planilha2!$A$2:$C$5566,3,0)</f>
        <v>SILVIANÓPOLIS</v>
      </c>
      <c r="C4740" t="str">
        <f>VLOOKUP(A4740,Planilha2!$A$2:$D$5566,4,0)</f>
        <v>MG</v>
      </c>
    </row>
    <row r="4741" spans="1:3" x14ac:dyDescent="0.35">
      <c r="A4741">
        <v>311900</v>
      </c>
      <c r="B4741" t="str">
        <f>VLOOKUP(A4741,Planilha2!$A$2:$C$5566,3,0)</f>
        <v>CORDISLÂNDIA</v>
      </c>
      <c r="C4741" t="str">
        <f>VLOOKUP(A4741,Planilha2!$A$2:$D$5566,4,0)</f>
        <v>MG</v>
      </c>
    </row>
    <row r="4742" spans="1:3" x14ac:dyDescent="0.35">
      <c r="A4742">
        <v>315970</v>
      </c>
      <c r="B4742" t="str">
        <f>VLOOKUP(A4742,Planilha2!$A$2:$C$5566,3,0)</f>
        <v>SANTA ROSA DA SERRA</v>
      </c>
      <c r="C4742" t="str">
        <f>VLOOKUP(A4742,Planilha2!$A$2:$D$5566,4,0)</f>
        <v>MG</v>
      </c>
    </row>
    <row r="4743" spans="1:3" x14ac:dyDescent="0.35">
      <c r="A4743">
        <v>316443</v>
      </c>
      <c r="B4743" t="str">
        <f>VLOOKUP(A4743,Planilha2!$A$2:$C$5566,3,0)</f>
        <v>SÃO SEBASTIÃO DA VARGEM ALEGRE</v>
      </c>
      <c r="C4743" t="str">
        <f>VLOOKUP(A4743,Planilha2!$A$2:$D$5566,4,0)</f>
        <v>MG</v>
      </c>
    </row>
    <row r="4744" spans="1:3" x14ac:dyDescent="0.35">
      <c r="A4744">
        <v>320515</v>
      </c>
      <c r="B4744" t="str">
        <f>VLOOKUP(A4744,Planilha2!$A$2:$C$5566,3,0)</f>
        <v>VILA PAVÃO</v>
      </c>
      <c r="C4744" t="str">
        <f>VLOOKUP(A4744,Planilha2!$A$2:$D$5566,4,0)</f>
        <v>ES</v>
      </c>
    </row>
    <row r="4745" spans="1:3" x14ac:dyDescent="0.35">
      <c r="A4745">
        <v>353040</v>
      </c>
      <c r="B4745" t="str">
        <f>VLOOKUP(A4745,Planilha2!$A$2:$C$5566,3,0)</f>
        <v>MIRASSOLÂNDIA</v>
      </c>
      <c r="C4745" t="str">
        <f>VLOOKUP(A4745,Planilha2!$A$2:$D$5566,4,0)</f>
        <v>SP</v>
      </c>
    </row>
    <row r="4746" spans="1:3" x14ac:dyDescent="0.35">
      <c r="A4746">
        <v>352450</v>
      </c>
      <c r="B4746" t="str">
        <f>VLOOKUP(A4746,Planilha2!$A$2:$C$5566,3,0)</f>
        <v>JACI</v>
      </c>
      <c r="C4746" t="str">
        <f>VLOOKUP(A4746,Planilha2!$A$2:$D$5566,4,0)</f>
        <v>SP</v>
      </c>
    </row>
    <row r="4747" spans="1:3" x14ac:dyDescent="0.35">
      <c r="A4747">
        <v>351710</v>
      </c>
      <c r="B4747" t="str">
        <f>VLOOKUP(A4747,Planilha2!$A$2:$C$5566,3,0)</f>
        <v>GLICÉRIO</v>
      </c>
      <c r="C4747" t="str">
        <f>VLOOKUP(A4747,Planilha2!$A$2:$D$5566,4,0)</f>
        <v>SP</v>
      </c>
    </row>
    <row r="4748" spans="1:3" x14ac:dyDescent="0.35">
      <c r="A4748">
        <v>350315</v>
      </c>
      <c r="B4748" t="str">
        <f>VLOOKUP(A4748,Planilha2!$A$2:$C$5566,3,0)</f>
        <v>ARAPEÍ</v>
      </c>
      <c r="C4748" t="str">
        <f>VLOOKUP(A4748,Planilha2!$A$2:$D$5566,4,0)</f>
        <v>SP</v>
      </c>
    </row>
    <row r="4749" spans="1:3" x14ac:dyDescent="0.35">
      <c r="A4749">
        <v>351925</v>
      </c>
      <c r="B4749" t="str">
        <f>VLOOKUP(A4749,Planilha2!$A$2:$C$5566,3,0)</f>
        <v>IARAS</v>
      </c>
      <c r="C4749" t="str">
        <f>VLOOKUP(A4749,Planilha2!$A$2:$D$5566,4,0)</f>
        <v>SP</v>
      </c>
    </row>
    <row r="4750" spans="1:3" x14ac:dyDescent="0.35">
      <c r="A4750">
        <v>353610</v>
      </c>
      <c r="B4750" t="str">
        <f>VLOOKUP(A4750,Planilha2!$A$2:$C$5566,3,0)</f>
        <v>PARDINHO</v>
      </c>
      <c r="C4750" t="str">
        <f>VLOOKUP(A4750,Planilha2!$A$2:$D$5566,4,0)</f>
        <v>SP</v>
      </c>
    </row>
    <row r="4751" spans="1:3" x14ac:dyDescent="0.35">
      <c r="A4751">
        <v>350470</v>
      </c>
      <c r="B4751" t="str">
        <f>VLOOKUP(A4751,Planilha2!$A$2:$C$5566,3,0)</f>
        <v>BALBINOS</v>
      </c>
      <c r="C4751" t="str">
        <f>VLOOKUP(A4751,Planilha2!$A$2:$D$5566,4,0)</f>
        <v>SP</v>
      </c>
    </row>
    <row r="4752" spans="1:3" x14ac:dyDescent="0.35">
      <c r="A4752">
        <v>311240</v>
      </c>
      <c r="B4752" t="str">
        <f>VLOOKUP(A4752,Planilha2!$A$2:$C$5566,3,0)</f>
        <v>CAPETINGA</v>
      </c>
      <c r="C4752" t="str">
        <f>VLOOKUP(A4752,Planilha2!$A$2:$D$5566,4,0)</f>
        <v>MG</v>
      </c>
    </row>
    <row r="4753" spans="1:3" x14ac:dyDescent="0.35">
      <c r="A4753">
        <v>354460</v>
      </c>
      <c r="B4753" t="str">
        <f>VLOOKUP(A4753,Planilha2!$A$2:$C$5566,3,0)</f>
        <v>SABINO</v>
      </c>
      <c r="C4753" t="str">
        <f>VLOOKUP(A4753,Planilha2!$A$2:$D$5566,4,0)</f>
        <v>SP</v>
      </c>
    </row>
    <row r="4754" spans="1:3" x14ac:dyDescent="0.35">
      <c r="A4754">
        <v>353330</v>
      </c>
      <c r="B4754" t="str">
        <f>VLOOKUP(A4754,Planilha2!$A$2:$C$5566,3,0)</f>
        <v>NOVA LUZITÂNIA</v>
      </c>
      <c r="C4754" t="str">
        <f>VLOOKUP(A4754,Planilha2!$A$2:$D$5566,4,0)</f>
        <v>SP</v>
      </c>
    </row>
    <row r="4755" spans="1:3" x14ac:dyDescent="0.35">
      <c r="A4755">
        <v>354900</v>
      </c>
      <c r="B4755" t="str">
        <f>VLOOKUP(A4755,Planilha2!$A$2:$C$5566,3,0)</f>
        <v>SÃO FRANCISCO</v>
      </c>
      <c r="C4755" t="str">
        <f>VLOOKUP(A4755,Planilha2!$A$2:$D$5566,4,0)</f>
        <v>SP</v>
      </c>
    </row>
    <row r="4756" spans="1:3" x14ac:dyDescent="0.35">
      <c r="A4756">
        <v>352760</v>
      </c>
      <c r="B4756" t="str">
        <f>VLOOKUP(A4756,Planilha2!$A$2:$C$5566,3,0)</f>
        <v>LUÍS ANTÔNIO</v>
      </c>
      <c r="C4756" t="str">
        <f>VLOOKUP(A4756,Planilha2!$A$2:$D$5566,4,0)</f>
        <v>SP</v>
      </c>
    </row>
    <row r="4757" spans="1:3" x14ac:dyDescent="0.35">
      <c r="A4757">
        <v>351560</v>
      </c>
      <c r="B4757" t="str">
        <f>VLOOKUP(A4757,Planilha2!$A$2:$C$5566,3,0)</f>
        <v>FERNANDO PRESTES</v>
      </c>
      <c r="C4757" t="str">
        <f>VLOOKUP(A4757,Planilha2!$A$2:$D$5566,4,0)</f>
        <v>SP</v>
      </c>
    </row>
    <row r="4758" spans="1:3" x14ac:dyDescent="0.35">
      <c r="A4758">
        <v>412627</v>
      </c>
      <c r="B4758" t="str">
        <f>VLOOKUP(A4758,Planilha2!$A$2:$C$5566,3,0)</f>
        <v>SAUDADE DO IGUAÇU</v>
      </c>
      <c r="C4758" t="str">
        <f>VLOOKUP(A4758,Planilha2!$A$2:$D$5566,4,0)</f>
        <v>PR</v>
      </c>
    </row>
    <row r="4759" spans="1:3" x14ac:dyDescent="0.35">
      <c r="A4759">
        <v>410755</v>
      </c>
      <c r="B4759" t="str">
        <f>VLOOKUP(A4759,Planilha2!$A$2:$C$5566,3,0)</f>
        <v>FAROL</v>
      </c>
      <c r="C4759" t="str">
        <f>VLOOKUP(A4759,Planilha2!$A$2:$D$5566,4,0)</f>
        <v>PR</v>
      </c>
    </row>
    <row r="4760" spans="1:3" x14ac:dyDescent="0.35">
      <c r="A4760">
        <v>421020</v>
      </c>
      <c r="B4760" t="str">
        <f>VLOOKUP(A4760,Planilha2!$A$2:$C$5566,3,0)</f>
        <v>MAJOR GERCINO</v>
      </c>
      <c r="C4760" t="str">
        <f>VLOOKUP(A4760,Planilha2!$A$2:$D$5566,4,0)</f>
        <v>SC</v>
      </c>
    </row>
    <row r="4761" spans="1:3" x14ac:dyDescent="0.35">
      <c r="A4761">
        <v>420665</v>
      </c>
      <c r="B4761" t="str">
        <f>VLOOKUP(A4761,Planilha2!$A$2:$C$5566,3,0)</f>
        <v>GUATAMBÚ</v>
      </c>
      <c r="C4761" t="str">
        <f>VLOOKUP(A4761,Planilha2!$A$2:$D$5566,4,0)</f>
        <v>SC</v>
      </c>
    </row>
    <row r="4762" spans="1:3" x14ac:dyDescent="0.35">
      <c r="A4762">
        <v>420410</v>
      </c>
      <c r="B4762" t="str">
        <f>VLOOKUP(A4762,Planilha2!$A$2:$C$5566,3,0)</f>
        <v>CAXAMBU DO SUL</v>
      </c>
      <c r="C4762" t="str">
        <f>VLOOKUP(A4762,Planilha2!$A$2:$D$5566,4,0)</f>
        <v>SC</v>
      </c>
    </row>
    <row r="4763" spans="1:3" x14ac:dyDescent="0.35">
      <c r="A4763">
        <v>420160</v>
      </c>
      <c r="B4763" t="str">
        <f>VLOOKUP(A4763,Planilha2!$A$2:$C$5566,3,0)</f>
        <v>ARROIO TRINTA</v>
      </c>
      <c r="C4763" t="str">
        <f>VLOOKUP(A4763,Planilha2!$A$2:$D$5566,4,0)</f>
        <v>SC</v>
      </c>
    </row>
    <row r="4764" spans="1:3" x14ac:dyDescent="0.35">
      <c r="A4764">
        <v>430786</v>
      </c>
      <c r="B4764" t="str">
        <f>VLOOKUP(A4764,Planilha2!$A$2:$C$5566,3,0)</f>
        <v>FAGUNDES VARELA</v>
      </c>
      <c r="C4764" t="str">
        <f>VLOOKUP(A4764,Planilha2!$A$2:$D$5566,4,0)</f>
        <v>RS</v>
      </c>
    </row>
    <row r="4765" spans="1:3" x14ac:dyDescent="0.35">
      <c r="A4765">
        <v>431407</v>
      </c>
      <c r="B4765" t="str">
        <f>VLOOKUP(A4765,Planilha2!$A$2:$C$5566,3,0)</f>
        <v>PASSO DO SOBRADO</v>
      </c>
      <c r="C4765" t="str">
        <f>VLOOKUP(A4765,Planilha2!$A$2:$D$5566,4,0)</f>
        <v>RS</v>
      </c>
    </row>
    <row r="4766" spans="1:3" x14ac:dyDescent="0.35">
      <c r="A4766">
        <v>510040</v>
      </c>
      <c r="B4766" t="str">
        <f>VLOOKUP(A4766,Planilha2!$A$2:$C$5566,3,0)</f>
        <v>ALTO GARÇAS</v>
      </c>
      <c r="C4766" t="str">
        <f>VLOOKUP(A4766,Planilha2!$A$2:$D$5566,4,0)</f>
        <v>MT</v>
      </c>
    </row>
    <row r="4767" spans="1:3" x14ac:dyDescent="0.35">
      <c r="A4767">
        <v>510726</v>
      </c>
      <c r="B4767" t="str">
        <f>VLOOKUP(A4767,Planilha2!$A$2:$C$5566,3,0)</f>
        <v>SANTO AFONSO</v>
      </c>
      <c r="C4767" t="str">
        <f>VLOOKUP(A4767,Planilha2!$A$2:$D$5566,4,0)</f>
        <v>MT</v>
      </c>
    </row>
    <row r="4768" spans="1:3" x14ac:dyDescent="0.35">
      <c r="A4768">
        <v>520495</v>
      </c>
      <c r="B4768" t="str">
        <f>VLOOKUP(A4768,Planilha2!$A$2:$C$5566,3,0)</f>
        <v>CAMPOS VERDES</v>
      </c>
      <c r="C4768" t="str">
        <f>VLOOKUP(A4768,Planilha2!$A$2:$D$5566,4,0)</f>
        <v>GO</v>
      </c>
    </row>
    <row r="4769" spans="1:3" x14ac:dyDescent="0.35">
      <c r="A4769">
        <v>520060</v>
      </c>
      <c r="B4769" t="str">
        <f>VLOOKUP(A4769,Planilha2!$A$2:$C$5566,3,0)</f>
        <v>ALTO PARAÍSO DE GOIÁS</v>
      </c>
      <c r="C4769" t="str">
        <f>VLOOKUP(A4769,Planilha2!$A$2:$D$5566,4,0)</f>
        <v>GO</v>
      </c>
    </row>
    <row r="4770" spans="1:3" x14ac:dyDescent="0.35">
      <c r="A4770">
        <v>521580</v>
      </c>
      <c r="B4770" t="str">
        <f>VLOOKUP(A4770,Planilha2!$A$2:$C$5566,3,0)</f>
        <v>PALMELO</v>
      </c>
      <c r="C4770" t="str">
        <f>VLOOKUP(A4770,Planilha2!$A$2:$D$5566,4,0)</f>
        <v>GO</v>
      </c>
    </row>
    <row r="4771" spans="1:3" x14ac:dyDescent="0.35">
      <c r="A4771">
        <v>420005</v>
      </c>
      <c r="B4771" t="str">
        <f>VLOOKUP(A4771,Planilha2!$A$2:$C$5566,3,0)</f>
        <v>ABDON BATISTA</v>
      </c>
      <c r="C4771" t="str">
        <f>VLOOKUP(A4771,Planilha2!$A$2:$D$5566,4,0)</f>
        <v>SC</v>
      </c>
    </row>
    <row r="4772" spans="1:3" x14ac:dyDescent="0.35">
      <c r="A4772">
        <v>172093</v>
      </c>
      <c r="B4772" t="str">
        <f>VLOOKUP(A4772,Planilha2!$A$2:$C$5566,3,0)</f>
        <v>TAIPAS DO TOCANTINS</v>
      </c>
      <c r="C4772" t="str">
        <f>VLOOKUP(A4772,Planilha2!$A$2:$D$5566,4,0)</f>
        <v>TO</v>
      </c>
    </row>
    <row r="4773" spans="1:3" x14ac:dyDescent="0.35">
      <c r="A4773">
        <v>430003</v>
      </c>
      <c r="B4773" t="str">
        <f>VLOOKUP(A4773,Planilha2!$A$2:$C$5566,3,0)</f>
        <v>ACEGUÁ</v>
      </c>
      <c r="C4773" t="str">
        <f>VLOOKUP(A4773,Planilha2!$A$2:$D$5566,4,0)</f>
        <v>RS</v>
      </c>
    </row>
    <row r="4774" spans="1:3" x14ac:dyDescent="0.35">
      <c r="A4774">
        <v>160005</v>
      </c>
      <c r="B4774" t="str">
        <f>VLOOKUP(A4774,Planilha2!$A$2:$C$5566,3,0)</f>
        <v>SERRA DO NAVIO</v>
      </c>
      <c r="C4774" t="str">
        <f>VLOOKUP(A4774,Planilha2!$A$2:$D$5566,4,0)</f>
        <v>AP</v>
      </c>
    </row>
    <row r="4775" spans="1:3" x14ac:dyDescent="0.35">
      <c r="A4775">
        <v>230950</v>
      </c>
      <c r="B4775" t="str">
        <f>VLOOKUP(A4775,Planilha2!$A$2:$C$5566,3,0)</f>
        <v>ORÓS</v>
      </c>
      <c r="C4775" t="str">
        <f>VLOOKUP(A4775,Planilha2!$A$2:$D$5566,4,0)</f>
        <v>CE</v>
      </c>
    </row>
    <row r="4776" spans="1:3" x14ac:dyDescent="0.35">
      <c r="A4776">
        <v>130426</v>
      </c>
      <c r="B4776" t="str">
        <f>VLOOKUP(A4776,Planilha2!$A$2:$C$5566,3,0)</f>
        <v>UARINI</v>
      </c>
      <c r="C4776" t="str">
        <f>VLOOKUP(A4776,Planilha2!$A$2:$D$5566,4,0)</f>
        <v>AM</v>
      </c>
    </row>
    <row r="4777" spans="1:3" x14ac:dyDescent="0.35">
      <c r="A4777">
        <v>130008</v>
      </c>
      <c r="B4777" t="str">
        <f>VLOOKUP(A4777,Planilha2!$A$2:$C$5566,3,0)</f>
        <v>ANAMÃ</v>
      </c>
      <c r="C4777" t="str">
        <f>VLOOKUP(A4777,Planilha2!$A$2:$D$5566,4,0)</f>
        <v>AM</v>
      </c>
    </row>
    <row r="4778" spans="1:3" x14ac:dyDescent="0.35">
      <c r="A4778">
        <v>160010</v>
      </c>
      <c r="B4778" t="str">
        <f>VLOOKUP(A4778,Planilha2!$A$2:$C$5566,3,0)</f>
        <v>AMAPÁ</v>
      </c>
      <c r="C4778" t="str">
        <f>VLOOKUP(A4778,Planilha2!$A$2:$D$5566,4,0)</f>
        <v>AP</v>
      </c>
    </row>
    <row r="4779" spans="1:3" x14ac:dyDescent="0.35">
      <c r="A4779">
        <v>171875</v>
      </c>
      <c r="B4779" t="str">
        <f>VLOOKUP(A4779,Planilha2!$A$2:$C$5566,3,0)</f>
        <v>RIO SONO</v>
      </c>
      <c r="C4779" t="str">
        <f>VLOOKUP(A4779,Planilha2!$A$2:$D$5566,4,0)</f>
        <v>TO</v>
      </c>
    </row>
    <row r="4780" spans="1:3" x14ac:dyDescent="0.35">
      <c r="A4780">
        <v>220375</v>
      </c>
      <c r="B4780" t="str">
        <f>VLOOKUP(A4780,Planilha2!$A$2:$C$5566,3,0)</f>
        <v>FARTURA DO PIAUÍ</v>
      </c>
      <c r="C4780" t="str">
        <f>VLOOKUP(A4780,Planilha2!$A$2:$D$5566,4,0)</f>
        <v>PI</v>
      </c>
    </row>
    <row r="4781" spans="1:3" x14ac:dyDescent="0.35">
      <c r="A4781">
        <v>220553</v>
      </c>
      <c r="B4781" t="str">
        <f>VLOOKUP(A4781,Planilha2!$A$2:$C$5566,3,0)</f>
        <v>JUREMA</v>
      </c>
      <c r="C4781" t="str">
        <f>VLOOKUP(A4781,Planilha2!$A$2:$D$5566,4,0)</f>
        <v>PI</v>
      </c>
    </row>
    <row r="4782" spans="1:3" x14ac:dyDescent="0.35">
      <c r="A4782">
        <v>220785</v>
      </c>
      <c r="B4782" t="str">
        <f>VLOOKUP(A4782,Planilha2!$A$2:$C$5566,3,0)</f>
        <v>PAVUSSU</v>
      </c>
      <c r="C4782" t="str">
        <f>VLOOKUP(A4782,Planilha2!$A$2:$D$5566,4,0)</f>
        <v>PI</v>
      </c>
    </row>
    <row r="4783" spans="1:3" x14ac:dyDescent="0.35">
      <c r="A4783">
        <v>220855</v>
      </c>
      <c r="B4783" t="str">
        <f>VLOOKUP(A4783,Planilha2!$A$2:$C$5566,3,0)</f>
        <v>PORTO ALEGRE DO PIAUÍ</v>
      </c>
      <c r="C4783" t="str">
        <f>VLOOKUP(A4783,Planilha2!$A$2:$D$5566,4,0)</f>
        <v>PI</v>
      </c>
    </row>
    <row r="4784" spans="1:3" x14ac:dyDescent="0.35">
      <c r="A4784">
        <v>250073</v>
      </c>
      <c r="B4784" t="str">
        <f>VLOOKUP(A4784,Planilha2!$A$2:$C$5566,3,0)</f>
        <v>AMPARO</v>
      </c>
      <c r="C4784" t="str">
        <f>VLOOKUP(A4784,Planilha2!$A$2:$D$5566,4,0)</f>
        <v>PB</v>
      </c>
    </row>
    <row r="4785" spans="1:3" x14ac:dyDescent="0.35">
      <c r="A4785">
        <v>270810</v>
      </c>
      <c r="B4785" t="str">
        <f>VLOOKUP(A4785,Planilha2!$A$2:$C$5566,3,0)</f>
        <v>SANTANA DO MUNDAÚ</v>
      </c>
      <c r="C4785" t="str">
        <f>VLOOKUP(A4785,Planilha2!$A$2:$D$5566,4,0)</f>
        <v>AL</v>
      </c>
    </row>
    <row r="4786" spans="1:3" x14ac:dyDescent="0.35">
      <c r="A4786">
        <v>270080</v>
      </c>
      <c r="B4786" t="str">
        <f>VLOOKUP(A4786,Planilha2!$A$2:$C$5566,3,0)</f>
        <v>BELÉM</v>
      </c>
      <c r="C4786" t="str">
        <f>VLOOKUP(A4786,Planilha2!$A$2:$D$5566,4,0)</f>
        <v>AL</v>
      </c>
    </row>
    <row r="4787" spans="1:3" x14ac:dyDescent="0.35">
      <c r="A4787">
        <v>312480</v>
      </c>
      <c r="B4787" t="str">
        <f>VLOOKUP(A4787,Planilha2!$A$2:$C$5566,3,0)</f>
        <v>ESTRELA DO SUL</v>
      </c>
      <c r="C4787" t="str">
        <f>VLOOKUP(A4787,Planilha2!$A$2:$D$5566,4,0)</f>
        <v>MG</v>
      </c>
    </row>
    <row r="4788" spans="1:3" x14ac:dyDescent="0.35">
      <c r="A4788">
        <v>316105</v>
      </c>
      <c r="B4788" t="str">
        <f>VLOOKUP(A4788,Planilha2!$A$2:$C$5566,3,0)</f>
        <v>SÃO FÉLIX DE MINAS</v>
      </c>
      <c r="C4788" t="str">
        <f>VLOOKUP(A4788,Planilha2!$A$2:$D$5566,4,0)</f>
        <v>MG</v>
      </c>
    </row>
    <row r="4789" spans="1:3" x14ac:dyDescent="0.35">
      <c r="A4789">
        <v>315820</v>
      </c>
      <c r="B4789" t="str">
        <f>VLOOKUP(A4789,Planilha2!$A$2:$C$5566,3,0)</f>
        <v>SANTA MARIA DO SUAÇUÍ</v>
      </c>
      <c r="C4789" t="str">
        <f>VLOOKUP(A4789,Planilha2!$A$2:$D$5566,4,0)</f>
        <v>MG</v>
      </c>
    </row>
    <row r="4790" spans="1:3" x14ac:dyDescent="0.35">
      <c r="A4790">
        <v>312352</v>
      </c>
      <c r="B4790" t="str">
        <f>VLOOKUP(A4790,Planilha2!$A$2:$C$5566,3,0)</f>
        <v>DURANDÉ</v>
      </c>
      <c r="C4790" t="str">
        <f>VLOOKUP(A4790,Planilha2!$A$2:$D$5566,4,0)</f>
        <v>MG</v>
      </c>
    </row>
    <row r="4791" spans="1:3" x14ac:dyDescent="0.35">
      <c r="A4791">
        <v>412390</v>
      </c>
      <c r="B4791" t="str">
        <f>VLOOKUP(A4791,Planilha2!$A$2:$C$5566,3,0)</f>
        <v>SANTA MARIANA</v>
      </c>
      <c r="C4791" t="str">
        <f>VLOOKUP(A4791,Planilha2!$A$2:$D$5566,4,0)</f>
        <v>PR</v>
      </c>
    </row>
    <row r="4792" spans="1:3" x14ac:dyDescent="0.35">
      <c r="A4792">
        <v>431300</v>
      </c>
      <c r="B4792" t="str">
        <f>VLOOKUP(A4792,Planilha2!$A$2:$C$5566,3,0)</f>
        <v>NOVA BRÉSCIA</v>
      </c>
      <c r="C4792" t="str">
        <f>VLOOKUP(A4792,Planilha2!$A$2:$D$5566,4,0)</f>
        <v>RS</v>
      </c>
    </row>
    <row r="4793" spans="1:3" x14ac:dyDescent="0.35">
      <c r="A4793">
        <v>431447</v>
      </c>
      <c r="B4793" t="str">
        <f>VLOOKUP(A4793,Planilha2!$A$2:$C$5566,3,0)</f>
        <v>PINHAL GRANDE</v>
      </c>
      <c r="C4793" t="str">
        <f>VLOOKUP(A4793,Planilha2!$A$2:$D$5566,4,0)</f>
        <v>RS</v>
      </c>
    </row>
    <row r="4794" spans="1:3" x14ac:dyDescent="0.35">
      <c r="A4794">
        <v>430222</v>
      </c>
      <c r="B4794" t="str">
        <f>VLOOKUP(A4794,Planilha2!$A$2:$C$5566,3,0)</f>
        <v>BOA VISTA DO CADEADO</v>
      </c>
      <c r="C4794" t="str">
        <f>VLOOKUP(A4794,Planilha2!$A$2:$D$5566,4,0)</f>
        <v>RS</v>
      </c>
    </row>
    <row r="4795" spans="1:3" x14ac:dyDescent="0.35">
      <c r="A4795">
        <v>430258</v>
      </c>
      <c r="B4795" t="str">
        <f>VLOOKUP(A4795,Planilha2!$A$2:$C$5566,3,0)</f>
        <v>BOZANO</v>
      </c>
      <c r="C4795" t="str">
        <f>VLOOKUP(A4795,Planilha2!$A$2:$D$5566,4,0)</f>
        <v>RS</v>
      </c>
    </row>
    <row r="4796" spans="1:3" x14ac:dyDescent="0.35">
      <c r="A4796">
        <v>430517</v>
      </c>
      <c r="B4796" t="str">
        <f>VLOOKUP(A4796,Planilha2!$A$2:$C$5566,3,0)</f>
        <v>CERRO GRANDE DO SUL</v>
      </c>
      <c r="C4796" t="str">
        <f>VLOOKUP(A4796,Planilha2!$A$2:$D$5566,4,0)</f>
        <v>RS</v>
      </c>
    </row>
    <row r="4797" spans="1:3" x14ac:dyDescent="0.35">
      <c r="A4797">
        <v>521480</v>
      </c>
      <c r="B4797" t="str">
        <f>VLOOKUP(A4797,Planilha2!$A$2:$C$5566,3,0)</f>
        <v>NOVA AURORA</v>
      </c>
      <c r="C4797" t="str">
        <f>VLOOKUP(A4797,Planilha2!$A$2:$D$5566,4,0)</f>
        <v>GO</v>
      </c>
    </row>
    <row r="4798" spans="1:3" x14ac:dyDescent="0.35">
      <c r="A4798">
        <v>170825</v>
      </c>
      <c r="B4798" t="str">
        <f>VLOOKUP(A4798,Planilha2!$A$2:$C$5566,3,0)</f>
        <v>FORTALEZA DO TABOCÃO</v>
      </c>
      <c r="C4798" t="str">
        <f>VLOOKUP(A4798,Planilha2!$A$2:$D$5566,4,0)</f>
        <v>TO</v>
      </c>
    </row>
    <row r="4799" spans="1:3" x14ac:dyDescent="0.35">
      <c r="A4799">
        <v>170320</v>
      </c>
      <c r="B4799" t="str">
        <f>VLOOKUP(A4799,Planilha2!$A$2:$C$5566,3,0)</f>
        <v>BERNARDO SAYÃO</v>
      </c>
      <c r="C4799" t="str">
        <f>VLOOKUP(A4799,Planilha2!$A$2:$D$5566,4,0)</f>
        <v>TO</v>
      </c>
    </row>
    <row r="4800" spans="1:3" x14ac:dyDescent="0.35">
      <c r="A4800">
        <v>170650</v>
      </c>
      <c r="B4800" t="str">
        <f>VLOOKUP(A4800,Planilha2!$A$2:$C$5566,3,0)</f>
        <v>DARCINÓPOLIS</v>
      </c>
      <c r="C4800" t="str">
        <f>VLOOKUP(A4800,Planilha2!$A$2:$D$5566,4,0)</f>
        <v>TO</v>
      </c>
    </row>
    <row r="4801" spans="1:3" x14ac:dyDescent="0.35">
      <c r="A4801">
        <v>210592</v>
      </c>
      <c r="B4801" t="str">
        <f>VLOOKUP(A4801,Planilha2!$A$2:$C$5566,3,0)</f>
        <v>LAGOA DO MATO</v>
      </c>
      <c r="C4801" t="str">
        <f>VLOOKUP(A4801,Planilha2!$A$2:$D$5566,4,0)</f>
        <v>MA</v>
      </c>
    </row>
    <row r="4802" spans="1:3" x14ac:dyDescent="0.35">
      <c r="A4802">
        <v>210620</v>
      </c>
      <c r="B4802" t="str">
        <f>VLOOKUP(A4802,Planilha2!$A$2:$C$5566,3,0)</f>
        <v>LUÍS DOMINGUES</v>
      </c>
      <c r="C4802" t="str">
        <f>VLOOKUP(A4802,Planilha2!$A$2:$D$5566,4,0)</f>
        <v>MA</v>
      </c>
    </row>
    <row r="4803" spans="1:3" x14ac:dyDescent="0.35">
      <c r="A4803">
        <v>220980</v>
      </c>
      <c r="B4803" t="str">
        <f>VLOOKUP(A4803,Planilha2!$A$2:$C$5566,3,0)</f>
        <v>SÃO GONÇALO DO PIAUÍ</v>
      </c>
      <c r="C4803" t="str">
        <f>VLOOKUP(A4803,Planilha2!$A$2:$D$5566,4,0)</f>
        <v>PI</v>
      </c>
    </row>
    <row r="4804" spans="1:3" x14ac:dyDescent="0.35">
      <c r="A4804">
        <v>221030</v>
      </c>
      <c r="B4804" t="str">
        <f>VLOOKUP(A4804,Planilha2!$A$2:$C$5566,3,0)</f>
        <v>SÃO JULIÃO</v>
      </c>
      <c r="C4804" t="str">
        <f>VLOOKUP(A4804,Planilha2!$A$2:$D$5566,4,0)</f>
        <v>PI</v>
      </c>
    </row>
    <row r="4805" spans="1:3" x14ac:dyDescent="0.35">
      <c r="A4805">
        <v>230900</v>
      </c>
      <c r="B4805" t="str">
        <f>VLOOKUP(A4805,Planilha2!$A$2:$C$5566,3,0)</f>
        <v>MUCAMBO</v>
      </c>
      <c r="C4805" t="str">
        <f>VLOOKUP(A4805,Planilha2!$A$2:$D$5566,4,0)</f>
        <v>CE</v>
      </c>
    </row>
    <row r="4806" spans="1:3" x14ac:dyDescent="0.35">
      <c r="A4806">
        <v>240130</v>
      </c>
      <c r="B4806" t="str">
        <f>VLOOKUP(A4806,Planilha2!$A$2:$C$5566,3,0)</f>
        <v>AUGUSTO SEVERO</v>
      </c>
      <c r="C4806" t="str">
        <f>VLOOKUP(A4806,Planilha2!$A$2:$D$5566,4,0)</f>
        <v>RN</v>
      </c>
    </row>
    <row r="4807" spans="1:3" x14ac:dyDescent="0.35">
      <c r="A4807">
        <v>240550</v>
      </c>
      <c r="B4807" t="str">
        <f>VLOOKUP(A4807,Planilha2!$A$2:$C$5566,3,0)</f>
        <v>JARDIM DE ANGICOS</v>
      </c>
      <c r="C4807" t="str">
        <f>VLOOKUP(A4807,Planilha2!$A$2:$D$5566,4,0)</f>
        <v>RN</v>
      </c>
    </row>
    <row r="4808" spans="1:3" x14ac:dyDescent="0.35">
      <c r="A4808">
        <v>240880</v>
      </c>
      <c r="B4808" t="str">
        <f>VLOOKUP(A4808,Planilha2!$A$2:$C$5566,3,0)</f>
        <v>PARAZINHO</v>
      </c>
      <c r="C4808" t="str">
        <f>VLOOKUP(A4808,Planilha2!$A$2:$D$5566,4,0)</f>
        <v>RN</v>
      </c>
    </row>
    <row r="4809" spans="1:3" x14ac:dyDescent="0.35">
      <c r="A4809">
        <v>240615</v>
      </c>
      <c r="B4809" t="str">
        <f>VLOOKUP(A4809,Planilha2!$A$2:$C$5566,3,0)</f>
        <v>JUNDIÁ</v>
      </c>
      <c r="C4809" t="str">
        <f>VLOOKUP(A4809,Planilha2!$A$2:$D$5566,4,0)</f>
        <v>RN</v>
      </c>
    </row>
    <row r="4810" spans="1:3" x14ac:dyDescent="0.35">
      <c r="A4810">
        <v>240950</v>
      </c>
      <c r="B4810" t="str">
        <f>VLOOKUP(A4810,Planilha2!$A$2:$C$5566,3,0)</f>
        <v>PEDRA GRANDE</v>
      </c>
      <c r="C4810" t="str">
        <f>VLOOKUP(A4810,Planilha2!$A$2:$D$5566,4,0)</f>
        <v>RN</v>
      </c>
    </row>
    <row r="4811" spans="1:3" x14ac:dyDescent="0.35">
      <c r="A4811">
        <v>251203</v>
      </c>
      <c r="B4811" t="str">
        <f>VLOOKUP(A4811,Planilha2!$A$2:$C$5566,3,0)</f>
        <v>POÇO DANTAS</v>
      </c>
      <c r="C4811" t="str">
        <f>VLOOKUP(A4811,Planilha2!$A$2:$D$5566,4,0)</f>
        <v>PB</v>
      </c>
    </row>
    <row r="4812" spans="1:3" x14ac:dyDescent="0.35">
      <c r="A4812">
        <v>251500</v>
      </c>
      <c r="B4812" t="str">
        <f>VLOOKUP(A4812,Planilha2!$A$2:$C$5566,3,0)</f>
        <v>SÃO MIGUEL DE TAIPU</v>
      </c>
      <c r="C4812" t="str">
        <f>VLOOKUP(A4812,Planilha2!$A$2:$D$5566,4,0)</f>
        <v>PB</v>
      </c>
    </row>
    <row r="4813" spans="1:3" x14ac:dyDescent="0.35">
      <c r="A4813">
        <v>251272</v>
      </c>
      <c r="B4813" t="str">
        <f>VLOOKUP(A4813,Planilha2!$A$2:$C$5566,3,0)</f>
        <v>PEDRO RÉGIS</v>
      </c>
      <c r="C4813" t="str">
        <f>VLOOKUP(A4813,Planilha2!$A$2:$D$5566,4,0)</f>
        <v>PB</v>
      </c>
    </row>
    <row r="4814" spans="1:3" x14ac:dyDescent="0.35">
      <c r="A4814">
        <v>270190</v>
      </c>
      <c r="B4814" t="str">
        <f>VLOOKUP(A4814,Planilha2!$A$2:$C$5566,3,0)</f>
        <v>CHÃ PRETA</v>
      </c>
      <c r="C4814" t="str">
        <f>VLOOKUP(A4814,Planilha2!$A$2:$D$5566,4,0)</f>
        <v>AL</v>
      </c>
    </row>
    <row r="4815" spans="1:3" x14ac:dyDescent="0.35">
      <c r="A4815">
        <v>280010</v>
      </c>
      <c r="B4815" t="str">
        <f>VLOOKUP(A4815,Planilha2!$A$2:$C$5566,3,0)</f>
        <v>AMPARO DE SÃO FRANCISCO</v>
      </c>
      <c r="C4815" t="str">
        <f>VLOOKUP(A4815,Planilha2!$A$2:$D$5566,4,0)</f>
        <v>SE</v>
      </c>
    </row>
    <row r="4816" spans="1:3" x14ac:dyDescent="0.35">
      <c r="A4816">
        <v>280445</v>
      </c>
      <c r="B4816" t="str">
        <f>VLOOKUP(A4816,Planilha2!$A$2:$C$5566,3,0)</f>
        <v>NOSSA SENHORA APARECIDA</v>
      </c>
      <c r="C4816" t="str">
        <f>VLOOKUP(A4816,Planilha2!$A$2:$D$5566,4,0)</f>
        <v>SE</v>
      </c>
    </row>
    <row r="4817" spans="1:3" x14ac:dyDescent="0.35">
      <c r="A4817">
        <v>291930</v>
      </c>
      <c r="B4817" t="str">
        <f>VLOOKUP(A4817,Planilha2!$A$2:$C$5566,3,0)</f>
        <v>LENÇÓIS</v>
      </c>
      <c r="C4817" t="str">
        <f>VLOOKUP(A4817,Planilha2!$A$2:$D$5566,4,0)</f>
        <v>BA</v>
      </c>
    </row>
    <row r="4818" spans="1:3" x14ac:dyDescent="0.35">
      <c r="A4818">
        <v>291890</v>
      </c>
      <c r="B4818" t="str">
        <f>VLOOKUP(A4818,Planilha2!$A$2:$C$5566,3,0)</f>
        <v>LAJEDÃO</v>
      </c>
      <c r="C4818" t="str">
        <f>VLOOKUP(A4818,Planilha2!$A$2:$D$5566,4,0)</f>
        <v>BA</v>
      </c>
    </row>
    <row r="4819" spans="1:3" x14ac:dyDescent="0.35">
      <c r="A4819">
        <v>293160</v>
      </c>
      <c r="B4819" t="str">
        <f>VLOOKUP(A4819,Planilha2!$A$2:$C$5566,3,0)</f>
        <v>TEOLÂNDIA</v>
      </c>
      <c r="C4819" t="str">
        <f>VLOOKUP(A4819,Planilha2!$A$2:$D$5566,4,0)</f>
        <v>BA</v>
      </c>
    </row>
    <row r="4820" spans="1:3" x14ac:dyDescent="0.35">
      <c r="A4820">
        <v>313680</v>
      </c>
      <c r="B4820" t="str">
        <f>VLOOKUP(A4820,Planilha2!$A$2:$C$5566,3,0)</f>
        <v>JURAMENTO</v>
      </c>
      <c r="C4820" t="str">
        <f>VLOOKUP(A4820,Planilha2!$A$2:$D$5566,4,0)</f>
        <v>MG</v>
      </c>
    </row>
    <row r="4821" spans="1:3" x14ac:dyDescent="0.35">
      <c r="A4821">
        <v>314545</v>
      </c>
      <c r="B4821" t="str">
        <f>VLOOKUP(A4821,Planilha2!$A$2:$C$5566,3,0)</f>
        <v>OLHOS-D`ÁGUA</v>
      </c>
      <c r="C4821" t="str">
        <f>VLOOKUP(A4821,Planilha2!$A$2:$D$5566,4,0)</f>
        <v>MG</v>
      </c>
    </row>
    <row r="4822" spans="1:3" x14ac:dyDescent="0.35">
      <c r="A4822">
        <v>311480</v>
      </c>
      <c r="B4822" t="str">
        <f>VLOOKUP(A4822,Planilha2!$A$2:$C$5566,3,0)</f>
        <v>CARVALHOS</v>
      </c>
      <c r="C4822" t="str">
        <f>VLOOKUP(A4822,Planilha2!$A$2:$D$5566,4,0)</f>
        <v>MG</v>
      </c>
    </row>
    <row r="4823" spans="1:3" x14ac:dyDescent="0.35">
      <c r="A4823">
        <v>314585</v>
      </c>
      <c r="B4823" t="str">
        <f>VLOOKUP(A4823,Planilha2!$A$2:$C$5566,3,0)</f>
        <v>ORATÓRIOS</v>
      </c>
      <c r="C4823" t="str">
        <f>VLOOKUP(A4823,Planilha2!$A$2:$D$5566,4,0)</f>
        <v>MG</v>
      </c>
    </row>
    <row r="4824" spans="1:3" x14ac:dyDescent="0.35">
      <c r="A4824">
        <v>312600</v>
      </c>
      <c r="B4824" t="str">
        <f>VLOOKUP(A4824,Planilha2!$A$2:$C$5566,3,0)</f>
        <v>FLORESTAL</v>
      </c>
      <c r="C4824" t="str">
        <f>VLOOKUP(A4824,Planilha2!$A$2:$D$5566,4,0)</f>
        <v>MG</v>
      </c>
    </row>
    <row r="4825" spans="1:3" x14ac:dyDescent="0.35">
      <c r="A4825">
        <v>313590</v>
      </c>
      <c r="B4825" t="str">
        <f>VLOOKUP(A4825,Planilha2!$A$2:$C$5566,3,0)</f>
        <v>JESUÂNIA</v>
      </c>
      <c r="C4825" t="str">
        <f>VLOOKUP(A4825,Planilha2!$A$2:$D$5566,4,0)</f>
        <v>MG</v>
      </c>
    </row>
    <row r="4826" spans="1:3" x14ac:dyDescent="0.35">
      <c r="A4826">
        <v>310310</v>
      </c>
      <c r="B4826" t="str">
        <f>VLOOKUP(A4826,Planilha2!$A$2:$C$5566,3,0)</f>
        <v>ANTÔNIO PRADO DE MINAS</v>
      </c>
      <c r="C4826" t="str">
        <f>VLOOKUP(A4826,Planilha2!$A$2:$D$5566,4,0)</f>
        <v>MG</v>
      </c>
    </row>
    <row r="4827" spans="1:3" x14ac:dyDescent="0.35">
      <c r="A4827">
        <v>310700</v>
      </c>
      <c r="B4827" t="str">
        <f>VLOOKUP(A4827,Planilha2!$A$2:$C$5566,3,0)</f>
        <v>BIQUINHAS</v>
      </c>
      <c r="C4827" t="str">
        <f>VLOOKUP(A4827,Planilha2!$A$2:$D$5566,4,0)</f>
        <v>MG</v>
      </c>
    </row>
    <row r="4828" spans="1:3" x14ac:dyDescent="0.35">
      <c r="A4828">
        <v>312070</v>
      </c>
      <c r="B4828" t="str">
        <f>VLOOKUP(A4828,Planilha2!$A$2:$C$5566,3,0)</f>
        <v>CRUZEIRO DA FORTALEZA</v>
      </c>
      <c r="C4828" t="str">
        <f>VLOOKUP(A4828,Planilha2!$A$2:$D$5566,4,0)</f>
        <v>MG</v>
      </c>
    </row>
    <row r="4829" spans="1:3" x14ac:dyDescent="0.35">
      <c r="A4829">
        <v>351910</v>
      </c>
      <c r="B4829" t="str">
        <f>VLOOKUP(A4829,Planilha2!$A$2:$C$5566,3,0)</f>
        <v>IACANGA</v>
      </c>
      <c r="C4829" t="str">
        <f>VLOOKUP(A4829,Planilha2!$A$2:$D$5566,4,0)</f>
        <v>SP</v>
      </c>
    </row>
    <row r="4830" spans="1:3" x14ac:dyDescent="0.35">
      <c r="A4830">
        <v>411050</v>
      </c>
      <c r="B4830" t="str">
        <f>VLOOKUP(A4830,Planilha2!$A$2:$C$5566,3,0)</f>
        <v>IPIRANGA</v>
      </c>
      <c r="C4830" t="str">
        <f>VLOOKUP(A4830,Planilha2!$A$2:$D$5566,4,0)</f>
        <v>PR</v>
      </c>
    </row>
    <row r="4831" spans="1:3" x14ac:dyDescent="0.35">
      <c r="A4831">
        <v>410785</v>
      </c>
      <c r="B4831" t="str">
        <f>VLOOKUP(A4831,Planilha2!$A$2:$C$5566,3,0)</f>
        <v>FLOR DA SERRA DO SUL</v>
      </c>
      <c r="C4831" t="str">
        <f>VLOOKUP(A4831,Planilha2!$A$2:$D$5566,4,0)</f>
        <v>PR</v>
      </c>
    </row>
    <row r="4832" spans="1:3" x14ac:dyDescent="0.35">
      <c r="A4832">
        <v>411295</v>
      </c>
      <c r="B4832" t="str">
        <f>VLOOKUP(A4832,Planilha2!$A$2:$C$5566,3,0)</f>
        <v>JURANDA</v>
      </c>
      <c r="C4832" t="str">
        <f>VLOOKUP(A4832,Planilha2!$A$2:$D$5566,4,0)</f>
        <v>PR</v>
      </c>
    </row>
    <row r="4833" spans="1:3" x14ac:dyDescent="0.35">
      <c r="A4833">
        <v>411710</v>
      </c>
      <c r="B4833" t="str">
        <f>VLOOKUP(A4833,Planilha2!$A$2:$C$5566,3,0)</f>
        <v>NOVA LONDRINA</v>
      </c>
      <c r="C4833" t="str">
        <f>VLOOKUP(A4833,Planilha2!$A$2:$D$5566,4,0)</f>
        <v>PR</v>
      </c>
    </row>
    <row r="4834" spans="1:3" x14ac:dyDescent="0.35">
      <c r="A4834">
        <v>410310</v>
      </c>
      <c r="B4834" t="str">
        <f>VLOOKUP(A4834,Planilha2!$A$2:$C$5566,3,0)</f>
        <v>BOCAIÚVA DO SUL</v>
      </c>
      <c r="C4834" t="str">
        <f>VLOOKUP(A4834,Planilha2!$A$2:$D$5566,4,0)</f>
        <v>PR</v>
      </c>
    </row>
    <row r="4835" spans="1:3" x14ac:dyDescent="0.35">
      <c r="A4835">
        <v>421450</v>
      </c>
      <c r="B4835" t="str">
        <f>VLOOKUP(A4835,Planilha2!$A$2:$C$5566,3,0)</f>
        <v>RIO DO CAMPO</v>
      </c>
      <c r="C4835" t="str">
        <f>VLOOKUP(A4835,Planilha2!$A$2:$D$5566,4,0)</f>
        <v>SC</v>
      </c>
    </row>
    <row r="4836" spans="1:3" x14ac:dyDescent="0.35">
      <c r="A4836">
        <v>420180</v>
      </c>
      <c r="B4836" t="str">
        <f>VLOOKUP(A4836,Planilha2!$A$2:$C$5566,3,0)</f>
        <v>ATALANTA</v>
      </c>
      <c r="C4836" t="str">
        <f>VLOOKUP(A4836,Planilha2!$A$2:$D$5566,4,0)</f>
        <v>SC</v>
      </c>
    </row>
    <row r="4837" spans="1:3" x14ac:dyDescent="0.35">
      <c r="A4837">
        <v>430057</v>
      </c>
      <c r="B4837" t="str">
        <f>VLOOKUP(A4837,Planilha2!$A$2:$C$5566,3,0)</f>
        <v>ALTO FELIZ</v>
      </c>
      <c r="C4837" t="str">
        <f>VLOOKUP(A4837,Planilha2!$A$2:$D$5566,4,0)</f>
        <v>RS</v>
      </c>
    </row>
    <row r="4838" spans="1:3" x14ac:dyDescent="0.35">
      <c r="A4838">
        <v>431843</v>
      </c>
      <c r="B4838" t="str">
        <f>VLOOKUP(A4838,Planilha2!$A$2:$C$5566,3,0)</f>
        <v>SÃO JOÃO DO POLÊSINE</v>
      </c>
      <c r="C4838" t="str">
        <f>VLOOKUP(A4838,Planilha2!$A$2:$D$5566,4,0)</f>
        <v>RS</v>
      </c>
    </row>
    <row r="4839" spans="1:3" x14ac:dyDescent="0.35">
      <c r="A4839">
        <v>500190</v>
      </c>
      <c r="B4839" t="str">
        <f>VLOOKUP(A4839,Planilha2!$A$2:$C$5566,3,0)</f>
        <v>BATAGUASSU</v>
      </c>
      <c r="C4839" t="str">
        <f>VLOOKUP(A4839,Planilha2!$A$2:$D$5566,4,0)</f>
        <v>MS</v>
      </c>
    </row>
    <row r="4840" spans="1:3" x14ac:dyDescent="0.35">
      <c r="A4840">
        <v>500400</v>
      </c>
      <c r="B4840" t="str">
        <f>VLOOKUP(A4840,Planilha2!$A$2:$C$5566,3,0)</f>
        <v>GLÓRIA DE DOURADOS</v>
      </c>
      <c r="C4840" t="str">
        <f>VLOOKUP(A4840,Planilha2!$A$2:$D$5566,4,0)</f>
        <v>MS</v>
      </c>
    </row>
    <row r="4841" spans="1:3" x14ac:dyDescent="0.35">
      <c r="A4841">
        <v>510619</v>
      </c>
      <c r="B4841" t="str">
        <f>VLOOKUP(A4841,Planilha2!$A$2:$C$5566,3,0)</f>
        <v>NOVA SANTA HELENA</v>
      </c>
      <c r="C4841" t="str">
        <f>VLOOKUP(A4841,Planilha2!$A$2:$D$5566,4,0)</f>
        <v>MT</v>
      </c>
    </row>
    <row r="4842" spans="1:3" x14ac:dyDescent="0.35">
      <c r="A4842">
        <v>521860</v>
      </c>
      <c r="B4842" t="str">
        <f>VLOOKUP(A4842,Planilha2!$A$2:$C$5566,3,0)</f>
        <v>RIALMA</v>
      </c>
      <c r="C4842" t="str">
        <f>VLOOKUP(A4842,Planilha2!$A$2:$D$5566,4,0)</f>
        <v>GO</v>
      </c>
    </row>
    <row r="4843" spans="1:3" x14ac:dyDescent="0.35">
      <c r="A4843">
        <v>520357</v>
      </c>
      <c r="B4843" t="str">
        <f>VLOOKUP(A4843,Planilha2!$A$2:$C$5566,3,0)</f>
        <v>BONÓPOLIS</v>
      </c>
      <c r="C4843" t="str">
        <f>VLOOKUP(A4843,Planilha2!$A$2:$D$5566,4,0)</f>
        <v>GO</v>
      </c>
    </row>
    <row r="4844" spans="1:3" x14ac:dyDescent="0.35">
      <c r="A4844">
        <v>521980</v>
      </c>
      <c r="B4844" t="str">
        <f>VLOOKUP(A4844,Planilha2!$A$2:$C$5566,3,0)</f>
        <v>SÃO DOMINGOS</v>
      </c>
      <c r="C4844" t="str">
        <f>VLOOKUP(A4844,Planilha2!$A$2:$D$5566,4,0)</f>
        <v>GO</v>
      </c>
    </row>
    <row r="4845" spans="1:3" x14ac:dyDescent="0.35">
      <c r="A4845">
        <v>120034</v>
      </c>
      <c r="B4845" t="str">
        <f>VLOOKUP(A4845,Planilha2!$A$2:$C$5566,3,0)</f>
        <v>MANOEL URBANO</v>
      </c>
      <c r="C4845" t="str">
        <f>VLOOKUP(A4845,Planilha2!$A$2:$D$5566,4,0)</f>
        <v>AC</v>
      </c>
    </row>
    <row r="4846" spans="1:3" x14ac:dyDescent="0.35">
      <c r="A4846">
        <v>160025</v>
      </c>
      <c r="B4846" t="str">
        <f>VLOOKUP(A4846,Planilha2!$A$2:$C$5566,3,0)</f>
        <v>ITAUBAL</v>
      </c>
      <c r="C4846" t="str">
        <f>VLOOKUP(A4846,Planilha2!$A$2:$D$5566,4,0)</f>
        <v>AP</v>
      </c>
    </row>
    <row r="4847" spans="1:3" x14ac:dyDescent="0.35">
      <c r="A4847">
        <v>220556</v>
      </c>
      <c r="B4847" t="str">
        <f>VLOOKUP(A4847,Planilha2!$A$2:$C$5566,3,0)</f>
        <v>LAGOA DO BARRO DO PIAUÍ</v>
      </c>
      <c r="C4847" t="str">
        <f>VLOOKUP(A4847,Planilha2!$A$2:$D$5566,4,0)</f>
        <v>PI</v>
      </c>
    </row>
    <row r="4848" spans="1:3" x14ac:dyDescent="0.35">
      <c r="A4848">
        <v>220793</v>
      </c>
      <c r="B4848" t="str">
        <f>VLOOKUP(A4848,Planilha2!$A$2:$C$5566,3,0)</f>
        <v>PEDRO LAURENTINO</v>
      </c>
      <c r="C4848" t="str">
        <f>VLOOKUP(A4848,Planilha2!$A$2:$D$5566,4,0)</f>
        <v>PI</v>
      </c>
    </row>
    <row r="4849" spans="1:3" x14ac:dyDescent="0.35">
      <c r="A4849">
        <v>220027</v>
      </c>
      <c r="B4849" t="str">
        <f>VLOOKUP(A4849,Planilha2!$A$2:$C$5566,3,0)</f>
        <v>ALEGRETE DO PIAUÍ</v>
      </c>
      <c r="C4849" t="str">
        <f>VLOOKUP(A4849,Planilha2!$A$2:$D$5566,4,0)</f>
        <v>PI</v>
      </c>
    </row>
    <row r="4850" spans="1:3" x14ac:dyDescent="0.35">
      <c r="A4850">
        <v>241110</v>
      </c>
      <c r="B4850" t="str">
        <f>VLOOKUP(A4850,Planilha2!$A$2:$C$5566,3,0)</f>
        <v>RUY BARBOSA</v>
      </c>
      <c r="C4850" t="str">
        <f>VLOOKUP(A4850,Planilha2!$A$2:$D$5566,4,0)</f>
        <v>RN</v>
      </c>
    </row>
    <row r="4851" spans="1:3" x14ac:dyDescent="0.35">
      <c r="A4851">
        <v>250900</v>
      </c>
      <c r="B4851" t="str">
        <f>VLOOKUP(A4851,Planilha2!$A$2:$C$5566,3,0)</f>
        <v>MANAÍRA</v>
      </c>
      <c r="C4851" t="str">
        <f>VLOOKUP(A4851,Planilha2!$A$2:$D$5566,4,0)</f>
        <v>PB</v>
      </c>
    </row>
    <row r="4852" spans="1:3" x14ac:dyDescent="0.35">
      <c r="A4852">
        <v>270780</v>
      </c>
      <c r="B4852" t="str">
        <f>VLOOKUP(A4852,Planilha2!$A$2:$C$5566,3,0)</f>
        <v>ROTEIRO</v>
      </c>
      <c r="C4852" t="str">
        <f>VLOOKUP(A4852,Planilha2!$A$2:$D$5566,4,0)</f>
        <v>AL</v>
      </c>
    </row>
    <row r="4853" spans="1:3" x14ac:dyDescent="0.35">
      <c r="A4853">
        <v>291330</v>
      </c>
      <c r="B4853" t="str">
        <f>VLOOKUP(A4853,Planilha2!$A$2:$C$5566,3,0)</f>
        <v>ICHU</v>
      </c>
      <c r="C4853" t="str">
        <f>VLOOKUP(A4853,Planilha2!$A$2:$D$5566,4,0)</f>
        <v>BA</v>
      </c>
    </row>
    <row r="4854" spans="1:3" x14ac:dyDescent="0.35">
      <c r="A4854">
        <v>316970</v>
      </c>
      <c r="B4854" t="str">
        <f>VLOOKUP(A4854,Planilha2!$A$2:$C$5566,3,0)</f>
        <v>TURMALINA</v>
      </c>
      <c r="C4854" t="str">
        <f>VLOOKUP(A4854,Planilha2!$A$2:$D$5566,4,0)</f>
        <v>MG</v>
      </c>
    </row>
    <row r="4855" spans="1:3" x14ac:dyDescent="0.35">
      <c r="A4855">
        <v>432026</v>
      </c>
      <c r="B4855" t="str">
        <f>VLOOKUP(A4855,Planilha2!$A$2:$C$5566,3,0)</f>
        <v>SEGREDO</v>
      </c>
      <c r="C4855" t="str">
        <f>VLOOKUP(A4855,Planilha2!$A$2:$D$5566,4,0)</f>
        <v>RS</v>
      </c>
    </row>
    <row r="4856" spans="1:3" x14ac:dyDescent="0.35">
      <c r="A4856">
        <v>430583</v>
      </c>
      <c r="B4856" t="str">
        <f>VLOOKUP(A4856,Planilha2!$A$2:$C$5566,3,0)</f>
        <v>COQUEIRO BAIXO</v>
      </c>
      <c r="C4856" t="str">
        <f>VLOOKUP(A4856,Planilha2!$A$2:$D$5566,4,0)</f>
        <v>RS</v>
      </c>
    </row>
    <row r="4857" spans="1:3" x14ac:dyDescent="0.35">
      <c r="A4857">
        <v>430330</v>
      </c>
      <c r="B4857" t="str">
        <f>VLOOKUP(A4857,Planilha2!$A$2:$C$5566,3,0)</f>
        <v>CAIBATÉ</v>
      </c>
      <c r="C4857" t="str">
        <f>VLOOKUP(A4857,Planilha2!$A$2:$D$5566,4,0)</f>
        <v>RS</v>
      </c>
    </row>
    <row r="4858" spans="1:3" x14ac:dyDescent="0.35">
      <c r="A4858">
        <v>430900</v>
      </c>
      <c r="B4858" t="str">
        <f>VLOOKUP(A4858,Planilha2!$A$2:$C$5566,3,0)</f>
        <v>GIRUÁ</v>
      </c>
      <c r="C4858" t="str">
        <f>VLOOKUP(A4858,Planilha2!$A$2:$D$5566,4,0)</f>
        <v>RS</v>
      </c>
    </row>
    <row r="4859" spans="1:3" x14ac:dyDescent="0.35">
      <c r="A4859">
        <v>430087</v>
      </c>
      <c r="B4859" t="str">
        <f>VLOOKUP(A4859,Planilha2!$A$2:$C$5566,3,0)</f>
        <v>ARARICÁ</v>
      </c>
      <c r="C4859" t="str">
        <f>VLOOKUP(A4859,Planilha2!$A$2:$D$5566,4,0)</f>
        <v>RS</v>
      </c>
    </row>
    <row r="4860" spans="1:3" x14ac:dyDescent="0.35">
      <c r="A4860">
        <v>430990</v>
      </c>
      <c r="B4860" t="str">
        <f>VLOOKUP(A4860,Planilha2!$A$2:$C$5566,3,0)</f>
        <v>IBIRAIARAS</v>
      </c>
      <c r="C4860" t="str">
        <f>VLOOKUP(A4860,Planilha2!$A$2:$D$5566,4,0)</f>
        <v>RS</v>
      </c>
    </row>
    <row r="4861" spans="1:3" x14ac:dyDescent="0.35">
      <c r="A4861">
        <v>500640</v>
      </c>
      <c r="B4861" t="str">
        <f>VLOOKUP(A4861,Planilha2!$A$2:$C$5566,3,0)</f>
        <v>PEDRO GOMES</v>
      </c>
      <c r="C4861" t="str">
        <f>VLOOKUP(A4861,Planilha2!$A$2:$D$5566,4,0)</f>
        <v>MS</v>
      </c>
    </row>
    <row r="4862" spans="1:3" x14ac:dyDescent="0.35">
      <c r="A4862">
        <v>510785</v>
      </c>
      <c r="B4862" t="str">
        <f>VLOOKUP(A4862,Planilha2!$A$2:$C$5566,3,0)</f>
        <v>SÃO FÉLIX DO ARAGUAIA</v>
      </c>
      <c r="C4862" t="str">
        <f>VLOOKUP(A4862,Planilha2!$A$2:$D$5566,4,0)</f>
        <v>MT</v>
      </c>
    </row>
    <row r="4863" spans="1:3" x14ac:dyDescent="0.35">
      <c r="A4863">
        <v>521487</v>
      </c>
      <c r="B4863" t="str">
        <f>VLOOKUP(A4863,Planilha2!$A$2:$C$5566,3,0)</f>
        <v>NOVA IGUAÇU DE GOIÁS</v>
      </c>
      <c r="C4863" t="str">
        <f>VLOOKUP(A4863,Planilha2!$A$2:$D$5566,4,0)</f>
        <v>GO</v>
      </c>
    </row>
    <row r="4864" spans="1:3" x14ac:dyDescent="0.35">
      <c r="A4864">
        <v>110140</v>
      </c>
      <c r="B4864" t="str">
        <f>VLOOKUP(A4864,Planilha2!$A$2:$C$5566,3,0)</f>
        <v>MONTE NEGRO</v>
      </c>
      <c r="C4864" t="str">
        <f>VLOOKUP(A4864,Planilha2!$A$2:$D$5566,4,0)</f>
        <v>RO</v>
      </c>
    </row>
    <row r="4865" spans="1:3" x14ac:dyDescent="0.35">
      <c r="A4865">
        <v>220555</v>
      </c>
      <c r="B4865" t="str">
        <f>VLOOKUP(A4865,Planilha2!$A$2:$C$5566,3,0)</f>
        <v>LAGOA ALEGRE</v>
      </c>
      <c r="C4865" t="str">
        <f>VLOOKUP(A4865,Planilha2!$A$2:$D$5566,4,0)</f>
        <v>PI</v>
      </c>
    </row>
    <row r="4866" spans="1:3" x14ac:dyDescent="0.35">
      <c r="A4866">
        <v>220173</v>
      </c>
      <c r="B4866" t="str">
        <f>VLOOKUP(A4866,Planilha2!$A$2:$C$5566,3,0)</f>
        <v>BETÂNIA DO PIAUÍ</v>
      </c>
      <c r="C4866" t="str">
        <f>VLOOKUP(A4866,Planilha2!$A$2:$D$5566,4,0)</f>
        <v>PI</v>
      </c>
    </row>
    <row r="4867" spans="1:3" x14ac:dyDescent="0.35">
      <c r="A4867">
        <v>240165</v>
      </c>
      <c r="B4867" t="str">
        <f>VLOOKUP(A4867,Planilha2!$A$2:$C$5566,3,0)</f>
        <v>BODÓ</v>
      </c>
      <c r="C4867" t="str">
        <f>VLOOKUP(A4867,Planilha2!$A$2:$D$5566,4,0)</f>
        <v>RN</v>
      </c>
    </row>
    <row r="4868" spans="1:3" x14ac:dyDescent="0.35">
      <c r="A4868">
        <v>241410</v>
      </c>
      <c r="B4868" t="str">
        <f>VLOOKUP(A4868,Planilha2!$A$2:$C$5566,3,0)</f>
        <v>TENENTE ANANIAS</v>
      </c>
      <c r="C4868" t="str">
        <f>VLOOKUP(A4868,Planilha2!$A$2:$D$5566,4,0)</f>
        <v>RN</v>
      </c>
    </row>
    <row r="4869" spans="1:3" x14ac:dyDescent="0.35">
      <c r="A4869">
        <v>240560</v>
      </c>
      <c r="B4869" t="str">
        <f>VLOOKUP(A4869,Planilha2!$A$2:$C$5566,3,0)</f>
        <v>JARDIM DE PIRANHAS</v>
      </c>
      <c r="C4869" t="str">
        <f>VLOOKUP(A4869,Planilha2!$A$2:$D$5566,4,0)</f>
        <v>RN</v>
      </c>
    </row>
    <row r="4870" spans="1:3" x14ac:dyDescent="0.35">
      <c r="A4870">
        <v>251580</v>
      </c>
      <c r="B4870" t="str">
        <f>VLOOKUP(A4870,Planilha2!$A$2:$C$5566,3,0)</f>
        <v>SERRA REDONDA</v>
      </c>
      <c r="C4870" t="str">
        <f>VLOOKUP(A4870,Planilha2!$A$2:$D$5566,4,0)</f>
        <v>PB</v>
      </c>
    </row>
    <row r="4871" spans="1:3" x14ac:dyDescent="0.35">
      <c r="A4871">
        <v>250920</v>
      </c>
      <c r="B4871" t="str">
        <f>VLOOKUP(A4871,Planilha2!$A$2:$C$5566,3,0)</f>
        <v>MASSARANDUBA</v>
      </c>
      <c r="C4871" t="str">
        <f>VLOOKUP(A4871,Planilha2!$A$2:$D$5566,4,0)</f>
        <v>PB</v>
      </c>
    </row>
    <row r="4872" spans="1:3" x14ac:dyDescent="0.35">
      <c r="A4872">
        <v>250140</v>
      </c>
      <c r="B4872" t="str">
        <f>VLOOKUP(A4872,Planilha2!$A$2:$C$5566,3,0)</f>
        <v>BAÍA DA TRAIÇÃO</v>
      </c>
      <c r="C4872" t="str">
        <f>VLOOKUP(A4872,Planilha2!$A$2:$D$5566,4,0)</f>
        <v>PB</v>
      </c>
    </row>
    <row r="4873" spans="1:3" x14ac:dyDescent="0.35">
      <c r="A4873">
        <v>280310</v>
      </c>
      <c r="B4873" t="str">
        <f>VLOOKUP(A4873,Planilha2!$A$2:$C$5566,3,0)</f>
        <v>ITABI</v>
      </c>
      <c r="C4873" t="str">
        <f>VLOOKUP(A4873,Planilha2!$A$2:$D$5566,4,0)</f>
        <v>SE</v>
      </c>
    </row>
    <row r="4874" spans="1:3" x14ac:dyDescent="0.35">
      <c r="A4874">
        <v>312640</v>
      </c>
      <c r="B4874" t="str">
        <f>VLOOKUP(A4874,Planilha2!$A$2:$C$5566,3,0)</f>
        <v>FORTUNA DE MINAS</v>
      </c>
      <c r="C4874" t="str">
        <f>VLOOKUP(A4874,Planilha2!$A$2:$D$5566,4,0)</f>
        <v>MG</v>
      </c>
    </row>
    <row r="4875" spans="1:3" x14ac:dyDescent="0.35">
      <c r="A4875">
        <v>315060</v>
      </c>
      <c r="B4875" t="str">
        <f>VLOOKUP(A4875,Planilha2!$A$2:$C$5566,3,0)</f>
        <v>PIRACEMA</v>
      </c>
      <c r="C4875" t="str">
        <f>VLOOKUP(A4875,Planilha2!$A$2:$D$5566,4,0)</f>
        <v>MG</v>
      </c>
    </row>
    <row r="4876" spans="1:3" x14ac:dyDescent="0.35">
      <c r="A4876">
        <v>312790</v>
      </c>
      <c r="B4876" t="str">
        <f>VLOOKUP(A4876,Planilha2!$A$2:$C$5566,3,0)</f>
        <v>GRUPIARA</v>
      </c>
      <c r="C4876" t="str">
        <f>VLOOKUP(A4876,Planilha2!$A$2:$D$5566,4,0)</f>
        <v>MG</v>
      </c>
    </row>
    <row r="4877" spans="1:3" x14ac:dyDescent="0.35">
      <c r="A4877">
        <v>312890</v>
      </c>
      <c r="B4877" t="str">
        <f>VLOOKUP(A4877,Planilha2!$A$2:$C$5566,3,0)</f>
        <v>GUIMARÂNIA</v>
      </c>
      <c r="C4877" t="str">
        <f>VLOOKUP(A4877,Planilha2!$A$2:$D$5566,4,0)</f>
        <v>MG</v>
      </c>
    </row>
    <row r="4878" spans="1:3" x14ac:dyDescent="0.35">
      <c r="A4878">
        <v>315935</v>
      </c>
      <c r="B4878" t="str">
        <f>VLOOKUP(A4878,Planilha2!$A$2:$C$5566,3,0)</f>
        <v>SANTA RITA DE MINAS</v>
      </c>
      <c r="C4878" t="str">
        <f>VLOOKUP(A4878,Planilha2!$A$2:$D$5566,4,0)</f>
        <v>MG</v>
      </c>
    </row>
    <row r="4879" spans="1:3" x14ac:dyDescent="0.35">
      <c r="A4879">
        <v>315380</v>
      </c>
      <c r="B4879" t="str">
        <f>VLOOKUP(A4879,Planilha2!$A$2:$C$5566,3,0)</f>
        <v>QUELUZITO</v>
      </c>
      <c r="C4879" t="str">
        <f>VLOOKUP(A4879,Planilha2!$A$2:$D$5566,4,0)</f>
        <v>MG</v>
      </c>
    </row>
    <row r="4880" spans="1:3" x14ac:dyDescent="0.35">
      <c r="A4880">
        <v>311560</v>
      </c>
      <c r="B4880" t="str">
        <f>VLOOKUP(A4880,Planilha2!$A$2:$C$5566,3,0)</f>
        <v>CEDRO DO ABAETÉ</v>
      </c>
      <c r="C4880" t="str">
        <f>VLOOKUP(A4880,Planilha2!$A$2:$D$5566,4,0)</f>
        <v>MG</v>
      </c>
    </row>
    <row r="4881" spans="1:3" x14ac:dyDescent="0.35">
      <c r="A4881">
        <v>355560</v>
      </c>
      <c r="B4881" t="str">
        <f>VLOOKUP(A4881,Planilha2!$A$2:$C$5566,3,0)</f>
        <v>UCHOA</v>
      </c>
      <c r="C4881" t="str">
        <f>VLOOKUP(A4881,Planilha2!$A$2:$D$5566,4,0)</f>
        <v>SP</v>
      </c>
    </row>
    <row r="4882" spans="1:3" x14ac:dyDescent="0.35">
      <c r="A4882">
        <v>354610</v>
      </c>
      <c r="B4882" t="str">
        <f>VLOOKUP(A4882,Planilha2!$A$2:$C$5566,3,0)</f>
        <v>SANTA CLARA D`OESTE</v>
      </c>
      <c r="C4882" t="str">
        <f>VLOOKUP(A4882,Planilha2!$A$2:$D$5566,4,0)</f>
        <v>SP</v>
      </c>
    </row>
    <row r="4883" spans="1:3" x14ac:dyDescent="0.35">
      <c r="A4883">
        <v>354700</v>
      </c>
      <c r="B4883" t="str">
        <f>VLOOKUP(A4883,Planilha2!$A$2:$C$5566,3,0)</f>
        <v>SANTA MARIA DA SERRA</v>
      </c>
      <c r="C4883" t="str">
        <f>VLOOKUP(A4883,Planilha2!$A$2:$D$5566,4,0)</f>
        <v>SP</v>
      </c>
    </row>
    <row r="4884" spans="1:3" x14ac:dyDescent="0.35">
      <c r="A4884">
        <v>354320</v>
      </c>
      <c r="B4884" t="str">
        <f>VLOOKUP(A4884,Planilha2!$A$2:$C$5566,3,0)</f>
        <v>RIBEIRÃO DO SUL</v>
      </c>
      <c r="C4884" t="str">
        <f>VLOOKUP(A4884,Planilha2!$A$2:$D$5566,4,0)</f>
        <v>SP</v>
      </c>
    </row>
    <row r="4885" spans="1:3" x14ac:dyDescent="0.35">
      <c r="A4885">
        <v>352215</v>
      </c>
      <c r="B4885" t="str">
        <f>VLOOKUP(A4885,Planilha2!$A$2:$C$5566,3,0)</f>
        <v>ITAÓCA</v>
      </c>
      <c r="C4885" t="str">
        <f>VLOOKUP(A4885,Planilha2!$A$2:$D$5566,4,0)</f>
        <v>SP</v>
      </c>
    </row>
    <row r="4886" spans="1:3" x14ac:dyDescent="0.35">
      <c r="A4886">
        <v>350340</v>
      </c>
      <c r="B4886" t="str">
        <f>VLOOKUP(A4886,Planilha2!$A$2:$C$5566,3,0)</f>
        <v>AREALVA</v>
      </c>
      <c r="C4886" t="str">
        <f>VLOOKUP(A4886,Planilha2!$A$2:$D$5566,4,0)</f>
        <v>SP</v>
      </c>
    </row>
    <row r="4887" spans="1:3" x14ac:dyDescent="0.35">
      <c r="A4887">
        <v>352370</v>
      </c>
      <c r="B4887" t="str">
        <f>VLOOKUP(A4887,Planilha2!$A$2:$C$5566,3,0)</f>
        <v>ITIRAPUÃ</v>
      </c>
      <c r="C4887" t="str">
        <f>VLOOKUP(A4887,Planilha2!$A$2:$D$5566,4,0)</f>
        <v>SP</v>
      </c>
    </row>
    <row r="4888" spans="1:3" x14ac:dyDescent="0.35">
      <c r="A4888">
        <v>352200</v>
      </c>
      <c r="B4888" t="str">
        <f>VLOOKUP(A4888,Planilha2!$A$2:$C$5566,3,0)</f>
        <v>ITAJU</v>
      </c>
      <c r="C4888" t="str">
        <f>VLOOKUP(A4888,Planilha2!$A$2:$D$5566,4,0)</f>
        <v>SP</v>
      </c>
    </row>
    <row r="4889" spans="1:3" x14ac:dyDescent="0.35">
      <c r="A4889">
        <v>410030</v>
      </c>
      <c r="B4889" t="str">
        <f>VLOOKUP(A4889,Planilha2!$A$2:$C$5566,3,0)</f>
        <v>AGUDOS DO SUL</v>
      </c>
      <c r="C4889" t="str">
        <f>VLOOKUP(A4889,Planilha2!$A$2:$D$5566,4,0)</f>
        <v>PR</v>
      </c>
    </row>
    <row r="4890" spans="1:3" x14ac:dyDescent="0.35">
      <c r="A4890">
        <v>410890</v>
      </c>
      <c r="B4890" t="str">
        <f>VLOOKUP(A4890,Planilha2!$A$2:$C$5566,3,0)</f>
        <v>GUAIRAÇÁ</v>
      </c>
      <c r="C4890" t="str">
        <f>VLOOKUP(A4890,Planilha2!$A$2:$D$5566,4,0)</f>
        <v>PR</v>
      </c>
    </row>
    <row r="4891" spans="1:3" x14ac:dyDescent="0.35">
      <c r="A4891">
        <v>411290</v>
      </c>
      <c r="B4891" t="str">
        <f>VLOOKUP(A4891,Planilha2!$A$2:$C$5566,3,0)</f>
        <v>JUNDIAÍ DO SUL</v>
      </c>
      <c r="C4891" t="str">
        <f>VLOOKUP(A4891,Planilha2!$A$2:$D$5566,4,0)</f>
        <v>PR</v>
      </c>
    </row>
    <row r="4892" spans="1:3" x14ac:dyDescent="0.35">
      <c r="A4892">
        <v>411170</v>
      </c>
      <c r="B4892" t="str">
        <f>VLOOKUP(A4892,Planilha2!$A$2:$C$5566,3,0)</f>
        <v>JABOTI</v>
      </c>
      <c r="C4892" t="str">
        <f>VLOOKUP(A4892,Planilha2!$A$2:$D$5566,4,0)</f>
        <v>PR</v>
      </c>
    </row>
    <row r="4893" spans="1:3" x14ac:dyDescent="0.35">
      <c r="A4893">
        <v>420543</v>
      </c>
      <c r="B4893" t="str">
        <f>VLOOKUP(A4893,Planilha2!$A$2:$C$5566,3,0)</f>
        <v>FORMOSA DO SUL</v>
      </c>
      <c r="C4893" t="str">
        <f>VLOOKUP(A4893,Planilha2!$A$2:$D$5566,4,0)</f>
        <v>SC</v>
      </c>
    </row>
    <row r="4894" spans="1:3" x14ac:dyDescent="0.35">
      <c r="A4894">
        <v>420475</v>
      </c>
      <c r="B4894" t="str">
        <f>VLOOKUP(A4894,Planilha2!$A$2:$C$5566,3,0)</f>
        <v>CUNHATAÍ</v>
      </c>
      <c r="C4894" t="str">
        <f>VLOOKUP(A4894,Planilha2!$A$2:$D$5566,4,0)</f>
        <v>SC</v>
      </c>
    </row>
    <row r="4895" spans="1:3" x14ac:dyDescent="0.35">
      <c r="A4895">
        <v>421200</v>
      </c>
      <c r="B4895" t="str">
        <f>VLOOKUP(A4895,Planilha2!$A$2:$C$5566,3,0)</f>
        <v>PALMA SOLA</v>
      </c>
      <c r="C4895" t="str">
        <f>VLOOKUP(A4895,Planilha2!$A$2:$D$5566,4,0)</f>
        <v>SC</v>
      </c>
    </row>
    <row r="4896" spans="1:3" x14ac:dyDescent="0.35">
      <c r="A4896">
        <v>420630</v>
      </c>
      <c r="B4896" t="str">
        <f>VLOOKUP(A4896,Planilha2!$A$2:$C$5566,3,0)</f>
        <v>GUABIRUBA</v>
      </c>
      <c r="C4896" t="str">
        <f>VLOOKUP(A4896,Planilha2!$A$2:$D$5566,4,0)</f>
        <v>SC</v>
      </c>
    </row>
    <row r="4897" spans="1:3" x14ac:dyDescent="0.35">
      <c r="A4897">
        <v>421105</v>
      </c>
      <c r="B4897" t="str">
        <f>VLOOKUP(A4897,Planilha2!$A$2:$C$5566,3,0)</f>
        <v>MONTE CARLO</v>
      </c>
      <c r="C4897" t="str">
        <f>VLOOKUP(A4897,Planilha2!$A$2:$D$5566,4,0)</f>
        <v>SC</v>
      </c>
    </row>
    <row r="4898" spans="1:3" x14ac:dyDescent="0.35">
      <c r="A4898">
        <v>431446</v>
      </c>
      <c r="B4898" t="str">
        <f>VLOOKUP(A4898,Planilha2!$A$2:$C$5566,3,0)</f>
        <v>PINHAL DA SERRA</v>
      </c>
      <c r="C4898" t="str">
        <f>VLOOKUP(A4898,Planilha2!$A$2:$D$5566,4,0)</f>
        <v>RS</v>
      </c>
    </row>
    <row r="4899" spans="1:3" x14ac:dyDescent="0.35">
      <c r="A4899">
        <v>431406</v>
      </c>
      <c r="B4899" t="str">
        <f>VLOOKUP(A4899,Planilha2!$A$2:$C$5566,3,0)</f>
        <v>PASSA SETE</v>
      </c>
      <c r="C4899" t="str">
        <f>VLOOKUP(A4899,Planilha2!$A$2:$D$5566,4,0)</f>
        <v>RS</v>
      </c>
    </row>
    <row r="4900" spans="1:3" x14ac:dyDescent="0.35">
      <c r="A4900">
        <v>431795</v>
      </c>
      <c r="B4900" t="str">
        <f>VLOOKUP(A4900,Planilha2!$A$2:$C$5566,3,0)</f>
        <v>SANTO EXPEDITO DO SUL</v>
      </c>
      <c r="C4900" t="str">
        <f>VLOOKUP(A4900,Planilha2!$A$2:$D$5566,4,0)</f>
        <v>RS</v>
      </c>
    </row>
    <row r="4901" spans="1:3" x14ac:dyDescent="0.35">
      <c r="A4901">
        <v>510885</v>
      </c>
      <c r="B4901" t="str">
        <f>VLOOKUP(A4901,Planilha2!$A$2:$C$5566,3,0)</f>
        <v>NOVA MARILÂNDIA</v>
      </c>
      <c r="C4901" t="str">
        <f>VLOOKUP(A4901,Planilha2!$A$2:$D$5566,4,0)</f>
        <v>MT</v>
      </c>
    </row>
    <row r="4902" spans="1:3" x14ac:dyDescent="0.35">
      <c r="A4902">
        <v>510269</v>
      </c>
      <c r="B4902" t="str">
        <f>VLOOKUP(A4902,Planilha2!$A$2:$C$5566,3,0)</f>
        <v>CANABRAVA DO NORTE</v>
      </c>
      <c r="C4902" t="str">
        <f>VLOOKUP(A4902,Planilha2!$A$2:$D$5566,4,0)</f>
        <v>MT</v>
      </c>
    </row>
    <row r="4903" spans="1:3" x14ac:dyDescent="0.35">
      <c r="A4903">
        <v>520500</v>
      </c>
      <c r="B4903" t="str">
        <f>VLOOKUP(A4903,Planilha2!$A$2:$C$5566,3,0)</f>
        <v>CARMO DO RIO VERDE</v>
      </c>
      <c r="C4903" t="str">
        <f>VLOOKUP(A4903,Planilha2!$A$2:$D$5566,4,0)</f>
        <v>GO</v>
      </c>
    </row>
    <row r="4904" spans="1:3" x14ac:dyDescent="0.35">
      <c r="A4904">
        <v>521990</v>
      </c>
      <c r="B4904" t="str">
        <f>VLOOKUP(A4904,Planilha2!$A$2:$C$5566,3,0)</f>
        <v>SÃO FRANCISCO DE GOIÁS</v>
      </c>
      <c r="C4904" t="str">
        <f>VLOOKUP(A4904,Planilha2!$A$2:$D$5566,4,0)</f>
        <v>GO</v>
      </c>
    </row>
    <row r="4905" spans="1:3" x14ac:dyDescent="0.35">
      <c r="A4905">
        <v>231040</v>
      </c>
      <c r="B4905" t="str">
        <f>VLOOKUP(A4905,Planilha2!$A$2:$C$5566,3,0)</f>
        <v>PARAMOTI</v>
      </c>
      <c r="C4905" t="str">
        <f>VLOOKUP(A4905,Planilha2!$A$2:$D$5566,4,0)</f>
        <v>CE</v>
      </c>
    </row>
    <row r="4906" spans="1:3" x14ac:dyDescent="0.35">
      <c r="A4906">
        <v>110090</v>
      </c>
      <c r="B4906" t="str">
        <f>VLOOKUP(A4906,Planilha2!$A$2:$C$5566,3,0)</f>
        <v>CASTANHEIRAS</v>
      </c>
      <c r="C4906" t="str">
        <f>VLOOKUP(A4906,Planilha2!$A$2:$D$5566,4,0)</f>
        <v>RO</v>
      </c>
    </row>
    <row r="4907" spans="1:3" x14ac:dyDescent="0.35">
      <c r="A4907">
        <v>220100</v>
      </c>
      <c r="B4907" t="str">
        <f>VLOOKUP(A4907,Planilha2!$A$2:$C$5566,3,0)</f>
        <v>ARRAIAL</v>
      </c>
      <c r="C4907" t="str">
        <f>VLOOKUP(A4907,Planilha2!$A$2:$D$5566,4,0)</f>
        <v>PI</v>
      </c>
    </row>
    <row r="4908" spans="1:3" x14ac:dyDescent="0.35">
      <c r="A4908">
        <v>220530</v>
      </c>
      <c r="B4908" t="str">
        <f>VLOOKUP(A4908,Planilha2!$A$2:$C$5566,3,0)</f>
        <v>JERUMENHA</v>
      </c>
      <c r="C4908" t="str">
        <f>VLOOKUP(A4908,Planilha2!$A$2:$D$5566,4,0)</f>
        <v>PI</v>
      </c>
    </row>
    <row r="4909" spans="1:3" x14ac:dyDescent="0.35">
      <c r="A4909">
        <v>230150</v>
      </c>
      <c r="B4909" t="str">
        <f>VLOOKUP(A4909,Planilha2!$A$2:$C$5566,3,0)</f>
        <v>ARNEIROZ</v>
      </c>
      <c r="C4909" t="str">
        <f>VLOOKUP(A4909,Planilha2!$A$2:$D$5566,4,0)</f>
        <v>CE</v>
      </c>
    </row>
    <row r="4910" spans="1:3" x14ac:dyDescent="0.35">
      <c r="A4910">
        <v>251398</v>
      </c>
      <c r="B4910" t="str">
        <f>VLOOKUP(A4910,Planilha2!$A$2:$C$5566,3,0)</f>
        <v>SÃO FRANCISCO</v>
      </c>
      <c r="C4910" t="str">
        <f>VLOOKUP(A4910,Planilha2!$A$2:$D$5566,4,0)</f>
        <v>PB</v>
      </c>
    </row>
    <row r="4911" spans="1:3" x14ac:dyDescent="0.35">
      <c r="A4911">
        <v>250270</v>
      </c>
      <c r="B4911" t="str">
        <f>VLOOKUP(A4911,Planilha2!$A$2:$C$5566,3,0)</f>
        <v>BORBOREMA</v>
      </c>
      <c r="C4911" t="str">
        <f>VLOOKUP(A4911,Planilha2!$A$2:$D$5566,4,0)</f>
        <v>PB</v>
      </c>
    </row>
    <row r="4912" spans="1:3" x14ac:dyDescent="0.35">
      <c r="A4912">
        <v>270590</v>
      </c>
      <c r="B4912" t="str">
        <f>VLOOKUP(A4912,Planilha2!$A$2:$C$5566,3,0)</f>
        <v>OLHO D`ÁGUA GRANDE</v>
      </c>
      <c r="C4912" t="str">
        <f>VLOOKUP(A4912,Planilha2!$A$2:$D$5566,4,0)</f>
        <v>AL</v>
      </c>
    </row>
    <row r="4913" spans="1:3" x14ac:dyDescent="0.35">
      <c r="A4913">
        <v>313200</v>
      </c>
      <c r="B4913" t="str">
        <f>VLOOKUP(A4913,Planilha2!$A$2:$C$5566,3,0)</f>
        <v>ITACAMBIRA</v>
      </c>
      <c r="C4913" t="str">
        <f>VLOOKUP(A4913,Planilha2!$A$2:$D$5566,4,0)</f>
        <v>MG</v>
      </c>
    </row>
    <row r="4914" spans="1:3" x14ac:dyDescent="0.35">
      <c r="A4914">
        <v>312210</v>
      </c>
      <c r="B4914" t="str">
        <f>VLOOKUP(A4914,Planilha2!$A$2:$C$5566,3,0)</f>
        <v>DIVINO DAS LARANJEIRAS</v>
      </c>
      <c r="C4914" t="str">
        <f>VLOOKUP(A4914,Planilha2!$A$2:$D$5566,4,0)</f>
        <v>MG</v>
      </c>
    </row>
    <row r="4915" spans="1:3" x14ac:dyDescent="0.35">
      <c r="A4915">
        <v>317060</v>
      </c>
      <c r="B4915" t="str">
        <f>VLOOKUP(A4915,Planilha2!$A$2:$C$5566,3,0)</f>
        <v>VARGEM BONITA</v>
      </c>
      <c r="C4915" t="str">
        <f>VLOOKUP(A4915,Planilha2!$A$2:$D$5566,4,0)</f>
        <v>MG</v>
      </c>
    </row>
    <row r="4916" spans="1:3" x14ac:dyDescent="0.35">
      <c r="A4916">
        <v>315415</v>
      </c>
      <c r="B4916" t="str">
        <f>VLOOKUP(A4916,Planilha2!$A$2:$C$5566,3,0)</f>
        <v>REDUTO</v>
      </c>
      <c r="C4916" t="str">
        <f>VLOOKUP(A4916,Planilha2!$A$2:$D$5566,4,0)</f>
        <v>MG</v>
      </c>
    </row>
    <row r="4917" spans="1:3" x14ac:dyDescent="0.35">
      <c r="A4917">
        <v>412665</v>
      </c>
      <c r="B4917" t="str">
        <f>VLOOKUP(A4917,Planilha2!$A$2:$C$5566,3,0)</f>
        <v>SULINA</v>
      </c>
      <c r="C4917" t="str">
        <f>VLOOKUP(A4917,Planilha2!$A$2:$D$5566,4,0)</f>
        <v>PR</v>
      </c>
    </row>
    <row r="4918" spans="1:3" x14ac:dyDescent="0.35">
      <c r="A4918">
        <v>420100</v>
      </c>
      <c r="B4918" t="str">
        <f>VLOOKUP(A4918,Planilha2!$A$2:$C$5566,3,0)</f>
        <v>ANITA GARIBALDI</v>
      </c>
      <c r="C4918" t="str">
        <f>VLOOKUP(A4918,Planilha2!$A$2:$D$5566,4,0)</f>
        <v>SC</v>
      </c>
    </row>
    <row r="4919" spans="1:3" x14ac:dyDescent="0.35">
      <c r="A4919">
        <v>431395</v>
      </c>
      <c r="B4919" t="str">
        <f>VLOOKUP(A4919,Planilha2!$A$2:$C$5566,3,0)</f>
        <v>PANTANO GRANDE</v>
      </c>
      <c r="C4919" t="str">
        <f>VLOOKUP(A4919,Planilha2!$A$2:$D$5566,4,0)</f>
        <v>RS</v>
      </c>
    </row>
    <row r="4920" spans="1:3" x14ac:dyDescent="0.35">
      <c r="A4920">
        <v>432254</v>
      </c>
      <c r="B4920" t="str">
        <f>VLOOKUP(A4920,Planilha2!$A$2:$C$5566,3,0)</f>
        <v>VALE REAL</v>
      </c>
      <c r="C4920" t="str">
        <f>VLOOKUP(A4920,Planilha2!$A$2:$D$5566,4,0)</f>
        <v>RS</v>
      </c>
    </row>
    <row r="4921" spans="1:3" x14ac:dyDescent="0.35">
      <c r="A4921">
        <v>520630</v>
      </c>
      <c r="B4921" t="str">
        <f>VLOOKUP(A4921,Planilha2!$A$2:$C$5566,3,0)</f>
        <v>CRISTIANÓPOLIS</v>
      </c>
      <c r="C4921" t="str">
        <f>VLOOKUP(A4921,Planilha2!$A$2:$D$5566,4,0)</f>
        <v>GO</v>
      </c>
    </row>
    <row r="4922" spans="1:3" x14ac:dyDescent="0.35">
      <c r="A4922">
        <v>170755</v>
      </c>
      <c r="B4922" t="str">
        <f>VLOOKUP(A4922,Planilha2!$A$2:$C$5566,3,0)</f>
        <v>FÁTIMA</v>
      </c>
      <c r="C4922" t="str">
        <f>VLOOKUP(A4922,Planilha2!$A$2:$D$5566,4,0)</f>
        <v>TO</v>
      </c>
    </row>
    <row r="4923" spans="1:3" x14ac:dyDescent="0.35">
      <c r="A4923">
        <v>210923</v>
      </c>
      <c r="B4923" t="str">
        <f>VLOOKUP(A4923,Planilha2!$A$2:$C$5566,3,0)</f>
        <v>PRESIDENTE MÉDICI</v>
      </c>
      <c r="C4923" t="str">
        <f>VLOOKUP(A4923,Planilha2!$A$2:$D$5566,4,0)</f>
        <v>MA</v>
      </c>
    </row>
    <row r="4924" spans="1:3" x14ac:dyDescent="0.35">
      <c r="A4924">
        <v>221005</v>
      </c>
      <c r="B4924" t="str">
        <f>VLOOKUP(A4924,Planilha2!$A$2:$C$5566,3,0)</f>
        <v>SÃO JOSÉ DO DIVINO</v>
      </c>
      <c r="C4924" t="str">
        <f>VLOOKUP(A4924,Planilha2!$A$2:$D$5566,4,0)</f>
        <v>PI</v>
      </c>
    </row>
    <row r="4925" spans="1:3" x14ac:dyDescent="0.35">
      <c r="A4925">
        <v>230070</v>
      </c>
      <c r="B4925" t="str">
        <f>VLOOKUP(A4925,Planilha2!$A$2:$C$5566,3,0)</f>
        <v>ALTO SANTO</v>
      </c>
      <c r="C4925" t="str">
        <f>VLOOKUP(A4925,Planilha2!$A$2:$D$5566,4,0)</f>
        <v>CE</v>
      </c>
    </row>
    <row r="4926" spans="1:3" x14ac:dyDescent="0.35">
      <c r="A4926">
        <v>230990</v>
      </c>
      <c r="B4926" t="str">
        <f>VLOOKUP(A4926,Planilha2!$A$2:$C$5566,3,0)</f>
        <v>PACUJÁ</v>
      </c>
      <c r="C4926" t="str">
        <f>VLOOKUP(A4926,Planilha2!$A$2:$D$5566,4,0)</f>
        <v>CE</v>
      </c>
    </row>
    <row r="4927" spans="1:3" x14ac:dyDescent="0.35">
      <c r="A4927">
        <v>241000</v>
      </c>
      <c r="B4927" t="str">
        <f>VLOOKUP(A4927,Planilha2!$A$2:$C$5566,3,0)</f>
        <v>PILÕES</v>
      </c>
      <c r="C4927" t="str">
        <f>VLOOKUP(A4927,Planilha2!$A$2:$D$5566,4,0)</f>
        <v>RN</v>
      </c>
    </row>
    <row r="4928" spans="1:3" x14ac:dyDescent="0.35">
      <c r="A4928">
        <v>251360</v>
      </c>
      <c r="B4928" t="str">
        <f>VLOOKUP(A4928,Planilha2!$A$2:$C$5566,3,0)</f>
        <v>SANTANA DOS GARROTES</v>
      </c>
      <c r="C4928" t="str">
        <f>VLOOKUP(A4928,Planilha2!$A$2:$D$5566,4,0)</f>
        <v>PB</v>
      </c>
    </row>
    <row r="4929" spans="1:3" x14ac:dyDescent="0.35">
      <c r="A4929">
        <v>240340</v>
      </c>
      <c r="B4929" t="str">
        <f>VLOOKUP(A4929,Planilha2!$A$2:$C$5566,3,0)</f>
        <v>EQUADOR</v>
      </c>
      <c r="C4929" t="str">
        <f>VLOOKUP(A4929,Planilha2!$A$2:$D$5566,4,0)</f>
        <v>RN</v>
      </c>
    </row>
    <row r="4930" spans="1:3" x14ac:dyDescent="0.35">
      <c r="A4930">
        <v>250870</v>
      </c>
      <c r="B4930" t="str">
        <f>VLOOKUP(A4930,Planilha2!$A$2:$C$5566,3,0)</f>
        <v>MÃE D`ÁGUA</v>
      </c>
      <c r="C4930" t="str">
        <f>VLOOKUP(A4930,Planilha2!$A$2:$D$5566,4,0)</f>
        <v>PB</v>
      </c>
    </row>
    <row r="4931" spans="1:3" x14ac:dyDescent="0.35">
      <c r="A4931">
        <v>291845</v>
      </c>
      <c r="B4931" t="str">
        <f>VLOOKUP(A4931,Planilha2!$A$2:$C$5566,3,0)</f>
        <v>JUCURUÇU</v>
      </c>
      <c r="C4931" t="str">
        <f>VLOOKUP(A4931,Planilha2!$A$2:$D$5566,4,0)</f>
        <v>BA</v>
      </c>
    </row>
    <row r="4932" spans="1:3" x14ac:dyDescent="0.35">
      <c r="A4932">
        <v>291995</v>
      </c>
      <c r="B4932" t="str">
        <f>VLOOKUP(A4932,Planilha2!$A$2:$C$5566,3,0)</f>
        <v>MAETINGA</v>
      </c>
      <c r="C4932" t="str">
        <f>VLOOKUP(A4932,Planilha2!$A$2:$D$5566,4,0)</f>
        <v>BA</v>
      </c>
    </row>
    <row r="4933" spans="1:3" x14ac:dyDescent="0.35">
      <c r="A4933">
        <v>290755</v>
      </c>
      <c r="B4933" t="str">
        <f>VLOOKUP(A4933,Planilha2!$A$2:$C$5566,3,0)</f>
        <v>CATURAMA</v>
      </c>
      <c r="C4933" t="str">
        <f>VLOOKUP(A4933,Planilha2!$A$2:$D$5566,4,0)</f>
        <v>BA</v>
      </c>
    </row>
    <row r="4934" spans="1:3" x14ac:dyDescent="0.35">
      <c r="A4934">
        <v>314915</v>
      </c>
      <c r="B4934" t="str">
        <f>VLOOKUP(A4934,Planilha2!$A$2:$C$5566,3,0)</f>
        <v>PEDRAS DE MARIA DA CRUZ</v>
      </c>
      <c r="C4934" t="str">
        <f>VLOOKUP(A4934,Planilha2!$A$2:$D$5566,4,0)</f>
        <v>MG</v>
      </c>
    </row>
    <row r="4935" spans="1:3" x14ac:dyDescent="0.35">
      <c r="A4935">
        <v>310855</v>
      </c>
      <c r="B4935" t="str">
        <f>VLOOKUP(A4935,Planilha2!$A$2:$C$5566,3,0)</f>
        <v>BRASILÂNDIA DE MINAS</v>
      </c>
      <c r="C4935" t="str">
        <f>VLOOKUP(A4935,Planilha2!$A$2:$D$5566,4,0)</f>
        <v>MG</v>
      </c>
    </row>
    <row r="4936" spans="1:3" x14ac:dyDescent="0.35">
      <c r="A4936">
        <v>316670</v>
      </c>
      <c r="B4936" t="str">
        <f>VLOOKUP(A4936,Planilha2!$A$2:$C$5566,3,0)</f>
        <v>SERRA DOS AIMORÉS</v>
      </c>
      <c r="C4936" t="str">
        <f>VLOOKUP(A4936,Planilha2!$A$2:$D$5566,4,0)</f>
        <v>MG</v>
      </c>
    </row>
    <row r="4937" spans="1:3" x14ac:dyDescent="0.35">
      <c r="A4937">
        <v>316140</v>
      </c>
      <c r="B4937" t="str">
        <f>VLOOKUP(A4937,Planilha2!$A$2:$C$5566,3,0)</f>
        <v>SÃO FRANCISCO DO GLÓRIA</v>
      </c>
      <c r="C4937" t="str">
        <f>VLOOKUP(A4937,Planilha2!$A$2:$D$5566,4,0)</f>
        <v>MG</v>
      </c>
    </row>
    <row r="4938" spans="1:3" x14ac:dyDescent="0.35">
      <c r="A4938">
        <v>312810</v>
      </c>
      <c r="B4938" t="str">
        <f>VLOOKUP(A4938,Planilha2!$A$2:$C$5566,3,0)</f>
        <v>GUAPÉ</v>
      </c>
      <c r="C4938" t="str">
        <f>VLOOKUP(A4938,Planilha2!$A$2:$D$5566,4,0)</f>
        <v>MG</v>
      </c>
    </row>
    <row r="4939" spans="1:3" x14ac:dyDescent="0.35">
      <c r="A4939">
        <v>311520</v>
      </c>
      <c r="B4939" t="str">
        <f>VLOOKUP(A4939,Planilha2!$A$2:$C$5566,3,0)</f>
        <v>CONCEIÇÃO DA BARRA DE MINAS</v>
      </c>
      <c r="C4939" t="str">
        <f>VLOOKUP(A4939,Planilha2!$A$2:$D$5566,4,0)</f>
        <v>MG</v>
      </c>
    </row>
    <row r="4940" spans="1:3" x14ac:dyDescent="0.35">
      <c r="A4940">
        <v>313545</v>
      </c>
      <c r="B4940" t="str">
        <f>VLOOKUP(A4940,Planilha2!$A$2:$C$5566,3,0)</f>
        <v>JENIPAPO DE MINAS</v>
      </c>
      <c r="C4940" t="str">
        <f>VLOOKUP(A4940,Planilha2!$A$2:$D$5566,4,0)</f>
        <v>MG</v>
      </c>
    </row>
    <row r="4941" spans="1:3" x14ac:dyDescent="0.35">
      <c r="A4941">
        <v>354810</v>
      </c>
      <c r="B4941" t="str">
        <f>VLOOKUP(A4941,Planilha2!$A$2:$C$5566,3,0)</f>
        <v>SANTO ANTÔNIO DO JARDIM</v>
      </c>
      <c r="C4941" t="str">
        <f>VLOOKUP(A4941,Planilha2!$A$2:$D$5566,4,0)</f>
        <v>SP</v>
      </c>
    </row>
    <row r="4942" spans="1:3" x14ac:dyDescent="0.35">
      <c r="A4942">
        <v>350120</v>
      </c>
      <c r="B4942" t="str">
        <f>VLOOKUP(A4942,Planilha2!$A$2:$C$5566,3,0)</f>
        <v>ÁLVARES FLORENCE</v>
      </c>
      <c r="C4942" t="str">
        <f>VLOOKUP(A4942,Planilha2!$A$2:$D$5566,4,0)</f>
        <v>SP</v>
      </c>
    </row>
    <row r="4943" spans="1:3" x14ac:dyDescent="0.35">
      <c r="A4943">
        <v>353625</v>
      </c>
      <c r="B4943" t="str">
        <f>VLOOKUP(A4943,Planilha2!$A$2:$C$5566,3,0)</f>
        <v>PARISI</v>
      </c>
      <c r="C4943" t="str">
        <f>VLOOKUP(A4943,Planilha2!$A$2:$D$5566,4,0)</f>
        <v>SP</v>
      </c>
    </row>
    <row r="4944" spans="1:3" x14ac:dyDescent="0.35">
      <c r="A4944">
        <v>355050</v>
      </c>
      <c r="B4944" t="str">
        <f>VLOOKUP(A4944,Planilha2!$A$2:$C$5566,3,0)</f>
        <v>SÃO PEDRO DO TURVO</v>
      </c>
      <c r="C4944" t="str">
        <f>VLOOKUP(A4944,Planilha2!$A$2:$D$5566,4,0)</f>
        <v>SP</v>
      </c>
    </row>
    <row r="4945" spans="1:3" x14ac:dyDescent="0.35">
      <c r="A4945">
        <v>354010</v>
      </c>
      <c r="B4945" t="str">
        <f>VLOOKUP(A4945,Planilha2!$A$2:$C$5566,3,0)</f>
        <v>PONGAÍ</v>
      </c>
      <c r="C4945" t="str">
        <f>VLOOKUP(A4945,Planilha2!$A$2:$D$5566,4,0)</f>
        <v>SP</v>
      </c>
    </row>
    <row r="4946" spans="1:3" x14ac:dyDescent="0.35">
      <c r="A4946">
        <v>500390</v>
      </c>
      <c r="B4946" t="str">
        <f>VLOOKUP(A4946,Planilha2!$A$2:$C$5566,3,0)</f>
        <v>FIGUEIRÃO</v>
      </c>
      <c r="C4946" t="str">
        <f>VLOOKUP(A4946,Planilha2!$A$2:$D$5566,4,0)</f>
        <v>MS</v>
      </c>
    </row>
    <row r="4947" spans="1:3" x14ac:dyDescent="0.35">
      <c r="A4947">
        <v>411160</v>
      </c>
      <c r="B4947" t="str">
        <f>VLOOKUP(A4947,Planilha2!$A$2:$C$5566,3,0)</f>
        <v>IVATUBA</v>
      </c>
      <c r="C4947" t="str">
        <f>VLOOKUP(A4947,Planilha2!$A$2:$D$5566,4,0)</f>
        <v>PR</v>
      </c>
    </row>
    <row r="4948" spans="1:3" x14ac:dyDescent="0.35">
      <c r="A4948">
        <v>410754</v>
      </c>
      <c r="B4948" t="str">
        <f>VLOOKUP(A4948,Planilha2!$A$2:$C$5566,3,0)</f>
        <v>ESPIGÃO ALTO DO IGUAÇU</v>
      </c>
      <c r="C4948" t="str">
        <f>VLOOKUP(A4948,Planilha2!$A$2:$D$5566,4,0)</f>
        <v>PR</v>
      </c>
    </row>
    <row r="4949" spans="1:3" x14ac:dyDescent="0.35">
      <c r="A4949">
        <v>410305</v>
      </c>
      <c r="B4949" t="str">
        <f>VLOOKUP(A4949,Planilha2!$A$2:$C$5566,3,0)</f>
        <v>BOA VISTA DA APARECIDA</v>
      </c>
      <c r="C4949" t="str">
        <f>VLOOKUP(A4949,Planilha2!$A$2:$D$5566,4,0)</f>
        <v>PR</v>
      </c>
    </row>
    <row r="4950" spans="1:3" x14ac:dyDescent="0.35">
      <c r="A4950">
        <v>420775</v>
      </c>
      <c r="B4950" t="str">
        <f>VLOOKUP(A4950,Planilha2!$A$2:$C$5566,3,0)</f>
        <v>IRACEMINHA</v>
      </c>
      <c r="C4950" t="str">
        <f>VLOOKUP(A4950,Planilha2!$A$2:$D$5566,4,0)</f>
        <v>SC</v>
      </c>
    </row>
    <row r="4951" spans="1:3" x14ac:dyDescent="0.35">
      <c r="A4951">
        <v>431237</v>
      </c>
      <c r="B4951" t="str">
        <f>VLOOKUP(A4951,Planilha2!$A$2:$C$5566,3,0)</f>
        <v>MONTE ALEGRE DOS CAMPOS</v>
      </c>
      <c r="C4951" t="str">
        <f>VLOOKUP(A4951,Planilha2!$A$2:$D$5566,4,0)</f>
        <v>RS</v>
      </c>
    </row>
    <row r="4952" spans="1:3" x14ac:dyDescent="0.35">
      <c r="A4952">
        <v>171750</v>
      </c>
      <c r="B4952" t="str">
        <f>VLOOKUP(A4952,Planilha2!$A$2:$C$5566,3,0)</f>
        <v>PIUM</v>
      </c>
      <c r="C4952" t="str">
        <f>VLOOKUP(A4952,Planilha2!$A$2:$D$5566,4,0)</f>
        <v>TO</v>
      </c>
    </row>
    <row r="4953" spans="1:3" x14ac:dyDescent="0.35">
      <c r="A4953">
        <v>355365</v>
      </c>
      <c r="B4953" t="str">
        <f>VLOOKUP(A4953,Planilha2!$A$2:$C$5566,3,0)</f>
        <v>TAQUARAL</v>
      </c>
      <c r="C4953" t="str">
        <f>VLOOKUP(A4953,Planilha2!$A$2:$D$5566,4,0)</f>
        <v>SP</v>
      </c>
    </row>
    <row r="4954" spans="1:3" x14ac:dyDescent="0.35">
      <c r="A4954">
        <v>172000</v>
      </c>
      <c r="B4954" t="str">
        <f>VLOOKUP(A4954,Planilha2!$A$2:$C$5566,3,0)</f>
        <v>SANTA TEREZINHA DO TOCANTINS</v>
      </c>
      <c r="C4954" t="str">
        <f>VLOOKUP(A4954,Planilha2!$A$2:$D$5566,4,0)</f>
        <v>TO</v>
      </c>
    </row>
    <row r="4955" spans="1:3" x14ac:dyDescent="0.35">
      <c r="A4955">
        <v>432163</v>
      </c>
      <c r="B4955" t="str">
        <f>VLOOKUP(A4955,Planilha2!$A$2:$C$5566,3,0)</f>
        <v>TRÊS ARROIOS</v>
      </c>
      <c r="C4955" t="str">
        <f>VLOOKUP(A4955,Planilha2!$A$2:$D$5566,4,0)</f>
        <v>RS</v>
      </c>
    </row>
    <row r="4956" spans="1:3" x14ac:dyDescent="0.35">
      <c r="A4956">
        <v>430695</v>
      </c>
      <c r="B4956" t="str">
        <f>VLOOKUP(A4956,Planilha2!$A$2:$C$5566,3,0)</f>
        <v>ENTRE RIOS DO SUL</v>
      </c>
      <c r="C4956" t="str">
        <f>VLOOKUP(A4956,Planilha2!$A$2:$D$5566,4,0)</f>
        <v>RS</v>
      </c>
    </row>
    <row r="4957" spans="1:3" x14ac:dyDescent="0.35">
      <c r="A4957">
        <v>150565</v>
      </c>
      <c r="B4957" t="str">
        <f>VLOOKUP(A4957,Planilha2!$A$2:$C$5566,3,0)</f>
        <v>PLACAS</v>
      </c>
      <c r="C4957" t="str">
        <f>VLOOKUP(A4957,Planilha2!$A$2:$D$5566,4,0)</f>
        <v>PA</v>
      </c>
    </row>
    <row r="4958" spans="1:3" x14ac:dyDescent="0.35">
      <c r="A4958">
        <v>210055</v>
      </c>
      <c r="B4958" t="str">
        <f>VLOOKUP(A4958,Planilha2!$A$2:$C$5566,3,0)</f>
        <v>AMAPÁ DO MARANHÃO</v>
      </c>
      <c r="C4958" t="str">
        <f>VLOOKUP(A4958,Planilha2!$A$2:$D$5566,4,0)</f>
        <v>MA</v>
      </c>
    </row>
    <row r="4959" spans="1:3" x14ac:dyDescent="0.35">
      <c r="A4959">
        <v>211285</v>
      </c>
      <c r="B4959" t="str">
        <f>VLOOKUP(A4959,Planilha2!$A$2:$C$5566,3,0)</f>
        <v>VILA NOVA DOS MARTÍRIOS</v>
      </c>
      <c r="C4959" t="str">
        <f>VLOOKUP(A4959,Planilha2!$A$2:$D$5566,4,0)</f>
        <v>MA</v>
      </c>
    </row>
    <row r="4960" spans="1:3" x14ac:dyDescent="0.35">
      <c r="A4960">
        <v>221035</v>
      </c>
      <c r="B4960" t="str">
        <f>VLOOKUP(A4960,Planilha2!$A$2:$C$5566,3,0)</f>
        <v>SÃO LOURENÇO DO PIAUÍ</v>
      </c>
      <c r="C4960" t="str">
        <f>VLOOKUP(A4960,Planilha2!$A$2:$D$5566,4,0)</f>
        <v>PI</v>
      </c>
    </row>
    <row r="4961" spans="1:3" x14ac:dyDescent="0.35">
      <c r="A4961">
        <v>220360</v>
      </c>
      <c r="B4961" t="str">
        <f>VLOOKUP(A4961,Planilha2!$A$2:$C$5566,3,0)</f>
        <v>ELISEU MARTINS</v>
      </c>
      <c r="C4961" t="str">
        <f>VLOOKUP(A4961,Planilha2!$A$2:$D$5566,4,0)</f>
        <v>PI</v>
      </c>
    </row>
    <row r="4962" spans="1:3" x14ac:dyDescent="0.35">
      <c r="A4962">
        <v>241310</v>
      </c>
      <c r="B4962" t="str">
        <f>VLOOKUP(A4962,Planilha2!$A$2:$C$5566,3,0)</f>
        <v>SENADOR ELÓI DE SOUZA</v>
      </c>
      <c r="C4962" t="str">
        <f>VLOOKUP(A4962,Planilha2!$A$2:$D$5566,4,0)</f>
        <v>RN</v>
      </c>
    </row>
    <row r="4963" spans="1:3" x14ac:dyDescent="0.35">
      <c r="A4963">
        <v>241060</v>
      </c>
      <c r="B4963" t="str">
        <f>VLOOKUP(A4963,Planilha2!$A$2:$C$5566,3,0)</f>
        <v>RAFAEL GODEIRO</v>
      </c>
      <c r="C4963" t="str">
        <f>VLOOKUP(A4963,Planilha2!$A$2:$D$5566,4,0)</f>
        <v>RN</v>
      </c>
    </row>
    <row r="4964" spans="1:3" x14ac:dyDescent="0.35">
      <c r="A4964">
        <v>250200</v>
      </c>
      <c r="B4964" t="str">
        <f>VLOOKUP(A4964,Planilha2!$A$2:$C$5566,3,0)</f>
        <v>BELÉM DO BREJO DO CRUZ</v>
      </c>
      <c r="C4964" t="str">
        <f>VLOOKUP(A4964,Planilha2!$A$2:$D$5566,4,0)</f>
        <v>PB</v>
      </c>
    </row>
    <row r="4965" spans="1:3" x14ac:dyDescent="0.35">
      <c r="A4965">
        <v>270220</v>
      </c>
      <c r="B4965" t="str">
        <f>VLOOKUP(A4965,Planilha2!$A$2:$C$5566,3,0)</f>
        <v>COQUEIRO SÊCO</v>
      </c>
      <c r="C4965" t="str">
        <f>VLOOKUP(A4965,Planilha2!$A$2:$D$5566,4,0)</f>
        <v>AL</v>
      </c>
    </row>
    <row r="4966" spans="1:3" x14ac:dyDescent="0.35">
      <c r="A4966">
        <v>316410</v>
      </c>
      <c r="B4966" t="str">
        <f>VLOOKUP(A4966,Planilha2!$A$2:$C$5566,3,0)</f>
        <v>SÃO PEDRO DO SUAÇUÍ</v>
      </c>
      <c r="C4966" t="str">
        <f>VLOOKUP(A4966,Planilha2!$A$2:$D$5566,4,0)</f>
        <v>MG</v>
      </c>
    </row>
    <row r="4967" spans="1:3" x14ac:dyDescent="0.35">
      <c r="A4967">
        <v>354740</v>
      </c>
      <c r="B4967" t="str">
        <f>VLOOKUP(A4967,Planilha2!$A$2:$C$5566,3,0)</f>
        <v>SANTA RITA D`OESTE</v>
      </c>
      <c r="C4967" t="str">
        <f>VLOOKUP(A4967,Planilha2!$A$2:$D$5566,4,0)</f>
        <v>SP</v>
      </c>
    </row>
    <row r="4968" spans="1:3" x14ac:dyDescent="0.35">
      <c r="A4968">
        <v>411727</v>
      </c>
      <c r="B4968" t="str">
        <f>VLOOKUP(A4968,Planilha2!$A$2:$C$5566,3,0)</f>
        <v>NOVA TEBAS</v>
      </c>
      <c r="C4968" t="str">
        <f>VLOOKUP(A4968,Planilha2!$A$2:$D$5566,4,0)</f>
        <v>PR</v>
      </c>
    </row>
    <row r="4969" spans="1:3" x14ac:dyDescent="0.35">
      <c r="A4969">
        <v>430180</v>
      </c>
      <c r="B4969" t="str">
        <f>VLOOKUP(A4969,Planilha2!$A$2:$C$5566,3,0)</f>
        <v>BARRACÃO</v>
      </c>
      <c r="C4969" t="str">
        <f>VLOOKUP(A4969,Planilha2!$A$2:$D$5566,4,0)</f>
        <v>RS</v>
      </c>
    </row>
    <row r="4970" spans="1:3" x14ac:dyDescent="0.35">
      <c r="A4970">
        <v>430515</v>
      </c>
      <c r="B4970" t="str">
        <f>VLOOKUP(A4970,Planilha2!$A$2:$C$5566,3,0)</f>
        <v>CERRO GRANDE</v>
      </c>
      <c r="C4970" t="str">
        <f>VLOOKUP(A4970,Planilha2!$A$2:$D$5566,4,0)</f>
        <v>RS</v>
      </c>
    </row>
    <row r="4971" spans="1:3" x14ac:dyDescent="0.35">
      <c r="A4971">
        <v>431642</v>
      </c>
      <c r="B4971" t="str">
        <f>VLOOKUP(A4971,Planilha2!$A$2:$C$5566,3,0)</f>
        <v>SAGRADA FAMÍLIA</v>
      </c>
      <c r="C4971" t="str">
        <f>VLOOKUP(A4971,Planilha2!$A$2:$D$5566,4,0)</f>
        <v>RS</v>
      </c>
    </row>
    <row r="4972" spans="1:3" x14ac:dyDescent="0.35">
      <c r="A4972">
        <v>431415</v>
      </c>
      <c r="B4972" t="str">
        <f>VLOOKUP(A4972,Planilha2!$A$2:$C$5566,3,0)</f>
        <v>PAVERAMA</v>
      </c>
      <c r="C4972" t="str">
        <f>VLOOKUP(A4972,Planilha2!$A$2:$D$5566,4,0)</f>
        <v>RS</v>
      </c>
    </row>
    <row r="4973" spans="1:3" x14ac:dyDescent="0.35">
      <c r="A4973">
        <v>520993</v>
      </c>
      <c r="B4973" t="str">
        <f>VLOOKUP(A4973,Planilha2!$A$2:$C$5566,3,0)</f>
        <v>INACIOLÂNDIA</v>
      </c>
      <c r="C4973" t="str">
        <f>VLOOKUP(A4973,Planilha2!$A$2:$D$5566,4,0)</f>
        <v>GO</v>
      </c>
    </row>
    <row r="4974" spans="1:3" x14ac:dyDescent="0.35">
      <c r="A4974">
        <v>521950</v>
      </c>
      <c r="B4974" t="str">
        <f>VLOOKUP(A4974,Planilha2!$A$2:$C$5566,3,0)</f>
        <v>SANTA ROSA DE GOIÁS</v>
      </c>
      <c r="C4974" t="str">
        <f>VLOOKUP(A4974,Planilha2!$A$2:$D$5566,4,0)</f>
        <v>GO</v>
      </c>
    </row>
    <row r="4975" spans="1:3" x14ac:dyDescent="0.35">
      <c r="A4975">
        <v>110003</v>
      </c>
      <c r="B4975" t="str">
        <f>VLOOKUP(A4975,Planilha2!$A$2:$C$5566,3,0)</f>
        <v>CABIXI</v>
      </c>
      <c r="C4975" t="str">
        <f>VLOOKUP(A4975,Planilha2!$A$2:$D$5566,4,0)</f>
        <v>RO</v>
      </c>
    </row>
    <row r="4976" spans="1:3" x14ac:dyDescent="0.35">
      <c r="A4976">
        <v>171720</v>
      </c>
      <c r="B4976" t="str">
        <f>VLOOKUP(A4976,Planilha2!$A$2:$C$5566,3,0)</f>
        <v>PIRAQUÊ</v>
      </c>
      <c r="C4976" t="str">
        <f>VLOOKUP(A4976,Planilha2!$A$2:$D$5566,4,0)</f>
        <v>TO</v>
      </c>
    </row>
    <row r="4977" spans="1:3" x14ac:dyDescent="0.35">
      <c r="A4977">
        <v>171780</v>
      </c>
      <c r="B4977" t="str">
        <f>VLOOKUP(A4977,Planilha2!$A$2:$C$5566,3,0)</f>
        <v>PONTE ALTA DO BOM JESUS</v>
      </c>
      <c r="C4977" t="str">
        <f>VLOOKUP(A4977,Planilha2!$A$2:$D$5566,4,0)</f>
        <v>TO</v>
      </c>
    </row>
    <row r="4978" spans="1:3" x14ac:dyDescent="0.35">
      <c r="A4978">
        <v>220157</v>
      </c>
      <c r="B4978" t="str">
        <f>VLOOKUP(A4978,Planilha2!$A$2:$C$5566,3,0)</f>
        <v>BELÉM DO PIAUÍ</v>
      </c>
      <c r="C4978" t="str">
        <f>VLOOKUP(A4978,Planilha2!$A$2:$D$5566,4,0)</f>
        <v>PI</v>
      </c>
    </row>
    <row r="4979" spans="1:3" x14ac:dyDescent="0.35">
      <c r="A4979">
        <v>241415</v>
      </c>
      <c r="B4979" t="str">
        <f>VLOOKUP(A4979,Planilha2!$A$2:$C$5566,3,0)</f>
        <v>TENENTE LAURENTINO CRUZ</v>
      </c>
      <c r="C4979" t="str">
        <f>VLOOKUP(A4979,Planilha2!$A$2:$D$5566,4,0)</f>
        <v>RN</v>
      </c>
    </row>
    <row r="4980" spans="1:3" x14ac:dyDescent="0.35">
      <c r="A4980">
        <v>250660</v>
      </c>
      <c r="B4980" t="str">
        <f>VLOOKUP(A4980,Planilha2!$A$2:$C$5566,3,0)</f>
        <v>IBIARA</v>
      </c>
      <c r="C4980" t="str">
        <f>VLOOKUP(A4980,Planilha2!$A$2:$D$5566,4,0)</f>
        <v>PB</v>
      </c>
    </row>
    <row r="4981" spans="1:3" x14ac:dyDescent="0.35">
      <c r="A4981">
        <v>251065</v>
      </c>
      <c r="B4981" t="str">
        <f>VLOOKUP(A4981,Planilha2!$A$2:$C$5566,3,0)</f>
        <v>PARARI</v>
      </c>
      <c r="C4981" t="str">
        <f>VLOOKUP(A4981,Planilha2!$A$2:$D$5566,4,0)</f>
        <v>PB</v>
      </c>
    </row>
    <row r="4982" spans="1:3" x14ac:dyDescent="0.35">
      <c r="A4982">
        <v>251720</v>
      </c>
      <c r="B4982" t="str">
        <f>VLOOKUP(A4982,Planilha2!$A$2:$C$5566,3,0)</f>
        <v>VIEIRÓPOLIS</v>
      </c>
      <c r="C4982" t="str">
        <f>VLOOKUP(A4982,Planilha2!$A$2:$D$5566,4,0)</f>
        <v>PB</v>
      </c>
    </row>
    <row r="4983" spans="1:3" x14ac:dyDescent="0.35">
      <c r="A4983">
        <v>251380</v>
      </c>
      <c r="B4983" t="str">
        <f>VLOOKUP(A4983,Planilha2!$A$2:$C$5566,3,0)</f>
        <v>SANTA TERESINHA</v>
      </c>
      <c r="C4983" t="str">
        <f>VLOOKUP(A4983,Planilha2!$A$2:$D$5566,4,0)</f>
        <v>PB</v>
      </c>
    </row>
    <row r="4984" spans="1:3" x14ac:dyDescent="0.35">
      <c r="A4984">
        <v>316310</v>
      </c>
      <c r="B4984" t="str">
        <f>VLOOKUP(A4984,Planilha2!$A$2:$C$5566,3,0)</f>
        <v>SÃO JOSÉ DA VARGINHA</v>
      </c>
      <c r="C4984" t="str">
        <f>VLOOKUP(A4984,Planilha2!$A$2:$D$5566,4,0)</f>
        <v>MG</v>
      </c>
    </row>
    <row r="4985" spans="1:3" x14ac:dyDescent="0.35">
      <c r="A4985">
        <v>315440</v>
      </c>
      <c r="B4985" t="str">
        <f>VLOOKUP(A4985,Planilha2!$A$2:$C$5566,3,0)</f>
        <v>RESSAQUINHA</v>
      </c>
      <c r="C4985" t="str">
        <f>VLOOKUP(A4985,Planilha2!$A$2:$D$5566,4,0)</f>
        <v>MG</v>
      </c>
    </row>
    <row r="4986" spans="1:3" x14ac:dyDescent="0.35">
      <c r="A4986">
        <v>313610</v>
      </c>
      <c r="B4986" t="str">
        <f>VLOOKUP(A4986,Planilha2!$A$2:$C$5566,3,0)</f>
        <v>JOANÉSIA</v>
      </c>
      <c r="C4986" t="str">
        <f>VLOOKUP(A4986,Planilha2!$A$2:$D$5566,4,0)</f>
        <v>MG</v>
      </c>
    </row>
    <row r="4987" spans="1:3" x14ac:dyDescent="0.35">
      <c r="A4987">
        <v>312630</v>
      </c>
      <c r="B4987" t="str">
        <f>VLOOKUP(A4987,Planilha2!$A$2:$C$5566,3,0)</f>
        <v>FORTALEZA DE MINAS</v>
      </c>
      <c r="C4987" t="str">
        <f>VLOOKUP(A4987,Planilha2!$A$2:$D$5566,4,0)</f>
        <v>MG</v>
      </c>
    </row>
    <row r="4988" spans="1:3" x14ac:dyDescent="0.35">
      <c r="A4988">
        <v>314360</v>
      </c>
      <c r="B4988" t="str">
        <f>VLOOKUP(A4988,Planilha2!$A$2:$C$5566,3,0)</f>
        <v>MORRO DA GARÇA</v>
      </c>
      <c r="C4988" t="str">
        <f>VLOOKUP(A4988,Planilha2!$A$2:$D$5566,4,0)</f>
        <v>MG</v>
      </c>
    </row>
    <row r="4989" spans="1:3" x14ac:dyDescent="0.35">
      <c r="A4989">
        <v>350020</v>
      </c>
      <c r="B4989" t="str">
        <f>VLOOKUP(A4989,Planilha2!$A$2:$C$5566,3,0)</f>
        <v>ADOLFO</v>
      </c>
      <c r="C4989" t="str">
        <f>VLOOKUP(A4989,Planilha2!$A$2:$D$5566,4,0)</f>
        <v>SP</v>
      </c>
    </row>
    <row r="4990" spans="1:3" x14ac:dyDescent="0.35">
      <c r="A4990">
        <v>351590</v>
      </c>
      <c r="B4990" t="str">
        <f>VLOOKUP(A4990,Planilha2!$A$2:$C$5566,3,0)</f>
        <v>FLOREAL</v>
      </c>
      <c r="C4990" t="str">
        <f>VLOOKUP(A4990,Planilha2!$A$2:$D$5566,4,0)</f>
        <v>SP</v>
      </c>
    </row>
    <row r="4991" spans="1:3" x14ac:dyDescent="0.35">
      <c r="A4991">
        <v>352965</v>
      </c>
      <c r="B4991" t="str">
        <f>VLOOKUP(A4991,Planilha2!$A$2:$C$5566,3,0)</f>
        <v>MESÓPOLIS</v>
      </c>
      <c r="C4991" t="str">
        <f>VLOOKUP(A4991,Planilha2!$A$2:$D$5566,4,0)</f>
        <v>SP</v>
      </c>
    </row>
    <row r="4992" spans="1:3" x14ac:dyDescent="0.35">
      <c r="A4992">
        <v>354323</v>
      </c>
      <c r="B4992" t="str">
        <f>VLOOKUP(A4992,Planilha2!$A$2:$C$5566,3,0)</f>
        <v>RIBEIRÃO DOS ÍNDIOS</v>
      </c>
      <c r="C4992" t="str">
        <f>VLOOKUP(A4992,Planilha2!$A$2:$D$5566,4,0)</f>
        <v>SP</v>
      </c>
    </row>
    <row r="4993" spans="1:3" x14ac:dyDescent="0.35">
      <c r="A4993">
        <v>421165</v>
      </c>
      <c r="B4993" t="str">
        <f>VLOOKUP(A4993,Planilha2!$A$2:$C$5566,3,0)</f>
        <v>NOVO HORIZONTE</v>
      </c>
      <c r="C4993" t="str">
        <f>VLOOKUP(A4993,Planilha2!$A$2:$D$5566,4,0)</f>
        <v>SC</v>
      </c>
    </row>
    <row r="4994" spans="1:3" x14ac:dyDescent="0.35">
      <c r="A4994">
        <v>411980</v>
      </c>
      <c r="B4994" t="str">
        <f>VLOOKUP(A4994,Planilha2!$A$2:$C$5566,3,0)</f>
        <v>PLANALTO</v>
      </c>
      <c r="C4994" t="str">
        <f>VLOOKUP(A4994,Planilha2!$A$2:$D$5566,4,0)</f>
        <v>PR</v>
      </c>
    </row>
    <row r="4995" spans="1:3" x14ac:dyDescent="0.35">
      <c r="A4995">
        <v>411380</v>
      </c>
      <c r="B4995" t="str">
        <f>VLOOKUP(A4995,Planilha2!$A$2:$C$5566,3,0)</f>
        <v>LUPIONÓPOLIS</v>
      </c>
      <c r="C4995" t="str">
        <f>VLOOKUP(A4995,Planilha2!$A$2:$D$5566,4,0)</f>
        <v>PR</v>
      </c>
    </row>
    <row r="4996" spans="1:3" x14ac:dyDescent="0.35">
      <c r="A4996">
        <v>500350</v>
      </c>
      <c r="B4996" t="str">
        <f>VLOOKUP(A4996,Planilha2!$A$2:$C$5566,3,0)</f>
        <v>DOURADINA</v>
      </c>
      <c r="C4996" t="str">
        <f>VLOOKUP(A4996,Planilha2!$A$2:$D$5566,4,0)</f>
        <v>MS</v>
      </c>
    </row>
    <row r="4997" spans="1:3" x14ac:dyDescent="0.35">
      <c r="A4997">
        <v>510380</v>
      </c>
      <c r="B4997" t="str">
        <f>VLOOKUP(A4997,Planilha2!$A$2:$C$5566,3,0)</f>
        <v>FIGUEIRÓPOLIS D`OESTE</v>
      </c>
      <c r="C4997" t="str">
        <f>VLOOKUP(A4997,Planilha2!$A$2:$D$5566,4,0)</f>
        <v>MT</v>
      </c>
    </row>
    <row r="4998" spans="1:3" x14ac:dyDescent="0.35">
      <c r="A4998">
        <v>510455</v>
      </c>
      <c r="B4998" t="str">
        <f>VLOOKUP(A4998,Planilha2!$A$2:$C$5566,3,0)</f>
        <v>ITAÚBA</v>
      </c>
      <c r="C4998" t="str">
        <f>VLOOKUP(A4998,Planilha2!$A$2:$D$5566,4,0)</f>
        <v>MT</v>
      </c>
    </row>
    <row r="4999" spans="1:3" x14ac:dyDescent="0.35">
      <c r="A4999">
        <v>520015</v>
      </c>
      <c r="B4999" t="str">
        <f>VLOOKUP(A4999,Planilha2!$A$2:$C$5566,3,0)</f>
        <v>ADELÂNDIA</v>
      </c>
      <c r="C4999" t="str">
        <f>VLOOKUP(A4999,Planilha2!$A$2:$D$5566,4,0)</f>
        <v>GO</v>
      </c>
    </row>
    <row r="5000" spans="1:3" x14ac:dyDescent="0.35">
      <c r="A5000">
        <v>110033</v>
      </c>
      <c r="B5000" t="str">
        <f>VLOOKUP(A5000,Planilha2!$A$2:$C$5566,3,0)</f>
        <v>NOVA MAMORÉ</v>
      </c>
      <c r="C5000" t="str">
        <f>VLOOKUP(A5000,Planilha2!$A$2:$D$5566,4,0)</f>
        <v>RO</v>
      </c>
    </row>
    <row r="5001" spans="1:3" x14ac:dyDescent="0.35">
      <c r="A5001">
        <v>315760</v>
      </c>
      <c r="B5001" t="str">
        <f>VLOOKUP(A5001,Planilha2!$A$2:$C$5566,3,0)</f>
        <v>SANTA FÉ DE MINAS</v>
      </c>
      <c r="C5001" t="str">
        <f>VLOOKUP(A5001,Planilha2!$A$2:$D$5566,4,0)</f>
        <v>MG</v>
      </c>
    </row>
    <row r="5002" spans="1:3" x14ac:dyDescent="0.35">
      <c r="A5002">
        <v>250205</v>
      </c>
      <c r="B5002" t="str">
        <f>VLOOKUP(A5002,Planilha2!$A$2:$C$5566,3,0)</f>
        <v>BERNARDINO BATISTA</v>
      </c>
      <c r="C5002" t="str">
        <f>VLOOKUP(A5002,Planilha2!$A$2:$D$5566,4,0)</f>
        <v>PB</v>
      </c>
    </row>
    <row r="5003" spans="1:3" x14ac:dyDescent="0.35">
      <c r="A5003">
        <v>231370</v>
      </c>
      <c r="B5003" t="str">
        <f>VLOOKUP(A5003,Planilha2!$A$2:$C$5566,3,0)</f>
        <v>UMARI</v>
      </c>
      <c r="C5003" t="str">
        <f>VLOOKUP(A5003,Planilha2!$A$2:$D$5566,4,0)</f>
        <v>CE</v>
      </c>
    </row>
    <row r="5004" spans="1:3" x14ac:dyDescent="0.35">
      <c r="A5004">
        <v>251030</v>
      </c>
      <c r="B5004" t="str">
        <f>VLOOKUP(A5004,Planilha2!$A$2:$C$5566,3,0)</f>
        <v>NOVA PALMEIRA</v>
      </c>
      <c r="C5004" t="str">
        <f>VLOOKUP(A5004,Planilha2!$A$2:$D$5566,4,0)</f>
        <v>PB</v>
      </c>
    </row>
    <row r="5005" spans="1:3" x14ac:dyDescent="0.35">
      <c r="A5005">
        <v>431179</v>
      </c>
      <c r="B5005" t="str">
        <f>VLOOKUP(A5005,Planilha2!$A$2:$C$5566,3,0)</f>
        <v>MARATÁ</v>
      </c>
      <c r="C5005" t="str">
        <f>VLOOKUP(A5005,Planilha2!$A$2:$D$5566,4,0)</f>
        <v>RS</v>
      </c>
    </row>
    <row r="5006" spans="1:3" x14ac:dyDescent="0.35">
      <c r="A5006">
        <v>431449</v>
      </c>
      <c r="B5006" t="str">
        <f>VLOOKUP(A5006,Planilha2!$A$2:$C$5566,3,0)</f>
        <v>PINHEIRINHO DO VALE</v>
      </c>
      <c r="C5006" t="str">
        <f>VLOOKUP(A5006,Planilha2!$A$2:$D$5566,4,0)</f>
        <v>RS</v>
      </c>
    </row>
    <row r="5007" spans="1:3" x14ac:dyDescent="0.35">
      <c r="A5007">
        <v>500690</v>
      </c>
      <c r="B5007" t="str">
        <f>VLOOKUP(A5007,Planilha2!$A$2:$C$5566,3,0)</f>
        <v>PORTO MURTINHO</v>
      </c>
      <c r="C5007" t="str">
        <f>VLOOKUP(A5007,Planilha2!$A$2:$D$5566,4,0)</f>
        <v>MS</v>
      </c>
    </row>
    <row r="5008" spans="1:3" x14ac:dyDescent="0.35">
      <c r="A5008">
        <v>260180</v>
      </c>
      <c r="B5008" t="str">
        <f>VLOOKUP(A5008,Planilha2!$A$2:$C$5566,3,0)</f>
        <v>BETÂNIA</v>
      </c>
      <c r="C5008" t="str">
        <f>VLOOKUP(A5008,Planilha2!$A$2:$D$5566,4,0)</f>
        <v>PE</v>
      </c>
    </row>
    <row r="5009" spans="1:3" x14ac:dyDescent="0.35">
      <c r="A5009">
        <v>270740</v>
      </c>
      <c r="B5009" t="str">
        <f>VLOOKUP(A5009,Planilha2!$A$2:$C$5566,3,0)</f>
        <v>PORTO DE PEDRAS</v>
      </c>
      <c r="C5009" t="str">
        <f>VLOOKUP(A5009,Planilha2!$A$2:$D$5566,4,0)</f>
        <v>AL</v>
      </c>
    </row>
    <row r="5010" spans="1:3" x14ac:dyDescent="0.35">
      <c r="A5010">
        <v>351780</v>
      </c>
      <c r="B5010" t="str">
        <f>VLOOKUP(A5010,Planilha2!$A$2:$C$5566,3,0)</f>
        <v>GUARAÇAÍ</v>
      </c>
      <c r="C5010" t="str">
        <f>VLOOKUP(A5010,Planilha2!$A$2:$D$5566,4,0)</f>
        <v>SP</v>
      </c>
    </row>
    <row r="5011" spans="1:3" x14ac:dyDescent="0.35">
      <c r="A5011">
        <v>411342</v>
      </c>
      <c r="B5011" t="str">
        <f>VLOOKUP(A5011,Planilha2!$A$2:$C$5566,3,0)</f>
        <v>LIDIANÓPOLIS</v>
      </c>
      <c r="C5011" t="str">
        <f>VLOOKUP(A5011,Planilha2!$A$2:$D$5566,4,0)</f>
        <v>PR</v>
      </c>
    </row>
    <row r="5012" spans="1:3" x14ac:dyDescent="0.35">
      <c r="A5012">
        <v>432180</v>
      </c>
      <c r="B5012" t="str">
        <f>VLOOKUP(A5012,Planilha2!$A$2:$C$5566,3,0)</f>
        <v>TRÊS DE MAIO</v>
      </c>
      <c r="C5012" t="str">
        <f>VLOOKUP(A5012,Planilha2!$A$2:$D$5566,4,0)</f>
        <v>RS</v>
      </c>
    </row>
    <row r="5013" spans="1:3" x14ac:dyDescent="0.35">
      <c r="A5013">
        <v>432035</v>
      </c>
      <c r="B5013" t="str">
        <f>VLOOKUP(A5013,Planilha2!$A$2:$C$5566,3,0)</f>
        <v>SENTINELA DO SUL</v>
      </c>
      <c r="C5013" t="str">
        <f>VLOOKUP(A5013,Planilha2!$A$2:$D$5566,4,0)</f>
        <v>RS</v>
      </c>
    </row>
    <row r="5014" spans="1:3" x14ac:dyDescent="0.35">
      <c r="A5014">
        <v>510680</v>
      </c>
      <c r="B5014" t="str">
        <f>VLOOKUP(A5014,Planilha2!$A$2:$C$5566,3,0)</f>
        <v>PORTO DOS GAÚCHOS</v>
      </c>
      <c r="C5014" t="str">
        <f>VLOOKUP(A5014,Planilha2!$A$2:$D$5566,4,0)</f>
        <v>MT</v>
      </c>
    </row>
    <row r="5015" spans="1:3" x14ac:dyDescent="0.35">
      <c r="A5015">
        <v>171850</v>
      </c>
      <c r="B5015" t="str">
        <f>VLOOKUP(A5015,Planilha2!$A$2:$C$5566,3,0)</f>
        <v>RECURSOLÂNDIA</v>
      </c>
      <c r="C5015" t="str">
        <f>VLOOKUP(A5015,Planilha2!$A$2:$D$5566,4,0)</f>
        <v>TO</v>
      </c>
    </row>
    <row r="5016" spans="1:3" x14ac:dyDescent="0.35">
      <c r="A5016">
        <v>170770</v>
      </c>
      <c r="B5016" t="str">
        <f>VLOOKUP(A5016,Planilha2!$A$2:$C$5566,3,0)</f>
        <v>FILADÉLFIA</v>
      </c>
      <c r="C5016" t="str">
        <f>VLOOKUP(A5016,Planilha2!$A$2:$D$5566,4,0)</f>
        <v>TO</v>
      </c>
    </row>
    <row r="5017" spans="1:3" x14ac:dyDescent="0.35">
      <c r="A5017">
        <v>210840</v>
      </c>
      <c r="B5017" t="str">
        <f>VLOOKUP(A5017,Planilha2!$A$2:$C$5566,3,0)</f>
        <v>PERI MIRIM</v>
      </c>
      <c r="C5017" t="str">
        <f>VLOOKUP(A5017,Planilha2!$A$2:$D$5566,4,0)</f>
        <v>MA</v>
      </c>
    </row>
    <row r="5018" spans="1:3" x14ac:dyDescent="0.35">
      <c r="A5018">
        <v>211167</v>
      </c>
      <c r="B5018" t="str">
        <f>VLOOKUP(A5018,Planilha2!$A$2:$C$5566,3,0)</f>
        <v>SÃO ROBERTO</v>
      </c>
      <c r="C5018" t="str">
        <f>VLOOKUP(A5018,Planilha2!$A$2:$D$5566,4,0)</f>
        <v>MA</v>
      </c>
    </row>
    <row r="5019" spans="1:3" x14ac:dyDescent="0.35">
      <c r="A5019">
        <v>220779</v>
      </c>
      <c r="B5019" t="str">
        <f>VLOOKUP(A5019,Planilha2!$A$2:$C$5566,3,0)</f>
        <v>PAU D`ARCO DO PIAUÍ</v>
      </c>
      <c r="C5019" t="str">
        <f>VLOOKUP(A5019,Planilha2!$A$2:$D$5566,4,0)</f>
        <v>PI</v>
      </c>
    </row>
    <row r="5020" spans="1:3" x14ac:dyDescent="0.35">
      <c r="A5020">
        <v>220335</v>
      </c>
      <c r="B5020" t="str">
        <f>VLOOKUP(A5020,Planilha2!$A$2:$C$5566,3,0)</f>
        <v>DIRCEU ARCOVERDE</v>
      </c>
      <c r="C5020" t="str">
        <f>VLOOKUP(A5020,Planilha2!$A$2:$D$5566,4,0)</f>
        <v>PI</v>
      </c>
    </row>
    <row r="5021" spans="1:3" x14ac:dyDescent="0.35">
      <c r="A5021">
        <v>280430</v>
      </c>
      <c r="B5021" t="str">
        <f>VLOOKUP(A5021,Planilha2!$A$2:$C$5566,3,0)</f>
        <v>MURIBECA</v>
      </c>
      <c r="C5021" t="str">
        <f>VLOOKUP(A5021,Planilha2!$A$2:$D$5566,4,0)</f>
        <v>SE</v>
      </c>
    </row>
    <row r="5022" spans="1:3" x14ac:dyDescent="0.35">
      <c r="A5022">
        <v>280690</v>
      </c>
      <c r="B5022" t="str">
        <f>VLOOKUP(A5022,Planilha2!$A$2:$C$5566,3,0)</f>
        <v>SÃO FRANCISCO</v>
      </c>
      <c r="C5022" t="str">
        <f>VLOOKUP(A5022,Planilha2!$A$2:$D$5566,4,0)</f>
        <v>SE</v>
      </c>
    </row>
    <row r="5023" spans="1:3" x14ac:dyDescent="0.35">
      <c r="A5023">
        <v>290700</v>
      </c>
      <c r="B5023" t="str">
        <f>VLOOKUP(A5023,Planilha2!$A$2:$C$5566,3,0)</f>
        <v>CARDEAL DA SILVA</v>
      </c>
      <c r="C5023" t="str">
        <f>VLOOKUP(A5023,Planilha2!$A$2:$D$5566,4,0)</f>
        <v>BA</v>
      </c>
    </row>
    <row r="5024" spans="1:3" x14ac:dyDescent="0.35">
      <c r="A5024">
        <v>315350</v>
      </c>
      <c r="B5024" t="str">
        <f>VLOOKUP(A5024,Planilha2!$A$2:$C$5566,3,0)</f>
        <v>ALTO JEQUITIBÁ</v>
      </c>
      <c r="C5024" t="str">
        <f>VLOOKUP(A5024,Planilha2!$A$2:$D$5566,4,0)</f>
        <v>MG</v>
      </c>
    </row>
    <row r="5025" spans="1:3" x14ac:dyDescent="0.35">
      <c r="A5025">
        <v>311310</v>
      </c>
      <c r="B5025" t="str">
        <f>VLOOKUP(A5025,Planilha2!$A$2:$C$5566,3,0)</f>
        <v>CARANAÍBA</v>
      </c>
      <c r="C5025" t="str">
        <f>VLOOKUP(A5025,Planilha2!$A$2:$D$5566,4,0)</f>
        <v>MG</v>
      </c>
    </row>
    <row r="5026" spans="1:3" x14ac:dyDescent="0.35">
      <c r="A5026">
        <v>312940</v>
      </c>
      <c r="B5026" t="str">
        <f>VLOOKUP(A5026,Planilha2!$A$2:$C$5566,3,0)</f>
        <v>IBERTIOGA</v>
      </c>
      <c r="C5026" t="str">
        <f>VLOOKUP(A5026,Planilha2!$A$2:$D$5566,4,0)</f>
        <v>MG</v>
      </c>
    </row>
    <row r="5027" spans="1:3" x14ac:dyDescent="0.35">
      <c r="A5027">
        <v>320316</v>
      </c>
      <c r="B5027" t="str">
        <f>VLOOKUP(A5027,Planilha2!$A$2:$C$5566,3,0)</f>
        <v>LARANJA DA TERRA</v>
      </c>
      <c r="C5027" t="str">
        <f>VLOOKUP(A5027,Planilha2!$A$2:$D$5566,4,0)</f>
        <v>ES</v>
      </c>
    </row>
    <row r="5028" spans="1:3" x14ac:dyDescent="0.35">
      <c r="A5028">
        <v>353660</v>
      </c>
      <c r="B5028" t="str">
        <f>VLOOKUP(A5028,Planilha2!$A$2:$C$5566,3,0)</f>
        <v>PAULO DE FARIA</v>
      </c>
      <c r="C5028" t="str">
        <f>VLOOKUP(A5028,Planilha2!$A$2:$D$5566,4,0)</f>
        <v>SP</v>
      </c>
    </row>
    <row r="5029" spans="1:3" x14ac:dyDescent="0.35">
      <c r="A5029">
        <v>210580</v>
      </c>
      <c r="B5029" t="str">
        <f>VLOOKUP(A5029,Planilha2!$A$2:$C$5566,3,0)</f>
        <v>LAGO DO JUNCO</v>
      </c>
      <c r="C5029" t="str">
        <f>VLOOKUP(A5029,Planilha2!$A$2:$D$5566,4,0)</f>
        <v>MA</v>
      </c>
    </row>
    <row r="5030" spans="1:3" x14ac:dyDescent="0.35">
      <c r="A5030">
        <v>412667</v>
      </c>
      <c r="B5030" t="str">
        <f>VLOOKUP(A5030,Planilha2!$A$2:$C$5566,3,0)</f>
        <v>TAMARANA</v>
      </c>
      <c r="C5030" t="str">
        <f>VLOOKUP(A5030,Planilha2!$A$2:$D$5566,4,0)</f>
        <v>PR</v>
      </c>
    </row>
    <row r="5031" spans="1:3" x14ac:dyDescent="0.35">
      <c r="A5031">
        <v>411650</v>
      </c>
      <c r="B5031" t="str">
        <f>VLOOKUP(A5031,Planilha2!$A$2:$C$5566,3,0)</f>
        <v>NOVA ALIANÇA DO IVAÍ</v>
      </c>
      <c r="C5031" t="str">
        <f>VLOOKUP(A5031,Planilha2!$A$2:$D$5566,4,0)</f>
        <v>PR</v>
      </c>
    </row>
    <row r="5032" spans="1:3" x14ac:dyDescent="0.35">
      <c r="A5032">
        <v>410780</v>
      </c>
      <c r="B5032" t="str">
        <f>VLOOKUP(A5032,Planilha2!$A$2:$C$5566,3,0)</f>
        <v>FLORAÍ</v>
      </c>
      <c r="C5032" t="str">
        <f>VLOOKUP(A5032,Planilha2!$A$2:$D$5566,4,0)</f>
        <v>PR</v>
      </c>
    </row>
    <row r="5033" spans="1:3" x14ac:dyDescent="0.35">
      <c r="A5033">
        <v>420555</v>
      </c>
      <c r="B5033" t="str">
        <f>VLOOKUP(A5033,Planilha2!$A$2:$C$5566,3,0)</f>
        <v>FREI ROGÉRIO</v>
      </c>
      <c r="C5033" t="str">
        <f>VLOOKUP(A5033,Planilha2!$A$2:$D$5566,4,0)</f>
        <v>SC</v>
      </c>
    </row>
    <row r="5034" spans="1:3" x14ac:dyDescent="0.35">
      <c r="A5034">
        <v>421605</v>
      </c>
      <c r="B5034" t="str">
        <f>VLOOKUP(A5034,Planilha2!$A$2:$C$5566,3,0)</f>
        <v>SÃO CRISTOVÃO DO SUL</v>
      </c>
      <c r="C5034" t="str">
        <f>VLOOKUP(A5034,Planilha2!$A$2:$D$5566,4,0)</f>
        <v>SC</v>
      </c>
    </row>
    <row r="5035" spans="1:3" x14ac:dyDescent="0.35">
      <c r="A5035">
        <v>430410</v>
      </c>
      <c r="B5035" t="str">
        <f>VLOOKUP(A5035,Planilha2!$A$2:$C$5566,3,0)</f>
        <v>CAMPOS BORGES</v>
      </c>
      <c r="C5035" t="str">
        <f>VLOOKUP(A5035,Planilha2!$A$2:$D$5566,4,0)</f>
        <v>RS</v>
      </c>
    </row>
    <row r="5036" spans="1:3" x14ac:dyDescent="0.35">
      <c r="A5036">
        <v>432235</v>
      </c>
      <c r="B5036" t="str">
        <f>VLOOKUP(A5036,Planilha2!$A$2:$C$5566,3,0)</f>
        <v>UNIÃO DA SERRA</v>
      </c>
      <c r="C5036" t="str">
        <f>VLOOKUP(A5036,Planilha2!$A$2:$D$5566,4,0)</f>
        <v>RS</v>
      </c>
    </row>
    <row r="5037" spans="1:3" x14ac:dyDescent="0.35">
      <c r="A5037">
        <v>430655</v>
      </c>
      <c r="B5037" t="str">
        <f>VLOOKUP(A5037,Planilha2!$A$2:$C$5566,3,0)</f>
        <v>DOM PEDRO DE ALCÂNTARA</v>
      </c>
      <c r="C5037" t="str">
        <f>VLOOKUP(A5037,Planilha2!$A$2:$D$5566,4,0)</f>
        <v>RS</v>
      </c>
    </row>
    <row r="5038" spans="1:3" x14ac:dyDescent="0.35">
      <c r="A5038">
        <v>520960</v>
      </c>
      <c r="B5038" t="str">
        <f>VLOOKUP(A5038,Planilha2!$A$2:$C$5566,3,0)</f>
        <v>HEITORAÍ</v>
      </c>
      <c r="C5038" t="str">
        <f>VLOOKUP(A5038,Planilha2!$A$2:$D$5566,4,0)</f>
        <v>GO</v>
      </c>
    </row>
    <row r="5039" spans="1:3" x14ac:dyDescent="0.35">
      <c r="A5039">
        <v>521160</v>
      </c>
      <c r="B5039" t="str">
        <f>VLOOKUP(A5039,Planilha2!$A$2:$C$5566,3,0)</f>
        <v>IVOLÂNDIA</v>
      </c>
      <c r="C5039" t="str">
        <f>VLOOKUP(A5039,Planilha2!$A$2:$D$5566,4,0)</f>
        <v>GO</v>
      </c>
    </row>
    <row r="5040" spans="1:3" x14ac:dyDescent="0.35">
      <c r="A5040">
        <v>312340</v>
      </c>
      <c r="B5040" t="str">
        <f>VLOOKUP(A5040,Planilha2!$A$2:$C$5566,3,0)</f>
        <v>DORESÓPOLIS</v>
      </c>
      <c r="C5040" t="str">
        <f>VLOOKUP(A5040,Planilha2!$A$2:$D$5566,4,0)</f>
        <v>MG</v>
      </c>
    </row>
    <row r="5041" spans="1:3" x14ac:dyDescent="0.35">
      <c r="A5041">
        <v>251520</v>
      </c>
      <c r="B5041" t="str">
        <f>VLOOKUP(A5041,Planilha2!$A$2:$C$5566,3,0)</f>
        <v>SÃO SEBASTIÃO DO UMBUZEIRO</v>
      </c>
      <c r="C5041" t="str">
        <f>VLOOKUP(A5041,Planilha2!$A$2:$D$5566,4,0)</f>
        <v>PB</v>
      </c>
    </row>
    <row r="5042" spans="1:3" x14ac:dyDescent="0.35">
      <c r="A5042">
        <v>241490</v>
      </c>
      <c r="B5042" t="str">
        <f>VLOOKUP(A5042,Planilha2!$A$2:$C$5566,3,0)</f>
        <v>VIÇOSA</v>
      </c>
      <c r="C5042" t="str">
        <f>VLOOKUP(A5042,Planilha2!$A$2:$D$5566,4,0)</f>
        <v>RN</v>
      </c>
    </row>
    <row r="5043" spans="1:3" x14ac:dyDescent="0.35">
      <c r="A5043">
        <v>260430</v>
      </c>
      <c r="B5043" t="str">
        <f>VLOOKUP(A5043,Planilha2!$A$2:$C$5566,3,0)</f>
        <v>CEDRO</v>
      </c>
      <c r="C5043" t="str">
        <f>VLOOKUP(A5043,Planilha2!$A$2:$D$5566,4,0)</f>
        <v>PE</v>
      </c>
    </row>
    <row r="5044" spans="1:3" x14ac:dyDescent="0.35">
      <c r="A5044">
        <v>292000</v>
      </c>
      <c r="B5044" t="str">
        <f>VLOOKUP(A5044,Planilha2!$A$2:$C$5566,3,0)</f>
        <v>MAIQUINIQUE</v>
      </c>
      <c r="C5044" t="str">
        <f>VLOOKUP(A5044,Planilha2!$A$2:$D$5566,4,0)</f>
        <v>BA</v>
      </c>
    </row>
    <row r="5045" spans="1:3" x14ac:dyDescent="0.35">
      <c r="A5045">
        <v>430755</v>
      </c>
      <c r="B5045" t="str">
        <f>VLOOKUP(A5045,Planilha2!$A$2:$C$5566,3,0)</f>
        <v>ESTAÇÃO</v>
      </c>
      <c r="C5045" t="str">
        <f>VLOOKUP(A5045,Planilha2!$A$2:$D$5566,4,0)</f>
        <v>RS</v>
      </c>
    </row>
    <row r="5046" spans="1:3" x14ac:dyDescent="0.35">
      <c r="A5046">
        <v>430485</v>
      </c>
      <c r="B5046" t="str">
        <f>VLOOKUP(A5046,Planilha2!$A$2:$C$5566,3,0)</f>
        <v>CARLOS GOMES</v>
      </c>
      <c r="C5046" t="str">
        <f>VLOOKUP(A5046,Planilha2!$A$2:$D$5566,4,0)</f>
        <v>RS</v>
      </c>
    </row>
    <row r="5047" spans="1:3" x14ac:dyDescent="0.35">
      <c r="A5047">
        <v>500280</v>
      </c>
      <c r="B5047" t="str">
        <f>VLOOKUP(A5047,Planilha2!$A$2:$C$5566,3,0)</f>
        <v>CARACOL</v>
      </c>
      <c r="C5047" t="str">
        <f>VLOOKUP(A5047,Planilha2!$A$2:$D$5566,4,0)</f>
        <v>MS</v>
      </c>
    </row>
    <row r="5048" spans="1:3" x14ac:dyDescent="0.35">
      <c r="A5048">
        <v>510835</v>
      </c>
      <c r="B5048" t="str">
        <f>VLOOKUP(A5048,Planilha2!$A$2:$C$5566,3,0)</f>
        <v>VALE DE SÃO DOMINGOS</v>
      </c>
      <c r="C5048" t="str">
        <f>VLOOKUP(A5048,Planilha2!$A$2:$D$5566,4,0)</f>
        <v>MT</v>
      </c>
    </row>
    <row r="5049" spans="1:3" x14ac:dyDescent="0.35">
      <c r="A5049">
        <v>520460</v>
      </c>
      <c r="B5049" t="str">
        <f>VLOOKUP(A5049,Planilha2!$A$2:$C$5566,3,0)</f>
        <v>CAMPESTRE DE GOIÁS</v>
      </c>
      <c r="C5049" t="str">
        <f>VLOOKUP(A5049,Planilha2!$A$2:$D$5566,4,0)</f>
        <v>GO</v>
      </c>
    </row>
    <row r="5050" spans="1:3" x14ac:dyDescent="0.35">
      <c r="A5050">
        <v>171865</v>
      </c>
      <c r="B5050" t="str">
        <f>VLOOKUP(A5050,Planilha2!$A$2:$C$5566,3,0)</f>
        <v>RIO DA CONCEIÇÃO</v>
      </c>
      <c r="C5050" t="str">
        <f>VLOOKUP(A5050,Planilha2!$A$2:$D$5566,4,0)</f>
        <v>TO</v>
      </c>
    </row>
    <row r="5051" spans="1:3" x14ac:dyDescent="0.35">
      <c r="A5051">
        <v>230460</v>
      </c>
      <c r="B5051" t="str">
        <f>VLOOKUP(A5051,Planilha2!$A$2:$C$5566,3,0)</f>
        <v>GENERAL SAMPAIO</v>
      </c>
      <c r="C5051" t="str">
        <f>VLOOKUP(A5051,Planilha2!$A$2:$D$5566,4,0)</f>
        <v>CE</v>
      </c>
    </row>
    <row r="5052" spans="1:3" x14ac:dyDescent="0.35">
      <c r="A5052">
        <v>240760</v>
      </c>
      <c r="B5052" t="str">
        <f>VLOOKUP(A5052,Planilha2!$A$2:$C$5566,3,0)</f>
        <v>MESSIAS TARGINO</v>
      </c>
      <c r="C5052" t="str">
        <f>VLOOKUP(A5052,Planilha2!$A$2:$D$5566,4,0)</f>
        <v>RN</v>
      </c>
    </row>
    <row r="5053" spans="1:3" x14ac:dyDescent="0.35">
      <c r="A5053">
        <v>251207</v>
      </c>
      <c r="B5053" t="str">
        <f>VLOOKUP(A5053,Planilha2!$A$2:$C$5566,3,0)</f>
        <v>POÇO DE JOSÉ DE MOURA</v>
      </c>
      <c r="C5053" t="str">
        <f>VLOOKUP(A5053,Planilha2!$A$2:$D$5566,4,0)</f>
        <v>PB</v>
      </c>
    </row>
    <row r="5054" spans="1:3" x14ac:dyDescent="0.35">
      <c r="A5054">
        <v>250135</v>
      </c>
      <c r="B5054" t="str">
        <f>VLOOKUP(A5054,Planilha2!$A$2:$C$5566,3,0)</f>
        <v>ASSUNÇÃO</v>
      </c>
      <c r="C5054" t="str">
        <f>VLOOKUP(A5054,Planilha2!$A$2:$D$5566,4,0)</f>
        <v>PB</v>
      </c>
    </row>
    <row r="5055" spans="1:3" x14ac:dyDescent="0.35">
      <c r="A5055">
        <v>290740</v>
      </c>
      <c r="B5055" t="str">
        <f>VLOOKUP(A5055,Planilha2!$A$2:$C$5566,3,0)</f>
        <v>CATOLÂNDIA</v>
      </c>
      <c r="C5055" t="str">
        <f>VLOOKUP(A5055,Planilha2!$A$2:$D$5566,4,0)</f>
        <v>BA</v>
      </c>
    </row>
    <row r="5056" spans="1:3" x14ac:dyDescent="0.35">
      <c r="A5056">
        <v>312735</v>
      </c>
      <c r="B5056" t="str">
        <f>VLOOKUP(A5056,Planilha2!$A$2:$C$5566,3,0)</f>
        <v>GLAUCILÂNDIA</v>
      </c>
      <c r="C5056" t="str">
        <f>VLOOKUP(A5056,Planilha2!$A$2:$D$5566,4,0)</f>
        <v>MG</v>
      </c>
    </row>
    <row r="5057" spans="1:3" x14ac:dyDescent="0.35">
      <c r="A5057">
        <v>310945</v>
      </c>
      <c r="B5057" t="str">
        <f>VLOOKUP(A5057,Planilha2!$A$2:$C$5566,3,0)</f>
        <v>CABECEIRA GRANDE</v>
      </c>
      <c r="C5057" t="str">
        <f>VLOOKUP(A5057,Planilha2!$A$2:$D$5566,4,0)</f>
        <v>MG</v>
      </c>
    </row>
    <row r="5058" spans="1:3" x14ac:dyDescent="0.35">
      <c r="A5058">
        <v>316600</v>
      </c>
      <c r="B5058" t="str">
        <f>VLOOKUP(A5058,Planilha2!$A$2:$C$5566,3,0)</f>
        <v>SENHORA DE OLIVEIRA</v>
      </c>
      <c r="C5058" t="str">
        <f>VLOOKUP(A5058,Planilha2!$A$2:$D$5566,4,0)</f>
        <v>MG</v>
      </c>
    </row>
    <row r="5059" spans="1:3" x14ac:dyDescent="0.35">
      <c r="A5059">
        <v>315470</v>
      </c>
      <c r="B5059" t="str">
        <f>VLOOKUP(A5059,Planilha2!$A$2:$C$5566,3,0)</f>
        <v>RIBEIRÃO VERMELHO</v>
      </c>
      <c r="C5059" t="str">
        <f>VLOOKUP(A5059,Planilha2!$A$2:$D$5566,4,0)</f>
        <v>MG</v>
      </c>
    </row>
    <row r="5060" spans="1:3" x14ac:dyDescent="0.35">
      <c r="A5060">
        <v>353270</v>
      </c>
      <c r="B5060" t="str">
        <f>VLOOKUP(A5060,Planilha2!$A$2:$C$5566,3,0)</f>
        <v>NIPOÃ</v>
      </c>
      <c r="C5060" t="str">
        <f>VLOOKUP(A5060,Planilha2!$A$2:$D$5566,4,0)</f>
        <v>SP</v>
      </c>
    </row>
    <row r="5061" spans="1:3" x14ac:dyDescent="0.35">
      <c r="A5061">
        <v>351610</v>
      </c>
      <c r="B5061" t="str">
        <f>VLOOKUP(A5061,Planilha2!$A$2:$C$5566,3,0)</f>
        <v>FLORÍNIA</v>
      </c>
      <c r="C5061" t="str">
        <f>VLOOKUP(A5061,Planilha2!$A$2:$D$5566,4,0)</f>
        <v>SP</v>
      </c>
    </row>
    <row r="5062" spans="1:3" x14ac:dyDescent="0.35">
      <c r="A5062">
        <v>353970</v>
      </c>
      <c r="B5062" t="str">
        <f>VLOOKUP(A5062,Planilha2!$A$2:$C$5566,3,0)</f>
        <v>PLATINA</v>
      </c>
      <c r="C5062" t="str">
        <f>VLOOKUP(A5062,Planilha2!$A$2:$D$5566,4,0)</f>
        <v>SP</v>
      </c>
    </row>
    <row r="5063" spans="1:3" x14ac:dyDescent="0.35">
      <c r="A5063">
        <v>355255</v>
      </c>
      <c r="B5063" t="str">
        <f>VLOOKUP(A5063,Planilha2!$A$2:$C$5566,3,0)</f>
        <v>SUZANÁPOLIS</v>
      </c>
      <c r="C5063" t="str">
        <f>VLOOKUP(A5063,Planilha2!$A$2:$D$5566,4,0)</f>
        <v>SP</v>
      </c>
    </row>
    <row r="5064" spans="1:3" x14ac:dyDescent="0.35">
      <c r="A5064">
        <v>520020</v>
      </c>
      <c r="B5064" t="str">
        <f>VLOOKUP(A5064,Planilha2!$A$2:$C$5566,3,0)</f>
        <v>ÁGUA LIMPA</v>
      </c>
      <c r="C5064" t="str">
        <f>VLOOKUP(A5064,Planilha2!$A$2:$D$5566,4,0)</f>
        <v>GO</v>
      </c>
    </row>
    <row r="5065" spans="1:3" x14ac:dyDescent="0.35">
      <c r="A5065">
        <v>354625</v>
      </c>
      <c r="B5065" t="str">
        <f>VLOOKUP(A5065,Planilha2!$A$2:$C$5566,3,0)</f>
        <v>SANTA CRUZ DA ESPERANÇA</v>
      </c>
      <c r="C5065" t="str">
        <f>VLOOKUP(A5065,Planilha2!$A$2:$D$5566,4,0)</f>
        <v>SP</v>
      </c>
    </row>
    <row r="5066" spans="1:3" x14ac:dyDescent="0.35">
      <c r="A5066">
        <v>411065</v>
      </c>
      <c r="B5066" t="str">
        <f>VLOOKUP(A5066,Planilha2!$A$2:$C$5566,3,0)</f>
        <v>IRACEMA DO OESTE</v>
      </c>
      <c r="C5066" t="str">
        <f>VLOOKUP(A5066,Planilha2!$A$2:$D$5566,4,0)</f>
        <v>PR</v>
      </c>
    </row>
    <row r="5067" spans="1:3" x14ac:dyDescent="0.35">
      <c r="A5067">
        <v>421070</v>
      </c>
      <c r="B5067" t="str">
        <f>VLOOKUP(A5067,Planilha2!$A$2:$C$5566,3,0)</f>
        <v>MATOS COSTA</v>
      </c>
      <c r="C5067" t="str">
        <f>VLOOKUP(A5067,Planilha2!$A$2:$D$5566,4,0)</f>
        <v>SC</v>
      </c>
    </row>
    <row r="5068" spans="1:3" x14ac:dyDescent="0.35">
      <c r="A5068">
        <v>421490</v>
      </c>
      <c r="B5068" t="str">
        <f>VLOOKUP(A5068,Planilha2!$A$2:$C$5566,3,0)</f>
        <v>RIO FORTUNA</v>
      </c>
      <c r="C5068" t="str">
        <f>VLOOKUP(A5068,Planilha2!$A$2:$D$5566,4,0)</f>
        <v>SC</v>
      </c>
    </row>
    <row r="5069" spans="1:3" x14ac:dyDescent="0.35">
      <c r="A5069">
        <v>431127</v>
      </c>
      <c r="B5069" t="str">
        <f>VLOOKUP(A5069,Planilha2!$A$2:$C$5566,3,0)</f>
        <v>LAGOA DOS TRÊS CANTOS</v>
      </c>
      <c r="C5069" t="str">
        <f>VLOOKUP(A5069,Planilha2!$A$2:$D$5566,4,0)</f>
        <v>RS</v>
      </c>
    </row>
    <row r="5070" spans="1:3" x14ac:dyDescent="0.35">
      <c r="A5070">
        <v>431057</v>
      </c>
      <c r="B5070" t="str">
        <f>VLOOKUP(A5070,Planilha2!$A$2:$C$5566,3,0)</f>
        <v>ITAPUCA</v>
      </c>
      <c r="C5070" t="str">
        <f>VLOOKUP(A5070,Planilha2!$A$2:$D$5566,4,0)</f>
        <v>RS</v>
      </c>
    </row>
    <row r="5071" spans="1:3" x14ac:dyDescent="0.35">
      <c r="A5071">
        <v>431310</v>
      </c>
      <c r="B5071" t="str">
        <f>VLOOKUP(A5071,Planilha2!$A$2:$C$5566,3,0)</f>
        <v>NOVA PALMA</v>
      </c>
      <c r="C5071" t="str">
        <f>VLOOKUP(A5071,Planilha2!$A$2:$D$5566,4,0)</f>
        <v>RS</v>
      </c>
    </row>
    <row r="5072" spans="1:3" x14ac:dyDescent="0.35">
      <c r="A5072">
        <v>500625</v>
      </c>
      <c r="B5072" t="str">
        <f>VLOOKUP(A5072,Planilha2!$A$2:$C$5566,3,0)</f>
        <v>NOVO HORIZONTE DO SUL</v>
      </c>
      <c r="C5072" t="str">
        <f>VLOOKUP(A5072,Planilha2!$A$2:$D$5566,4,0)</f>
        <v>MS</v>
      </c>
    </row>
    <row r="5073" spans="1:3" x14ac:dyDescent="0.35">
      <c r="A5073">
        <v>510285</v>
      </c>
      <c r="B5073" t="str">
        <f>VLOOKUP(A5073,Planilha2!$A$2:$C$5566,3,0)</f>
        <v>CASTANHEIRA</v>
      </c>
      <c r="C5073" t="str">
        <f>VLOOKUP(A5073,Planilha2!$A$2:$D$5566,4,0)</f>
        <v>MT</v>
      </c>
    </row>
    <row r="5074" spans="1:3" x14ac:dyDescent="0.35">
      <c r="A5074">
        <v>431070</v>
      </c>
      <c r="B5074" t="str">
        <f>VLOOKUP(A5074,Planilha2!$A$2:$C$5566,3,0)</f>
        <v>ITATIBA DO SUL</v>
      </c>
      <c r="C5074" t="str">
        <f>VLOOKUP(A5074,Planilha2!$A$2:$D$5566,4,0)</f>
        <v>RS</v>
      </c>
    </row>
    <row r="5075" spans="1:3" x14ac:dyDescent="0.35">
      <c r="A5075">
        <v>310980</v>
      </c>
      <c r="B5075" t="str">
        <f>VLOOKUP(A5075,Planilha2!$A$2:$C$5566,3,0)</f>
        <v>CACHOEIRA DOURADA</v>
      </c>
      <c r="C5075" t="str">
        <f>VLOOKUP(A5075,Planilha2!$A$2:$D$5566,4,0)</f>
        <v>MG</v>
      </c>
    </row>
    <row r="5076" spans="1:3" x14ac:dyDescent="0.35">
      <c r="A5076">
        <v>314010</v>
      </c>
      <c r="B5076" t="str">
        <f>VLOOKUP(A5076,Planilha2!$A$2:$C$5566,3,0)</f>
        <v>MARILAC</v>
      </c>
      <c r="C5076" t="str">
        <f>VLOOKUP(A5076,Planilha2!$A$2:$D$5566,4,0)</f>
        <v>MG</v>
      </c>
    </row>
    <row r="5077" spans="1:3" x14ac:dyDescent="0.35">
      <c r="A5077">
        <v>353770</v>
      </c>
      <c r="B5077" t="str">
        <f>VLOOKUP(A5077,Planilha2!$A$2:$C$5566,3,0)</f>
        <v>PIACATU</v>
      </c>
      <c r="C5077" t="str">
        <f>VLOOKUP(A5077,Planilha2!$A$2:$D$5566,4,0)</f>
        <v>SP</v>
      </c>
    </row>
    <row r="5078" spans="1:3" x14ac:dyDescent="0.35">
      <c r="A5078">
        <v>410275</v>
      </c>
      <c r="B5078" t="str">
        <f>VLOOKUP(A5078,Planilha2!$A$2:$C$5566,3,0)</f>
        <v>BELA VISTA DA CAROBA</v>
      </c>
      <c r="C5078" t="str">
        <f>VLOOKUP(A5078,Planilha2!$A$2:$D$5566,4,0)</f>
        <v>PR</v>
      </c>
    </row>
    <row r="5079" spans="1:3" x14ac:dyDescent="0.35">
      <c r="A5079">
        <v>410165</v>
      </c>
      <c r="B5079" t="str">
        <f>VLOOKUP(A5079,Planilha2!$A$2:$C$5566,3,0)</f>
        <v>ARAPUÃ</v>
      </c>
      <c r="C5079" t="str">
        <f>VLOOKUP(A5079,Planilha2!$A$2:$D$5566,4,0)</f>
        <v>PR</v>
      </c>
    </row>
    <row r="5080" spans="1:3" x14ac:dyDescent="0.35">
      <c r="A5080">
        <v>430905</v>
      </c>
      <c r="B5080" t="str">
        <f>VLOOKUP(A5080,Planilha2!$A$2:$C$5566,3,0)</f>
        <v>GLORINHA</v>
      </c>
      <c r="C5080" t="str">
        <f>VLOOKUP(A5080,Planilha2!$A$2:$D$5566,4,0)</f>
        <v>RS</v>
      </c>
    </row>
    <row r="5081" spans="1:3" x14ac:dyDescent="0.35">
      <c r="A5081">
        <v>430265</v>
      </c>
      <c r="B5081" t="str">
        <f>VLOOKUP(A5081,Planilha2!$A$2:$C$5566,3,0)</f>
        <v>BROCHIER</v>
      </c>
      <c r="C5081" t="str">
        <f>VLOOKUP(A5081,Planilha2!$A$2:$D$5566,4,0)</f>
        <v>RS</v>
      </c>
    </row>
    <row r="5082" spans="1:3" x14ac:dyDescent="0.35">
      <c r="A5082">
        <v>130195</v>
      </c>
      <c r="B5082" t="str">
        <f>VLOOKUP(A5082,Planilha2!$A$2:$C$5566,3,0)</f>
        <v>ITAMARATI</v>
      </c>
      <c r="C5082" t="str">
        <f>VLOOKUP(A5082,Planilha2!$A$2:$D$5566,4,0)</f>
        <v>AM</v>
      </c>
    </row>
    <row r="5083" spans="1:3" x14ac:dyDescent="0.35">
      <c r="A5083">
        <v>171240</v>
      </c>
      <c r="B5083" t="str">
        <f>VLOOKUP(A5083,Planilha2!$A$2:$C$5566,3,0)</f>
        <v>LIZARDA</v>
      </c>
      <c r="C5083" t="str">
        <f>VLOOKUP(A5083,Planilha2!$A$2:$D$5566,4,0)</f>
        <v>TO</v>
      </c>
    </row>
    <row r="5084" spans="1:3" x14ac:dyDescent="0.35">
      <c r="A5084">
        <v>172097</v>
      </c>
      <c r="B5084" t="str">
        <f>VLOOKUP(A5084,Planilha2!$A$2:$C$5566,3,0)</f>
        <v>TALISMÃ</v>
      </c>
      <c r="C5084" t="str">
        <f>VLOOKUP(A5084,Planilha2!$A$2:$D$5566,4,0)</f>
        <v>TO</v>
      </c>
    </row>
    <row r="5085" spans="1:3" x14ac:dyDescent="0.35">
      <c r="A5085">
        <v>170040</v>
      </c>
      <c r="B5085" t="str">
        <f>VLOOKUP(A5085,Planilha2!$A$2:$C$5566,3,0)</f>
        <v>ALMAS</v>
      </c>
      <c r="C5085" t="str">
        <f>VLOOKUP(A5085,Planilha2!$A$2:$D$5566,4,0)</f>
        <v>TO</v>
      </c>
    </row>
    <row r="5086" spans="1:3" x14ac:dyDescent="0.35">
      <c r="A5086">
        <v>211125</v>
      </c>
      <c r="B5086" t="str">
        <f>VLOOKUP(A5086,Planilha2!$A$2:$C$5566,3,0)</f>
        <v>SÃO JOSÉ DOS BASÍLIOS</v>
      </c>
      <c r="C5086" t="str">
        <f>VLOOKUP(A5086,Planilha2!$A$2:$D$5566,4,0)</f>
        <v>MA</v>
      </c>
    </row>
    <row r="5087" spans="1:3" x14ac:dyDescent="0.35">
      <c r="A5087">
        <v>220202</v>
      </c>
      <c r="B5087" t="str">
        <f>VLOOKUP(A5087,Planilha2!$A$2:$C$5566,3,0)</f>
        <v>BURITI DOS MONTES</v>
      </c>
      <c r="C5087" t="str">
        <f>VLOOKUP(A5087,Planilha2!$A$2:$D$5566,4,0)</f>
        <v>PI</v>
      </c>
    </row>
    <row r="5088" spans="1:3" x14ac:dyDescent="0.35">
      <c r="A5088">
        <v>251160</v>
      </c>
      <c r="B5088" t="str">
        <f>VLOOKUP(A5088,Planilha2!$A$2:$C$5566,3,0)</f>
        <v>PILÕES</v>
      </c>
      <c r="C5088" t="str">
        <f>VLOOKUP(A5088,Planilha2!$A$2:$D$5566,4,0)</f>
        <v>PB</v>
      </c>
    </row>
    <row r="5089" spans="1:3" x14ac:dyDescent="0.35">
      <c r="A5089">
        <v>292273</v>
      </c>
      <c r="B5089" t="str">
        <f>VLOOKUP(A5089,Planilha2!$A$2:$C$5566,3,0)</f>
        <v>NOVA FÁTIMA</v>
      </c>
      <c r="C5089" t="str">
        <f>VLOOKUP(A5089,Planilha2!$A$2:$D$5566,4,0)</f>
        <v>BA</v>
      </c>
    </row>
    <row r="5090" spans="1:3" x14ac:dyDescent="0.35">
      <c r="A5090">
        <v>314850</v>
      </c>
      <c r="B5090" t="str">
        <f>VLOOKUP(A5090,Planilha2!$A$2:$C$5566,3,0)</f>
        <v>PAVÃO</v>
      </c>
      <c r="C5090" t="str">
        <f>VLOOKUP(A5090,Planilha2!$A$2:$D$5566,4,0)</f>
        <v>MG</v>
      </c>
    </row>
    <row r="5091" spans="1:3" x14ac:dyDescent="0.35">
      <c r="A5091">
        <v>315190</v>
      </c>
      <c r="B5091" t="str">
        <f>VLOOKUP(A5091,Planilha2!$A$2:$C$5566,3,0)</f>
        <v>POCRANE</v>
      </c>
      <c r="C5091" t="str">
        <f>VLOOKUP(A5091,Planilha2!$A$2:$D$5566,4,0)</f>
        <v>MG</v>
      </c>
    </row>
    <row r="5092" spans="1:3" x14ac:dyDescent="0.35">
      <c r="A5092">
        <v>310650</v>
      </c>
      <c r="B5092" t="str">
        <f>VLOOKUP(A5092,Planilha2!$A$2:$C$5566,3,0)</f>
        <v>BERILO</v>
      </c>
      <c r="C5092" t="str">
        <f>VLOOKUP(A5092,Planilha2!$A$2:$D$5566,4,0)</f>
        <v>MG</v>
      </c>
    </row>
    <row r="5093" spans="1:3" x14ac:dyDescent="0.35">
      <c r="A5093">
        <v>314820</v>
      </c>
      <c r="B5093" t="str">
        <f>VLOOKUP(A5093,Planilha2!$A$2:$C$5566,3,0)</f>
        <v>PATROCÍNIO DO MURIAÉ</v>
      </c>
      <c r="C5093" t="str">
        <f>VLOOKUP(A5093,Planilha2!$A$2:$D$5566,4,0)</f>
        <v>MG</v>
      </c>
    </row>
    <row r="5094" spans="1:3" x14ac:dyDescent="0.35">
      <c r="A5094">
        <v>315940</v>
      </c>
      <c r="B5094" t="str">
        <f>VLOOKUP(A5094,Planilha2!$A$2:$C$5566,3,0)</f>
        <v>SANTA RITA DE IBITIPOCA</v>
      </c>
      <c r="C5094" t="str">
        <f>VLOOKUP(A5094,Planilha2!$A$2:$D$5566,4,0)</f>
        <v>MG</v>
      </c>
    </row>
    <row r="5095" spans="1:3" x14ac:dyDescent="0.35">
      <c r="A5095">
        <v>312040</v>
      </c>
      <c r="B5095" t="str">
        <f>VLOOKUP(A5095,Planilha2!$A$2:$C$5566,3,0)</f>
        <v>CRISTIANO OTONI</v>
      </c>
      <c r="C5095" t="str">
        <f>VLOOKUP(A5095,Planilha2!$A$2:$D$5566,4,0)</f>
        <v>MG</v>
      </c>
    </row>
    <row r="5096" spans="1:3" x14ac:dyDescent="0.35">
      <c r="A5096">
        <v>354920</v>
      </c>
      <c r="B5096" t="str">
        <f>VLOOKUP(A5096,Planilha2!$A$2:$C$5566,3,0)</f>
        <v>SÃO JOÃO DAS DUAS PONTES</v>
      </c>
      <c r="C5096" t="str">
        <f>VLOOKUP(A5096,Planilha2!$A$2:$D$5566,4,0)</f>
        <v>SP</v>
      </c>
    </row>
    <row r="5097" spans="1:3" x14ac:dyDescent="0.35">
      <c r="A5097">
        <v>351800</v>
      </c>
      <c r="B5097" t="str">
        <f>VLOOKUP(A5097,Planilha2!$A$2:$C$5566,3,0)</f>
        <v>GUARANI D`OESTE</v>
      </c>
      <c r="C5097" t="str">
        <f>VLOOKUP(A5097,Planilha2!$A$2:$D$5566,4,0)</f>
        <v>SP</v>
      </c>
    </row>
    <row r="5098" spans="1:3" x14ac:dyDescent="0.35">
      <c r="A5098">
        <v>351010</v>
      </c>
      <c r="B5098" t="str">
        <f>VLOOKUP(A5098,Planilha2!$A$2:$C$5566,3,0)</f>
        <v>CÂNDIDO RODRIGUES</v>
      </c>
      <c r="C5098" t="str">
        <f>VLOOKUP(A5098,Planilha2!$A$2:$D$5566,4,0)</f>
        <v>SP</v>
      </c>
    </row>
    <row r="5099" spans="1:3" x14ac:dyDescent="0.35">
      <c r="A5099">
        <v>352110</v>
      </c>
      <c r="B5099" t="str">
        <f>VLOOKUP(A5099,Planilha2!$A$2:$C$5566,3,0)</f>
        <v>IPEÚNA</v>
      </c>
      <c r="C5099" t="str">
        <f>VLOOKUP(A5099,Planilha2!$A$2:$D$5566,4,0)</f>
        <v>SP</v>
      </c>
    </row>
    <row r="5100" spans="1:3" x14ac:dyDescent="0.35">
      <c r="A5100">
        <v>354325</v>
      </c>
      <c r="B5100" t="str">
        <f>VLOOKUP(A5100,Planilha2!$A$2:$C$5566,3,0)</f>
        <v>RIBEIRÃO GRANDE</v>
      </c>
      <c r="C5100" t="str">
        <f>VLOOKUP(A5100,Planilha2!$A$2:$D$5566,4,0)</f>
        <v>SP</v>
      </c>
    </row>
    <row r="5101" spans="1:3" x14ac:dyDescent="0.35">
      <c r="A5101">
        <v>353640</v>
      </c>
      <c r="B5101" t="str">
        <f>VLOOKUP(A5101,Planilha2!$A$2:$C$5566,3,0)</f>
        <v>PAULICÉIA</v>
      </c>
      <c r="C5101" t="str">
        <f>VLOOKUP(A5101,Planilha2!$A$2:$D$5566,4,0)</f>
        <v>SP</v>
      </c>
    </row>
    <row r="5102" spans="1:3" x14ac:dyDescent="0.35">
      <c r="A5102">
        <v>420740</v>
      </c>
      <c r="B5102" t="str">
        <f>VLOOKUP(A5102,Planilha2!$A$2:$C$5566,3,0)</f>
        <v>IMBUIA</v>
      </c>
      <c r="C5102" t="str">
        <f>VLOOKUP(A5102,Planilha2!$A$2:$D$5566,4,0)</f>
        <v>SC</v>
      </c>
    </row>
    <row r="5103" spans="1:3" x14ac:dyDescent="0.35">
      <c r="A5103">
        <v>421790</v>
      </c>
      <c r="B5103" t="str">
        <f>VLOOKUP(A5103,Planilha2!$A$2:$C$5566,3,0)</f>
        <v>TANGARÁ</v>
      </c>
      <c r="C5103" t="str">
        <f>VLOOKUP(A5103,Planilha2!$A$2:$D$5566,4,0)</f>
        <v>SC</v>
      </c>
    </row>
    <row r="5104" spans="1:3" x14ac:dyDescent="0.35">
      <c r="A5104">
        <v>421240</v>
      </c>
      <c r="B5104" t="str">
        <f>VLOOKUP(A5104,Planilha2!$A$2:$C$5566,3,0)</f>
        <v>PEDRAS GRANDES</v>
      </c>
      <c r="C5104" t="str">
        <f>VLOOKUP(A5104,Planilha2!$A$2:$D$5566,4,0)</f>
        <v>SC</v>
      </c>
    </row>
    <row r="5105" spans="1:3" x14ac:dyDescent="0.35">
      <c r="A5105">
        <v>430595</v>
      </c>
      <c r="B5105" t="str">
        <f>VLOOKUP(A5105,Planilha2!$A$2:$C$5566,3,0)</f>
        <v>COTIPORÃ</v>
      </c>
      <c r="C5105" t="str">
        <f>VLOOKUP(A5105,Planilha2!$A$2:$D$5566,4,0)</f>
        <v>RS</v>
      </c>
    </row>
    <row r="5106" spans="1:3" x14ac:dyDescent="0.35">
      <c r="A5106">
        <v>430367</v>
      </c>
      <c r="B5106" t="str">
        <f>VLOOKUP(A5106,Planilha2!$A$2:$C$5566,3,0)</f>
        <v>CAMPESTRE DA SERRA</v>
      </c>
      <c r="C5106" t="str">
        <f>VLOOKUP(A5106,Planilha2!$A$2:$D$5566,4,0)</f>
        <v>RS</v>
      </c>
    </row>
    <row r="5107" spans="1:3" x14ac:dyDescent="0.35">
      <c r="A5107">
        <v>431046</v>
      </c>
      <c r="B5107" t="str">
        <f>VLOOKUP(A5107,Planilha2!$A$2:$C$5566,3,0)</f>
        <v>IPIRANGA DO SUL</v>
      </c>
      <c r="C5107" t="str">
        <f>VLOOKUP(A5107,Planilha2!$A$2:$D$5566,4,0)</f>
        <v>RS</v>
      </c>
    </row>
    <row r="5108" spans="1:3" x14ac:dyDescent="0.35">
      <c r="A5108">
        <v>510452</v>
      </c>
      <c r="B5108" t="str">
        <f>VLOOKUP(A5108,Planilha2!$A$2:$C$5566,3,0)</f>
        <v>IPIRANGA DO NORTE</v>
      </c>
      <c r="C5108" t="str">
        <f>VLOOKUP(A5108,Planilha2!$A$2:$D$5566,4,0)</f>
        <v>MT</v>
      </c>
    </row>
    <row r="5109" spans="1:3" x14ac:dyDescent="0.35">
      <c r="A5109">
        <v>520929</v>
      </c>
      <c r="B5109" t="str">
        <f>VLOOKUP(A5109,Planilha2!$A$2:$C$5566,3,0)</f>
        <v>GUARAÍTA</v>
      </c>
      <c r="C5109" t="str">
        <f>VLOOKUP(A5109,Planilha2!$A$2:$D$5566,4,0)</f>
        <v>GO</v>
      </c>
    </row>
    <row r="5110" spans="1:3" x14ac:dyDescent="0.35">
      <c r="A5110">
        <v>520570</v>
      </c>
      <c r="B5110" t="str">
        <f>VLOOKUP(A5110,Planilha2!$A$2:$C$5566,3,0)</f>
        <v>CÓRREGO DO OURO</v>
      </c>
      <c r="C5110" t="str">
        <f>VLOOKUP(A5110,Planilha2!$A$2:$D$5566,4,0)</f>
        <v>GO</v>
      </c>
    </row>
    <row r="5111" spans="1:3" x14ac:dyDescent="0.35">
      <c r="A5111">
        <v>220095</v>
      </c>
      <c r="B5111" t="str">
        <f>VLOOKUP(A5111,Planilha2!$A$2:$C$5566,3,0)</f>
        <v>AROEIRAS DO ITAIM</v>
      </c>
      <c r="C5111" t="str">
        <f>VLOOKUP(A5111,Planilha2!$A$2:$D$5566,4,0)</f>
        <v>PI</v>
      </c>
    </row>
    <row r="5112" spans="1:3" x14ac:dyDescent="0.35">
      <c r="A5112">
        <v>220460</v>
      </c>
      <c r="B5112" t="str">
        <f>VLOOKUP(A5112,Planilha2!$A$2:$C$5566,3,0)</f>
        <v>HUGO NAPOLEÃO</v>
      </c>
      <c r="C5112" t="str">
        <f>VLOOKUP(A5112,Planilha2!$A$2:$D$5566,4,0)</f>
        <v>PI</v>
      </c>
    </row>
    <row r="5113" spans="1:3" x14ac:dyDescent="0.35">
      <c r="A5113">
        <v>430045</v>
      </c>
      <c r="B5113" t="str">
        <f>VLOOKUP(A5113,Planilha2!$A$2:$C$5566,3,0)</f>
        <v>ALEGRIA</v>
      </c>
      <c r="C5113" t="str">
        <f>VLOOKUP(A5113,Planilha2!$A$2:$D$5566,4,0)</f>
        <v>RS</v>
      </c>
    </row>
    <row r="5114" spans="1:3" x14ac:dyDescent="0.35">
      <c r="A5114">
        <v>431339</v>
      </c>
      <c r="B5114" t="str">
        <f>VLOOKUP(A5114,Planilha2!$A$2:$C$5566,3,0)</f>
        <v>NOVO CABRAIS</v>
      </c>
      <c r="C5114" t="str">
        <f>VLOOKUP(A5114,Planilha2!$A$2:$D$5566,4,0)</f>
        <v>RS</v>
      </c>
    </row>
    <row r="5115" spans="1:3" x14ac:dyDescent="0.35">
      <c r="A5115">
        <v>431301</v>
      </c>
      <c r="B5115" t="str">
        <f>VLOOKUP(A5115,Planilha2!$A$2:$C$5566,3,0)</f>
        <v>NOVA CANDELÁRIA</v>
      </c>
      <c r="C5115" t="str">
        <f>VLOOKUP(A5115,Planilha2!$A$2:$D$5566,4,0)</f>
        <v>RS</v>
      </c>
    </row>
    <row r="5116" spans="1:3" x14ac:dyDescent="0.35">
      <c r="A5116">
        <v>510517</v>
      </c>
      <c r="B5116" t="str">
        <f>VLOOKUP(A5116,Planilha2!$A$2:$C$5566,3,0)</f>
        <v>JURUENA</v>
      </c>
      <c r="C5116" t="str">
        <f>VLOOKUP(A5116,Planilha2!$A$2:$D$5566,4,0)</f>
        <v>MT</v>
      </c>
    </row>
    <row r="5117" spans="1:3" x14ac:dyDescent="0.35">
      <c r="A5117">
        <v>522220</v>
      </c>
      <c r="B5117" t="str">
        <f>VLOOKUP(A5117,Planilha2!$A$2:$C$5566,3,0)</f>
        <v>VILA BOA</v>
      </c>
      <c r="C5117" t="str">
        <f>VLOOKUP(A5117,Planilha2!$A$2:$D$5566,4,0)</f>
        <v>GO</v>
      </c>
    </row>
    <row r="5118" spans="1:3" x14ac:dyDescent="0.35">
      <c r="A5118">
        <v>170110</v>
      </c>
      <c r="B5118" t="str">
        <f>VLOOKUP(A5118,Planilha2!$A$2:$C$5566,3,0)</f>
        <v>APARECIDA DO RIO NEGRO</v>
      </c>
      <c r="C5118" t="str">
        <f>VLOOKUP(A5118,Planilha2!$A$2:$D$5566,4,0)</f>
        <v>TO</v>
      </c>
    </row>
    <row r="5119" spans="1:3" x14ac:dyDescent="0.35">
      <c r="A5119">
        <v>210260</v>
      </c>
      <c r="B5119" t="str">
        <f>VLOOKUP(A5119,Planilha2!$A$2:$C$5566,3,0)</f>
        <v>CÂNDIDO MENDES</v>
      </c>
      <c r="C5119" t="str">
        <f>VLOOKUP(A5119,Planilha2!$A$2:$D$5566,4,0)</f>
        <v>MA</v>
      </c>
    </row>
    <row r="5120" spans="1:3" x14ac:dyDescent="0.35">
      <c r="A5120">
        <v>313657</v>
      </c>
      <c r="B5120" t="str">
        <f>VLOOKUP(A5120,Planilha2!$A$2:$C$5566,3,0)</f>
        <v>JOSENÓPOLIS</v>
      </c>
      <c r="C5120" t="str">
        <f>VLOOKUP(A5120,Planilha2!$A$2:$D$5566,4,0)</f>
        <v>MG</v>
      </c>
    </row>
    <row r="5121" spans="1:3" x14ac:dyDescent="0.35">
      <c r="A5121">
        <v>310240</v>
      </c>
      <c r="B5121" t="str">
        <f>VLOOKUP(A5121,Planilha2!$A$2:$C$5566,3,0)</f>
        <v>ALVORADA DE MINAS</v>
      </c>
      <c r="C5121" t="str">
        <f>VLOOKUP(A5121,Planilha2!$A$2:$D$5566,4,0)</f>
        <v>MG</v>
      </c>
    </row>
    <row r="5122" spans="1:3" x14ac:dyDescent="0.35">
      <c r="A5122">
        <v>316300</v>
      </c>
      <c r="B5122" t="str">
        <f>VLOOKUP(A5122,Planilha2!$A$2:$C$5566,3,0)</f>
        <v>SÃO JOSÉ DA SAFIRA</v>
      </c>
      <c r="C5122" t="str">
        <f>VLOOKUP(A5122,Planilha2!$A$2:$D$5566,4,0)</f>
        <v>MG</v>
      </c>
    </row>
    <row r="5123" spans="1:3" x14ac:dyDescent="0.35">
      <c r="A5123">
        <v>316460</v>
      </c>
      <c r="B5123" t="str">
        <f>VLOOKUP(A5123,Planilha2!$A$2:$C$5566,3,0)</f>
        <v>SÃO SEBASTIÃO DO OESTE</v>
      </c>
      <c r="C5123" t="str">
        <f>VLOOKUP(A5123,Planilha2!$A$2:$D$5566,4,0)</f>
        <v>MG</v>
      </c>
    </row>
    <row r="5124" spans="1:3" x14ac:dyDescent="0.35">
      <c r="A5124">
        <v>311980</v>
      </c>
      <c r="B5124" t="str">
        <f>VLOOKUP(A5124,Planilha2!$A$2:$C$5566,3,0)</f>
        <v>CÓRREGO DANTA</v>
      </c>
      <c r="C5124" t="str">
        <f>VLOOKUP(A5124,Planilha2!$A$2:$D$5566,4,0)</f>
        <v>MG</v>
      </c>
    </row>
    <row r="5125" spans="1:3" x14ac:dyDescent="0.35">
      <c r="A5125">
        <v>315053</v>
      </c>
      <c r="B5125" t="str">
        <f>VLOOKUP(A5125,Planilha2!$A$2:$C$5566,3,0)</f>
        <v>PINGO D`ÁGUA</v>
      </c>
      <c r="C5125" t="str">
        <f>VLOOKUP(A5125,Planilha2!$A$2:$D$5566,4,0)</f>
        <v>MG</v>
      </c>
    </row>
    <row r="5126" spans="1:3" x14ac:dyDescent="0.35">
      <c r="A5126">
        <v>312650</v>
      </c>
      <c r="B5126" t="str">
        <f>VLOOKUP(A5126,Planilha2!$A$2:$C$5566,3,0)</f>
        <v>FRANCISCO BADARÓ</v>
      </c>
      <c r="C5126" t="str">
        <f>VLOOKUP(A5126,Planilha2!$A$2:$D$5566,4,0)</f>
        <v>MG</v>
      </c>
    </row>
    <row r="5127" spans="1:3" x14ac:dyDescent="0.35">
      <c r="A5127">
        <v>351720</v>
      </c>
      <c r="B5127" t="str">
        <f>VLOOKUP(A5127,Planilha2!$A$2:$C$5566,3,0)</f>
        <v>GUAIÇARA</v>
      </c>
      <c r="C5127" t="str">
        <f>VLOOKUP(A5127,Planilha2!$A$2:$D$5566,4,0)</f>
        <v>SP</v>
      </c>
    </row>
    <row r="5128" spans="1:3" x14ac:dyDescent="0.35">
      <c r="A5128">
        <v>350080</v>
      </c>
      <c r="B5128" t="str">
        <f>VLOOKUP(A5128,Planilha2!$A$2:$C$5566,3,0)</f>
        <v>ALFREDO MARCONDES</v>
      </c>
      <c r="C5128" t="str">
        <f>VLOOKUP(A5128,Planilha2!$A$2:$D$5566,4,0)</f>
        <v>SP</v>
      </c>
    </row>
    <row r="5129" spans="1:3" x14ac:dyDescent="0.35">
      <c r="A5129">
        <v>500090</v>
      </c>
      <c r="B5129" t="str">
        <f>VLOOKUP(A5129,Planilha2!$A$2:$C$5566,3,0)</f>
        <v>ANTÔNIO JOÃO</v>
      </c>
      <c r="C5129" t="str">
        <f>VLOOKUP(A5129,Planilha2!$A$2:$D$5566,4,0)</f>
        <v>MS</v>
      </c>
    </row>
    <row r="5130" spans="1:3" x14ac:dyDescent="0.35">
      <c r="A5130">
        <v>420915</v>
      </c>
      <c r="B5130" t="str">
        <f>VLOOKUP(A5130,Planilha2!$A$2:$C$5566,3,0)</f>
        <v>JOSÉ BOITEUX</v>
      </c>
      <c r="C5130" t="str">
        <f>VLOOKUP(A5130,Planilha2!$A$2:$D$5566,4,0)</f>
        <v>SC</v>
      </c>
    </row>
    <row r="5131" spans="1:3" x14ac:dyDescent="0.35">
      <c r="A5131">
        <v>420030</v>
      </c>
      <c r="B5131" t="str">
        <f>VLOOKUP(A5131,Planilha2!$A$2:$C$5566,3,0)</f>
        <v>AGRONÔMICA</v>
      </c>
      <c r="C5131" t="str">
        <f>VLOOKUP(A5131,Planilha2!$A$2:$D$5566,4,0)</f>
        <v>SC</v>
      </c>
    </row>
    <row r="5132" spans="1:3" x14ac:dyDescent="0.35">
      <c r="A5132">
        <v>430055</v>
      </c>
      <c r="B5132" t="str">
        <f>VLOOKUP(A5132,Planilha2!$A$2:$C$5566,3,0)</f>
        <v>ALTO ALEGRE</v>
      </c>
      <c r="C5132" t="str">
        <f>VLOOKUP(A5132,Planilha2!$A$2:$D$5566,4,0)</f>
        <v>RS</v>
      </c>
    </row>
    <row r="5133" spans="1:3" x14ac:dyDescent="0.35">
      <c r="A5133">
        <v>410600</v>
      </c>
      <c r="B5133" t="str">
        <f>VLOOKUP(A5133,Planilha2!$A$2:$C$5566,3,0)</f>
        <v>CONGONHINHAS</v>
      </c>
      <c r="C5133" t="str">
        <f>VLOOKUP(A5133,Planilha2!$A$2:$D$5566,4,0)</f>
        <v>PR</v>
      </c>
    </row>
    <row r="5134" spans="1:3" x14ac:dyDescent="0.35">
      <c r="A5134">
        <v>520280</v>
      </c>
      <c r="B5134" t="str">
        <f>VLOOKUP(A5134,Planilha2!$A$2:$C$5566,3,0)</f>
        <v>AVELINÓPOLIS</v>
      </c>
      <c r="C5134" t="str">
        <f>VLOOKUP(A5134,Planilha2!$A$2:$D$5566,4,0)</f>
        <v>GO</v>
      </c>
    </row>
    <row r="5135" spans="1:3" x14ac:dyDescent="0.35">
      <c r="A5135">
        <v>171515</v>
      </c>
      <c r="B5135" t="str">
        <f>VLOOKUP(A5135,Planilha2!$A$2:$C$5566,3,0)</f>
        <v>NOVO ALEGRE</v>
      </c>
      <c r="C5135" t="str">
        <f>VLOOKUP(A5135,Planilha2!$A$2:$D$5566,4,0)</f>
        <v>TO</v>
      </c>
    </row>
    <row r="5136" spans="1:3" x14ac:dyDescent="0.35">
      <c r="A5136">
        <v>431344</v>
      </c>
      <c r="B5136" t="str">
        <f>VLOOKUP(A5136,Planilha2!$A$2:$C$5566,3,0)</f>
        <v>NOVO TIRADENTES</v>
      </c>
      <c r="C5136" t="str">
        <f>VLOOKUP(A5136,Planilha2!$A$2:$D$5566,4,0)</f>
        <v>RS</v>
      </c>
    </row>
    <row r="5137" spans="1:3" x14ac:dyDescent="0.35">
      <c r="A5137">
        <v>171245</v>
      </c>
      <c r="B5137" t="str">
        <f>VLOOKUP(A5137,Planilha2!$A$2:$C$5566,3,0)</f>
        <v>LUZINÓPOLIS</v>
      </c>
      <c r="C5137" t="str">
        <f>VLOOKUP(A5137,Planilha2!$A$2:$D$5566,4,0)</f>
        <v>TO</v>
      </c>
    </row>
    <row r="5138" spans="1:3" x14ac:dyDescent="0.35">
      <c r="A5138">
        <v>316165</v>
      </c>
      <c r="B5138" t="str">
        <f>VLOOKUP(A5138,Planilha2!$A$2:$C$5566,3,0)</f>
        <v>SÃO GERALDO DO BAIXIO</v>
      </c>
      <c r="C5138" t="str">
        <f>VLOOKUP(A5138,Planilha2!$A$2:$D$5566,4,0)</f>
        <v>MG</v>
      </c>
    </row>
    <row r="5139" spans="1:3" x14ac:dyDescent="0.35">
      <c r="A5139">
        <v>313730</v>
      </c>
      <c r="B5139" t="str">
        <f>VLOOKUP(A5139,Planilha2!$A$2:$C$5566,3,0)</f>
        <v>LAGOA DOS PATOS</v>
      </c>
      <c r="C5139" t="str">
        <f>VLOOKUP(A5139,Planilha2!$A$2:$D$5566,4,0)</f>
        <v>MG</v>
      </c>
    </row>
    <row r="5140" spans="1:3" x14ac:dyDescent="0.35">
      <c r="A5140">
        <v>320200</v>
      </c>
      <c r="B5140" t="str">
        <f>VLOOKUP(A5140,Planilha2!$A$2:$C$5566,3,0)</f>
        <v>DORES DO RIO PRETO</v>
      </c>
      <c r="C5140" t="str">
        <f>VLOOKUP(A5140,Planilha2!$A$2:$D$5566,4,0)</f>
        <v>ES</v>
      </c>
    </row>
    <row r="5141" spans="1:3" x14ac:dyDescent="0.35">
      <c r="A5141">
        <v>320260</v>
      </c>
      <c r="B5141" t="str">
        <f>VLOOKUP(A5141,Planilha2!$A$2:$C$5566,3,0)</f>
        <v>ICONHA</v>
      </c>
      <c r="C5141" t="str">
        <f>VLOOKUP(A5141,Planilha2!$A$2:$D$5566,4,0)</f>
        <v>ES</v>
      </c>
    </row>
    <row r="5142" spans="1:3" x14ac:dyDescent="0.35">
      <c r="A5142">
        <v>351492</v>
      </c>
      <c r="B5142" t="str">
        <f>VLOOKUP(A5142,Planilha2!$A$2:$C$5566,3,0)</f>
        <v>ELISIÁRIO</v>
      </c>
      <c r="C5142" t="str">
        <f>VLOOKUP(A5142,Planilha2!$A$2:$D$5566,4,0)</f>
        <v>SP</v>
      </c>
    </row>
    <row r="5143" spans="1:3" x14ac:dyDescent="0.35">
      <c r="A5143">
        <v>351385</v>
      </c>
      <c r="B5143" t="str">
        <f>VLOOKUP(A5143,Planilha2!$A$2:$C$5566,3,0)</f>
        <v>DIRCE REIS</v>
      </c>
      <c r="C5143" t="str">
        <f>VLOOKUP(A5143,Planilha2!$A$2:$D$5566,4,0)</f>
        <v>SP</v>
      </c>
    </row>
    <row r="5144" spans="1:3" x14ac:dyDescent="0.35">
      <c r="A5144">
        <v>430223</v>
      </c>
      <c r="B5144" t="str">
        <f>VLOOKUP(A5144,Planilha2!$A$2:$C$5566,3,0)</f>
        <v>BOA VISTA DO INCRA</v>
      </c>
      <c r="C5144" t="str">
        <f>VLOOKUP(A5144,Planilha2!$A$2:$D$5566,4,0)</f>
        <v>RS</v>
      </c>
    </row>
    <row r="5145" spans="1:3" x14ac:dyDescent="0.35">
      <c r="A5145">
        <v>430783</v>
      </c>
      <c r="B5145" t="str">
        <f>VLOOKUP(A5145,Planilha2!$A$2:$C$5566,3,0)</f>
        <v>EUGÊNIO DE CASTRO</v>
      </c>
      <c r="C5145" t="str">
        <f>VLOOKUP(A5145,Planilha2!$A$2:$D$5566,4,0)</f>
        <v>RS</v>
      </c>
    </row>
    <row r="5146" spans="1:3" x14ac:dyDescent="0.35">
      <c r="A5146">
        <v>430673</v>
      </c>
      <c r="B5146" t="str">
        <f>VLOOKUP(A5146,Planilha2!$A$2:$C$5566,3,0)</f>
        <v>DOUTOR MAURÍCIO CARDOSO</v>
      </c>
      <c r="C5146" t="str">
        <f>VLOOKUP(A5146,Planilha2!$A$2:$D$5566,4,0)</f>
        <v>RS</v>
      </c>
    </row>
    <row r="5147" spans="1:3" x14ac:dyDescent="0.35">
      <c r="A5147">
        <v>432285</v>
      </c>
      <c r="B5147" t="str">
        <f>VLOOKUP(A5147,Planilha2!$A$2:$C$5566,3,0)</f>
        <v>VESPASIANO CORREA</v>
      </c>
      <c r="C5147" t="str">
        <f>VLOOKUP(A5147,Planilha2!$A$2:$D$5566,4,0)</f>
        <v>RS</v>
      </c>
    </row>
    <row r="5148" spans="1:3" x14ac:dyDescent="0.35">
      <c r="A5148">
        <v>430605</v>
      </c>
      <c r="B5148" t="str">
        <f>VLOOKUP(A5148,Planilha2!$A$2:$C$5566,3,0)</f>
        <v>CRISTAL</v>
      </c>
      <c r="C5148" t="str">
        <f>VLOOKUP(A5148,Planilha2!$A$2:$D$5566,4,0)</f>
        <v>RS</v>
      </c>
    </row>
    <row r="5149" spans="1:3" x14ac:dyDescent="0.35">
      <c r="A5149">
        <v>431262</v>
      </c>
      <c r="B5149" t="str">
        <f>VLOOKUP(A5149,Planilha2!$A$2:$C$5566,3,0)</f>
        <v>MULITERNO</v>
      </c>
      <c r="C5149" t="str">
        <f>VLOOKUP(A5149,Planilha2!$A$2:$D$5566,4,0)</f>
        <v>RS</v>
      </c>
    </row>
    <row r="5150" spans="1:3" x14ac:dyDescent="0.35">
      <c r="A5150">
        <v>431673</v>
      </c>
      <c r="B5150" t="str">
        <f>VLOOKUP(A5150,Planilha2!$A$2:$C$5566,3,0)</f>
        <v>SANTA CECÍLIA DO SUL</v>
      </c>
      <c r="C5150" t="str">
        <f>VLOOKUP(A5150,Planilha2!$A$2:$D$5566,4,0)</f>
        <v>RS</v>
      </c>
    </row>
    <row r="5151" spans="1:3" x14ac:dyDescent="0.35">
      <c r="A5151">
        <v>431620</v>
      </c>
      <c r="B5151" t="str">
        <f>VLOOKUP(A5151,Planilha2!$A$2:$C$5566,3,0)</f>
        <v>RONDINHA</v>
      </c>
      <c r="C5151" t="str">
        <f>VLOOKUP(A5151,Planilha2!$A$2:$D$5566,4,0)</f>
        <v>RS</v>
      </c>
    </row>
    <row r="5152" spans="1:3" x14ac:dyDescent="0.35">
      <c r="A5152">
        <v>431545</v>
      </c>
      <c r="B5152" t="str">
        <f>VLOOKUP(A5152,Planilha2!$A$2:$C$5566,3,0)</f>
        <v>RELVADO</v>
      </c>
      <c r="C5152" t="str">
        <f>VLOOKUP(A5152,Planilha2!$A$2:$D$5566,4,0)</f>
        <v>RS</v>
      </c>
    </row>
    <row r="5153" spans="1:3" x14ac:dyDescent="0.35">
      <c r="A5153">
        <v>520915</v>
      </c>
      <c r="B5153" t="str">
        <f>VLOOKUP(A5153,Planilha2!$A$2:$C$5566,3,0)</f>
        <v>GOUVELÂNDIA</v>
      </c>
      <c r="C5153" t="str">
        <f>VLOOKUP(A5153,Planilha2!$A$2:$D$5566,4,0)</f>
        <v>GO</v>
      </c>
    </row>
    <row r="5154" spans="1:3" x14ac:dyDescent="0.35">
      <c r="A5154">
        <v>240290</v>
      </c>
      <c r="B5154" t="str">
        <f>VLOOKUP(A5154,Planilha2!$A$2:$C$5566,3,0)</f>
        <v>CORONEL JOÃO PESSOA</v>
      </c>
      <c r="C5154" t="str">
        <f>VLOOKUP(A5154,Planilha2!$A$2:$D$5566,4,0)</f>
        <v>RN</v>
      </c>
    </row>
    <row r="5155" spans="1:3" x14ac:dyDescent="0.35">
      <c r="A5155">
        <v>240320</v>
      </c>
      <c r="B5155" t="str">
        <f>VLOOKUP(A5155,Planilha2!$A$2:$C$5566,3,0)</f>
        <v>DOUTOR SEVERIANO</v>
      </c>
      <c r="C5155" t="str">
        <f>VLOOKUP(A5155,Planilha2!$A$2:$D$5566,4,0)</f>
        <v>RN</v>
      </c>
    </row>
    <row r="5156" spans="1:3" x14ac:dyDescent="0.35">
      <c r="A5156">
        <v>251465</v>
      </c>
      <c r="B5156" t="str">
        <f>VLOOKUP(A5156,Planilha2!$A$2:$C$5566,3,0)</f>
        <v>SÃO JOSÉ DO BREJO DO CRUZ</v>
      </c>
      <c r="C5156" t="str">
        <f>VLOOKUP(A5156,Planilha2!$A$2:$D$5566,4,0)</f>
        <v>PB</v>
      </c>
    </row>
    <row r="5157" spans="1:3" x14ac:dyDescent="0.35">
      <c r="A5157">
        <v>251420</v>
      </c>
      <c r="B5157" t="str">
        <f>VLOOKUP(A5157,Planilha2!$A$2:$C$5566,3,0)</f>
        <v>SÃO JOSÉ DA LAGOA TAPADA</v>
      </c>
      <c r="C5157" t="str">
        <f>VLOOKUP(A5157,Planilha2!$A$2:$D$5566,4,0)</f>
        <v>PB</v>
      </c>
    </row>
    <row r="5158" spans="1:3" x14ac:dyDescent="0.35">
      <c r="A5158">
        <v>290220</v>
      </c>
      <c r="B5158" t="str">
        <f>VLOOKUP(A5158,Planilha2!$A$2:$C$5566,3,0)</f>
        <v>ARAMARI</v>
      </c>
      <c r="C5158" t="str">
        <f>VLOOKUP(A5158,Planilha2!$A$2:$D$5566,4,0)</f>
        <v>BA</v>
      </c>
    </row>
    <row r="5159" spans="1:3" x14ac:dyDescent="0.35">
      <c r="A5159">
        <v>316905</v>
      </c>
      <c r="B5159" t="str">
        <f>VLOOKUP(A5159,Planilha2!$A$2:$C$5566,3,0)</f>
        <v>TOCOS DO MOJI</v>
      </c>
      <c r="C5159" t="str">
        <f>VLOOKUP(A5159,Planilha2!$A$2:$D$5566,4,0)</f>
        <v>MG</v>
      </c>
    </row>
    <row r="5160" spans="1:3" x14ac:dyDescent="0.35">
      <c r="A5160">
        <v>313080</v>
      </c>
      <c r="B5160" t="str">
        <f>VLOOKUP(A5160,Planilha2!$A$2:$C$5566,3,0)</f>
        <v>INGAÍ</v>
      </c>
      <c r="C5160" t="str">
        <f>VLOOKUP(A5160,Planilha2!$A$2:$D$5566,4,0)</f>
        <v>MG</v>
      </c>
    </row>
    <row r="5161" spans="1:3" x14ac:dyDescent="0.35">
      <c r="A5161">
        <v>355570</v>
      </c>
      <c r="B5161" t="str">
        <f>VLOOKUP(A5161,Planilha2!$A$2:$C$5566,3,0)</f>
        <v>UNIÃO PAULISTA</v>
      </c>
      <c r="C5161" t="str">
        <f>VLOOKUP(A5161,Planilha2!$A$2:$D$5566,4,0)</f>
        <v>SP</v>
      </c>
    </row>
    <row r="5162" spans="1:3" x14ac:dyDescent="0.35">
      <c r="A5162">
        <v>353380</v>
      </c>
      <c r="B5162" t="str">
        <f>VLOOKUP(A5162,Planilha2!$A$2:$C$5566,3,0)</f>
        <v>ÓLEO</v>
      </c>
      <c r="C5162" t="str">
        <f>VLOOKUP(A5162,Planilha2!$A$2:$D$5566,4,0)</f>
        <v>SP</v>
      </c>
    </row>
    <row r="5163" spans="1:3" x14ac:dyDescent="0.35">
      <c r="A5163">
        <v>510820</v>
      </c>
      <c r="B5163" t="str">
        <f>VLOOKUP(A5163,Planilha2!$A$2:$C$5566,3,0)</f>
        <v>TORIXORÉU</v>
      </c>
      <c r="C5163" t="str">
        <f>VLOOKUP(A5163,Planilha2!$A$2:$D$5566,4,0)</f>
        <v>MT</v>
      </c>
    </row>
    <row r="5164" spans="1:3" x14ac:dyDescent="0.35">
      <c r="A5164">
        <v>412320</v>
      </c>
      <c r="B5164" t="str">
        <f>VLOOKUP(A5164,Planilha2!$A$2:$C$5566,3,0)</f>
        <v>SANTA CECÍLIA DO PAVÃO</v>
      </c>
      <c r="C5164" t="str">
        <f>VLOOKUP(A5164,Planilha2!$A$2:$D$5566,4,0)</f>
        <v>PR</v>
      </c>
    </row>
    <row r="5165" spans="1:3" x14ac:dyDescent="0.35">
      <c r="A5165">
        <v>421635</v>
      </c>
      <c r="B5165" t="str">
        <f>VLOOKUP(A5165,Planilha2!$A$2:$C$5566,3,0)</f>
        <v>SÃO JOÃO DO ITAPERIÚ</v>
      </c>
      <c r="C5165" t="str">
        <f>VLOOKUP(A5165,Planilha2!$A$2:$D$5566,4,0)</f>
        <v>SC</v>
      </c>
    </row>
    <row r="5166" spans="1:3" x14ac:dyDescent="0.35">
      <c r="A5166">
        <v>430597</v>
      </c>
      <c r="B5166" t="str">
        <f>VLOOKUP(A5166,Planilha2!$A$2:$C$5566,3,0)</f>
        <v>COXILHA</v>
      </c>
      <c r="C5166" t="str">
        <f>VLOOKUP(A5166,Planilha2!$A$2:$D$5566,4,0)</f>
        <v>RS</v>
      </c>
    </row>
    <row r="5167" spans="1:3" x14ac:dyDescent="0.35">
      <c r="A5167">
        <v>510523</v>
      </c>
      <c r="B5167" t="str">
        <f>VLOOKUP(A5167,Planilha2!$A$2:$C$5566,3,0)</f>
        <v>LAMBARI D`OESTE</v>
      </c>
      <c r="C5167" t="str">
        <f>VLOOKUP(A5167,Planilha2!$A$2:$D$5566,4,0)</f>
        <v>MT</v>
      </c>
    </row>
    <row r="5168" spans="1:3" x14ac:dyDescent="0.35">
      <c r="A5168">
        <v>521490</v>
      </c>
      <c r="B5168" t="str">
        <f>VLOOKUP(A5168,Planilha2!$A$2:$C$5566,3,0)</f>
        <v>NOVA ROMA</v>
      </c>
      <c r="C5168" t="str">
        <f>VLOOKUP(A5168,Planilha2!$A$2:$D$5566,4,0)</f>
        <v>GO</v>
      </c>
    </row>
    <row r="5169" spans="1:3" x14ac:dyDescent="0.35">
      <c r="A5169">
        <v>522180</v>
      </c>
      <c r="B5169" t="str">
        <f>VLOOKUP(A5169,Planilha2!$A$2:$C$5566,3,0)</f>
        <v>URUTAÍ</v>
      </c>
      <c r="C5169" t="str">
        <f>VLOOKUP(A5169,Planilha2!$A$2:$D$5566,4,0)</f>
        <v>GO</v>
      </c>
    </row>
    <row r="5170" spans="1:3" x14ac:dyDescent="0.35">
      <c r="A5170">
        <v>220590</v>
      </c>
      <c r="B5170" t="str">
        <f>VLOOKUP(A5170,Planilha2!$A$2:$C$5566,3,0)</f>
        <v>MANOEL EMÍDIO</v>
      </c>
      <c r="C5170" t="str">
        <f>VLOOKUP(A5170,Planilha2!$A$2:$D$5566,4,0)</f>
        <v>PI</v>
      </c>
    </row>
    <row r="5171" spans="1:3" x14ac:dyDescent="0.35">
      <c r="A5171">
        <v>220245</v>
      </c>
      <c r="B5171" t="str">
        <f>VLOOKUP(A5171,Planilha2!$A$2:$C$5566,3,0)</f>
        <v>CAPITÃO GERVÁSIO OLIVEIRA</v>
      </c>
      <c r="C5171" t="str">
        <f>VLOOKUP(A5171,Planilha2!$A$2:$D$5566,4,0)</f>
        <v>PI</v>
      </c>
    </row>
    <row r="5172" spans="1:3" x14ac:dyDescent="0.35">
      <c r="A5172">
        <v>315860</v>
      </c>
      <c r="B5172" t="str">
        <f>VLOOKUP(A5172,Planilha2!$A$2:$C$5566,3,0)</f>
        <v>SANTANA DO DESERTO</v>
      </c>
      <c r="C5172" t="str">
        <f>VLOOKUP(A5172,Planilha2!$A$2:$D$5566,4,0)</f>
        <v>MG</v>
      </c>
    </row>
    <row r="5173" spans="1:3" x14ac:dyDescent="0.35">
      <c r="A5173">
        <v>316160</v>
      </c>
      <c r="B5173" t="str">
        <f>VLOOKUP(A5173,Planilha2!$A$2:$C$5566,3,0)</f>
        <v>SÃO GERALDO DA PIEDADE</v>
      </c>
      <c r="C5173" t="str">
        <f>VLOOKUP(A5173,Planilha2!$A$2:$D$5566,4,0)</f>
        <v>MG</v>
      </c>
    </row>
    <row r="5174" spans="1:3" x14ac:dyDescent="0.35">
      <c r="A5174">
        <v>316420</v>
      </c>
      <c r="B5174" t="str">
        <f>VLOOKUP(A5174,Planilha2!$A$2:$C$5566,3,0)</f>
        <v>SÃO ROMÃO</v>
      </c>
      <c r="C5174" t="str">
        <f>VLOOKUP(A5174,Planilha2!$A$2:$D$5566,4,0)</f>
        <v>MG</v>
      </c>
    </row>
    <row r="5175" spans="1:3" x14ac:dyDescent="0.35">
      <c r="A5175">
        <v>430870</v>
      </c>
      <c r="B5175" t="str">
        <f>VLOOKUP(A5175,Planilha2!$A$2:$C$5566,3,0)</f>
        <v>GAURAMA</v>
      </c>
      <c r="C5175" t="str">
        <f>VLOOKUP(A5175,Planilha2!$A$2:$D$5566,4,0)</f>
        <v>RS</v>
      </c>
    </row>
    <row r="5176" spans="1:3" x14ac:dyDescent="0.35">
      <c r="A5176">
        <v>172130</v>
      </c>
      <c r="B5176" t="str">
        <f>VLOOKUP(A5176,Planilha2!$A$2:$C$5566,3,0)</f>
        <v>TUPIRATINS</v>
      </c>
      <c r="C5176" t="str">
        <f>VLOOKUP(A5176,Planilha2!$A$2:$D$5566,4,0)</f>
        <v>TO</v>
      </c>
    </row>
    <row r="5177" spans="1:3" x14ac:dyDescent="0.35">
      <c r="A5177">
        <v>220130</v>
      </c>
      <c r="B5177" t="str">
        <f>VLOOKUP(A5177,Planilha2!$A$2:$C$5566,3,0)</f>
        <v>BARREIRAS DO PIAUÍ</v>
      </c>
      <c r="C5177" t="str">
        <f>VLOOKUP(A5177,Planilha2!$A$2:$D$5566,4,0)</f>
        <v>PI</v>
      </c>
    </row>
    <row r="5178" spans="1:3" x14ac:dyDescent="0.35">
      <c r="A5178">
        <v>250527</v>
      </c>
      <c r="B5178" t="str">
        <f>VLOOKUP(A5178,Planilha2!$A$2:$C$5566,3,0)</f>
        <v>CURRAL DE CIMA</v>
      </c>
      <c r="C5178" t="str">
        <f>VLOOKUP(A5178,Planilha2!$A$2:$D$5566,4,0)</f>
        <v>PB</v>
      </c>
    </row>
    <row r="5179" spans="1:3" x14ac:dyDescent="0.35">
      <c r="A5179">
        <v>290060</v>
      </c>
      <c r="B5179" t="str">
        <f>VLOOKUP(A5179,Planilha2!$A$2:$C$5566,3,0)</f>
        <v>AIQUARA</v>
      </c>
      <c r="C5179" t="str">
        <f>VLOOKUP(A5179,Planilha2!$A$2:$D$5566,4,0)</f>
        <v>BA</v>
      </c>
    </row>
    <row r="5180" spans="1:3" x14ac:dyDescent="0.35">
      <c r="A5180">
        <v>311140</v>
      </c>
      <c r="B5180" t="str">
        <f>VLOOKUP(A5180,Planilha2!$A$2:$C$5566,3,0)</f>
        <v>CAMPO FLORIDO</v>
      </c>
      <c r="C5180" t="str">
        <f>VLOOKUP(A5180,Planilha2!$A$2:$D$5566,4,0)</f>
        <v>MG</v>
      </c>
    </row>
    <row r="5181" spans="1:3" x14ac:dyDescent="0.35">
      <c r="A5181">
        <v>316557</v>
      </c>
      <c r="B5181" t="str">
        <f>VLOOKUP(A5181,Planilha2!$A$2:$C$5566,3,0)</f>
        <v>SENADOR AMARAL</v>
      </c>
      <c r="C5181" t="str">
        <f>VLOOKUP(A5181,Planilha2!$A$2:$D$5566,4,0)</f>
        <v>MG</v>
      </c>
    </row>
    <row r="5182" spans="1:3" x14ac:dyDescent="0.35">
      <c r="A5182">
        <v>311990</v>
      </c>
      <c r="B5182" t="str">
        <f>VLOOKUP(A5182,Planilha2!$A$2:$C$5566,3,0)</f>
        <v>CÓRREGO DO BOM JESUS</v>
      </c>
      <c r="C5182" t="str">
        <f>VLOOKUP(A5182,Planilha2!$A$2:$D$5566,4,0)</f>
        <v>MG</v>
      </c>
    </row>
    <row r="5183" spans="1:3" x14ac:dyDescent="0.35">
      <c r="A5183">
        <v>312740</v>
      </c>
      <c r="B5183" t="str">
        <f>VLOOKUP(A5183,Planilha2!$A$2:$C$5566,3,0)</f>
        <v>GONÇALVES</v>
      </c>
      <c r="C5183" t="str">
        <f>VLOOKUP(A5183,Planilha2!$A$2:$D$5566,4,0)</f>
        <v>MG</v>
      </c>
    </row>
    <row r="5184" spans="1:3" x14ac:dyDescent="0.35">
      <c r="A5184">
        <v>310320</v>
      </c>
      <c r="B5184" t="str">
        <f>VLOOKUP(A5184,Planilha2!$A$2:$C$5566,3,0)</f>
        <v>ARAÇAÍ</v>
      </c>
      <c r="C5184" t="str">
        <f>VLOOKUP(A5184,Planilha2!$A$2:$D$5566,4,0)</f>
        <v>MG</v>
      </c>
    </row>
    <row r="5185" spans="1:3" x14ac:dyDescent="0.35">
      <c r="A5185">
        <v>353990</v>
      </c>
      <c r="B5185" t="str">
        <f>VLOOKUP(A5185,Planilha2!$A$2:$C$5566,3,0)</f>
        <v>POLONI</v>
      </c>
      <c r="C5185" t="str">
        <f>VLOOKUP(A5185,Planilha2!$A$2:$D$5566,4,0)</f>
        <v>SP</v>
      </c>
    </row>
    <row r="5186" spans="1:3" x14ac:dyDescent="0.35">
      <c r="A5186">
        <v>412863</v>
      </c>
      <c r="B5186" t="str">
        <f>VLOOKUP(A5186,Planilha2!$A$2:$C$5566,3,0)</f>
        <v>DOUTOR ULYSSES</v>
      </c>
      <c r="C5186" t="str">
        <f>VLOOKUP(A5186,Planilha2!$A$2:$D$5566,4,0)</f>
        <v>PR</v>
      </c>
    </row>
    <row r="5187" spans="1:3" x14ac:dyDescent="0.35">
      <c r="A5187">
        <v>420445</v>
      </c>
      <c r="B5187" t="str">
        <f>VLOOKUP(A5187,Planilha2!$A$2:$C$5566,3,0)</f>
        <v>CORONEL MARTINS</v>
      </c>
      <c r="C5187" t="str">
        <f>VLOOKUP(A5187,Planilha2!$A$2:$D$5566,4,0)</f>
        <v>SC</v>
      </c>
    </row>
    <row r="5188" spans="1:3" x14ac:dyDescent="0.35">
      <c r="A5188">
        <v>421565</v>
      </c>
      <c r="B5188" t="str">
        <f>VLOOKUP(A5188,Planilha2!$A$2:$C$5566,3,0)</f>
        <v>SANTA ROSA DO SUL</v>
      </c>
      <c r="C5188" t="str">
        <f>VLOOKUP(A5188,Planilha2!$A$2:$D$5566,4,0)</f>
        <v>SC</v>
      </c>
    </row>
    <row r="5189" spans="1:3" x14ac:dyDescent="0.35">
      <c r="A5189">
        <v>431844</v>
      </c>
      <c r="B5189" t="str">
        <f>VLOOKUP(A5189,Planilha2!$A$2:$C$5566,3,0)</f>
        <v>SÃO JORGE</v>
      </c>
      <c r="C5189" t="str">
        <f>VLOOKUP(A5189,Planilha2!$A$2:$D$5566,4,0)</f>
        <v>RS</v>
      </c>
    </row>
    <row r="5190" spans="1:3" x14ac:dyDescent="0.35">
      <c r="A5190">
        <v>430975</v>
      </c>
      <c r="B5190" t="str">
        <f>VLOOKUP(A5190,Planilha2!$A$2:$C$5566,3,0)</f>
        <v>IBARAMA</v>
      </c>
      <c r="C5190" t="str">
        <f>VLOOKUP(A5190,Planilha2!$A$2:$D$5566,4,0)</f>
        <v>RS</v>
      </c>
    </row>
    <row r="5191" spans="1:3" x14ac:dyDescent="0.35">
      <c r="A5191">
        <v>510130</v>
      </c>
      <c r="B5191" t="str">
        <f>VLOOKUP(A5191,Planilha2!$A$2:$C$5566,3,0)</f>
        <v>ARENÁPOLIS</v>
      </c>
      <c r="C5191" t="str">
        <f>VLOOKUP(A5191,Planilha2!$A$2:$D$5566,4,0)</f>
        <v>MT</v>
      </c>
    </row>
    <row r="5192" spans="1:3" x14ac:dyDescent="0.35">
      <c r="A5192">
        <v>522190</v>
      </c>
      <c r="B5192" t="str">
        <f>VLOOKUP(A5192,Planilha2!$A$2:$C$5566,3,0)</f>
        <v>VARJÃO</v>
      </c>
      <c r="C5192" t="str">
        <f>VLOOKUP(A5192,Planilha2!$A$2:$D$5566,4,0)</f>
        <v>GO</v>
      </c>
    </row>
    <row r="5193" spans="1:3" x14ac:dyDescent="0.35">
      <c r="A5193">
        <v>140023</v>
      </c>
      <c r="B5193" t="str">
        <f>VLOOKUP(A5193,Planilha2!$A$2:$C$5566,3,0)</f>
        <v>CAROEBE</v>
      </c>
      <c r="C5193" t="str">
        <f>VLOOKUP(A5193,Planilha2!$A$2:$D$5566,4,0)</f>
        <v>RR</v>
      </c>
    </row>
    <row r="5194" spans="1:3" x14ac:dyDescent="0.35">
      <c r="A5194">
        <v>430720</v>
      </c>
      <c r="B5194" t="str">
        <f>VLOOKUP(A5194,Planilha2!$A$2:$C$5566,3,0)</f>
        <v>ERVAL GRANDE</v>
      </c>
      <c r="C5194" t="str">
        <f>VLOOKUP(A5194,Planilha2!$A$2:$D$5566,4,0)</f>
        <v>RS</v>
      </c>
    </row>
    <row r="5195" spans="1:3" x14ac:dyDescent="0.35">
      <c r="A5195">
        <v>171870</v>
      </c>
      <c r="B5195" t="str">
        <f>VLOOKUP(A5195,Planilha2!$A$2:$C$5566,3,0)</f>
        <v>RIO DOS BOIS</v>
      </c>
      <c r="C5195" t="str">
        <f>VLOOKUP(A5195,Planilha2!$A$2:$D$5566,4,0)</f>
        <v>TO</v>
      </c>
    </row>
    <row r="5196" spans="1:3" x14ac:dyDescent="0.35">
      <c r="A5196">
        <v>522050</v>
      </c>
      <c r="B5196" t="str">
        <f>VLOOKUP(A5196,Planilha2!$A$2:$C$5566,3,0)</f>
        <v>SERRANÓPOLIS</v>
      </c>
      <c r="C5196" t="str">
        <f>VLOOKUP(A5196,Planilha2!$A$2:$D$5566,4,0)</f>
        <v>GO</v>
      </c>
    </row>
    <row r="5197" spans="1:3" x14ac:dyDescent="0.35">
      <c r="A5197">
        <v>220775</v>
      </c>
      <c r="B5197" t="str">
        <f>VLOOKUP(A5197,Planilha2!$A$2:$C$5566,3,0)</f>
        <v>PASSAGEM FRANCA DO PIAUÍ</v>
      </c>
      <c r="C5197" t="str">
        <f>VLOOKUP(A5197,Planilha2!$A$2:$D$5566,4,0)</f>
        <v>PI</v>
      </c>
    </row>
    <row r="5198" spans="1:3" x14ac:dyDescent="0.35">
      <c r="A5198">
        <v>220665</v>
      </c>
      <c r="B5198" t="str">
        <f>VLOOKUP(A5198,Planilha2!$A$2:$C$5566,3,0)</f>
        <v>MORRO CABEÇA NO TEMPO</v>
      </c>
      <c r="C5198" t="str">
        <f>VLOOKUP(A5198,Planilha2!$A$2:$D$5566,4,0)</f>
        <v>PI</v>
      </c>
    </row>
    <row r="5199" spans="1:3" x14ac:dyDescent="0.35">
      <c r="A5199">
        <v>251300</v>
      </c>
      <c r="B5199" t="str">
        <f>VLOOKUP(A5199,Planilha2!$A$2:$C$5566,3,0)</f>
        <v>SALGADINHO</v>
      </c>
      <c r="C5199" t="str">
        <f>VLOOKUP(A5199,Planilha2!$A$2:$D$5566,4,0)</f>
        <v>PB</v>
      </c>
    </row>
    <row r="5200" spans="1:3" x14ac:dyDescent="0.35">
      <c r="A5200">
        <v>313260</v>
      </c>
      <c r="B5200" t="str">
        <f>VLOOKUP(A5200,Planilha2!$A$2:$C$5566,3,0)</f>
        <v>ITAMARATI DE MINAS</v>
      </c>
      <c r="C5200" t="str">
        <f>VLOOKUP(A5200,Planilha2!$A$2:$D$5566,4,0)</f>
        <v>MG</v>
      </c>
    </row>
    <row r="5201" spans="1:3" x14ac:dyDescent="0.35">
      <c r="A5201">
        <v>312500</v>
      </c>
      <c r="B5201" t="str">
        <f>VLOOKUP(A5201,Planilha2!$A$2:$C$5566,3,0)</f>
        <v>EWBANK DA CÂMARA</v>
      </c>
      <c r="C5201" t="str">
        <f>VLOOKUP(A5201,Planilha2!$A$2:$D$5566,4,0)</f>
        <v>MG</v>
      </c>
    </row>
    <row r="5202" spans="1:3" x14ac:dyDescent="0.35">
      <c r="A5202">
        <v>316265</v>
      </c>
      <c r="B5202" t="str">
        <f>VLOOKUP(A5202,Planilha2!$A$2:$C$5566,3,0)</f>
        <v>SÃO JOÃO DO PACUÍ</v>
      </c>
      <c r="C5202" t="str">
        <f>VLOOKUP(A5202,Planilha2!$A$2:$D$5566,4,0)</f>
        <v>MG</v>
      </c>
    </row>
    <row r="5203" spans="1:3" x14ac:dyDescent="0.35">
      <c r="A5203">
        <v>310130</v>
      </c>
      <c r="B5203" t="str">
        <f>VLOOKUP(A5203,Planilha2!$A$2:$C$5566,3,0)</f>
        <v>ALAGOA</v>
      </c>
      <c r="C5203" t="str">
        <f>VLOOKUP(A5203,Planilha2!$A$2:$D$5566,4,0)</f>
        <v>MG</v>
      </c>
    </row>
    <row r="5204" spans="1:3" x14ac:dyDescent="0.35">
      <c r="A5204">
        <v>314620</v>
      </c>
      <c r="B5204" t="str">
        <f>VLOOKUP(A5204,Planilha2!$A$2:$C$5566,3,0)</f>
        <v>OURO VERDE DE MINAS</v>
      </c>
      <c r="C5204" t="str">
        <f>VLOOKUP(A5204,Planilha2!$A$2:$D$5566,4,0)</f>
        <v>MG</v>
      </c>
    </row>
    <row r="5205" spans="1:3" x14ac:dyDescent="0.35">
      <c r="A5205">
        <v>314467</v>
      </c>
      <c r="B5205" t="str">
        <f>VLOOKUP(A5205,Planilha2!$A$2:$C$5566,3,0)</f>
        <v>NOVA BELÉM</v>
      </c>
      <c r="C5205" t="str">
        <f>VLOOKUP(A5205,Planilha2!$A$2:$D$5566,4,0)</f>
        <v>MG</v>
      </c>
    </row>
    <row r="5206" spans="1:3" x14ac:dyDescent="0.35">
      <c r="A5206">
        <v>355460</v>
      </c>
      <c r="B5206" t="str">
        <f>VLOOKUP(A5206,Planilha2!$A$2:$C$5566,3,0)</f>
        <v>TIMBURI</v>
      </c>
      <c r="C5206" t="str">
        <f>VLOOKUP(A5206,Planilha2!$A$2:$D$5566,4,0)</f>
        <v>SP</v>
      </c>
    </row>
    <row r="5207" spans="1:3" x14ac:dyDescent="0.35">
      <c r="A5207">
        <v>430063</v>
      </c>
      <c r="B5207" t="str">
        <f>VLOOKUP(A5207,Planilha2!$A$2:$C$5566,3,0)</f>
        <v>AMARAL FERRADOR</v>
      </c>
      <c r="C5207" t="str">
        <f>VLOOKUP(A5207,Planilha2!$A$2:$D$5566,4,0)</f>
        <v>RS</v>
      </c>
    </row>
    <row r="5208" spans="1:3" x14ac:dyDescent="0.35">
      <c r="A5208">
        <v>520790</v>
      </c>
      <c r="B5208" t="str">
        <f>VLOOKUP(A5208,Planilha2!$A$2:$C$5566,3,0)</f>
        <v>FLORES DE GOIÁS</v>
      </c>
      <c r="C5208" t="str">
        <f>VLOOKUP(A5208,Planilha2!$A$2:$D$5566,4,0)</f>
        <v>GO</v>
      </c>
    </row>
    <row r="5209" spans="1:3" x14ac:dyDescent="0.35">
      <c r="A5209">
        <v>521230</v>
      </c>
      <c r="B5209" t="str">
        <f>VLOOKUP(A5209,Planilha2!$A$2:$C$5566,3,0)</f>
        <v>LEOPOLDO DE BULHÕES</v>
      </c>
      <c r="C5209" t="str">
        <f>VLOOKUP(A5209,Planilha2!$A$2:$D$5566,4,0)</f>
        <v>GO</v>
      </c>
    </row>
    <row r="5210" spans="1:3" x14ac:dyDescent="0.35">
      <c r="A5210">
        <v>220995</v>
      </c>
      <c r="B5210" t="str">
        <f>VLOOKUP(A5210,Planilha2!$A$2:$C$5566,3,0)</f>
        <v>SÃO JOÃO DA VARJOTA</v>
      </c>
      <c r="C5210" t="str">
        <f>VLOOKUP(A5210,Planilha2!$A$2:$D$5566,4,0)</f>
        <v>PI</v>
      </c>
    </row>
    <row r="5211" spans="1:3" x14ac:dyDescent="0.35">
      <c r="A5211">
        <v>353325</v>
      </c>
      <c r="B5211" t="str">
        <f>VLOOKUP(A5211,Planilha2!$A$2:$C$5566,3,0)</f>
        <v>NOVAIS</v>
      </c>
      <c r="C5211" t="str">
        <f>VLOOKUP(A5211,Planilha2!$A$2:$D$5566,4,0)</f>
        <v>SP</v>
      </c>
    </row>
    <row r="5212" spans="1:3" x14ac:dyDescent="0.35">
      <c r="A5212">
        <v>420980</v>
      </c>
      <c r="B5212" t="str">
        <f>VLOOKUP(A5212,Planilha2!$A$2:$C$5566,3,0)</f>
        <v>LEOBERTO LEAL</v>
      </c>
      <c r="C5212" t="str">
        <f>VLOOKUP(A5212,Planilha2!$A$2:$D$5566,4,0)</f>
        <v>SC</v>
      </c>
    </row>
    <row r="5213" spans="1:3" x14ac:dyDescent="0.35">
      <c r="A5213">
        <v>431190</v>
      </c>
      <c r="B5213" t="str">
        <f>VLOOKUP(A5213,Planilha2!$A$2:$C$5566,3,0)</f>
        <v>MARCELINO RAMOS</v>
      </c>
      <c r="C5213" t="str">
        <f>VLOOKUP(A5213,Planilha2!$A$2:$D$5566,4,0)</f>
        <v>RS</v>
      </c>
    </row>
    <row r="5214" spans="1:3" x14ac:dyDescent="0.35">
      <c r="A5214">
        <v>431647</v>
      </c>
      <c r="B5214" t="str">
        <f>VLOOKUP(A5214,Planilha2!$A$2:$C$5566,3,0)</f>
        <v>SALVADOR DAS MISSÕES</v>
      </c>
      <c r="C5214" t="str">
        <f>VLOOKUP(A5214,Planilha2!$A$2:$D$5566,4,0)</f>
        <v>RS</v>
      </c>
    </row>
    <row r="5215" spans="1:3" x14ac:dyDescent="0.35">
      <c r="A5215">
        <v>431920</v>
      </c>
      <c r="B5215" t="str">
        <f>VLOOKUP(A5215,Planilha2!$A$2:$C$5566,3,0)</f>
        <v>SÃO NICOLAU</v>
      </c>
      <c r="C5215" t="str">
        <f>VLOOKUP(A5215,Planilha2!$A$2:$D$5566,4,0)</f>
        <v>RS</v>
      </c>
    </row>
    <row r="5216" spans="1:3" x14ac:dyDescent="0.35">
      <c r="A5216">
        <v>220960</v>
      </c>
      <c r="B5216" t="str">
        <f>VLOOKUP(A5216,Planilha2!$A$2:$C$5566,3,0)</f>
        <v>SÃO FÉLIX DO PIAUÍ</v>
      </c>
      <c r="C5216" t="str">
        <f>VLOOKUP(A5216,Planilha2!$A$2:$D$5566,4,0)</f>
        <v>PI</v>
      </c>
    </row>
    <row r="5217" spans="1:3" x14ac:dyDescent="0.35">
      <c r="A5217">
        <v>220890</v>
      </c>
      <c r="B5217" t="str">
        <f>VLOOKUP(A5217,Planilha2!$A$2:$C$5566,3,0)</f>
        <v>RIBEIRO GONÇALVES</v>
      </c>
      <c r="C5217" t="str">
        <f>VLOOKUP(A5217,Planilha2!$A$2:$D$5566,4,0)</f>
        <v>PI</v>
      </c>
    </row>
    <row r="5218" spans="1:3" x14ac:dyDescent="0.35">
      <c r="A5218">
        <v>220115</v>
      </c>
      <c r="B5218" t="str">
        <f>VLOOKUP(A5218,Planilha2!$A$2:$C$5566,3,0)</f>
        <v>BAIXA GRANDE DO RIBEIRO</v>
      </c>
      <c r="C5218" t="str">
        <f>VLOOKUP(A5218,Planilha2!$A$2:$D$5566,4,0)</f>
        <v>PI</v>
      </c>
    </row>
    <row r="5219" spans="1:3" x14ac:dyDescent="0.35">
      <c r="A5219">
        <v>240390</v>
      </c>
      <c r="B5219" t="str">
        <f>VLOOKUP(A5219,Planilha2!$A$2:$C$5566,3,0)</f>
        <v>FRANCISCO DANTAS</v>
      </c>
      <c r="C5219" t="str">
        <f>VLOOKUP(A5219,Planilha2!$A$2:$D$5566,4,0)</f>
        <v>RN</v>
      </c>
    </row>
    <row r="5220" spans="1:3" x14ac:dyDescent="0.35">
      <c r="A5220">
        <v>241080</v>
      </c>
      <c r="B5220" t="str">
        <f>VLOOKUP(A5220,Planilha2!$A$2:$C$5566,3,0)</f>
        <v>RIACHO DE SANTANA</v>
      </c>
      <c r="C5220" t="str">
        <f>VLOOKUP(A5220,Planilha2!$A$2:$D$5566,4,0)</f>
        <v>RN</v>
      </c>
    </row>
    <row r="5221" spans="1:3" x14ac:dyDescent="0.35">
      <c r="A5221">
        <v>250220</v>
      </c>
      <c r="B5221" t="str">
        <f>VLOOKUP(A5221,Planilha2!$A$2:$C$5566,3,0)</f>
        <v>BOM JESUS</v>
      </c>
      <c r="C5221" t="str">
        <f>VLOOKUP(A5221,Planilha2!$A$2:$D$5566,4,0)</f>
        <v>PB</v>
      </c>
    </row>
    <row r="5222" spans="1:3" x14ac:dyDescent="0.35">
      <c r="A5222">
        <v>291870</v>
      </c>
      <c r="B5222" t="str">
        <f>VLOOKUP(A5222,Planilha2!$A$2:$C$5566,3,0)</f>
        <v>LAFAIETE COUTINHO</v>
      </c>
      <c r="C5222" t="str">
        <f>VLOOKUP(A5222,Planilha2!$A$2:$D$5566,4,0)</f>
        <v>BA</v>
      </c>
    </row>
    <row r="5223" spans="1:3" x14ac:dyDescent="0.35">
      <c r="A5223">
        <v>314550</v>
      </c>
      <c r="B5223" t="str">
        <f>VLOOKUP(A5223,Planilha2!$A$2:$C$5566,3,0)</f>
        <v>OLÍMPIO NORONHA</v>
      </c>
      <c r="C5223" t="str">
        <f>VLOOKUP(A5223,Planilha2!$A$2:$D$5566,4,0)</f>
        <v>MG</v>
      </c>
    </row>
    <row r="5224" spans="1:3" x14ac:dyDescent="0.35">
      <c r="A5224">
        <v>313390</v>
      </c>
      <c r="B5224" t="str">
        <f>VLOOKUP(A5224,Planilha2!$A$2:$C$5566,3,0)</f>
        <v>ITAVERAVA</v>
      </c>
      <c r="C5224" t="str">
        <f>VLOOKUP(A5224,Planilha2!$A$2:$D$5566,4,0)</f>
        <v>MG</v>
      </c>
    </row>
    <row r="5225" spans="1:3" x14ac:dyDescent="0.35">
      <c r="A5225">
        <v>315015</v>
      </c>
      <c r="B5225" t="str">
        <f>VLOOKUP(A5225,Planilha2!$A$2:$C$5566,3,0)</f>
        <v>PIEDADE DE CARATINGA</v>
      </c>
      <c r="C5225" t="str">
        <f>VLOOKUP(A5225,Planilha2!$A$2:$D$5566,4,0)</f>
        <v>MG</v>
      </c>
    </row>
    <row r="5226" spans="1:3" x14ac:dyDescent="0.35">
      <c r="A5226">
        <v>352790</v>
      </c>
      <c r="B5226" t="str">
        <f>VLOOKUP(A5226,Planilha2!$A$2:$C$5566,3,0)</f>
        <v>LUTÉCIA</v>
      </c>
      <c r="C5226" t="str">
        <f>VLOOKUP(A5226,Planilha2!$A$2:$D$5566,4,0)</f>
        <v>SP</v>
      </c>
    </row>
    <row r="5227" spans="1:3" x14ac:dyDescent="0.35">
      <c r="A5227">
        <v>410320</v>
      </c>
      <c r="B5227" t="str">
        <f>VLOOKUP(A5227,Planilha2!$A$2:$C$5566,3,0)</f>
        <v>BOM SUCESSO</v>
      </c>
      <c r="C5227" t="str">
        <f>VLOOKUP(A5227,Planilha2!$A$2:$D$5566,4,0)</f>
        <v>PR</v>
      </c>
    </row>
    <row r="5228" spans="1:3" x14ac:dyDescent="0.35">
      <c r="A5228" s="2">
        <v>420000</v>
      </c>
      <c r="B5228" t="str">
        <f>VLOOKUP(A5228,[1]IBGE!A$2:B$27,2,0)</f>
        <v>-</v>
      </c>
      <c r="C5228" t="str">
        <f>VLOOKUP(A5228,[1]IBGE!A$2:C$27,3,0)</f>
        <v>SC</v>
      </c>
    </row>
    <row r="5229" spans="1:3" x14ac:dyDescent="0.35">
      <c r="A5229">
        <v>431360</v>
      </c>
      <c r="B5229" t="str">
        <f>VLOOKUP(A5229,Planilha2!$A$2:$C$5566,3,0)</f>
        <v>PAIM FILHO</v>
      </c>
      <c r="C5229" t="str">
        <f>VLOOKUP(A5229,Planilha2!$A$2:$D$5566,4,0)</f>
        <v>RS</v>
      </c>
    </row>
    <row r="5230" spans="1:3" x14ac:dyDescent="0.35">
      <c r="A5230">
        <v>510337</v>
      </c>
      <c r="B5230" t="str">
        <f>VLOOKUP(A5230,Planilha2!$A$2:$C$5566,3,0)</f>
        <v>COTRIGUAÇU</v>
      </c>
      <c r="C5230" t="str">
        <f>VLOOKUP(A5230,Planilha2!$A$2:$D$5566,4,0)</f>
        <v>MT</v>
      </c>
    </row>
    <row r="5231" spans="1:3" x14ac:dyDescent="0.35">
      <c r="A5231">
        <v>510729</v>
      </c>
      <c r="B5231" t="str">
        <f>VLOOKUP(A5231,Planilha2!$A$2:$C$5566,3,0)</f>
        <v>SÃO JOSÉ DO POVO</v>
      </c>
      <c r="C5231" t="str">
        <f>VLOOKUP(A5231,Planilha2!$A$2:$D$5566,4,0)</f>
        <v>MT</v>
      </c>
    </row>
    <row r="5232" spans="1:3" x14ac:dyDescent="0.35">
      <c r="A5232">
        <v>170730</v>
      </c>
      <c r="B5232" t="str">
        <f>VLOOKUP(A5232,Planilha2!$A$2:$C$5566,3,0)</f>
        <v>DUERÉ</v>
      </c>
      <c r="C5232" t="str">
        <f>VLOOKUP(A5232,Planilha2!$A$2:$D$5566,4,0)</f>
        <v>TO</v>
      </c>
    </row>
    <row r="5233" spans="1:3" x14ac:dyDescent="0.35">
      <c r="A5233">
        <v>240790</v>
      </c>
      <c r="B5233" t="str">
        <f>VLOOKUP(A5233,Planilha2!$A$2:$C$5566,3,0)</f>
        <v>MONTE DAS GAMELEIRAS</v>
      </c>
      <c r="C5233" t="str">
        <f>VLOOKUP(A5233,Planilha2!$A$2:$D$5566,4,0)</f>
        <v>RN</v>
      </c>
    </row>
    <row r="5234" spans="1:3" x14ac:dyDescent="0.35">
      <c r="A5234">
        <v>251020</v>
      </c>
      <c r="B5234" t="str">
        <f>VLOOKUP(A5234,Planilha2!$A$2:$C$5566,3,0)</f>
        <v>NOVA OLINDA</v>
      </c>
      <c r="C5234" t="str">
        <f>VLOOKUP(A5234,Planilha2!$A$2:$D$5566,4,0)</f>
        <v>PB</v>
      </c>
    </row>
    <row r="5235" spans="1:3" x14ac:dyDescent="0.35">
      <c r="A5235">
        <v>311960</v>
      </c>
      <c r="B5235" t="str">
        <f>VLOOKUP(A5235,Planilha2!$A$2:$C$5566,3,0)</f>
        <v>CORONEL PACHECO</v>
      </c>
      <c r="C5235" t="str">
        <f>VLOOKUP(A5235,Planilha2!$A$2:$D$5566,4,0)</f>
        <v>MG</v>
      </c>
    </row>
    <row r="5236" spans="1:3" x14ac:dyDescent="0.35">
      <c r="A5236">
        <v>355695</v>
      </c>
      <c r="B5236" t="str">
        <f>VLOOKUP(A5236,Planilha2!$A$2:$C$5566,3,0)</f>
        <v>VITÓRIA BRASIL</v>
      </c>
      <c r="C5236" t="str">
        <f>VLOOKUP(A5236,Planilha2!$A$2:$D$5566,4,0)</f>
        <v>SP</v>
      </c>
    </row>
    <row r="5237" spans="1:3" x14ac:dyDescent="0.35">
      <c r="A5237">
        <v>420208</v>
      </c>
      <c r="B5237" t="str">
        <f>VLOOKUP(A5237,Planilha2!$A$2:$C$5566,3,0)</f>
        <v>BANDEIRANTE</v>
      </c>
      <c r="C5237" t="str">
        <f>VLOOKUP(A5237,Planilha2!$A$2:$D$5566,4,0)</f>
        <v>SC</v>
      </c>
    </row>
    <row r="5238" spans="1:3" x14ac:dyDescent="0.35">
      <c r="A5238">
        <v>421710</v>
      </c>
      <c r="B5238" t="str">
        <f>VLOOKUP(A5238,Planilha2!$A$2:$C$5566,3,0)</f>
        <v>SÃO MARTINHO</v>
      </c>
      <c r="C5238" t="str">
        <f>VLOOKUP(A5238,Planilha2!$A$2:$D$5566,4,0)</f>
        <v>SC</v>
      </c>
    </row>
    <row r="5239" spans="1:3" x14ac:dyDescent="0.35">
      <c r="A5239">
        <v>210845</v>
      </c>
      <c r="B5239" t="str">
        <f>VLOOKUP(A5239,Planilha2!$A$2:$C$5566,3,0)</f>
        <v>PERITORÓ</v>
      </c>
      <c r="C5239" t="str">
        <f>VLOOKUP(A5239,Planilha2!$A$2:$D$5566,4,0)</f>
        <v>MA</v>
      </c>
    </row>
    <row r="5240" spans="1:3" x14ac:dyDescent="0.35">
      <c r="A5240">
        <v>240860</v>
      </c>
      <c r="B5240" t="str">
        <f>VLOOKUP(A5240,Planilha2!$A$2:$C$5566,3,0)</f>
        <v>PARANÁ</v>
      </c>
      <c r="C5240" t="str">
        <f>VLOOKUP(A5240,Planilha2!$A$2:$D$5566,4,0)</f>
        <v>RN</v>
      </c>
    </row>
    <row r="5241" spans="1:3" x14ac:dyDescent="0.35">
      <c r="A5241">
        <v>240870</v>
      </c>
      <c r="B5241" t="str">
        <f>VLOOKUP(A5241,Planilha2!$A$2:$C$5566,3,0)</f>
        <v>PARAÚ</v>
      </c>
      <c r="C5241" t="str">
        <f>VLOOKUP(A5241,Planilha2!$A$2:$D$5566,4,0)</f>
        <v>RN</v>
      </c>
    </row>
    <row r="5242" spans="1:3" x14ac:dyDescent="0.35">
      <c r="A5242">
        <v>251100</v>
      </c>
      <c r="B5242" t="str">
        <f>VLOOKUP(A5242,Planilha2!$A$2:$C$5566,3,0)</f>
        <v>PEDRA BRANCA</v>
      </c>
      <c r="C5242" t="str">
        <f>VLOOKUP(A5242,Planilha2!$A$2:$D$5566,4,0)</f>
        <v>PB</v>
      </c>
    </row>
    <row r="5243" spans="1:3" x14ac:dyDescent="0.35">
      <c r="A5243">
        <v>250880</v>
      </c>
      <c r="B5243" t="str">
        <f>VLOOKUP(A5243,Planilha2!$A$2:$C$5566,3,0)</f>
        <v>MALTA</v>
      </c>
      <c r="C5243" t="str">
        <f>VLOOKUP(A5243,Planilha2!$A$2:$D$5566,4,0)</f>
        <v>PB</v>
      </c>
    </row>
    <row r="5244" spans="1:3" x14ac:dyDescent="0.35">
      <c r="A5244">
        <v>316695</v>
      </c>
      <c r="B5244" t="str">
        <f>VLOOKUP(A5244,Planilha2!$A$2:$C$5566,3,0)</f>
        <v>SERRANÓPOLIS DE MINAS</v>
      </c>
      <c r="C5244" t="str">
        <f>VLOOKUP(A5244,Planilha2!$A$2:$D$5566,4,0)</f>
        <v>MG</v>
      </c>
    </row>
    <row r="5245" spans="1:3" x14ac:dyDescent="0.35">
      <c r="A5245">
        <v>310070</v>
      </c>
      <c r="B5245" t="str">
        <f>VLOOKUP(A5245,Planilha2!$A$2:$C$5566,3,0)</f>
        <v>ÁGUA COMPRIDA</v>
      </c>
      <c r="C5245" t="str">
        <f>VLOOKUP(A5245,Planilha2!$A$2:$D$5566,4,0)</f>
        <v>MG</v>
      </c>
    </row>
    <row r="5246" spans="1:3" x14ac:dyDescent="0.35">
      <c r="A5246">
        <v>314040</v>
      </c>
      <c r="B5246" t="str">
        <f>VLOOKUP(A5246,Planilha2!$A$2:$C$5566,3,0)</f>
        <v>MARMELÓPOLIS</v>
      </c>
      <c r="C5246" t="str">
        <f>VLOOKUP(A5246,Planilha2!$A$2:$D$5566,4,0)</f>
        <v>MG</v>
      </c>
    </row>
    <row r="5247" spans="1:3" x14ac:dyDescent="0.35">
      <c r="A5247">
        <v>314640</v>
      </c>
      <c r="B5247" t="str">
        <f>VLOOKUP(A5247,Planilha2!$A$2:$C$5566,3,0)</f>
        <v>PAINEIRAS</v>
      </c>
      <c r="C5247" t="str">
        <f>VLOOKUP(A5247,Planilha2!$A$2:$D$5566,4,0)</f>
        <v>MG</v>
      </c>
    </row>
    <row r="5248" spans="1:3" x14ac:dyDescent="0.35">
      <c r="A5248">
        <v>352885</v>
      </c>
      <c r="B5248" t="str">
        <f>VLOOKUP(A5248,Planilha2!$A$2:$C$5566,3,0)</f>
        <v>MARAPOAMA</v>
      </c>
      <c r="C5248" t="str">
        <f>VLOOKUP(A5248,Planilha2!$A$2:$D$5566,4,0)</f>
        <v>SP</v>
      </c>
    </row>
    <row r="5249" spans="1:3" x14ac:dyDescent="0.35">
      <c r="A5249">
        <v>412280</v>
      </c>
      <c r="B5249" t="str">
        <f>VLOOKUP(A5249,Planilha2!$A$2:$C$5566,3,0)</f>
        <v>SALGADO FILHO</v>
      </c>
      <c r="C5249" t="str">
        <f>VLOOKUP(A5249,Planilha2!$A$2:$D$5566,4,0)</f>
        <v>PR</v>
      </c>
    </row>
    <row r="5250" spans="1:3" x14ac:dyDescent="0.35">
      <c r="A5250">
        <v>412340</v>
      </c>
      <c r="B5250" t="str">
        <f>VLOOKUP(A5250,Planilha2!$A$2:$C$5566,3,0)</f>
        <v>SANTA FÉ</v>
      </c>
      <c r="C5250" t="str">
        <f>VLOOKUP(A5250,Planilha2!$A$2:$D$5566,4,0)</f>
        <v>PR</v>
      </c>
    </row>
    <row r="5251" spans="1:3" x14ac:dyDescent="0.35">
      <c r="A5251">
        <v>412395</v>
      </c>
      <c r="B5251" t="str">
        <f>VLOOKUP(A5251,Planilha2!$A$2:$C$5566,3,0)</f>
        <v>SANTA MÔNICA</v>
      </c>
      <c r="C5251" t="str">
        <f>VLOOKUP(A5251,Planilha2!$A$2:$D$5566,4,0)</f>
        <v>PR</v>
      </c>
    </row>
    <row r="5252" spans="1:3" x14ac:dyDescent="0.35">
      <c r="A5252">
        <v>411375</v>
      </c>
      <c r="B5252" t="str">
        <f>VLOOKUP(A5252,Planilha2!$A$2:$C$5566,3,0)</f>
        <v>LUNARDELLI</v>
      </c>
      <c r="C5252" t="str">
        <f>VLOOKUP(A5252,Planilha2!$A$2:$D$5566,4,0)</f>
        <v>PR</v>
      </c>
    </row>
    <row r="5253" spans="1:3" x14ac:dyDescent="0.35">
      <c r="A5253">
        <v>431775</v>
      </c>
      <c r="B5253" t="str">
        <f>VLOOKUP(A5253,Planilha2!$A$2:$C$5566,3,0)</f>
        <v>SANTO ANTÔNIO DO PLANALTO</v>
      </c>
      <c r="C5253" t="str">
        <f>VLOOKUP(A5253,Planilha2!$A$2:$D$5566,4,0)</f>
        <v>RS</v>
      </c>
    </row>
    <row r="5254" spans="1:3" x14ac:dyDescent="0.35">
      <c r="A5254">
        <v>510080</v>
      </c>
      <c r="B5254" t="str">
        <f>VLOOKUP(A5254,Planilha2!$A$2:$C$5566,3,0)</f>
        <v>APIACÁS</v>
      </c>
      <c r="C5254" t="str">
        <f>VLOOKUP(A5254,Planilha2!$A$2:$D$5566,4,0)</f>
        <v>MT</v>
      </c>
    </row>
    <row r="5255" spans="1:3" x14ac:dyDescent="0.35">
      <c r="A5255">
        <v>521470</v>
      </c>
      <c r="B5255" t="str">
        <f>VLOOKUP(A5255,Planilha2!$A$2:$C$5566,3,0)</f>
        <v>NOVA AMÉRICA</v>
      </c>
      <c r="C5255" t="str">
        <f>VLOOKUP(A5255,Planilha2!$A$2:$D$5566,4,0)</f>
        <v>GO</v>
      </c>
    </row>
    <row r="5256" spans="1:3" x14ac:dyDescent="0.35">
      <c r="A5256">
        <v>520055</v>
      </c>
      <c r="B5256" t="str">
        <f>VLOOKUP(A5256,Planilha2!$A$2:$C$5566,3,0)</f>
        <v>ALTO HORIZONTE</v>
      </c>
      <c r="C5256" t="str">
        <f>VLOOKUP(A5256,Planilha2!$A$2:$D$5566,4,0)</f>
        <v>GO</v>
      </c>
    </row>
    <row r="5257" spans="1:3" x14ac:dyDescent="0.35">
      <c r="A5257">
        <v>251392</v>
      </c>
      <c r="B5257" t="str">
        <f>VLOOKUP(A5257,Planilha2!$A$2:$C$5566,3,0)</f>
        <v>SÃO BENTINHO</v>
      </c>
      <c r="C5257" t="str">
        <f>VLOOKUP(A5257,Planilha2!$A$2:$D$5566,4,0)</f>
        <v>PB</v>
      </c>
    </row>
    <row r="5258" spans="1:3" x14ac:dyDescent="0.35">
      <c r="A5258">
        <v>150300</v>
      </c>
      <c r="B5258" t="str">
        <f>VLOOKUP(A5258,Planilha2!$A$2:$C$5566,3,0)</f>
        <v>FARO</v>
      </c>
      <c r="C5258" t="str">
        <f>VLOOKUP(A5258,Planilha2!$A$2:$D$5566,4,0)</f>
        <v>PA</v>
      </c>
    </row>
    <row r="5259" spans="1:3" x14ac:dyDescent="0.35">
      <c r="A5259">
        <v>431160</v>
      </c>
      <c r="B5259" t="str">
        <f>VLOOKUP(A5259,Planilha2!$A$2:$C$5566,3,0)</f>
        <v>LIBERATO SALZANO</v>
      </c>
      <c r="C5259" t="str">
        <f>VLOOKUP(A5259,Planilha2!$A$2:$D$5566,4,0)</f>
        <v>RS</v>
      </c>
    </row>
    <row r="5260" spans="1:3" x14ac:dyDescent="0.35">
      <c r="A5260">
        <v>241470</v>
      </c>
      <c r="B5260" t="str">
        <f>VLOOKUP(A5260,Planilha2!$A$2:$C$5566,3,0)</f>
        <v>VÁRZEA</v>
      </c>
      <c r="C5260" t="str">
        <f>VLOOKUP(A5260,Planilha2!$A$2:$D$5566,4,0)</f>
        <v>RN</v>
      </c>
    </row>
    <row r="5261" spans="1:3" x14ac:dyDescent="0.35">
      <c r="A5261">
        <v>316770</v>
      </c>
      <c r="B5261" t="str">
        <f>VLOOKUP(A5261,Planilha2!$A$2:$C$5566,3,0)</f>
        <v>SOBRÁLIA</v>
      </c>
      <c r="C5261" t="str">
        <f>VLOOKUP(A5261,Planilha2!$A$2:$D$5566,4,0)</f>
        <v>MG</v>
      </c>
    </row>
    <row r="5262" spans="1:3" x14ac:dyDescent="0.35">
      <c r="A5262">
        <v>310850</v>
      </c>
      <c r="B5262" t="str">
        <f>VLOOKUP(A5262,Planilha2!$A$2:$C$5566,3,0)</f>
        <v>BOTUMIRIM</v>
      </c>
      <c r="C5262" t="str">
        <f>VLOOKUP(A5262,Planilha2!$A$2:$D$5566,4,0)</f>
        <v>MG</v>
      </c>
    </row>
    <row r="5263" spans="1:3" x14ac:dyDescent="0.35">
      <c r="A5263">
        <v>311783</v>
      </c>
      <c r="B5263" t="str">
        <f>VLOOKUP(A5263,Planilha2!$A$2:$C$5566,3,0)</f>
        <v>CÔNEGO MARINHO</v>
      </c>
      <c r="C5263" t="str">
        <f>VLOOKUP(A5263,Planilha2!$A$2:$D$5566,4,0)</f>
        <v>MG</v>
      </c>
    </row>
    <row r="5264" spans="1:3" x14ac:dyDescent="0.35">
      <c r="A5264">
        <v>430215</v>
      </c>
      <c r="B5264" t="str">
        <f>VLOOKUP(A5264,Planilha2!$A$2:$C$5566,3,0)</f>
        <v>BOA VISTA DAS MISSÕES</v>
      </c>
      <c r="C5264" t="str">
        <f>VLOOKUP(A5264,Planilha2!$A$2:$D$5566,4,0)</f>
        <v>RS</v>
      </c>
    </row>
    <row r="5265" spans="1:3" x14ac:dyDescent="0.35">
      <c r="A5265">
        <v>431055</v>
      </c>
      <c r="B5265" t="str">
        <f>VLOOKUP(A5265,Planilha2!$A$2:$C$5566,3,0)</f>
        <v>ITACURUBI</v>
      </c>
      <c r="C5265" t="str">
        <f>VLOOKUP(A5265,Planilha2!$A$2:$D$5566,4,0)</f>
        <v>RS</v>
      </c>
    </row>
    <row r="5266" spans="1:3" x14ac:dyDescent="0.35">
      <c r="A5266">
        <v>430511</v>
      </c>
      <c r="B5266" t="str">
        <f>VLOOKUP(A5266,Planilha2!$A$2:$C$5566,3,0)</f>
        <v>CENTENÁRIO</v>
      </c>
      <c r="C5266" t="str">
        <f>VLOOKUP(A5266,Planilha2!$A$2:$D$5566,4,0)</f>
        <v>RS</v>
      </c>
    </row>
    <row r="5267" spans="1:3" x14ac:dyDescent="0.35">
      <c r="A5267">
        <v>240210</v>
      </c>
      <c r="B5267" t="str">
        <f>VLOOKUP(A5267,Planilha2!$A$2:$C$5566,3,0)</f>
        <v>CAMPO REDONDO</v>
      </c>
      <c r="C5267" t="str">
        <f>VLOOKUP(A5267,Planilha2!$A$2:$D$5566,4,0)</f>
        <v>RN</v>
      </c>
    </row>
    <row r="5268" spans="1:3" x14ac:dyDescent="0.35">
      <c r="A5268">
        <v>240640</v>
      </c>
      <c r="B5268" t="str">
        <f>VLOOKUP(A5268,Planilha2!$A$2:$C$5566,3,0)</f>
        <v>LAGOA DE VELHOS</v>
      </c>
      <c r="C5268" t="str">
        <f>VLOOKUP(A5268,Planilha2!$A$2:$D$5566,4,0)</f>
        <v>RN</v>
      </c>
    </row>
    <row r="5269" spans="1:3" x14ac:dyDescent="0.35">
      <c r="A5269">
        <v>251335</v>
      </c>
      <c r="B5269" t="str">
        <f>VLOOKUP(A5269,Planilha2!$A$2:$C$5566,3,0)</f>
        <v>SANTA INÊS</v>
      </c>
      <c r="C5269" t="str">
        <f>VLOOKUP(A5269,Planilha2!$A$2:$D$5566,4,0)</f>
        <v>PB</v>
      </c>
    </row>
    <row r="5270" spans="1:3" x14ac:dyDescent="0.35">
      <c r="A5270">
        <v>310610</v>
      </c>
      <c r="B5270" t="str">
        <f>VLOOKUP(A5270,Planilha2!$A$2:$C$5566,3,0)</f>
        <v>BELMIRO BRAGA</v>
      </c>
      <c r="C5270" t="str">
        <f>VLOOKUP(A5270,Planilha2!$A$2:$D$5566,4,0)</f>
        <v>MG</v>
      </c>
    </row>
    <row r="5271" spans="1:3" x14ac:dyDescent="0.35">
      <c r="A5271">
        <v>310520</v>
      </c>
      <c r="B5271" t="str">
        <f>VLOOKUP(A5271,Planilha2!$A$2:$C$5566,3,0)</f>
        <v>BANDEIRA</v>
      </c>
      <c r="C5271" t="str">
        <f>VLOOKUP(A5271,Planilha2!$A$2:$D$5566,4,0)</f>
        <v>MG</v>
      </c>
    </row>
    <row r="5272" spans="1:3" x14ac:dyDescent="0.35">
      <c r="A5272">
        <v>315520</v>
      </c>
      <c r="B5272" t="str">
        <f>VLOOKUP(A5272,Planilha2!$A$2:$C$5566,3,0)</f>
        <v>RIO ESPERA</v>
      </c>
      <c r="C5272" t="str">
        <f>VLOOKUP(A5272,Planilha2!$A$2:$D$5566,4,0)</f>
        <v>MG</v>
      </c>
    </row>
    <row r="5273" spans="1:3" x14ac:dyDescent="0.35">
      <c r="A5273">
        <v>311640</v>
      </c>
      <c r="B5273" t="str">
        <f>VLOOKUP(A5273,Planilha2!$A$2:$C$5566,3,0)</f>
        <v>CLARAVAL</v>
      </c>
      <c r="C5273" t="str">
        <f>VLOOKUP(A5273,Planilha2!$A$2:$D$5566,4,0)</f>
        <v>MG</v>
      </c>
    </row>
    <row r="5274" spans="1:3" x14ac:dyDescent="0.35">
      <c r="A5274">
        <v>171884</v>
      </c>
      <c r="B5274" t="str">
        <f>VLOOKUP(A5274,Planilha2!$A$2:$C$5566,3,0)</f>
        <v>SANDOLÂNDIA</v>
      </c>
      <c r="C5274" t="str">
        <f>VLOOKUP(A5274,Planilha2!$A$2:$D$5566,4,0)</f>
        <v>TO</v>
      </c>
    </row>
    <row r="5275" spans="1:3" x14ac:dyDescent="0.35">
      <c r="A5275">
        <v>431507</v>
      </c>
      <c r="B5275" t="str">
        <f>VLOOKUP(A5275,Planilha2!$A$2:$C$5566,3,0)</f>
        <v>PORTO VERA CRUZ</v>
      </c>
      <c r="C5275" t="str">
        <f>VLOOKUP(A5275,Planilha2!$A$2:$D$5566,4,0)</f>
        <v>RS</v>
      </c>
    </row>
    <row r="5276" spans="1:3" x14ac:dyDescent="0.35">
      <c r="A5276">
        <v>431973</v>
      </c>
      <c r="B5276" t="str">
        <f>VLOOKUP(A5276,Planilha2!$A$2:$C$5566,3,0)</f>
        <v>SÃO VALÉRIO DO SUL</v>
      </c>
      <c r="C5276" t="str">
        <f>VLOOKUP(A5276,Planilha2!$A$2:$D$5566,4,0)</f>
        <v>RS</v>
      </c>
    </row>
    <row r="5277" spans="1:3" x14ac:dyDescent="0.35">
      <c r="A5277">
        <v>120039</v>
      </c>
      <c r="B5277" t="str">
        <f>VLOOKUP(A5277,Planilha2!$A$2:$C$5566,3,0)</f>
        <v>PORTO WALTER</v>
      </c>
      <c r="C5277" t="str">
        <f>VLOOKUP(A5277,Planilha2!$A$2:$D$5566,4,0)</f>
        <v>AC</v>
      </c>
    </row>
    <row r="5278" spans="1:3" x14ac:dyDescent="0.35">
      <c r="A5278">
        <v>210310</v>
      </c>
      <c r="B5278" t="str">
        <f>VLOOKUP(A5278,Planilha2!$A$2:$C$5566,3,0)</f>
        <v>CEDRAL</v>
      </c>
      <c r="C5278" t="str">
        <f>VLOOKUP(A5278,Planilha2!$A$2:$D$5566,4,0)</f>
        <v>MA</v>
      </c>
    </row>
    <row r="5279" spans="1:3" x14ac:dyDescent="0.35">
      <c r="A5279">
        <v>230880</v>
      </c>
      <c r="B5279" t="str">
        <f>VLOOKUP(A5279,Planilha2!$A$2:$C$5566,3,0)</f>
        <v>MORAÚJO</v>
      </c>
      <c r="C5279" t="str">
        <f>VLOOKUP(A5279,Planilha2!$A$2:$D$5566,4,0)</f>
        <v>CE</v>
      </c>
    </row>
    <row r="5280" spans="1:3" x14ac:dyDescent="0.35">
      <c r="A5280">
        <v>291860</v>
      </c>
      <c r="B5280" t="str">
        <f>VLOOKUP(A5280,Planilha2!$A$2:$C$5566,3,0)</f>
        <v>JUSSIAPE</v>
      </c>
      <c r="C5280" t="str">
        <f>VLOOKUP(A5280,Planilha2!$A$2:$D$5566,4,0)</f>
        <v>BA</v>
      </c>
    </row>
    <row r="5281" spans="1:3" x14ac:dyDescent="0.35">
      <c r="A5281">
        <v>312675</v>
      </c>
      <c r="B5281" t="str">
        <f>VLOOKUP(A5281,Planilha2!$A$2:$C$5566,3,0)</f>
        <v>FRANCISCÓPOLIS</v>
      </c>
      <c r="C5281" t="str">
        <f>VLOOKUP(A5281,Planilha2!$A$2:$D$5566,4,0)</f>
        <v>MG</v>
      </c>
    </row>
    <row r="5282" spans="1:3" x14ac:dyDescent="0.35">
      <c r="A5282">
        <v>315390</v>
      </c>
      <c r="B5282" t="str">
        <f>VLOOKUP(A5282,Planilha2!$A$2:$C$5566,3,0)</f>
        <v>RAPOSOS</v>
      </c>
      <c r="C5282" t="str">
        <f>VLOOKUP(A5282,Planilha2!$A$2:$D$5566,4,0)</f>
        <v>MG</v>
      </c>
    </row>
    <row r="5283" spans="1:3" x14ac:dyDescent="0.35">
      <c r="A5283">
        <v>316095</v>
      </c>
      <c r="B5283" t="str">
        <f>VLOOKUP(A5283,Planilha2!$A$2:$C$5566,3,0)</f>
        <v>SÃO DOMINGOS DAS DORES</v>
      </c>
      <c r="C5283" t="str">
        <f>VLOOKUP(A5283,Planilha2!$A$2:$D$5566,4,0)</f>
        <v>MG</v>
      </c>
    </row>
    <row r="5284" spans="1:3" x14ac:dyDescent="0.35">
      <c r="A5284">
        <v>312247</v>
      </c>
      <c r="B5284" t="str">
        <f>VLOOKUP(A5284,Planilha2!$A$2:$C$5566,3,0)</f>
        <v>DOM BOSCO</v>
      </c>
      <c r="C5284" t="str">
        <f>VLOOKUP(A5284,Planilha2!$A$2:$D$5566,4,0)</f>
        <v>MG</v>
      </c>
    </row>
    <row r="5285" spans="1:3" x14ac:dyDescent="0.35">
      <c r="A5285">
        <v>430995</v>
      </c>
      <c r="B5285" t="str">
        <f>VLOOKUP(A5285,Planilha2!$A$2:$C$5566,3,0)</f>
        <v>IBIRAPUITÃ</v>
      </c>
      <c r="C5285" t="str">
        <f>VLOOKUP(A5285,Planilha2!$A$2:$D$5566,4,0)</f>
        <v>RS</v>
      </c>
    </row>
    <row r="5286" spans="1:3" x14ac:dyDescent="0.35">
      <c r="A5286">
        <v>420660</v>
      </c>
      <c r="B5286" t="str">
        <f>VLOOKUP(A5286,Planilha2!$A$2:$C$5566,3,0)</f>
        <v>GUARUJÁ DO SUL</v>
      </c>
      <c r="C5286" t="str">
        <f>VLOOKUP(A5286,Planilha2!$A$2:$D$5566,4,0)</f>
        <v>SC</v>
      </c>
    </row>
    <row r="5287" spans="1:3" x14ac:dyDescent="0.35">
      <c r="A5287">
        <v>432360</v>
      </c>
      <c r="B5287" t="str">
        <f>VLOOKUP(A5287,Planilha2!$A$2:$C$5566,3,0)</f>
        <v>VISTA ALEGRE DO PRATA</v>
      </c>
      <c r="C5287" t="str">
        <f>VLOOKUP(A5287,Planilha2!$A$2:$D$5566,4,0)</f>
        <v>RS</v>
      </c>
    </row>
    <row r="5288" spans="1:3" x14ac:dyDescent="0.35">
      <c r="A5288">
        <v>520396</v>
      </c>
      <c r="B5288" t="str">
        <f>VLOOKUP(A5288,Planilha2!$A$2:$C$5566,3,0)</f>
        <v>BURITINÓPOLIS</v>
      </c>
      <c r="C5288" t="str">
        <f>VLOOKUP(A5288,Planilha2!$A$2:$D$5566,4,0)</f>
        <v>GO</v>
      </c>
    </row>
    <row r="5289" spans="1:3" x14ac:dyDescent="0.35">
      <c r="A5289">
        <v>110070</v>
      </c>
      <c r="B5289" t="str">
        <f>VLOOKUP(A5289,Planilha2!$A$2:$C$5566,3,0)</f>
        <v>CAMPO NOVO DE RONDÔNIA</v>
      </c>
      <c r="C5289" t="str">
        <f>VLOOKUP(A5289,Planilha2!$A$2:$D$5566,4,0)</f>
        <v>RO</v>
      </c>
    </row>
    <row r="5290" spans="1:3" x14ac:dyDescent="0.35">
      <c r="A5290">
        <v>520050</v>
      </c>
      <c r="B5290" t="str">
        <f>VLOOKUP(A5290,Planilha2!$A$2:$C$5566,3,0)</f>
        <v>ALOÂNDIA</v>
      </c>
      <c r="C5290" t="str">
        <f>VLOOKUP(A5290,Planilha2!$A$2:$D$5566,4,0)</f>
        <v>GO</v>
      </c>
    </row>
    <row r="5291" spans="1:3" x14ac:dyDescent="0.35">
      <c r="A5291">
        <v>220515</v>
      </c>
      <c r="B5291" t="str">
        <f>VLOOKUP(A5291,Planilha2!$A$2:$C$5566,3,0)</f>
        <v>JACOBINA DO PIAUÍ</v>
      </c>
      <c r="C5291" t="str">
        <f>VLOOKUP(A5291,Planilha2!$A$2:$D$5566,4,0)</f>
        <v>PI</v>
      </c>
    </row>
    <row r="5292" spans="1:3" x14ac:dyDescent="0.35">
      <c r="A5292">
        <v>291420</v>
      </c>
      <c r="B5292" t="str">
        <f>VLOOKUP(A5292,Planilha2!$A$2:$C$5566,3,0)</f>
        <v>IRAJUBA</v>
      </c>
      <c r="C5292" t="str">
        <f>VLOOKUP(A5292,Planilha2!$A$2:$D$5566,4,0)</f>
        <v>BA</v>
      </c>
    </row>
    <row r="5293" spans="1:3" x14ac:dyDescent="0.35">
      <c r="A5293">
        <v>313790</v>
      </c>
      <c r="B5293" t="str">
        <f>VLOOKUP(A5293,Planilha2!$A$2:$C$5566,3,0)</f>
        <v>LAMIM</v>
      </c>
      <c r="C5293" t="str">
        <f>VLOOKUP(A5293,Planilha2!$A$2:$D$5566,4,0)</f>
        <v>MG</v>
      </c>
    </row>
    <row r="5294" spans="1:3" x14ac:dyDescent="0.35">
      <c r="A5294">
        <v>431242</v>
      </c>
      <c r="B5294" t="str">
        <f>VLOOKUP(A5294,Planilha2!$A$2:$C$5566,3,0)</f>
        <v>MORMAÇO</v>
      </c>
      <c r="C5294" t="str">
        <f>VLOOKUP(A5294,Planilha2!$A$2:$D$5566,4,0)</f>
        <v>RS</v>
      </c>
    </row>
    <row r="5295" spans="1:3" x14ac:dyDescent="0.35">
      <c r="A5295">
        <v>251410</v>
      </c>
      <c r="B5295" t="str">
        <f>VLOOKUP(A5295,Planilha2!$A$2:$C$5566,3,0)</f>
        <v>SÃO JOÃO DO TIGRE</v>
      </c>
      <c r="C5295" t="str">
        <f>VLOOKUP(A5295,Planilha2!$A$2:$D$5566,4,0)</f>
        <v>PB</v>
      </c>
    </row>
    <row r="5296" spans="1:3" x14ac:dyDescent="0.35">
      <c r="A5296">
        <v>522205</v>
      </c>
      <c r="B5296" t="str">
        <f>VLOOKUP(A5296,Planilha2!$A$2:$C$5566,3,0)</f>
        <v>VICENTINÓPOLIS</v>
      </c>
      <c r="C5296" t="str">
        <f>VLOOKUP(A5296,Planilha2!$A$2:$D$5566,4,0)</f>
        <v>GO</v>
      </c>
    </row>
    <row r="5297" spans="1:3" x14ac:dyDescent="0.35">
      <c r="A5297">
        <v>221093</v>
      </c>
      <c r="B5297" t="str">
        <f>VLOOKUP(A5297,Planilha2!$A$2:$C$5566,3,0)</f>
        <v>SUSSUAPARA</v>
      </c>
      <c r="C5297" t="str">
        <f>VLOOKUP(A5297,Planilha2!$A$2:$D$5566,4,0)</f>
        <v>PI</v>
      </c>
    </row>
    <row r="5298" spans="1:3" x14ac:dyDescent="0.35">
      <c r="A5298">
        <v>241160</v>
      </c>
      <c r="B5298" t="str">
        <f>VLOOKUP(A5298,Planilha2!$A$2:$C$5566,3,0)</f>
        <v>SÃO BENTO DO NORTE</v>
      </c>
      <c r="C5298" t="str">
        <f>VLOOKUP(A5298,Planilha2!$A$2:$D$5566,4,0)</f>
        <v>RN</v>
      </c>
    </row>
    <row r="5299" spans="1:3" x14ac:dyDescent="0.35">
      <c r="A5299">
        <v>431217</v>
      </c>
      <c r="B5299" t="str">
        <f>VLOOKUP(A5299,Planilha2!$A$2:$C$5566,3,0)</f>
        <v>MATO QUEIMADO</v>
      </c>
      <c r="C5299" t="str">
        <f>VLOOKUP(A5299,Planilha2!$A$2:$D$5566,4,0)</f>
        <v>RS</v>
      </c>
    </row>
    <row r="5300" spans="1:3" x14ac:dyDescent="0.35">
      <c r="A5300">
        <v>431215</v>
      </c>
      <c r="B5300" t="str">
        <f>VLOOKUP(A5300,Planilha2!$A$2:$C$5566,3,0)</f>
        <v>MATO LEITÃO</v>
      </c>
      <c r="C5300" t="str">
        <f>VLOOKUP(A5300,Planilha2!$A$2:$D$5566,4,0)</f>
        <v>RS</v>
      </c>
    </row>
    <row r="5301" spans="1:3" x14ac:dyDescent="0.35">
      <c r="A5301">
        <v>430550</v>
      </c>
      <c r="B5301" t="str">
        <f>VLOOKUP(A5301,Planilha2!$A$2:$C$5566,3,0)</f>
        <v>CIRÍACO</v>
      </c>
      <c r="C5301" t="str">
        <f>VLOOKUP(A5301,Planilha2!$A$2:$D$5566,4,0)</f>
        <v>RS</v>
      </c>
    </row>
    <row r="5302" spans="1:3" x14ac:dyDescent="0.35">
      <c r="A5302">
        <v>220025</v>
      </c>
      <c r="B5302" t="str">
        <f>VLOOKUP(A5302,Planilha2!$A$2:$C$5566,3,0)</f>
        <v>ALAGOINHA DO PIAUÍ</v>
      </c>
      <c r="C5302" t="str">
        <f>VLOOKUP(A5302,Planilha2!$A$2:$D$5566,4,0)</f>
        <v>PI</v>
      </c>
    </row>
    <row r="5303" spans="1:3" x14ac:dyDescent="0.35">
      <c r="A5303">
        <v>313695</v>
      </c>
      <c r="B5303" t="str">
        <f>VLOOKUP(A5303,Planilha2!$A$2:$C$5566,3,0)</f>
        <v>JUVENÍLIA</v>
      </c>
      <c r="C5303" t="str">
        <f>VLOOKUP(A5303,Planilha2!$A$2:$D$5566,4,0)</f>
        <v>MG</v>
      </c>
    </row>
    <row r="5304" spans="1:3" x14ac:dyDescent="0.35">
      <c r="A5304">
        <v>316730</v>
      </c>
      <c r="B5304" t="str">
        <f>VLOOKUP(A5304,Planilha2!$A$2:$C$5566,3,0)</f>
        <v>SILVEIRÂNIA</v>
      </c>
      <c r="C5304" t="str">
        <f>VLOOKUP(A5304,Planilha2!$A$2:$D$5566,4,0)</f>
        <v>MG</v>
      </c>
    </row>
    <row r="5305" spans="1:3" x14ac:dyDescent="0.35">
      <c r="A5305">
        <v>352540</v>
      </c>
      <c r="B5305" t="str">
        <f>VLOOKUP(A5305,Planilha2!$A$2:$C$5566,3,0)</f>
        <v>JERIQUARA</v>
      </c>
      <c r="C5305" t="str">
        <f>VLOOKUP(A5305,Planilha2!$A$2:$D$5566,4,0)</f>
        <v>SP</v>
      </c>
    </row>
    <row r="5306" spans="1:3" x14ac:dyDescent="0.35">
      <c r="A5306">
        <v>411600</v>
      </c>
      <c r="B5306" t="str">
        <f>VLOOKUP(A5306,Planilha2!$A$2:$C$5566,3,0)</f>
        <v>MIRASELVA</v>
      </c>
      <c r="C5306" t="str">
        <f>VLOOKUP(A5306,Planilha2!$A$2:$D$5566,4,0)</f>
        <v>PR</v>
      </c>
    </row>
    <row r="5307" spans="1:3" x14ac:dyDescent="0.35">
      <c r="A5307">
        <v>352265</v>
      </c>
      <c r="B5307" t="str">
        <f>VLOOKUP(A5307,Planilha2!$A$2:$C$5566,3,0)</f>
        <v>ITAPIRAPUÃ PAULISTA</v>
      </c>
      <c r="C5307" t="str">
        <f>VLOOKUP(A5307,Planilha2!$A$2:$D$5566,4,0)</f>
        <v>SP</v>
      </c>
    </row>
    <row r="5308" spans="1:3" x14ac:dyDescent="0.35">
      <c r="A5308">
        <v>430544</v>
      </c>
      <c r="B5308" t="str">
        <f>VLOOKUP(A5308,Planilha2!$A$2:$C$5566,3,0)</f>
        <v>CHUVISCA</v>
      </c>
      <c r="C5308" t="str">
        <f>VLOOKUP(A5308,Planilha2!$A$2:$D$5566,4,0)</f>
        <v>RS</v>
      </c>
    </row>
    <row r="5309" spans="1:3" x14ac:dyDescent="0.35">
      <c r="A5309">
        <v>520710</v>
      </c>
      <c r="B5309" t="str">
        <f>VLOOKUP(A5309,Planilha2!$A$2:$C$5566,3,0)</f>
        <v>DIORAMA</v>
      </c>
      <c r="C5309" t="str">
        <f>VLOOKUP(A5309,Planilha2!$A$2:$D$5566,4,0)</f>
        <v>GO</v>
      </c>
    </row>
    <row r="5310" spans="1:3" x14ac:dyDescent="0.35">
      <c r="A5310">
        <v>171090</v>
      </c>
      <c r="B5310" t="str">
        <f>VLOOKUP(A5310,Planilha2!$A$2:$C$5566,3,0)</f>
        <v>ITAPIRATINS</v>
      </c>
      <c r="C5310" t="str">
        <f>VLOOKUP(A5310,Planilha2!$A$2:$D$5566,4,0)</f>
        <v>TO</v>
      </c>
    </row>
    <row r="5311" spans="1:3" x14ac:dyDescent="0.35">
      <c r="A5311">
        <v>171360</v>
      </c>
      <c r="B5311" t="str">
        <f>VLOOKUP(A5311,Planilha2!$A$2:$C$5566,3,0)</f>
        <v>MONTE DO CARMO</v>
      </c>
      <c r="C5311" t="str">
        <f>VLOOKUP(A5311,Planilha2!$A$2:$D$5566,4,0)</f>
        <v>TO</v>
      </c>
    </row>
    <row r="5312" spans="1:3" x14ac:dyDescent="0.35">
      <c r="A5312">
        <v>432370</v>
      </c>
      <c r="B5312" t="str">
        <f>VLOOKUP(A5312,Planilha2!$A$2:$C$5566,3,0)</f>
        <v>VISTA GAÚCHA</v>
      </c>
      <c r="C5312" t="str">
        <f>VLOOKUP(A5312,Planilha2!$A$2:$D$5566,4,0)</f>
        <v>RS</v>
      </c>
    </row>
    <row r="5313" spans="1:3" x14ac:dyDescent="0.35">
      <c r="A5313">
        <v>430865</v>
      </c>
      <c r="B5313" t="str">
        <f>VLOOKUP(A5313,Planilha2!$A$2:$C$5566,3,0)</f>
        <v>GARRUCHOS</v>
      </c>
      <c r="C5313" t="str">
        <f>VLOOKUP(A5313,Planilha2!$A$2:$D$5566,4,0)</f>
        <v>RS</v>
      </c>
    </row>
    <row r="5314" spans="1:3" x14ac:dyDescent="0.35">
      <c r="A5314">
        <v>130395</v>
      </c>
      <c r="B5314" t="str">
        <f>VLOOKUP(A5314,Planilha2!$A$2:$C$5566,3,0)</f>
        <v>SÃO SEBASTIÃO DO UATUMÃ</v>
      </c>
      <c r="C5314" t="str">
        <f>VLOOKUP(A5314,Planilha2!$A$2:$D$5566,4,0)</f>
        <v>AM</v>
      </c>
    </row>
    <row r="5315" spans="1:3" x14ac:dyDescent="0.35">
      <c r="A5315">
        <v>170360</v>
      </c>
      <c r="B5315" t="str">
        <f>VLOOKUP(A5315,Planilha2!$A$2:$C$5566,3,0)</f>
        <v>BRASILÂNDIA DO TOCANTINS</v>
      </c>
      <c r="C5315" t="str">
        <f>VLOOKUP(A5315,Planilha2!$A$2:$D$5566,4,0)</f>
        <v>TO</v>
      </c>
    </row>
    <row r="5316" spans="1:3" x14ac:dyDescent="0.35">
      <c r="A5316">
        <v>310360</v>
      </c>
      <c r="B5316" t="str">
        <f>VLOOKUP(A5316,Planilha2!$A$2:$C$5566,3,0)</f>
        <v>ARANTINA</v>
      </c>
      <c r="C5316" t="str">
        <f>VLOOKUP(A5316,Planilha2!$A$2:$D$5566,4,0)</f>
        <v>MG</v>
      </c>
    </row>
    <row r="5317" spans="1:3" x14ac:dyDescent="0.35">
      <c r="A5317">
        <v>315765</v>
      </c>
      <c r="B5317" t="str">
        <f>VLOOKUP(A5317,Planilha2!$A$2:$C$5566,3,0)</f>
        <v>SANTA HELENA DE MINAS</v>
      </c>
      <c r="C5317" t="str">
        <f>VLOOKUP(A5317,Planilha2!$A$2:$D$5566,4,0)</f>
        <v>MG</v>
      </c>
    </row>
    <row r="5318" spans="1:3" x14ac:dyDescent="0.35">
      <c r="A5318">
        <v>311210</v>
      </c>
      <c r="B5318" t="str">
        <f>VLOOKUP(A5318,Planilha2!$A$2:$C$5566,3,0)</f>
        <v>CAPARAÓ</v>
      </c>
      <c r="C5318" t="str">
        <f>VLOOKUP(A5318,Planilha2!$A$2:$D$5566,4,0)</f>
        <v>MG</v>
      </c>
    </row>
    <row r="5319" spans="1:3" x14ac:dyDescent="0.35">
      <c r="A5319">
        <v>311205</v>
      </c>
      <c r="B5319" t="str">
        <f>VLOOKUP(A5319,Planilha2!$A$2:$C$5566,3,0)</f>
        <v>CANTAGALO</v>
      </c>
      <c r="C5319" t="str">
        <f>VLOOKUP(A5319,Planilha2!$A$2:$D$5566,4,0)</f>
        <v>MG</v>
      </c>
    </row>
    <row r="5320" spans="1:3" x14ac:dyDescent="0.35">
      <c r="A5320">
        <v>353657</v>
      </c>
      <c r="B5320" t="str">
        <f>VLOOKUP(A5320,Planilha2!$A$2:$C$5566,3,0)</f>
        <v>PAULISTÂNIA</v>
      </c>
      <c r="C5320" t="str">
        <f>VLOOKUP(A5320,Planilha2!$A$2:$D$5566,4,0)</f>
        <v>SP</v>
      </c>
    </row>
    <row r="5321" spans="1:3" x14ac:dyDescent="0.35">
      <c r="A5321">
        <v>354765</v>
      </c>
      <c r="B5321" t="str">
        <f>VLOOKUP(A5321,Planilha2!$A$2:$C$5566,3,0)</f>
        <v>SANTA SALETE</v>
      </c>
      <c r="C5321" t="str">
        <f>VLOOKUP(A5321,Planilha2!$A$2:$D$5566,4,0)</f>
        <v>SP</v>
      </c>
    </row>
    <row r="5322" spans="1:3" x14ac:dyDescent="0.35">
      <c r="A5322">
        <v>510779</v>
      </c>
      <c r="B5322" t="str">
        <f>VLOOKUP(A5322,Planilha2!$A$2:$C$5566,3,0)</f>
        <v>SANTO ANTÔNIO DO LESTE</v>
      </c>
      <c r="C5322" t="str">
        <f>VLOOKUP(A5322,Planilha2!$A$2:$D$5566,4,0)</f>
        <v>MT</v>
      </c>
    </row>
    <row r="5323" spans="1:3" x14ac:dyDescent="0.35">
      <c r="A5323">
        <v>521260</v>
      </c>
      <c r="B5323" t="str">
        <f>VLOOKUP(A5323,Planilha2!$A$2:$C$5566,3,0)</f>
        <v>MAIRIPOTABA</v>
      </c>
      <c r="C5323" t="str">
        <f>VLOOKUP(A5323,Planilha2!$A$2:$D$5566,4,0)</f>
        <v>GO</v>
      </c>
    </row>
    <row r="5324" spans="1:3" x14ac:dyDescent="0.35">
      <c r="A5324">
        <v>110148</v>
      </c>
      <c r="B5324" t="str">
        <f>VLOOKUP(A5324,Planilha2!$A$2:$C$5566,3,0)</f>
        <v>SÃO FELIPE D`OESTE</v>
      </c>
      <c r="C5324" t="str">
        <f>VLOOKUP(A5324,Planilha2!$A$2:$D$5566,4,0)</f>
        <v>RO</v>
      </c>
    </row>
    <row r="5325" spans="1:3" x14ac:dyDescent="0.35">
      <c r="A5325">
        <v>110026</v>
      </c>
      <c r="B5325" t="str">
        <f>VLOOKUP(A5325,Planilha2!$A$2:$C$5566,3,0)</f>
        <v>RIO CRESPO</v>
      </c>
      <c r="C5325" t="str">
        <f>VLOOKUP(A5325,Planilha2!$A$2:$D$5566,4,0)</f>
        <v>RO</v>
      </c>
    </row>
    <row r="5326" spans="1:3" x14ac:dyDescent="0.35">
      <c r="A5326">
        <v>171845</v>
      </c>
      <c r="B5326" t="str">
        <f>VLOOKUP(A5326,Planilha2!$A$2:$C$5566,3,0)</f>
        <v>PUGMIL</v>
      </c>
      <c r="C5326" t="str">
        <f>VLOOKUP(A5326,Planilha2!$A$2:$D$5566,4,0)</f>
        <v>TO</v>
      </c>
    </row>
    <row r="5327" spans="1:3" x14ac:dyDescent="0.35">
      <c r="A5327">
        <v>280730</v>
      </c>
      <c r="B5327" t="str">
        <f>VLOOKUP(A5327,Planilha2!$A$2:$C$5566,3,0)</f>
        <v>TELHA</v>
      </c>
      <c r="C5327" t="str">
        <f>VLOOKUP(A5327,Planilha2!$A$2:$D$5566,4,0)</f>
        <v>SE</v>
      </c>
    </row>
    <row r="5328" spans="1:3" x14ac:dyDescent="0.35">
      <c r="A5328">
        <v>311590</v>
      </c>
      <c r="B5328" t="str">
        <f>VLOOKUP(A5328,Planilha2!$A$2:$C$5566,3,0)</f>
        <v>CHÁCARA</v>
      </c>
      <c r="C5328" t="str">
        <f>VLOOKUP(A5328,Planilha2!$A$2:$D$5566,4,0)</f>
        <v>MG</v>
      </c>
    </row>
    <row r="5329" spans="1:3" x14ac:dyDescent="0.35">
      <c r="A5329">
        <v>354110</v>
      </c>
      <c r="B5329" t="str">
        <f>VLOOKUP(A5329,Planilha2!$A$2:$C$5566,3,0)</f>
        <v>PRESIDENTE ALVES</v>
      </c>
      <c r="C5329" t="str">
        <f>VLOOKUP(A5329,Planilha2!$A$2:$D$5566,4,0)</f>
        <v>SP</v>
      </c>
    </row>
    <row r="5330" spans="1:3" x14ac:dyDescent="0.35">
      <c r="A5330">
        <v>421568</v>
      </c>
      <c r="B5330" t="str">
        <f>VLOOKUP(A5330,Planilha2!$A$2:$C$5566,3,0)</f>
        <v>SANTA TEREZINHA DO PROGRESSO</v>
      </c>
      <c r="C5330" t="str">
        <f>VLOOKUP(A5330,Planilha2!$A$2:$D$5566,4,0)</f>
        <v>SC</v>
      </c>
    </row>
    <row r="5331" spans="1:3" x14ac:dyDescent="0.35">
      <c r="A5331">
        <v>411660</v>
      </c>
      <c r="B5331" t="str">
        <f>VLOOKUP(A5331,Planilha2!$A$2:$C$5566,3,0)</f>
        <v>NOVA AMÉRICA DA COLINA</v>
      </c>
      <c r="C5331" t="str">
        <f>VLOOKUP(A5331,Planilha2!$A$2:$D$5566,4,0)</f>
        <v>PR</v>
      </c>
    </row>
    <row r="5332" spans="1:3" x14ac:dyDescent="0.35">
      <c r="A5332">
        <v>431725</v>
      </c>
      <c r="B5332" t="str">
        <f>VLOOKUP(A5332,Planilha2!$A$2:$C$5566,3,0)</f>
        <v>SANTA TEREZA</v>
      </c>
      <c r="C5332" t="str">
        <f>VLOOKUP(A5332,Planilha2!$A$2:$D$5566,4,0)</f>
        <v>RS</v>
      </c>
    </row>
    <row r="5333" spans="1:3" x14ac:dyDescent="0.35">
      <c r="A5333">
        <v>510160</v>
      </c>
      <c r="B5333" t="str">
        <f>VLOOKUP(A5333,Planilha2!$A$2:$C$5566,3,0)</f>
        <v>BARÃO DE MELGAÇO</v>
      </c>
      <c r="C5333" t="str">
        <f>VLOOKUP(A5333,Planilha2!$A$2:$D$5566,4,0)</f>
        <v>MT</v>
      </c>
    </row>
    <row r="5334" spans="1:3" x14ac:dyDescent="0.35">
      <c r="A5334">
        <v>522157</v>
      </c>
      <c r="B5334" t="str">
        <f>VLOOKUP(A5334,Planilha2!$A$2:$C$5566,3,0)</f>
        <v>UIRAPURU</v>
      </c>
      <c r="C5334" t="str">
        <f>VLOOKUP(A5334,Planilha2!$A$2:$D$5566,4,0)</f>
        <v>GO</v>
      </c>
    </row>
    <row r="5335" spans="1:3" x14ac:dyDescent="0.35">
      <c r="A5335">
        <v>522145</v>
      </c>
      <c r="B5335" t="str">
        <f>VLOOKUP(A5335,Planilha2!$A$2:$C$5566,3,0)</f>
        <v>TROMBAS</v>
      </c>
      <c r="C5335" t="str">
        <f>VLOOKUP(A5335,Planilha2!$A$2:$D$5566,4,0)</f>
        <v>GO</v>
      </c>
    </row>
    <row r="5336" spans="1:3" x14ac:dyDescent="0.35">
      <c r="A5336">
        <v>520670</v>
      </c>
      <c r="B5336" t="str">
        <f>VLOOKUP(A5336,Planilha2!$A$2:$C$5566,3,0)</f>
        <v>DAMIANÓPOLIS</v>
      </c>
      <c r="C5336" t="str">
        <f>VLOOKUP(A5336,Planilha2!$A$2:$D$5566,4,0)</f>
        <v>GO</v>
      </c>
    </row>
    <row r="5337" spans="1:3" x14ac:dyDescent="0.35">
      <c r="A5337">
        <v>230180</v>
      </c>
      <c r="B5337" t="str">
        <f>VLOOKUP(A5337,Planilha2!$A$2:$C$5566,3,0)</f>
        <v>BAIXIO</v>
      </c>
      <c r="C5337" t="str">
        <f>VLOOKUP(A5337,Planilha2!$A$2:$D$5566,4,0)</f>
        <v>CE</v>
      </c>
    </row>
    <row r="5338" spans="1:3" x14ac:dyDescent="0.35">
      <c r="A5338">
        <v>312030</v>
      </c>
      <c r="B5338" t="str">
        <f>VLOOKUP(A5338,Planilha2!$A$2:$C$5566,3,0)</f>
        <v>CRISTÁLIA</v>
      </c>
      <c r="C5338" t="str">
        <f>VLOOKUP(A5338,Planilha2!$A$2:$D$5566,4,0)</f>
        <v>MG</v>
      </c>
    </row>
    <row r="5339" spans="1:3" x14ac:dyDescent="0.35">
      <c r="A5339">
        <v>350335</v>
      </c>
      <c r="B5339" t="str">
        <f>VLOOKUP(A5339,Planilha2!$A$2:$C$5566,3,0)</f>
        <v>ARCO-ÍRIS</v>
      </c>
      <c r="C5339" t="str">
        <f>VLOOKUP(A5339,Planilha2!$A$2:$D$5566,4,0)</f>
        <v>SP</v>
      </c>
    </row>
    <row r="5340" spans="1:3" x14ac:dyDescent="0.35">
      <c r="A5340">
        <v>520017</v>
      </c>
      <c r="B5340" t="str">
        <f>VLOOKUP(A5340,Planilha2!$A$2:$C$5566,3,0)</f>
        <v>ÁGUA FRIA DE GOIÁS</v>
      </c>
      <c r="C5340" t="str">
        <f>VLOOKUP(A5340,Planilha2!$A$2:$D$5566,4,0)</f>
        <v>GO</v>
      </c>
    </row>
    <row r="5341" spans="1:3" x14ac:dyDescent="0.35">
      <c r="A5341">
        <v>240040</v>
      </c>
      <c r="B5341" t="str">
        <f>VLOOKUP(A5341,Planilha2!$A$2:$C$5566,3,0)</f>
        <v>ÁGUA NOVA</v>
      </c>
      <c r="C5341" t="str">
        <f>VLOOKUP(A5341,Planilha2!$A$2:$D$5566,4,0)</f>
        <v>RN</v>
      </c>
    </row>
    <row r="5342" spans="1:3" x14ac:dyDescent="0.35">
      <c r="A5342">
        <v>314900</v>
      </c>
      <c r="B5342" t="str">
        <f>VLOOKUP(A5342,Planilha2!$A$2:$C$5566,3,0)</f>
        <v>PEDRA DOURADA</v>
      </c>
      <c r="C5342" t="str">
        <f>VLOOKUP(A5342,Planilha2!$A$2:$D$5566,4,0)</f>
        <v>MG</v>
      </c>
    </row>
    <row r="5343" spans="1:3" x14ac:dyDescent="0.35">
      <c r="A5343">
        <v>316820</v>
      </c>
      <c r="B5343" t="str">
        <f>VLOOKUP(A5343,Planilha2!$A$2:$C$5566,3,0)</f>
        <v>TAPIRAÍ</v>
      </c>
      <c r="C5343" t="str">
        <f>VLOOKUP(A5343,Planilha2!$A$2:$D$5566,4,0)</f>
        <v>MG</v>
      </c>
    </row>
    <row r="5344" spans="1:3" x14ac:dyDescent="0.35">
      <c r="A5344">
        <v>313910</v>
      </c>
      <c r="B5344" t="str">
        <f>VLOOKUP(A5344,Planilha2!$A$2:$C$5566,3,0)</f>
        <v>MADRE DE DEUS DE MINAS</v>
      </c>
      <c r="C5344" t="str">
        <f>VLOOKUP(A5344,Planilha2!$A$2:$D$5566,4,0)</f>
        <v>MG</v>
      </c>
    </row>
    <row r="5345" spans="1:3" x14ac:dyDescent="0.35">
      <c r="A5345">
        <v>431650</v>
      </c>
      <c r="B5345" t="str">
        <f>VLOOKUP(A5345,Planilha2!$A$2:$C$5566,3,0)</f>
        <v>SALVADOR DO SUL</v>
      </c>
      <c r="C5345" t="str">
        <f>VLOOKUP(A5345,Planilha2!$A$2:$D$5566,4,0)</f>
        <v>RS</v>
      </c>
    </row>
    <row r="5346" spans="1:3" x14ac:dyDescent="0.35">
      <c r="A5346">
        <v>431090</v>
      </c>
      <c r="B5346" t="str">
        <f>VLOOKUP(A5346,Planilha2!$A$2:$C$5566,3,0)</f>
        <v>JACUTINGA</v>
      </c>
      <c r="C5346" t="str">
        <f>VLOOKUP(A5346,Planilha2!$A$2:$D$5566,4,0)</f>
        <v>RS</v>
      </c>
    </row>
    <row r="5347" spans="1:3" x14ac:dyDescent="0.35">
      <c r="A5347">
        <v>432055</v>
      </c>
      <c r="B5347" t="str">
        <f>VLOOKUP(A5347,Planilha2!$A$2:$C$5566,3,0)</f>
        <v>SERTÃO SANTANA</v>
      </c>
      <c r="C5347" t="str">
        <f>VLOOKUP(A5347,Planilha2!$A$2:$D$5566,4,0)</f>
        <v>RS</v>
      </c>
    </row>
    <row r="5348" spans="1:3" x14ac:dyDescent="0.35">
      <c r="A5348">
        <v>510776</v>
      </c>
      <c r="B5348" t="str">
        <f>VLOOKUP(A5348,Planilha2!$A$2:$C$5566,3,0)</f>
        <v>SANTA RITA DO TRIVELATO</v>
      </c>
      <c r="C5348" t="str">
        <f>VLOOKUP(A5348,Planilha2!$A$2:$D$5566,4,0)</f>
        <v>MT</v>
      </c>
    </row>
    <row r="5349" spans="1:3" x14ac:dyDescent="0.35">
      <c r="A5349">
        <v>510268</v>
      </c>
      <c r="B5349" t="str">
        <f>VLOOKUP(A5349,Planilha2!$A$2:$C$5566,3,0)</f>
        <v>CAMPOS DE JÚLIO</v>
      </c>
      <c r="C5349" t="str">
        <f>VLOOKUP(A5349,Planilha2!$A$2:$D$5566,4,0)</f>
        <v>MT</v>
      </c>
    </row>
    <row r="5350" spans="1:3" x14ac:dyDescent="0.35">
      <c r="A5350">
        <v>430205</v>
      </c>
      <c r="B5350" t="str">
        <f>VLOOKUP(A5350,Planilha2!$A$2:$C$5566,3,0)</f>
        <v>BENJAMIN CONSTANT DO SUL</v>
      </c>
      <c r="C5350" t="str">
        <f>VLOOKUP(A5350,Planilha2!$A$2:$D$5566,4,0)</f>
        <v>RS</v>
      </c>
    </row>
    <row r="5351" spans="1:3" x14ac:dyDescent="0.35">
      <c r="A5351" s="2">
        <v>130000</v>
      </c>
      <c r="B5351" t="str">
        <f>VLOOKUP(A5351,[1]IBGE!A$2:B$27,2,0)</f>
        <v>-</v>
      </c>
      <c r="C5351" t="str">
        <f>VLOOKUP(A5351,[1]IBGE!A$2:C$27,3,0)</f>
        <v>AM</v>
      </c>
    </row>
    <row r="5352" spans="1:3" x14ac:dyDescent="0.35">
      <c r="A5352">
        <v>172125</v>
      </c>
      <c r="B5352" t="str">
        <f>VLOOKUP(A5352,Planilha2!$A$2:$C$5566,3,0)</f>
        <v>TUPIRAMA</v>
      </c>
      <c r="C5352" t="str">
        <f>VLOOKUP(A5352,Planilha2!$A$2:$D$5566,4,0)</f>
        <v>TO</v>
      </c>
    </row>
    <row r="5353" spans="1:3" x14ac:dyDescent="0.35">
      <c r="A5353">
        <v>315650</v>
      </c>
      <c r="B5353" t="str">
        <f>VLOOKUP(A5353,Planilha2!$A$2:$C$5566,3,0)</f>
        <v>RUBELITA</v>
      </c>
      <c r="C5353" t="str">
        <f>VLOOKUP(A5353,Planilha2!$A$2:$D$5566,4,0)</f>
        <v>MG</v>
      </c>
    </row>
    <row r="5354" spans="1:3" x14ac:dyDescent="0.35">
      <c r="A5354">
        <v>311080</v>
      </c>
      <c r="B5354" t="str">
        <f>VLOOKUP(A5354,Planilha2!$A$2:$C$5566,3,0)</f>
        <v>CAMPANÁRIO</v>
      </c>
      <c r="C5354" t="str">
        <f>VLOOKUP(A5354,Planilha2!$A$2:$D$5566,4,0)</f>
        <v>MG</v>
      </c>
    </row>
    <row r="5355" spans="1:3" x14ac:dyDescent="0.35">
      <c r="A5355">
        <v>316230</v>
      </c>
      <c r="B5355" t="str">
        <f>VLOOKUP(A5355,Planilha2!$A$2:$C$5566,3,0)</f>
        <v>SÃO JOÃO DA MATA</v>
      </c>
      <c r="C5355" t="str">
        <f>VLOOKUP(A5355,Planilha2!$A$2:$D$5566,4,0)</f>
        <v>MG</v>
      </c>
    </row>
    <row r="5356" spans="1:3" x14ac:dyDescent="0.35">
      <c r="A5356">
        <v>313500</v>
      </c>
      <c r="B5356" t="str">
        <f>VLOOKUP(A5356,Planilha2!$A$2:$C$5566,3,0)</f>
        <v>JAGUARAÇU</v>
      </c>
      <c r="C5356" t="str">
        <f>VLOOKUP(A5356,Planilha2!$A$2:$D$5566,4,0)</f>
        <v>MG</v>
      </c>
    </row>
    <row r="5357" spans="1:3" x14ac:dyDescent="0.35">
      <c r="A5357">
        <v>350945</v>
      </c>
      <c r="B5357" t="str">
        <f>VLOOKUP(A5357,Planilha2!$A$2:$C$5566,3,0)</f>
        <v>CAMPINA DO MONTE ALEGRE</v>
      </c>
      <c r="C5357" t="str">
        <f>VLOOKUP(A5357,Planilha2!$A$2:$D$5566,4,0)</f>
        <v>SP</v>
      </c>
    </row>
    <row r="5358" spans="1:3" x14ac:dyDescent="0.35">
      <c r="A5358">
        <v>412065</v>
      </c>
      <c r="B5358" t="str">
        <f>VLOOKUP(A5358,Planilha2!$A$2:$C$5566,3,0)</f>
        <v>QUARTO CENTENÁRIO</v>
      </c>
      <c r="C5358" t="str">
        <f>VLOOKUP(A5358,Planilha2!$A$2:$D$5566,4,0)</f>
        <v>PR</v>
      </c>
    </row>
    <row r="5359" spans="1:3" x14ac:dyDescent="0.35">
      <c r="A5359">
        <v>431173</v>
      </c>
      <c r="B5359" t="str">
        <f>VLOOKUP(A5359,Planilha2!$A$2:$C$5566,3,0)</f>
        <v>MAMPITUBA</v>
      </c>
      <c r="C5359" t="str">
        <f>VLOOKUP(A5359,Planilha2!$A$2:$D$5566,4,0)</f>
        <v>RS</v>
      </c>
    </row>
    <row r="5360" spans="1:3" x14ac:dyDescent="0.35">
      <c r="A5360">
        <v>170600</v>
      </c>
      <c r="B5360" t="str">
        <f>VLOOKUP(A5360,Planilha2!$A$2:$C$5566,3,0)</f>
        <v>COUTO DE MAGALHÃES</v>
      </c>
      <c r="C5360" t="str">
        <f>VLOOKUP(A5360,Planilha2!$A$2:$D$5566,4,0)</f>
        <v>TO</v>
      </c>
    </row>
    <row r="5361" spans="1:3" x14ac:dyDescent="0.35">
      <c r="A5361" s="2">
        <v>110000</v>
      </c>
      <c r="B5361" t="str">
        <f>VLOOKUP(A5361,[1]IBGE!A$2:B$27,2,0)</f>
        <v>-</v>
      </c>
      <c r="C5361" t="str">
        <f>VLOOKUP(A5361,[1]IBGE!A$2:C$27,3,0)</f>
        <v>RO</v>
      </c>
    </row>
    <row r="5362" spans="1:3" x14ac:dyDescent="0.35">
      <c r="A5362">
        <v>170330</v>
      </c>
      <c r="B5362" t="str">
        <f>VLOOKUP(A5362,Planilha2!$A$2:$C$5566,3,0)</f>
        <v>BOM JESUS DO TOCANTINS</v>
      </c>
      <c r="C5362" t="str">
        <f>VLOOKUP(A5362,Planilha2!$A$2:$D$5566,4,0)</f>
        <v>TO</v>
      </c>
    </row>
    <row r="5363" spans="1:3" x14ac:dyDescent="0.35">
      <c r="A5363">
        <v>240620</v>
      </c>
      <c r="B5363" t="str">
        <f>VLOOKUP(A5363,Planilha2!$A$2:$C$5566,3,0)</f>
        <v>LAGOA D`ANTA</v>
      </c>
      <c r="C5363" t="str">
        <f>VLOOKUP(A5363,Planilha2!$A$2:$D$5566,4,0)</f>
        <v>RN</v>
      </c>
    </row>
    <row r="5364" spans="1:3" x14ac:dyDescent="0.35">
      <c r="A5364">
        <v>312695</v>
      </c>
      <c r="B5364" t="str">
        <f>VLOOKUP(A5364,Planilha2!$A$2:$C$5566,3,0)</f>
        <v>FREI LAGONEGRO</v>
      </c>
      <c r="C5364" t="str">
        <f>VLOOKUP(A5364,Planilha2!$A$2:$D$5566,4,0)</f>
        <v>MG</v>
      </c>
    </row>
    <row r="5365" spans="1:3" x14ac:dyDescent="0.35">
      <c r="A5365">
        <v>411590</v>
      </c>
      <c r="B5365" t="str">
        <f>VLOOKUP(A5365,Planilha2!$A$2:$C$5566,3,0)</f>
        <v>MIRADOR</v>
      </c>
      <c r="C5365" t="str">
        <f>VLOOKUP(A5365,Planilha2!$A$2:$D$5566,4,0)</f>
        <v>PR</v>
      </c>
    </row>
    <row r="5366" spans="1:3" x14ac:dyDescent="0.35">
      <c r="A5366">
        <v>431235</v>
      </c>
      <c r="B5366" t="str">
        <f>VLOOKUP(A5366,Planilha2!$A$2:$C$5566,3,0)</f>
        <v>MONTAURI</v>
      </c>
      <c r="C5366" t="str">
        <f>VLOOKUP(A5366,Planilha2!$A$2:$D$5566,4,0)</f>
        <v>RS</v>
      </c>
    </row>
    <row r="5367" spans="1:3" x14ac:dyDescent="0.35">
      <c r="A5367">
        <v>432377</v>
      </c>
      <c r="B5367" t="str">
        <f>VLOOKUP(A5367,Planilha2!$A$2:$C$5566,3,0)</f>
        <v>WESTFALIA</v>
      </c>
      <c r="C5367" t="str">
        <f>VLOOKUP(A5367,Planilha2!$A$2:$D$5566,4,0)</f>
        <v>RS</v>
      </c>
    </row>
    <row r="5368" spans="1:3" x14ac:dyDescent="0.35">
      <c r="A5368">
        <v>291020</v>
      </c>
      <c r="B5368" t="str">
        <f>VLOOKUP(A5368,Planilha2!$A$2:$C$5566,3,0)</f>
        <v>DOM MACEDO COSTA</v>
      </c>
      <c r="C5368" t="str">
        <f>VLOOKUP(A5368,Planilha2!$A$2:$D$5566,4,0)</f>
        <v>BA</v>
      </c>
    </row>
    <row r="5369" spans="1:3" x14ac:dyDescent="0.35">
      <c r="A5369">
        <v>355465</v>
      </c>
      <c r="B5369" t="str">
        <f>VLOOKUP(A5369,Planilha2!$A$2:$C$5566,3,0)</f>
        <v>TORRE DE PEDRA</v>
      </c>
      <c r="C5369" t="str">
        <f>VLOOKUP(A5369,Planilha2!$A$2:$D$5566,4,0)</f>
        <v>SP</v>
      </c>
    </row>
    <row r="5370" spans="1:3" x14ac:dyDescent="0.35">
      <c r="A5370">
        <v>351580</v>
      </c>
      <c r="B5370" t="str">
        <f>VLOOKUP(A5370,Planilha2!$A$2:$C$5566,3,0)</f>
        <v>FLORA RICA</v>
      </c>
      <c r="C5370" t="str">
        <f>VLOOKUP(A5370,Planilha2!$A$2:$D$5566,4,0)</f>
        <v>SP</v>
      </c>
    </row>
    <row r="5371" spans="1:3" x14ac:dyDescent="0.35">
      <c r="A5371">
        <v>421715</v>
      </c>
      <c r="B5371" t="str">
        <f>VLOOKUP(A5371,Planilha2!$A$2:$C$5566,3,0)</f>
        <v>SÃO MIGUEL DA BOA VISTA</v>
      </c>
      <c r="C5371" t="str">
        <f>VLOOKUP(A5371,Planilha2!$A$2:$D$5566,4,0)</f>
        <v>SC</v>
      </c>
    </row>
    <row r="5372" spans="1:3" x14ac:dyDescent="0.35">
      <c r="A5372">
        <v>431755</v>
      </c>
      <c r="B5372" t="str">
        <f>VLOOKUP(A5372,Planilha2!$A$2:$C$5566,3,0)</f>
        <v>SANTO ANTÔNIO DO PALMA</v>
      </c>
      <c r="C5372" t="str">
        <f>VLOOKUP(A5372,Planilha2!$A$2:$D$5566,4,0)</f>
        <v>RS</v>
      </c>
    </row>
    <row r="5373" spans="1:3" x14ac:dyDescent="0.35">
      <c r="A5373">
        <v>432218</v>
      </c>
      <c r="B5373" t="str">
        <f>VLOOKUP(A5373,Planilha2!$A$2:$C$5566,3,0)</f>
        <v>TUPANCI DO SUL</v>
      </c>
      <c r="C5373" t="str">
        <f>VLOOKUP(A5373,Planilha2!$A$2:$D$5566,4,0)</f>
        <v>RS</v>
      </c>
    </row>
    <row r="5374" spans="1:3" x14ac:dyDescent="0.35">
      <c r="A5374">
        <v>430670</v>
      </c>
      <c r="B5374" t="str">
        <f>VLOOKUP(A5374,Planilha2!$A$2:$C$5566,3,0)</f>
        <v>DONA FRANCISCA</v>
      </c>
      <c r="C5374" t="str">
        <f>VLOOKUP(A5374,Planilha2!$A$2:$D$5566,4,0)</f>
        <v>RS</v>
      </c>
    </row>
    <row r="5375" spans="1:3" x14ac:dyDescent="0.35">
      <c r="A5375">
        <v>520090</v>
      </c>
      <c r="B5375" t="str">
        <f>VLOOKUP(A5375,Planilha2!$A$2:$C$5566,3,0)</f>
        <v>AMORINÓPOLIS</v>
      </c>
      <c r="C5375" t="str">
        <f>VLOOKUP(A5375,Planilha2!$A$2:$D$5566,4,0)</f>
        <v>GO</v>
      </c>
    </row>
    <row r="5376" spans="1:3" x14ac:dyDescent="0.35">
      <c r="A5376">
        <v>150640</v>
      </c>
      <c r="B5376" t="str">
        <f>VLOOKUP(A5376,Planilha2!$A$2:$C$5566,3,0)</f>
        <v>SANTA CRUZ DO ARARI</v>
      </c>
      <c r="C5376" t="str">
        <f>VLOOKUP(A5376,Planilha2!$A$2:$D$5566,4,0)</f>
        <v>PA</v>
      </c>
    </row>
    <row r="5377" spans="1:3" x14ac:dyDescent="0.35">
      <c r="A5377">
        <v>160055</v>
      </c>
      <c r="B5377" t="str">
        <f>VLOOKUP(A5377,Planilha2!$A$2:$C$5566,3,0)</f>
        <v>PRACUÚBA</v>
      </c>
      <c r="C5377" t="str">
        <f>VLOOKUP(A5377,Planilha2!$A$2:$D$5566,4,0)</f>
        <v>AP</v>
      </c>
    </row>
    <row r="5378" spans="1:3" x14ac:dyDescent="0.35">
      <c r="A5378">
        <v>510530</v>
      </c>
      <c r="B5378" t="str">
        <f>VLOOKUP(A5378,Planilha2!$A$2:$C$5566,3,0)</f>
        <v>LUCIÁRA</v>
      </c>
      <c r="C5378" t="str">
        <f>VLOOKUP(A5378,Planilha2!$A$2:$D$5566,4,0)</f>
        <v>MT</v>
      </c>
    </row>
    <row r="5379" spans="1:3" x14ac:dyDescent="0.35">
      <c r="A5379">
        <v>520480</v>
      </c>
      <c r="B5379" t="str">
        <f>VLOOKUP(A5379,Planilha2!$A$2:$C$5566,3,0)</f>
        <v>CAMPO ALEGRE DE GOIÁS</v>
      </c>
      <c r="C5379" t="str">
        <f>VLOOKUP(A5379,Planilha2!$A$2:$D$5566,4,0)</f>
        <v>GO</v>
      </c>
    </row>
    <row r="5380" spans="1:3" x14ac:dyDescent="0.35">
      <c r="A5380">
        <v>170230</v>
      </c>
      <c r="B5380" t="str">
        <f>VLOOKUP(A5380,Planilha2!$A$2:$C$5566,3,0)</f>
        <v>ARAPOEMA</v>
      </c>
      <c r="C5380" t="str">
        <f>VLOOKUP(A5380,Planilha2!$A$2:$D$5566,4,0)</f>
        <v>TO</v>
      </c>
    </row>
    <row r="5381" spans="1:3" x14ac:dyDescent="0.35">
      <c r="A5381">
        <v>172085</v>
      </c>
      <c r="B5381" t="str">
        <f>VLOOKUP(A5381,Planilha2!$A$2:$C$5566,3,0)</f>
        <v>SUCUPIRA</v>
      </c>
      <c r="C5381" t="str">
        <f>VLOOKUP(A5381,Planilha2!$A$2:$D$5566,4,0)</f>
        <v>TO</v>
      </c>
    </row>
    <row r="5382" spans="1:3" x14ac:dyDescent="0.35">
      <c r="A5382">
        <v>220323</v>
      </c>
      <c r="B5382" t="str">
        <f>VLOOKUP(A5382,Planilha2!$A$2:$C$5566,3,0)</f>
        <v>CURRAIS</v>
      </c>
      <c r="C5382" t="str">
        <f>VLOOKUP(A5382,Planilha2!$A$2:$D$5566,4,0)</f>
        <v>PI</v>
      </c>
    </row>
    <row r="5383" spans="1:3" x14ac:dyDescent="0.35">
      <c r="A5383">
        <v>220272</v>
      </c>
      <c r="B5383" t="str">
        <f>VLOOKUP(A5383,Planilha2!$A$2:$C$5566,3,0)</f>
        <v>COCAL DOS ALVES</v>
      </c>
      <c r="C5383" t="str">
        <f>VLOOKUP(A5383,Planilha2!$A$2:$D$5566,4,0)</f>
        <v>PI</v>
      </c>
    </row>
    <row r="5384" spans="1:3" x14ac:dyDescent="0.35">
      <c r="A5384">
        <v>241350</v>
      </c>
      <c r="B5384" t="str">
        <f>VLOOKUP(A5384,Planilha2!$A$2:$C$5566,3,0)</f>
        <v>SERRINHA</v>
      </c>
      <c r="C5384" t="str">
        <f>VLOOKUP(A5384,Planilha2!$A$2:$D$5566,4,0)</f>
        <v>RN</v>
      </c>
    </row>
    <row r="5385" spans="1:3" x14ac:dyDescent="0.35">
      <c r="A5385">
        <v>316805</v>
      </c>
      <c r="B5385" t="str">
        <f>VLOOKUP(A5385,Planilha2!$A$2:$C$5566,3,0)</f>
        <v>TAPARUBA</v>
      </c>
      <c r="C5385" t="str">
        <f>VLOOKUP(A5385,Planilha2!$A$2:$D$5566,4,0)</f>
        <v>MG</v>
      </c>
    </row>
    <row r="5386" spans="1:3" x14ac:dyDescent="0.35">
      <c r="A5386">
        <v>354280</v>
      </c>
      <c r="B5386" t="str">
        <f>VLOOKUP(A5386,Planilha2!$A$2:$C$5566,3,0)</f>
        <v>RIBEIRA</v>
      </c>
      <c r="C5386" t="str">
        <f>VLOOKUP(A5386,Planilha2!$A$2:$D$5566,4,0)</f>
        <v>SP</v>
      </c>
    </row>
    <row r="5387" spans="1:3" x14ac:dyDescent="0.35">
      <c r="A5387">
        <v>353286</v>
      </c>
      <c r="B5387" t="str">
        <f>VLOOKUP(A5387,Planilha2!$A$2:$C$5566,3,0)</f>
        <v>NOVA CASTILHO</v>
      </c>
      <c r="C5387" t="str">
        <f>VLOOKUP(A5387,Planilha2!$A$2:$D$5566,4,0)</f>
        <v>SP</v>
      </c>
    </row>
    <row r="5388" spans="1:3" x14ac:dyDescent="0.35">
      <c r="A5388">
        <v>420165</v>
      </c>
      <c r="B5388" t="str">
        <f>VLOOKUP(A5388,Planilha2!$A$2:$C$5566,3,0)</f>
        <v>ARVOREDO</v>
      </c>
      <c r="C5388" t="str">
        <f>VLOOKUP(A5388,Planilha2!$A$2:$D$5566,4,0)</f>
        <v>SC</v>
      </c>
    </row>
    <row r="5389" spans="1:3" x14ac:dyDescent="0.35">
      <c r="A5389">
        <v>431695</v>
      </c>
      <c r="B5389" t="str">
        <f>VLOOKUP(A5389,Planilha2!$A$2:$C$5566,3,0)</f>
        <v>SANTA MARIA DO HERVAL</v>
      </c>
      <c r="C5389" t="str">
        <f>VLOOKUP(A5389,Planilha2!$A$2:$D$5566,4,0)</f>
        <v>RS</v>
      </c>
    </row>
    <row r="5390" spans="1:3" x14ac:dyDescent="0.35">
      <c r="A5390">
        <v>510343</v>
      </c>
      <c r="B5390" t="str">
        <f>VLOOKUP(A5390,Planilha2!$A$2:$C$5566,3,0)</f>
        <v>CURVELÂNDIA</v>
      </c>
      <c r="C5390" t="str">
        <f>VLOOKUP(A5390,Planilha2!$A$2:$D$5566,4,0)</f>
        <v>MT</v>
      </c>
    </row>
    <row r="5391" spans="1:3" x14ac:dyDescent="0.35">
      <c r="A5391">
        <v>110147</v>
      </c>
      <c r="B5391" t="str">
        <f>VLOOKUP(A5391,Planilha2!$A$2:$C$5566,3,0)</f>
        <v>PRIMAVERA DE RONDÔNIA</v>
      </c>
      <c r="C5391" t="str">
        <f>VLOOKUP(A5391,Planilha2!$A$2:$D$5566,4,0)</f>
        <v>RO</v>
      </c>
    </row>
    <row r="5392" spans="1:3" x14ac:dyDescent="0.35">
      <c r="A5392">
        <v>431413</v>
      </c>
      <c r="B5392" t="str">
        <f>VLOOKUP(A5392,Planilha2!$A$2:$C$5566,3,0)</f>
        <v>PAULO BENTO</v>
      </c>
      <c r="C5392" t="str">
        <f>VLOOKUP(A5392,Planilha2!$A$2:$D$5566,4,0)</f>
        <v>RS</v>
      </c>
    </row>
    <row r="5393" spans="1:3" x14ac:dyDescent="0.35">
      <c r="A5393">
        <v>315330</v>
      </c>
      <c r="B5393" t="str">
        <f>VLOOKUP(A5393,Planilha2!$A$2:$C$5566,3,0)</f>
        <v>PRESIDENTE KUBITSCHEK</v>
      </c>
      <c r="C5393" t="str">
        <f>VLOOKUP(A5393,Planilha2!$A$2:$D$5566,4,0)</f>
        <v>MG</v>
      </c>
    </row>
    <row r="5394" spans="1:3" x14ac:dyDescent="0.35">
      <c r="A5394">
        <v>351260</v>
      </c>
      <c r="B5394" t="str">
        <f>VLOOKUP(A5394,Planilha2!$A$2:$C$5566,3,0)</f>
        <v>CORONEL MACEDO</v>
      </c>
      <c r="C5394" t="str">
        <f>VLOOKUP(A5394,Planilha2!$A$2:$D$5566,4,0)</f>
        <v>SP</v>
      </c>
    </row>
    <row r="5395" spans="1:3" x14ac:dyDescent="0.35">
      <c r="A5395">
        <v>420785</v>
      </c>
      <c r="B5395" t="str">
        <f>VLOOKUP(A5395,Planilha2!$A$2:$C$5566,3,0)</f>
        <v>IRATI</v>
      </c>
      <c r="C5395" t="str">
        <f>VLOOKUP(A5395,Planilha2!$A$2:$D$5566,4,0)</f>
        <v>SC</v>
      </c>
    </row>
    <row r="5396" spans="1:3" x14ac:dyDescent="0.35">
      <c r="A5396">
        <v>110145</v>
      </c>
      <c r="B5396" t="str">
        <f>VLOOKUP(A5396,Planilha2!$A$2:$C$5566,3,0)</f>
        <v>PARECIS</v>
      </c>
      <c r="C5396" t="str">
        <f>VLOOKUP(A5396,Planilha2!$A$2:$D$5566,4,0)</f>
        <v>RO</v>
      </c>
    </row>
    <row r="5397" spans="1:3" x14ac:dyDescent="0.35">
      <c r="A5397">
        <v>171200</v>
      </c>
      <c r="B5397" t="str">
        <f>VLOOKUP(A5397,Planilha2!$A$2:$C$5566,3,0)</f>
        <v>LAJEADO</v>
      </c>
      <c r="C5397" t="str">
        <f>VLOOKUP(A5397,Planilha2!$A$2:$D$5566,4,0)</f>
        <v>TO</v>
      </c>
    </row>
    <row r="5398" spans="1:3" x14ac:dyDescent="0.35">
      <c r="A5398">
        <v>220950</v>
      </c>
      <c r="B5398" t="str">
        <f>VLOOKUP(A5398,Planilha2!$A$2:$C$5566,3,0)</f>
        <v>SANTO INÁCIO DO PIAUÍ</v>
      </c>
      <c r="C5398" t="str">
        <f>VLOOKUP(A5398,Planilha2!$A$2:$D$5566,4,0)</f>
        <v>PI</v>
      </c>
    </row>
    <row r="5399" spans="1:3" x14ac:dyDescent="0.35">
      <c r="A5399">
        <v>431513</v>
      </c>
      <c r="B5399" t="str">
        <f>VLOOKUP(A5399,Planilha2!$A$2:$C$5566,3,0)</f>
        <v>POUSO NOVO</v>
      </c>
      <c r="C5399" t="str">
        <f>VLOOKUP(A5399,Planilha2!$A$2:$D$5566,4,0)</f>
        <v>RS</v>
      </c>
    </row>
    <row r="5400" spans="1:3" x14ac:dyDescent="0.35">
      <c r="A5400">
        <v>520420</v>
      </c>
      <c r="B5400" t="str">
        <f>VLOOKUP(A5400,Planilha2!$A$2:$C$5566,3,0)</f>
        <v>CACHOEIRA DE GOIÁS</v>
      </c>
      <c r="C5400" t="str">
        <f>VLOOKUP(A5400,Planilha2!$A$2:$D$5566,4,0)</f>
        <v>GO</v>
      </c>
    </row>
    <row r="5401" spans="1:3" x14ac:dyDescent="0.35">
      <c r="A5401">
        <v>170389</v>
      </c>
      <c r="B5401" t="str">
        <f>VLOOKUP(A5401,Planilha2!$A$2:$C$5566,3,0)</f>
        <v>CARRASCO BONITO</v>
      </c>
      <c r="C5401" t="str">
        <f>VLOOKUP(A5401,Planilha2!$A$2:$D$5566,4,0)</f>
        <v>TO</v>
      </c>
    </row>
    <row r="5402" spans="1:3" x14ac:dyDescent="0.35">
      <c r="A5402">
        <v>293130</v>
      </c>
      <c r="B5402" t="str">
        <f>VLOOKUP(A5402,Planilha2!$A$2:$C$5566,3,0)</f>
        <v>TAPIRAMUTÁ</v>
      </c>
      <c r="C5402" t="str">
        <f>VLOOKUP(A5402,Planilha2!$A$2:$D$5566,4,0)</f>
        <v>BA</v>
      </c>
    </row>
    <row r="5403" spans="1:3" x14ac:dyDescent="0.35">
      <c r="A5403">
        <v>354805</v>
      </c>
      <c r="B5403" t="str">
        <f>VLOOKUP(A5403,Planilha2!$A$2:$C$5566,3,0)</f>
        <v>SANTO ANTÔNIO DO ARACANGUÁ</v>
      </c>
      <c r="C5403" t="str">
        <f>VLOOKUP(A5403,Planilha2!$A$2:$D$5566,4,0)</f>
        <v>SP</v>
      </c>
    </row>
    <row r="5404" spans="1:3" x14ac:dyDescent="0.35">
      <c r="A5404">
        <v>350775</v>
      </c>
      <c r="B5404" t="str">
        <f>VLOOKUP(A5404,Planilha2!$A$2:$C$5566,3,0)</f>
        <v>BREJO ALEGRE</v>
      </c>
      <c r="C5404" t="str">
        <f>VLOOKUP(A5404,Planilha2!$A$2:$D$5566,4,0)</f>
        <v>SP</v>
      </c>
    </row>
    <row r="5405" spans="1:3" x14ac:dyDescent="0.35">
      <c r="A5405">
        <v>350890</v>
      </c>
      <c r="B5405" t="str">
        <f>VLOOKUP(A5405,Planilha2!$A$2:$C$5566,3,0)</f>
        <v>CAIABU</v>
      </c>
      <c r="C5405" t="str">
        <f>VLOOKUP(A5405,Planilha2!$A$2:$D$5566,4,0)</f>
        <v>SP</v>
      </c>
    </row>
    <row r="5406" spans="1:3" x14ac:dyDescent="0.35">
      <c r="A5406">
        <v>354550</v>
      </c>
      <c r="B5406" t="str">
        <f>VLOOKUP(A5406,Planilha2!$A$2:$C$5566,3,0)</f>
        <v>SANDOVALINA</v>
      </c>
      <c r="C5406" t="str">
        <f>VLOOKUP(A5406,Planilha2!$A$2:$D$5566,4,0)</f>
        <v>SP</v>
      </c>
    </row>
    <row r="5407" spans="1:3" x14ac:dyDescent="0.35">
      <c r="A5407">
        <v>412430</v>
      </c>
      <c r="B5407" t="str">
        <f>VLOOKUP(A5407,Planilha2!$A$2:$C$5566,3,0)</f>
        <v>SANTO ANTÔNIO DO PARAÍSO</v>
      </c>
      <c r="C5407" t="str">
        <f>VLOOKUP(A5407,Planilha2!$A$2:$D$5566,4,0)</f>
        <v>PR</v>
      </c>
    </row>
    <row r="5408" spans="1:3" x14ac:dyDescent="0.35">
      <c r="A5408">
        <v>421335</v>
      </c>
      <c r="B5408" t="str">
        <f>VLOOKUP(A5408,Planilha2!$A$2:$C$5566,3,0)</f>
        <v>PONTE ALTA DO NORTE</v>
      </c>
      <c r="C5408" t="str">
        <f>VLOOKUP(A5408,Planilha2!$A$2:$D$5566,4,0)</f>
        <v>SC</v>
      </c>
    </row>
    <row r="5409" spans="1:3" x14ac:dyDescent="0.35">
      <c r="A5409">
        <v>421895</v>
      </c>
      <c r="B5409" t="str">
        <f>VLOOKUP(A5409,Planilha2!$A$2:$C$5566,3,0)</f>
        <v>URUPEMA</v>
      </c>
      <c r="C5409" t="str">
        <f>VLOOKUP(A5409,Planilha2!$A$2:$D$5566,4,0)</f>
        <v>SC</v>
      </c>
    </row>
    <row r="5410" spans="1:3" x14ac:dyDescent="0.35">
      <c r="A5410">
        <v>250410</v>
      </c>
      <c r="B5410" t="str">
        <f>VLOOKUP(A5410,Planilha2!$A$2:$C$5566,3,0)</f>
        <v>CARRAPATEIRA</v>
      </c>
      <c r="C5410" t="str">
        <f>VLOOKUP(A5410,Planilha2!$A$2:$D$5566,4,0)</f>
        <v>PB</v>
      </c>
    </row>
    <row r="5411" spans="1:3" x14ac:dyDescent="0.35">
      <c r="A5411">
        <v>171800</v>
      </c>
      <c r="B5411" t="str">
        <f>VLOOKUP(A5411,Planilha2!$A$2:$C$5566,3,0)</f>
        <v>PORTO ALEGRE DO TOCANTINS</v>
      </c>
      <c r="C5411" t="str">
        <f>VLOOKUP(A5411,Planilha2!$A$2:$D$5566,4,0)</f>
        <v>TO</v>
      </c>
    </row>
    <row r="5412" spans="1:3" x14ac:dyDescent="0.35">
      <c r="A5412">
        <v>430185</v>
      </c>
      <c r="B5412" t="str">
        <f>VLOOKUP(A5412,Planilha2!$A$2:$C$5566,3,0)</f>
        <v>BARRA DO GUARITA</v>
      </c>
      <c r="C5412" t="str">
        <f>VLOOKUP(A5412,Planilha2!$A$2:$D$5566,4,0)</f>
        <v>RS</v>
      </c>
    </row>
    <row r="5413" spans="1:3" x14ac:dyDescent="0.35">
      <c r="A5413">
        <v>250840</v>
      </c>
      <c r="B5413" t="str">
        <f>VLOOKUP(A5413,Planilha2!$A$2:$C$5566,3,0)</f>
        <v>LASTRO</v>
      </c>
      <c r="C5413" t="str">
        <f>VLOOKUP(A5413,Planilha2!$A$2:$D$5566,4,0)</f>
        <v>PB</v>
      </c>
    </row>
    <row r="5414" spans="1:3" x14ac:dyDescent="0.35">
      <c r="A5414">
        <v>220275</v>
      </c>
      <c r="B5414" t="str">
        <f>VLOOKUP(A5414,Planilha2!$A$2:$C$5566,3,0)</f>
        <v>COLÔNIA DO GURGUÉIA</v>
      </c>
      <c r="C5414" t="str">
        <f>VLOOKUP(A5414,Planilha2!$A$2:$D$5566,4,0)</f>
        <v>PI</v>
      </c>
    </row>
    <row r="5415" spans="1:3" x14ac:dyDescent="0.35">
      <c r="A5415">
        <v>241170</v>
      </c>
      <c r="B5415" t="str">
        <f>VLOOKUP(A5415,Planilha2!$A$2:$C$5566,3,0)</f>
        <v>SÃO BENTO DO TRAIRÍ</v>
      </c>
      <c r="C5415" t="str">
        <f>VLOOKUP(A5415,Planilha2!$A$2:$D$5566,4,0)</f>
        <v>RN</v>
      </c>
    </row>
    <row r="5416" spans="1:3" x14ac:dyDescent="0.35">
      <c r="A5416">
        <v>251070</v>
      </c>
      <c r="B5416" t="str">
        <f>VLOOKUP(A5416,Planilha2!$A$2:$C$5566,3,0)</f>
        <v>PASSAGEM</v>
      </c>
      <c r="C5416" t="str">
        <f>VLOOKUP(A5416,Planilha2!$A$2:$D$5566,4,0)</f>
        <v>PB</v>
      </c>
    </row>
    <row r="5417" spans="1:3" x14ac:dyDescent="0.35">
      <c r="A5417">
        <v>312280</v>
      </c>
      <c r="B5417" t="str">
        <f>VLOOKUP(A5417,Planilha2!$A$2:$C$5566,3,0)</f>
        <v>DOM VIÇOSO</v>
      </c>
      <c r="C5417" t="str">
        <f>VLOOKUP(A5417,Planilha2!$A$2:$D$5566,4,0)</f>
        <v>MG</v>
      </c>
    </row>
    <row r="5418" spans="1:3" x14ac:dyDescent="0.35">
      <c r="A5418">
        <v>314660</v>
      </c>
      <c r="B5418" t="str">
        <f>VLOOKUP(A5418,Planilha2!$A$2:$C$5566,3,0)</f>
        <v>PAIVA</v>
      </c>
      <c r="C5418" t="str">
        <f>VLOOKUP(A5418,Planilha2!$A$2:$D$5566,4,0)</f>
        <v>MG</v>
      </c>
    </row>
    <row r="5419" spans="1:3" x14ac:dyDescent="0.35">
      <c r="A5419">
        <v>312120</v>
      </c>
      <c r="B5419" t="str">
        <f>VLOOKUP(A5419,Planilha2!$A$2:$C$5566,3,0)</f>
        <v>DELFINÓPOLIS</v>
      </c>
      <c r="C5419" t="str">
        <f>VLOOKUP(A5419,Planilha2!$A$2:$D$5566,4,0)</f>
        <v>MG</v>
      </c>
    </row>
    <row r="5420" spans="1:3" x14ac:dyDescent="0.35">
      <c r="A5420">
        <v>350820</v>
      </c>
      <c r="B5420" t="str">
        <f>VLOOKUP(A5420,Planilha2!$A$2:$C$5566,3,0)</f>
        <v>BURITIZAL</v>
      </c>
      <c r="C5420" t="str">
        <f>VLOOKUP(A5420,Planilha2!$A$2:$D$5566,4,0)</f>
        <v>SP</v>
      </c>
    </row>
    <row r="5421" spans="1:3" x14ac:dyDescent="0.35">
      <c r="A5421">
        <v>351090</v>
      </c>
      <c r="B5421" t="str">
        <f>VLOOKUP(A5421,Planilha2!$A$2:$C$5566,3,0)</f>
        <v>CÁSSIA DOS COQUEIROS</v>
      </c>
      <c r="C5421" t="str">
        <f>VLOOKUP(A5421,Planilha2!$A$2:$D$5566,4,0)</f>
        <v>SP</v>
      </c>
    </row>
    <row r="5422" spans="1:3" x14ac:dyDescent="0.35">
      <c r="A5422">
        <v>410965</v>
      </c>
      <c r="B5422" t="str">
        <f>VLOOKUP(A5422,Planilha2!$A$2:$C$5566,3,0)</f>
        <v>HONÓRIO SERPA</v>
      </c>
      <c r="C5422" t="str">
        <f>VLOOKUP(A5422,Planilha2!$A$2:$D$5566,4,0)</f>
        <v>PR</v>
      </c>
    </row>
    <row r="5423" spans="1:3" x14ac:dyDescent="0.35">
      <c r="A5423">
        <v>430607</v>
      </c>
      <c r="B5423" t="str">
        <f>VLOOKUP(A5423,Planilha2!$A$2:$C$5566,3,0)</f>
        <v>CRISTAL DO SUL</v>
      </c>
      <c r="C5423" t="str">
        <f>VLOOKUP(A5423,Planilha2!$A$2:$D$5566,4,0)</f>
        <v>RS</v>
      </c>
    </row>
    <row r="5424" spans="1:3" x14ac:dyDescent="0.35">
      <c r="A5424">
        <v>420209</v>
      </c>
      <c r="B5424" t="str">
        <f>VLOOKUP(A5424,Planilha2!$A$2:$C$5566,3,0)</f>
        <v>BARRA BONITA</v>
      </c>
      <c r="C5424" t="str">
        <f>VLOOKUP(A5424,Planilha2!$A$2:$D$5566,4,0)</f>
        <v>SC</v>
      </c>
    </row>
    <row r="5425" spans="1:3" x14ac:dyDescent="0.35">
      <c r="A5425">
        <v>430635</v>
      </c>
      <c r="B5425" t="str">
        <f>VLOOKUP(A5425,Planilha2!$A$2:$C$5566,3,0)</f>
        <v>DEZESSEIS DE NOVEMBRO</v>
      </c>
      <c r="C5425" t="str">
        <f>VLOOKUP(A5425,Planilha2!$A$2:$D$5566,4,0)</f>
        <v>RS</v>
      </c>
    </row>
    <row r="5426" spans="1:3" x14ac:dyDescent="0.35">
      <c r="A5426">
        <v>521920</v>
      </c>
      <c r="B5426" t="str">
        <f>VLOOKUP(A5426,Planilha2!$A$2:$C$5566,3,0)</f>
        <v>SANTA CRUZ DE GOIÁS</v>
      </c>
      <c r="C5426" t="str">
        <f>VLOOKUP(A5426,Planilha2!$A$2:$D$5566,4,0)</f>
        <v>GO</v>
      </c>
    </row>
    <row r="5427" spans="1:3" x14ac:dyDescent="0.35">
      <c r="A5427">
        <v>221038</v>
      </c>
      <c r="B5427" t="str">
        <f>VLOOKUP(A5427,Planilha2!$A$2:$C$5566,3,0)</f>
        <v>SÃO MIGUEL DA BAIXA GRANDE</v>
      </c>
      <c r="C5427" t="str">
        <f>VLOOKUP(A5427,Planilha2!$A$2:$D$5566,4,0)</f>
        <v>PI</v>
      </c>
    </row>
    <row r="5428" spans="1:3" x14ac:dyDescent="0.35">
      <c r="A5428">
        <v>421555</v>
      </c>
      <c r="B5428" t="str">
        <f>VLOOKUP(A5428,Planilha2!$A$2:$C$5566,3,0)</f>
        <v>SANTA HELENA</v>
      </c>
      <c r="C5428" t="str">
        <f>VLOOKUP(A5428,Planilha2!$A$2:$D$5566,4,0)</f>
        <v>SC</v>
      </c>
    </row>
    <row r="5429" spans="1:3" x14ac:dyDescent="0.35">
      <c r="A5429">
        <v>110146</v>
      </c>
      <c r="B5429" t="str">
        <f>VLOOKUP(A5429,Planilha2!$A$2:$C$5566,3,0)</f>
        <v>PIMENTEIRAS DO OESTE</v>
      </c>
      <c r="C5429" t="str">
        <f>VLOOKUP(A5429,Planilha2!$A$2:$D$5566,4,0)</f>
        <v>RO</v>
      </c>
    </row>
    <row r="5430" spans="1:3" x14ac:dyDescent="0.35">
      <c r="A5430">
        <v>170410</v>
      </c>
      <c r="B5430" t="str">
        <f>VLOOKUP(A5430,Planilha2!$A$2:$C$5566,3,0)</f>
        <v>CENTENÁRIO</v>
      </c>
      <c r="C5430" t="str">
        <f>VLOOKUP(A5430,Planilha2!$A$2:$D$5566,4,0)</f>
        <v>TO</v>
      </c>
    </row>
    <row r="5431" spans="1:3" x14ac:dyDescent="0.35">
      <c r="A5431">
        <v>241090</v>
      </c>
      <c r="B5431" t="str">
        <f>VLOOKUP(A5431,Planilha2!$A$2:$C$5566,3,0)</f>
        <v>RIACHUELO</v>
      </c>
      <c r="C5431" t="str">
        <f>VLOOKUP(A5431,Planilha2!$A$2:$D$5566,4,0)</f>
        <v>RN</v>
      </c>
    </row>
    <row r="5432" spans="1:3" x14ac:dyDescent="0.35">
      <c r="A5432">
        <v>314130</v>
      </c>
      <c r="B5432" t="str">
        <f>VLOOKUP(A5432,Planilha2!$A$2:$C$5566,3,0)</f>
        <v>MEDEIROS</v>
      </c>
      <c r="C5432" t="str">
        <f>VLOOKUP(A5432,Planilha2!$A$2:$D$5566,4,0)</f>
        <v>MG</v>
      </c>
    </row>
    <row r="5433" spans="1:3" x14ac:dyDescent="0.35">
      <c r="A5433">
        <v>354025</v>
      </c>
      <c r="B5433" t="str">
        <f>VLOOKUP(A5433,Planilha2!$A$2:$C$5566,3,0)</f>
        <v>PONTALINDA</v>
      </c>
      <c r="C5433" t="str">
        <f>VLOOKUP(A5433,Planilha2!$A$2:$D$5566,4,0)</f>
        <v>SP</v>
      </c>
    </row>
    <row r="5434" spans="1:3" x14ac:dyDescent="0.35">
      <c r="A5434">
        <v>251385</v>
      </c>
      <c r="B5434" t="str">
        <f>VLOOKUP(A5434,Planilha2!$A$2:$C$5566,3,0)</f>
        <v>SANTO ANDRÉ</v>
      </c>
      <c r="C5434" t="str">
        <f>VLOOKUP(A5434,Planilha2!$A$2:$D$5566,4,0)</f>
        <v>PB</v>
      </c>
    </row>
    <row r="5435" spans="1:3" x14ac:dyDescent="0.35">
      <c r="A5435">
        <v>421300</v>
      </c>
      <c r="B5435" t="str">
        <f>VLOOKUP(A5435,Planilha2!$A$2:$C$5566,3,0)</f>
        <v>PINHEIRO PRETO</v>
      </c>
      <c r="C5435" t="str">
        <f>VLOOKUP(A5435,Planilha2!$A$2:$D$5566,4,0)</f>
        <v>SC</v>
      </c>
    </row>
    <row r="5436" spans="1:3" x14ac:dyDescent="0.35">
      <c r="A5436">
        <v>510631</v>
      </c>
      <c r="B5436" t="str">
        <f>VLOOKUP(A5436,Planilha2!$A$2:$C$5566,3,0)</f>
        <v>NOVO SANTO ANTÔNIO</v>
      </c>
      <c r="C5436" t="str">
        <f>VLOOKUP(A5436,Planilha2!$A$2:$D$5566,4,0)</f>
        <v>MT</v>
      </c>
    </row>
    <row r="5437" spans="1:3" x14ac:dyDescent="0.35">
      <c r="A5437">
        <v>520393</v>
      </c>
      <c r="B5437" t="str">
        <f>VLOOKUP(A5437,Planilha2!$A$2:$C$5566,3,0)</f>
        <v>BURITI DE GOIÁS</v>
      </c>
      <c r="C5437" t="str">
        <f>VLOOKUP(A5437,Planilha2!$A$2:$D$5566,4,0)</f>
        <v>GO</v>
      </c>
    </row>
    <row r="5438" spans="1:3" x14ac:dyDescent="0.35">
      <c r="A5438">
        <v>350395</v>
      </c>
      <c r="B5438" t="str">
        <f>VLOOKUP(A5438,Planilha2!$A$2:$C$5566,3,0)</f>
        <v>ASPÁSIA</v>
      </c>
      <c r="C5438" t="str">
        <f>VLOOKUP(A5438,Planilha2!$A$2:$D$5566,4,0)</f>
        <v>SP</v>
      </c>
    </row>
    <row r="5439" spans="1:3" x14ac:dyDescent="0.35">
      <c r="A5439">
        <v>172025</v>
      </c>
      <c r="B5439" t="str">
        <f>VLOOKUP(A5439,Planilha2!$A$2:$C$5566,3,0)</f>
        <v>SÃO SALVADOR DO TOCANTINS</v>
      </c>
      <c r="C5439" t="str">
        <f>VLOOKUP(A5439,Planilha2!$A$2:$D$5566,4,0)</f>
        <v>TO</v>
      </c>
    </row>
    <row r="5440" spans="1:3" x14ac:dyDescent="0.35">
      <c r="A5440">
        <v>520120</v>
      </c>
      <c r="B5440" t="str">
        <f>VLOOKUP(A5440,Planilha2!$A$2:$C$5566,3,0)</f>
        <v>ANHANGUERA</v>
      </c>
      <c r="C5440" t="str">
        <f>VLOOKUP(A5440,Planilha2!$A$2:$D$5566,4,0)</f>
        <v>GO</v>
      </c>
    </row>
    <row r="5441" spans="1:3" x14ac:dyDescent="0.35">
      <c r="A5441">
        <v>220155</v>
      </c>
      <c r="B5441" t="str">
        <f>VLOOKUP(A5441,Planilha2!$A$2:$C$5566,3,0)</f>
        <v>BELA VISTA DO PIAUÍ</v>
      </c>
      <c r="C5441" t="str">
        <f>VLOOKUP(A5441,Planilha2!$A$2:$D$5566,4,0)</f>
        <v>PI</v>
      </c>
    </row>
    <row r="5442" spans="1:3" x14ac:dyDescent="0.35">
      <c r="A5442">
        <v>522155</v>
      </c>
      <c r="B5442" t="str">
        <f>VLOOKUP(A5442,Planilha2!$A$2:$C$5566,3,0)</f>
        <v>TURVELÂNDIA</v>
      </c>
      <c r="C5442" t="str">
        <f>VLOOKUP(A5442,Planilha2!$A$2:$D$5566,4,0)</f>
        <v>GO</v>
      </c>
    </row>
    <row r="5443" spans="1:3" x14ac:dyDescent="0.35">
      <c r="A5443">
        <v>251274</v>
      </c>
      <c r="B5443" t="str">
        <f>VLOOKUP(A5443,Planilha2!$A$2:$C$5566,3,0)</f>
        <v>RIACHÃO</v>
      </c>
      <c r="C5443" t="str">
        <f>VLOOKUP(A5443,Planilha2!$A$2:$D$5566,4,0)</f>
        <v>PB</v>
      </c>
    </row>
    <row r="5444" spans="1:3" x14ac:dyDescent="0.35">
      <c r="A5444">
        <v>410302</v>
      </c>
      <c r="B5444" t="str">
        <f>VLOOKUP(A5444,Planilha2!$A$2:$C$5566,3,0)</f>
        <v>BOA ESPERANÇA DO IGUAÇU</v>
      </c>
      <c r="C5444" t="str">
        <f>VLOOKUP(A5444,Planilha2!$A$2:$D$5566,4,0)</f>
        <v>PR</v>
      </c>
    </row>
    <row r="5445" spans="1:3" x14ac:dyDescent="0.35">
      <c r="A5445">
        <v>421775</v>
      </c>
      <c r="B5445" t="str">
        <f>VLOOKUP(A5445,Planilha2!$A$2:$C$5566,3,0)</f>
        <v>SUL BRASIL</v>
      </c>
      <c r="C5445" t="str">
        <f>VLOOKUP(A5445,Planilha2!$A$2:$D$5566,4,0)</f>
        <v>SC</v>
      </c>
    </row>
    <row r="5446" spans="1:3" x14ac:dyDescent="0.35">
      <c r="A5446">
        <v>420243</v>
      </c>
      <c r="B5446" t="str">
        <f>VLOOKUP(A5446,Planilha2!$A$2:$C$5566,3,0)</f>
        <v>BOCAINA DO SUL</v>
      </c>
      <c r="C5446" t="str">
        <f>VLOOKUP(A5446,Planilha2!$A$2:$D$5566,4,0)</f>
        <v>SC</v>
      </c>
    </row>
    <row r="5447" spans="1:3" x14ac:dyDescent="0.35">
      <c r="A5447">
        <v>431142</v>
      </c>
      <c r="B5447" t="str">
        <f>VLOOKUP(A5447,Planilha2!$A$2:$C$5566,3,0)</f>
        <v>LAJEADO DO BUGRE</v>
      </c>
      <c r="C5447" t="str">
        <f>VLOOKUP(A5447,Planilha2!$A$2:$D$5566,4,0)</f>
        <v>RS</v>
      </c>
    </row>
    <row r="5448" spans="1:3" x14ac:dyDescent="0.35">
      <c r="A5448">
        <v>430155</v>
      </c>
      <c r="B5448" t="str">
        <f>VLOOKUP(A5448,Planilha2!$A$2:$C$5566,3,0)</f>
        <v>ÁUREA</v>
      </c>
      <c r="C5448" t="str">
        <f>VLOOKUP(A5448,Planilha2!$A$2:$D$5566,4,0)</f>
        <v>RS</v>
      </c>
    </row>
    <row r="5449" spans="1:3" x14ac:dyDescent="0.35">
      <c r="A5449">
        <v>412015</v>
      </c>
      <c r="B5449" t="str">
        <f>VLOOKUP(A5449,Planilha2!$A$2:$C$5566,3,0)</f>
        <v>PORTO BARREIRO</v>
      </c>
      <c r="C5449" t="str">
        <f>VLOOKUP(A5449,Planilha2!$A$2:$D$5566,4,0)</f>
        <v>PR</v>
      </c>
    </row>
    <row r="5450" spans="1:3" x14ac:dyDescent="0.35">
      <c r="A5450">
        <v>316560</v>
      </c>
      <c r="B5450" t="str">
        <f>VLOOKUP(A5450,Planilha2!$A$2:$C$5566,3,0)</f>
        <v>SENADOR CORTES</v>
      </c>
      <c r="C5450" t="str">
        <f>VLOOKUP(A5450,Planilha2!$A$2:$D$5566,4,0)</f>
        <v>MG</v>
      </c>
    </row>
    <row r="5451" spans="1:3" x14ac:dyDescent="0.35">
      <c r="A5451">
        <v>313160</v>
      </c>
      <c r="B5451" t="str">
        <f>VLOOKUP(A5451,Planilha2!$A$2:$C$5566,3,0)</f>
        <v>IRAÍ DE MINAS</v>
      </c>
      <c r="C5451" t="str">
        <f>VLOOKUP(A5451,Planilha2!$A$2:$D$5566,4,0)</f>
        <v>MG</v>
      </c>
    </row>
    <row r="5452" spans="1:3" x14ac:dyDescent="0.35">
      <c r="A5452">
        <v>421415</v>
      </c>
      <c r="B5452" t="str">
        <f>VLOOKUP(A5452,Planilha2!$A$2:$C$5566,3,0)</f>
        <v>PRINCESA</v>
      </c>
      <c r="C5452" t="str">
        <f>VLOOKUP(A5452,Planilha2!$A$2:$D$5566,4,0)</f>
        <v>SC</v>
      </c>
    </row>
    <row r="5453" spans="1:3" x14ac:dyDescent="0.35">
      <c r="A5453">
        <v>420535</v>
      </c>
      <c r="B5453" t="str">
        <f>VLOOKUP(A5453,Planilha2!$A$2:$C$5566,3,0)</f>
        <v>FLOR DO SERTÃO</v>
      </c>
      <c r="C5453" t="str">
        <f>VLOOKUP(A5453,Planilha2!$A$2:$D$5566,4,0)</f>
        <v>SC</v>
      </c>
    </row>
    <row r="5454" spans="1:3" x14ac:dyDescent="0.35">
      <c r="A5454">
        <v>430885</v>
      </c>
      <c r="B5454" t="str">
        <f>VLOOKUP(A5454,Planilha2!$A$2:$C$5566,3,0)</f>
        <v>GENTIL</v>
      </c>
      <c r="C5454" t="str">
        <f>VLOOKUP(A5454,Planilha2!$A$2:$D$5566,4,0)</f>
        <v>RS</v>
      </c>
    </row>
    <row r="5455" spans="1:3" x14ac:dyDescent="0.35">
      <c r="A5455">
        <v>220455</v>
      </c>
      <c r="B5455" t="str">
        <f>VLOOKUP(A5455,Planilha2!$A$2:$C$5566,3,0)</f>
        <v>GUARIBAS</v>
      </c>
      <c r="C5455" t="str">
        <f>VLOOKUP(A5455,Planilha2!$A$2:$D$5566,4,0)</f>
        <v>PI</v>
      </c>
    </row>
    <row r="5456" spans="1:3" x14ac:dyDescent="0.35">
      <c r="A5456">
        <v>251455</v>
      </c>
      <c r="B5456" t="str">
        <f>VLOOKUP(A5456,Planilha2!$A$2:$C$5566,3,0)</f>
        <v>SÃO JOSÉ DE PRINCESA</v>
      </c>
      <c r="C5456" t="str">
        <f>VLOOKUP(A5456,Planilha2!$A$2:$D$5566,4,0)</f>
        <v>PB</v>
      </c>
    </row>
    <row r="5457" spans="1:3" x14ac:dyDescent="0.35">
      <c r="A5457">
        <v>251365</v>
      </c>
      <c r="B5457" t="str">
        <f>VLOOKUP(A5457,Planilha2!$A$2:$C$5566,3,0)</f>
        <v>SANTARÉM</v>
      </c>
      <c r="C5457" t="str">
        <f>VLOOKUP(A5457,Planilha2!$A$2:$D$5566,4,0)</f>
        <v>PB</v>
      </c>
    </row>
    <row r="5458" spans="1:3" x14ac:dyDescent="0.35">
      <c r="A5458">
        <v>520660</v>
      </c>
      <c r="B5458" t="str">
        <f>VLOOKUP(A5458,Planilha2!$A$2:$C$5566,3,0)</f>
        <v>CUMARI</v>
      </c>
      <c r="C5458" t="str">
        <f>VLOOKUP(A5458,Planilha2!$A$2:$D$5566,4,0)</f>
        <v>GO</v>
      </c>
    </row>
    <row r="5459" spans="1:3" x14ac:dyDescent="0.35">
      <c r="A5459">
        <v>220253</v>
      </c>
      <c r="B5459" t="str">
        <f>VLOOKUP(A5459,Planilha2!$A$2:$C$5566,3,0)</f>
        <v>CARAÚBAS DO PIAUÍ</v>
      </c>
      <c r="C5459" t="str">
        <f>VLOOKUP(A5459,Planilha2!$A$2:$D$5566,4,0)</f>
        <v>PI</v>
      </c>
    </row>
    <row r="5460" spans="1:3" x14ac:dyDescent="0.35">
      <c r="A5460">
        <v>312015</v>
      </c>
      <c r="B5460" t="str">
        <f>VLOOKUP(A5460,Planilha2!$A$2:$C$5566,3,0)</f>
        <v>CRISÓLITA</v>
      </c>
      <c r="C5460" t="str">
        <f>VLOOKUP(A5460,Planilha2!$A$2:$D$5566,4,0)</f>
        <v>MG</v>
      </c>
    </row>
    <row r="5461" spans="1:3" x14ac:dyDescent="0.35">
      <c r="A5461">
        <v>314780</v>
      </c>
      <c r="B5461" t="str">
        <f>VLOOKUP(A5461,Planilha2!$A$2:$C$5566,3,0)</f>
        <v>PASSA-VINTE</v>
      </c>
      <c r="C5461" t="str">
        <f>VLOOKUP(A5461,Planilha2!$A$2:$D$5566,4,0)</f>
        <v>MG</v>
      </c>
    </row>
    <row r="5462" spans="1:3" x14ac:dyDescent="0.35">
      <c r="A5462">
        <v>420419</v>
      </c>
      <c r="B5462" t="str">
        <f>VLOOKUP(A5462,Planilha2!$A$2:$C$5566,3,0)</f>
        <v>CHAPADÃO DO LAGEADO</v>
      </c>
      <c r="C5462" t="str">
        <f>VLOOKUP(A5462,Planilha2!$A$2:$D$5566,4,0)</f>
        <v>SC</v>
      </c>
    </row>
    <row r="5463" spans="1:3" x14ac:dyDescent="0.35">
      <c r="A5463">
        <v>522028</v>
      </c>
      <c r="B5463" t="str">
        <f>VLOOKUP(A5463,Planilha2!$A$2:$C$5566,3,0)</f>
        <v>SÃO PATRÍCIO</v>
      </c>
      <c r="C5463" t="str">
        <f>VLOOKUP(A5463,Planilha2!$A$2:$D$5566,4,0)</f>
        <v>GO</v>
      </c>
    </row>
    <row r="5464" spans="1:3" x14ac:dyDescent="0.35">
      <c r="A5464">
        <v>220945</v>
      </c>
      <c r="B5464" t="str">
        <f>VLOOKUP(A5464,Planilha2!$A$2:$C$5566,3,0)</f>
        <v>SANTO ANTÔNIO DOS MILAGRES</v>
      </c>
      <c r="C5464" t="str">
        <f>VLOOKUP(A5464,Planilha2!$A$2:$D$5566,4,0)</f>
        <v>PI</v>
      </c>
    </row>
    <row r="5465" spans="1:3" x14ac:dyDescent="0.35">
      <c r="A5465">
        <v>312705</v>
      </c>
      <c r="B5465" t="str">
        <f>VLOOKUP(A5465,Planilha2!$A$2:$C$5566,3,0)</f>
        <v>FRONTEIRA DOS VALES</v>
      </c>
      <c r="C5465" t="str">
        <f>VLOOKUP(A5465,Planilha2!$A$2:$D$5566,4,0)</f>
        <v>MG</v>
      </c>
    </row>
    <row r="5466" spans="1:3" x14ac:dyDescent="0.35">
      <c r="A5466">
        <v>316010</v>
      </c>
      <c r="B5466" t="str">
        <f>VLOOKUP(A5466,Planilha2!$A$2:$C$5566,3,0)</f>
        <v>SANTO ANTÔNIO DO GRAMA</v>
      </c>
      <c r="C5466" t="str">
        <f>VLOOKUP(A5466,Planilha2!$A$2:$D$5566,4,0)</f>
        <v>MG</v>
      </c>
    </row>
    <row r="5467" spans="1:3" x14ac:dyDescent="0.35">
      <c r="A5467">
        <v>355535</v>
      </c>
      <c r="B5467" t="str">
        <f>VLOOKUP(A5467,Planilha2!$A$2:$C$5566,3,0)</f>
        <v>UBARANA</v>
      </c>
      <c r="C5467" t="str">
        <f>VLOOKUP(A5467,Planilha2!$A$2:$D$5566,4,0)</f>
        <v>SP</v>
      </c>
    </row>
    <row r="5468" spans="1:3" x14ac:dyDescent="0.35">
      <c r="A5468">
        <v>420895</v>
      </c>
      <c r="B5468" t="str">
        <f>VLOOKUP(A5468,Planilha2!$A$2:$C$5566,3,0)</f>
        <v>JARDINÓPOLIS</v>
      </c>
      <c r="C5468" t="str">
        <f>VLOOKUP(A5468,Planilha2!$A$2:$D$5566,4,0)</f>
        <v>SC</v>
      </c>
    </row>
    <row r="5469" spans="1:3" x14ac:dyDescent="0.35">
      <c r="A5469">
        <v>421505</v>
      </c>
      <c r="B5469" t="str">
        <f>VLOOKUP(A5469,Planilha2!$A$2:$C$5566,3,0)</f>
        <v>RIO RUFINO</v>
      </c>
      <c r="C5469" t="str">
        <f>VLOOKUP(A5469,Planilha2!$A$2:$D$5566,4,0)</f>
        <v>SC</v>
      </c>
    </row>
    <row r="5470" spans="1:3" x14ac:dyDescent="0.35">
      <c r="A5470">
        <v>431862</v>
      </c>
      <c r="B5470" t="str">
        <f>VLOOKUP(A5470,Planilha2!$A$2:$C$5566,3,0)</f>
        <v>SÃO JOSÉ DOS AUSENTES</v>
      </c>
      <c r="C5470" t="str">
        <f>VLOOKUP(A5470,Planilha2!$A$2:$D$5566,4,0)</f>
        <v>RS</v>
      </c>
    </row>
    <row r="5471" spans="1:3" x14ac:dyDescent="0.35">
      <c r="A5471">
        <v>150125</v>
      </c>
      <c r="B5471" t="str">
        <f>VLOOKUP(A5471,Planilha2!$A$2:$C$5566,3,0)</f>
        <v>BANNACH</v>
      </c>
      <c r="C5471" t="str">
        <f>VLOOKUP(A5471,Planilha2!$A$2:$D$5566,4,0)</f>
        <v>PA</v>
      </c>
    </row>
    <row r="5472" spans="1:3" x14ac:dyDescent="0.35">
      <c r="A5472">
        <v>170388</v>
      </c>
      <c r="B5472" t="str">
        <f>VLOOKUP(A5472,Planilha2!$A$2:$C$5566,3,0)</f>
        <v>CARMOLÂNDIA</v>
      </c>
      <c r="C5472" t="str">
        <f>VLOOKUP(A5472,Planilha2!$A$2:$D$5566,4,0)</f>
        <v>TO</v>
      </c>
    </row>
    <row r="5473" spans="1:3" x14ac:dyDescent="0.35">
      <c r="A5473">
        <v>211157</v>
      </c>
      <c r="B5473" t="str">
        <f>VLOOKUP(A5473,Planilha2!$A$2:$C$5566,3,0)</f>
        <v>SÃO PEDRO DOS CRENTES</v>
      </c>
      <c r="C5473" t="str">
        <f>VLOOKUP(A5473,Planilha2!$A$2:$D$5566,4,0)</f>
        <v>MA</v>
      </c>
    </row>
    <row r="5474" spans="1:3" x14ac:dyDescent="0.35">
      <c r="A5474">
        <v>210237</v>
      </c>
      <c r="B5474" t="str">
        <f>VLOOKUP(A5474,Planilha2!$A$2:$C$5566,3,0)</f>
        <v>CACHOEIRA GRANDE</v>
      </c>
      <c r="C5474" t="str">
        <f>VLOOKUP(A5474,Planilha2!$A$2:$D$5566,4,0)</f>
        <v>MA</v>
      </c>
    </row>
    <row r="5475" spans="1:3" x14ac:dyDescent="0.35">
      <c r="A5475">
        <v>314120</v>
      </c>
      <c r="B5475" t="str">
        <f>VLOOKUP(A5475,Planilha2!$A$2:$C$5566,3,0)</f>
        <v>MATUTINA</v>
      </c>
      <c r="C5475" t="str">
        <f>VLOOKUP(A5475,Planilha2!$A$2:$D$5566,4,0)</f>
        <v>MG</v>
      </c>
    </row>
    <row r="5476" spans="1:3" x14ac:dyDescent="0.35">
      <c r="A5476">
        <v>354470</v>
      </c>
      <c r="B5476" t="str">
        <f>VLOOKUP(A5476,Planilha2!$A$2:$C$5566,3,0)</f>
        <v>SAGRES</v>
      </c>
      <c r="C5476" t="str">
        <f>VLOOKUP(A5476,Planilha2!$A$2:$D$5566,4,0)</f>
        <v>SP</v>
      </c>
    </row>
    <row r="5477" spans="1:3" x14ac:dyDescent="0.35">
      <c r="A5477">
        <v>171525</v>
      </c>
      <c r="B5477" t="str">
        <f>VLOOKUP(A5477,Planilha2!$A$2:$C$5566,3,0)</f>
        <v>NOVO JARDIM</v>
      </c>
      <c r="C5477" t="str">
        <f>VLOOKUP(A5477,Planilha2!$A$2:$D$5566,4,0)</f>
        <v>TO</v>
      </c>
    </row>
    <row r="5478" spans="1:3" x14ac:dyDescent="0.35">
      <c r="A5478">
        <v>431041</v>
      </c>
      <c r="B5478" t="str">
        <f>VLOOKUP(A5478,Planilha2!$A$2:$C$5566,3,0)</f>
        <v>INHACORÁ</v>
      </c>
      <c r="C5478" t="str">
        <f>VLOOKUP(A5478,Planilha2!$A$2:$D$5566,4,0)</f>
        <v>RS</v>
      </c>
    </row>
    <row r="5479" spans="1:3" x14ac:dyDescent="0.35">
      <c r="A5479">
        <v>355590</v>
      </c>
      <c r="B5479" t="str">
        <f>VLOOKUP(A5479,Planilha2!$A$2:$C$5566,3,0)</f>
        <v>URU</v>
      </c>
      <c r="C5479" t="str">
        <f>VLOOKUP(A5479,Planilha2!$A$2:$D$5566,4,0)</f>
        <v>SP</v>
      </c>
    </row>
    <row r="5480" spans="1:3" x14ac:dyDescent="0.35">
      <c r="A5480">
        <v>430642</v>
      </c>
      <c r="B5480" t="str">
        <f>VLOOKUP(A5480,Planilha2!$A$2:$C$5566,3,0)</f>
        <v>DOIS IRMÃOS DAS MISSÕES</v>
      </c>
      <c r="C5480" t="str">
        <f>VLOOKUP(A5480,Planilha2!$A$2:$D$5566,4,0)</f>
        <v>RS</v>
      </c>
    </row>
    <row r="5481" spans="1:3" x14ac:dyDescent="0.35">
      <c r="A5481">
        <v>314490</v>
      </c>
      <c r="B5481" t="str">
        <f>VLOOKUP(A5481,Planilha2!$A$2:$C$5566,3,0)</f>
        <v>NOVA MÓDICA</v>
      </c>
      <c r="C5481" t="str">
        <f>VLOOKUP(A5481,Planilha2!$A$2:$D$5566,4,0)</f>
        <v>MG</v>
      </c>
    </row>
    <row r="5482" spans="1:3" x14ac:dyDescent="0.35">
      <c r="A5482">
        <v>316490</v>
      </c>
      <c r="B5482" t="str">
        <f>VLOOKUP(A5482,Planilha2!$A$2:$C$5566,3,0)</f>
        <v>SÃO SEBASTIÃO DO RIO VERDE</v>
      </c>
      <c r="C5482" t="str">
        <f>VLOOKUP(A5482,Planilha2!$A$2:$D$5566,4,0)</f>
        <v>MG</v>
      </c>
    </row>
    <row r="5483" spans="1:3" x14ac:dyDescent="0.35">
      <c r="A5483">
        <v>420315</v>
      </c>
      <c r="B5483" t="str">
        <f>VLOOKUP(A5483,Planilha2!$A$2:$C$5566,3,0)</f>
        <v>CALMON</v>
      </c>
      <c r="C5483" t="str">
        <f>VLOOKUP(A5483,Planilha2!$A$2:$D$5566,4,0)</f>
        <v>SC</v>
      </c>
    </row>
    <row r="5484" spans="1:3" x14ac:dyDescent="0.35">
      <c r="A5484">
        <v>431975</v>
      </c>
      <c r="B5484" t="str">
        <f>VLOOKUP(A5484,Planilha2!$A$2:$C$5566,3,0)</f>
        <v>SÃO VENDELINO</v>
      </c>
      <c r="C5484" t="str">
        <f>VLOOKUP(A5484,Planilha2!$A$2:$D$5566,4,0)</f>
        <v>RS</v>
      </c>
    </row>
    <row r="5485" spans="1:3" x14ac:dyDescent="0.35">
      <c r="A5485">
        <v>431532</v>
      </c>
      <c r="B5485" t="str">
        <f>VLOOKUP(A5485,Planilha2!$A$2:$C$5566,3,0)</f>
        <v>QUEVEDOS</v>
      </c>
      <c r="C5485" t="str">
        <f>VLOOKUP(A5485,Planilha2!$A$2:$D$5566,4,0)</f>
        <v>RS</v>
      </c>
    </row>
    <row r="5486" spans="1:3" x14ac:dyDescent="0.35">
      <c r="A5486">
        <v>221097</v>
      </c>
      <c r="B5486" t="str">
        <f>VLOOKUP(A5486,Planilha2!$A$2:$C$5566,3,0)</f>
        <v>TANQUE DO PIAUÍ</v>
      </c>
      <c r="C5486" t="str">
        <f>VLOOKUP(A5486,Planilha2!$A$2:$D$5566,4,0)</f>
        <v>PI</v>
      </c>
    </row>
    <row r="5487" spans="1:3" x14ac:dyDescent="0.35">
      <c r="A5487">
        <v>210409</v>
      </c>
      <c r="B5487" t="str">
        <f>VLOOKUP(A5487,Planilha2!$A$2:$C$5566,3,0)</f>
        <v>FORMOSA DA SERRA NEGRA</v>
      </c>
      <c r="C5487" t="str">
        <f>VLOOKUP(A5487,Planilha2!$A$2:$D$5566,4,0)</f>
        <v>MA</v>
      </c>
    </row>
    <row r="5488" spans="1:3" x14ac:dyDescent="0.35">
      <c r="A5488" s="2">
        <v>250000</v>
      </c>
      <c r="B5488" t="str">
        <f>VLOOKUP(A5488,[1]IBGE!A$2:B$27,2,0)</f>
        <v>-</v>
      </c>
      <c r="C5488" t="str">
        <f>VLOOKUP(A5488,[1]IBGE!A$2:C$27,3,0)</f>
        <v>PB</v>
      </c>
    </row>
    <row r="5489" spans="1:3" x14ac:dyDescent="0.35">
      <c r="A5489">
        <v>310880</v>
      </c>
      <c r="B5489" t="str">
        <f>VLOOKUP(A5489,Planilha2!$A$2:$C$5566,3,0)</f>
        <v>BRAÚNAS</v>
      </c>
      <c r="C5489" t="str">
        <f>VLOOKUP(A5489,Planilha2!$A$2:$D$5566,4,0)</f>
        <v>MG</v>
      </c>
    </row>
    <row r="5490" spans="1:3" x14ac:dyDescent="0.35">
      <c r="A5490">
        <v>521565</v>
      </c>
      <c r="B5490" t="str">
        <f>VLOOKUP(A5490,Planilha2!$A$2:$C$5566,3,0)</f>
        <v>PALESTINA DE GOIÁS</v>
      </c>
      <c r="C5490" t="str">
        <f>VLOOKUP(A5490,Planilha2!$A$2:$D$5566,4,0)</f>
        <v>GO</v>
      </c>
    </row>
    <row r="5491" spans="1:3" x14ac:dyDescent="0.35">
      <c r="A5491">
        <v>521205</v>
      </c>
      <c r="B5491" t="str">
        <f>VLOOKUP(A5491,Planilha2!$A$2:$C$5566,3,0)</f>
        <v>JESÚPOLIS</v>
      </c>
      <c r="C5491" t="str">
        <f>VLOOKUP(A5491,Planilha2!$A$2:$D$5566,4,0)</f>
        <v>GO</v>
      </c>
    </row>
    <row r="5492" spans="1:3" x14ac:dyDescent="0.35">
      <c r="A5492">
        <v>432350</v>
      </c>
      <c r="B5492" t="str">
        <f>VLOOKUP(A5492,Planilha2!$A$2:$C$5566,3,0)</f>
        <v>VISTA ALEGRE</v>
      </c>
      <c r="C5492" t="str">
        <f>VLOOKUP(A5492,Planilha2!$A$2:$D$5566,4,0)</f>
        <v>RS</v>
      </c>
    </row>
    <row r="5493" spans="1:3" x14ac:dyDescent="0.35">
      <c r="A5493">
        <v>250057</v>
      </c>
      <c r="B5493" t="str">
        <f>VLOOKUP(A5493,Planilha2!$A$2:$C$5566,3,0)</f>
        <v>ALGODÃO DE JANDAÍRA</v>
      </c>
      <c r="C5493" t="str">
        <f>VLOOKUP(A5493,Planilha2!$A$2:$D$5566,4,0)</f>
        <v>PB</v>
      </c>
    </row>
    <row r="5494" spans="1:3" x14ac:dyDescent="0.35">
      <c r="A5494">
        <v>317210</v>
      </c>
      <c r="B5494" t="str">
        <f>VLOOKUP(A5494,Planilha2!$A$2:$C$5566,3,0)</f>
        <v>VOLTA GRANDE</v>
      </c>
      <c r="C5494" t="str">
        <f>VLOOKUP(A5494,Planilha2!$A$2:$D$5566,4,0)</f>
        <v>MG</v>
      </c>
    </row>
    <row r="5495" spans="1:3" x14ac:dyDescent="0.35">
      <c r="A5495">
        <v>421795</v>
      </c>
      <c r="B5495" t="str">
        <f>VLOOKUP(A5495,Planilha2!$A$2:$C$5566,3,0)</f>
        <v>TIGRINHOS</v>
      </c>
      <c r="C5495" t="str">
        <f>VLOOKUP(A5495,Planilha2!$A$2:$D$5566,4,0)</f>
        <v>SC</v>
      </c>
    </row>
    <row r="5496" spans="1:3" x14ac:dyDescent="0.35">
      <c r="A5496">
        <v>320180</v>
      </c>
      <c r="B5496" t="str">
        <f>VLOOKUP(A5496,Planilha2!$A$2:$C$5566,3,0)</f>
        <v>DIVINO DE SÃO LOURENÇO</v>
      </c>
      <c r="C5496" t="str">
        <f>VLOOKUP(A5496,Planilha2!$A$2:$D$5566,4,0)</f>
        <v>ES</v>
      </c>
    </row>
    <row r="5497" spans="1:3" x14ac:dyDescent="0.35">
      <c r="A5497">
        <v>421917</v>
      </c>
      <c r="B5497" t="str">
        <f>VLOOKUP(A5497,Planilha2!$A$2:$C$5566,3,0)</f>
        <v>VARGEM BONITA</v>
      </c>
      <c r="C5497" t="str">
        <f>VLOOKUP(A5497,Planilha2!$A$2:$D$5566,4,0)</f>
        <v>SC</v>
      </c>
    </row>
    <row r="5498" spans="1:3" x14ac:dyDescent="0.35">
      <c r="A5498">
        <v>431164</v>
      </c>
      <c r="B5498" t="str">
        <f>VLOOKUP(A5498,Planilha2!$A$2:$C$5566,3,0)</f>
        <v>LINHA NOVA</v>
      </c>
      <c r="C5498" t="str">
        <f>VLOOKUP(A5498,Planilha2!$A$2:$D$5566,4,0)</f>
        <v>RS</v>
      </c>
    </row>
    <row r="5499" spans="1:3" x14ac:dyDescent="0.35">
      <c r="A5499">
        <v>221010</v>
      </c>
      <c r="B5499" t="str">
        <f>VLOOKUP(A5499,Planilha2!$A$2:$C$5566,3,0)</f>
        <v>SÃO JOSÉ DO PEIXE</v>
      </c>
      <c r="C5499" t="str">
        <f>VLOOKUP(A5499,Planilha2!$A$2:$D$5566,4,0)</f>
        <v>PI</v>
      </c>
    </row>
    <row r="5500" spans="1:3" x14ac:dyDescent="0.35">
      <c r="A5500">
        <v>350090</v>
      </c>
      <c r="B5500" t="str">
        <f>VLOOKUP(A5500,Planilha2!$A$2:$C$5566,3,0)</f>
        <v>ALTAIR</v>
      </c>
      <c r="C5500" t="str">
        <f>VLOOKUP(A5500,Planilha2!$A$2:$D$5566,4,0)</f>
        <v>SP</v>
      </c>
    </row>
    <row r="5501" spans="1:3" x14ac:dyDescent="0.35">
      <c r="A5501">
        <v>354085</v>
      </c>
      <c r="B5501" t="str">
        <f>VLOOKUP(A5501,Planilha2!$A$2:$C$5566,3,0)</f>
        <v>PRACINHA</v>
      </c>
      <c r="C5501" t="str">
        <f>VLOOKUP(A5501,Planilha2!$A$2:$D$5566,4,0)</f>
        <v>SP</v>
      </c>
    </row>
    <row r="5502" spans="1:3" x14ac:dyDescent="0.35">
      <c r="A5502">
        <v>171889</v>
      </c>
      <c r="B5502" t="str">
        <f>VLOOKUP(A5502,Planilha2!$A$2:$C$5566,3,0)</f>
        <v>SANTA RITA DO TOCANTINS</v>
      </c>
      <c r="C5502" t="str">
        <f>VLOOKUP(A5502,Planilha2!$A$2:$D$5566,4,0)</f>
        <v>TO</v>
      </c>
    </row>
    <row r="5503" spans="1:3" x14ac:dyDescent="0.35">
      <c r="A5503">
        <v>312550</v>
      </c>
      <c r="B5503" t="str">
        <f>VLOOKUP(A5503,Planilha2!$A$2:$C$5566,3,0)</f>
        <v>SÃO GONÇALO DO RIO PRETO</v>
      </c>
      <c r="C5503" t="str">
        <f>VLOOKUP(A5503,Planilha2!$A$2:$D$5566,4,0)</f>
        <v>MG</v>
      </c>
    </row>
    <row r="5504" spans="1:3" x14ac:dyDescent="0.35">
      <c r="A5504">
        <v>510830</v>
      </c>
      <c r="B5504" t="str">
        <f>VLOOKUP(A5504,Planilha2!$A$2:$C$5566,3,0)</f>
        <v>UNIÃO DO SUL</v>
      </c>
      <c r="C5504" t="str">
        <f>VLOOKUP(A5504,Planilha2!$A$2:$D$5566,4,0)</f>
        <v>MT</v>
      </c>
    </row>
    <row r="5505" spans="1:3" x14ac:dyDescent="0.35">
      <c r="A5505">
        <v>431200</v>
      </c>
      <c r="B5505" t="str">
        <f>VLOOKUP(A5505,Planilha2!$A$2:$C$5566,3,0)</f>
        <v>MARIANO MORO</v>
      </c>
      <c r="C5505" t="str">
        <f>VLOOKUP(A5505,Planilha2!$A$2:$D$5566,4,0)</f>
        <v>RS</v>
      </c>
    </row>
    <row r="5506" spans="1:3" x14ac:dyDescent="0.35">
      <c r="A5506">
        <v>171150</v>
      </c>
      <c r="B5506" t="str">
        <f>VLOOKUP(A5506,Planilha2!$A$2:$C$5566,3,0)</f>
        <v>JAÚ DO TOCANTINS</v>
      </c>
      <c r="C5506" t="str">
        <f>VLOOKUP(A5506,Planilha2!$A$2:$D$5566,4,0)</f>
        <v>TO</v>
      </c>
    </row>
    <row r="5507" spans="1:3" x14ac:dyDescent="0.35">
      <c r="A5507">
        <v>170386</v>
      </c>
      <c r="B5507" t="str">
        <f>VLOOKUP(A5507,Planilha2!$A$2:$C$5566,3,0)</f>
        <v>CARIRI DO TOCANTINS</v>
      </c>
      <c r="C5507" t="str">
        <f>VLOOKUP(A5507,Planilha2!$A$2:$D$5566,4,0)</f>
        <v>TO</v>
      </c>
    </row>
    <row r="5508" spans="1:3" x14ac:dyDescent="0.35">
      <c r="A5508">
        <v>210920</v>
      </c>
      <c r="B5508" t="str">
        <f>VLOOKUP(A5508,Planilha2!$A$2:$C$5566,3,0)</f>
        <v>PRESIDENTE JUSCELINO</v>
      </c>
      <c r="C5508" t="str">
        <f>VLOOKUP(A5508,Planilha2!$A$2:$D$5566,4,0)</f>
        <v>MA</v>
      </c>
    </row>
    <row r="5509" spans="1:3" x14ac:dyDescent="0.35">
      <c r="A5509">
        <v>260545</v>
      </c>
      <c r="B5509" t="str">
        <f>VLOOKUP(A5509,Planilha2!$A$2:$C$5566,3,0)</f>
        <v>FERNANDO DE NORONHA</v>
      </c>
      <c r="C5509" t="str">
        <f>VLOOKUP(A5509,Planilha2!$A$2:$D$5566,4,0)</f>
        <v>PE</v>
      </c>
    </row>
    <row r="5510" spans="1:3" x14ac:dyDescent="0.35">
      <c r="A5510">
        <v>412420</v>
      </c>
      <c r="B5510" t="str">
        <f>VLOOKUP(A5510,Planilha2!$A$2:$C$5566,3,0)</f>
        <v>SANTO ANTÔNIO DO CAIUÁ</v>
      </c>
      <c r="C5510" t="str">
        <f>VLOOKUP(A5510,Planilha2!$A$2:$D$5566,4,0)</f>
        <v>PR</v>
      </c>
    </row>
    <row r="5511" spans="1:3" x14ac:dyDescent="0.35">
      <c r="A5511">
        <v>421315</v>
      </c>
      <c r="B5511" t="str">
        <f>VLOOKUP(A5511,Planilha2!$A$2:$C$5566,3,0)</f>
        <v>PLANALTO ALEGRE</v>
      </c>
      <c r="C5511" t="str">
        <f>VLOOKUP(A5511,Planilha2!$A$2:$D$5566,4,0)</f>
        <v>SC</v>
      </c>
    </row>
    <row r="5512" spans="1:3" x14ac:dyDescent="0.35">
      <c r="A5512">
        <v>420075</v>
      </c>
      <c r="B5512" t="str">
        <f>VLOOKUP(A5512,Planilha2!$A$2:$C$5566,3,0)</f>
        <v>ALTO BELA VISTA</v>
      </c>
      <c r="C5512" t="str">
        <f>VLOOKUP(A5512,Planilha2!$A$2:$D$5566,4,0)</f>
        <v>SC</v>
      </c>
    </row>
    <row r="5513" spans="1:3" x14ac:dyDescent="0.35">
      <c r="A5513">
        <v>430192</v>
      </c>
      <c r="B5513" t="str">
        <f>VLOOKUP(A5513,Planilha2!$A$2:$C$5566,3,0)</f>
        <v>BARRA DO RIO AZUL</v>
      </c>
      <c r="C5513" t="str">
        <f>VLOOKUP(A5513,Planilha2!$A$2:$D$5566,4,0)</f>
        <v>RS</v>
      </c>
    </row>
    <row r="5514" spans="1:3" x14ac:dyDescent="0.35">
      <c r="A5514">
        <v>251675</v>
      </c>
      <c r="B5514" t="str">
        <f>VLOOKUP(A5514,Planilha2!$A$2:$C$5566,3,0)</f>
        <v>TENÓRIO</v>
      </c>
      <c r="C5514" t="str">
        <f>VLOOKUP(A5514,Planilha2!$A$2:$D$5566,4,0)</f>
        <v>PB</v>
      </c>
    </row>
    <row r="5515" spans="1:3" x14ac:dyDescent="0.35">
      <c r="A5515">
        <v>313890</v>
      </c>
      <c r="B5515" t="str">
        <f>VLOOKUP(A5515,Planilha2!$A$2:$C$5566,3,0)</f>
        <v>MACHACALIS</v>
      </c>
      <c r="C5515" t="str">
        <f>VLOOKUP(A5515,Planilha2!$A$2:$D$5566,4,0)</f>
        <v>MG</v>
      </c>
    </row>
    <row r="5516" spans="1:3" x14ac:dyDescent="0.35">
      <c r="A5516">
        <v>351495</v>
      </c>
      <c r="B5516" t="str">
        <f>VLOOKUP(A5516,Planilha2!$A$2:$C$5566,3,0)</f>
        <v>EMBAÚBA</v>
      </c>
      <c r="C5516" t="str">
        <f>VLOOKUP(A5516,Planilha2!$A$2:$D$5566,4,0)</f>
        <v>SP</v>
      </c>
    </row>
    <row r="5517" spans="1:3" x14ac:dyDescent="0.35">
      <c r="A5517">
        <v>351565</v>
      </c>
      <c r="B5517" t="str">
        <f>VLOOKUP(A5517,Planilha2!$A$2:$C$5566,3,0)</f>
        <v>FERNÃO</v>
      </c>
      <c r="C5517" t="str">
        <f>VLOOKUP(A5517,Planilha2!$A$2:$D$5566,4,0)</f>
        <v>SP</v>
      </c>
    </row>
    <row r="5518" spans="1:3" x14ac:dyDescent="0.35">
      <c r="A5518">
        <v>352910</v>
      </c>
      <c r="B5518" t="str">
        <f>VLOOKUP(A5518,Planilha2!$A$2:$C$5566,3,0)</f>
        <v>MARINÓPOLIS</v>
      </c>
      <c r="C5518" t="str">
        <f>VLOOKUP(A5518,Planilha2!$A$2:$D$5566,4,0)</f>
        <v>SP</v>
      </c>
    </row>
    <row r="5519" spans="1:3" x14ac:dyDescent="0.35">
      <c r="A5519">
        <v>170980</v>
      </c>
      <c r="B5519" t="str">
        <f>VLOOKUP(A5519,Planilha2!$A$2:$C$5566,3,0)</f>
        <v>IPUEIRAS</v>
      </c>
      <c r="C5519" t="str">
        <f>VLOOKUP(A5519,Planilha2!$A$2:$D$5566,4,0)</f>
        <v>TO</v>
      </c>
    </row>
    <row r="5520" spans="1:3" x14ac:dyDescent="0.35">
      <c r="A5520">
        <v>241270</v>
      </c>
      <c r="B5520" t="str">
        <f>VLOOKUP(A5520,Planilha2!$A$2:$C$5566,3,0)</f>
        <v>SÃO PEDRO</v>
      </c>
      <c r="C5520" t="str">
        <f>VLOOKUP(A5520,Planilha2!$A$2:$D$5566,4,0)</f>
        <v>RN</v>
      </c>
    </row>
    <row r="5521" spans="1:3" x14ac:dyDescent="0.35">
      <c r="A5521">
        <v>315000</v>
      </c>
      <c r="B5521" t="str">
        <f>VLOOKUP(A5521,Planilha2!$A$2:$C$5566,3,0)</f>
        <v>PESCADOR</v>
      </c>
      <c r="C5521" t="str">
        <f>VLOOKUP(A5521,Planilha2!$A$2:$D$5566,4,0)</f>
        <v>MG</v>
      </c>
    </row>
    <row r="5522" spans="1:3" x14ac:dyDescent="0.35">
      <c r="A5522">
        <v>411925</v>
      </c>
      <c r="B5522" t="str">
        <f>VLOOKUP(A5522,Planilha2!$A$2:$C$5566,3,0)</f>
        <v>PINHAL DE SÃO BENTO</v>
      </c>
      <c r="C5522" t="str">
        <f>VLOOKUP(A5522,Planilha2!$A$2:$D$5566,4,0)</f>
        <v>PR</v>
      </c>
    </row>
    <row r="5523" spans="1:3" x14ac:dyDescent="0.35">
      <c r="A5523">
        <v>290880</v>
      </c>
      <c r="B5523" t="str">
        <f>VLOOKUP(A5523,Planilha2!$A$2:$C$5566,3,0)</f>
        <v>CONTENDAS DO SINCORÁ</v>
      </c>
      <c r="C5523" t="str">
        <f>VLOOKUP(A5523,Planilha2!$A$2:$D$5566,4,0)</f>
        <v>BA</v>
      </c>
    </row>
    <row r="5524" spans="1:3" x14ac:dyDescent="0.35">
      <c r="A5524">
        <v>316330</v>
      </c>
      <c r="B5524" t="str">
        <f>VLOOKUP(A5524,Planilha2!$A$2:$C$5566,3,0)</f>
        <v>SÃO JOSÉ DO DIVINO</v>
      </c>
      <c r="C5524" t="str">
        <f>VLOOKUP(A5524,Planilha2!$A$2:$D$5566,4,0)</f>
        <v>MG</v>
      </c>
    </row>
    <row r="5525" spans="1:3" x14ac:dyDescent="0.35">
      <c r="A5525">
        <v>430469</v>
      </c>
      <c r="B5525" t="str">
        <f>VLOOKUP(A5525,Planilha2!$A$2:$C$5566,3,0)</f>
        <v>CAPITÃO</v>
      </c>
      <c r="C5525" t="str">
        <f>VLOOKUP(A5525,Planilha2!$A$2:$D$5566,4,0)</f>
        <v>RS</v>
      </c>
    </row>
    <row r="5526" spans="1:3" x14ac:dyDescent="0.35">
      <c r="A5526">
        <v>421535</v>
      </c>
      <c r="B5526" t="str">
        <f>VLOOKUP(A5526,Planilha2!$A$2:$C$5566,3,0)</f>
        <v>SALTINHO</v>
      </c>
      <c r="C5526" t="str">
        <f>VLOOKUP(A5526,Planilha2!$A$2:$D$5566,4,0)</f>
        <v>SC</v>
      </c>
    </row>
    <row r="5527" spans="1:3" x14ac:dyDescent="0.35">
      <c r="A5527">
        <v>314750</v>
      </c>
      <c r="B5527" t="str">
        <f>VLOOKUP(A5527,Planilha2!$A$2:$C$5566,3,0)</f>
        <v>PASSABÉM</v>
      </c>
      <c r="C5527" t="str">
        <f>VLOOKUP(A5527,Planilha2!$A$2:$D$5566,4,0)</f>
        <v>MG</v>
      </c>
    </row>
    <row r="5528" spans="1:3" x14ac:dyDescent="0.35">
      <c r="A5528">
        <v>140060</v>
      </c>
      <c r="B5528" t="str">
        <f>VLOOKUP(A5528,Planilha2!$A$2:$C$5566,3,0)</f>
        <v>SÃO LUIZ</v>
      </c>
      <c r="C5528" t="str">
        <f>VLOOKUP(A5528,Planilha2!$A$2:$D$5566,4,0)</f>
        <v>RR</v>
      </c>
    </row>
    <row r="5529" spans="1:3" x14ac:dyDescent="0.35">
      <c r="A5529">
        <v>270700</v>
      </c>
      <c r="B5529" t="str">
        <f>VLOOKUP(A5529,Planilha2!$A$2:$C$5566,3,0)</f>
        <v>PINDOBA</v>
      </c>
      <c r="C5529" t="str">
        <f>VLOOKUP(A5529,Planilha2!$A$2:$D$5566,4,0)</f>
        <v>AL</v>
      </c>
    </row>
    <row r="5530" spans="1:3" x14ac:dyDescent="0.35">
      <c r="A5530" s="2">
        <v>170000</v>
      </c>
      <c r="B5530" t="str">
        <f>VLOOKUP(A5530,[1]IBGE!A$2:B$27,2,0)</f>
        <v>-</v>
      </c>
      <c r="C5530" t="str">
        <f>VLOOKUP(A5530,[1]IBGE!A$2:C$27,3,0)</f>
        <v>TO</v>
      </c>
    </row>
    <row r="5531" spans="1:3" x14ac:dyDescent="0.35">
      <c r="A5531">
        <v>315930</v>
      </c>
      <c r="B5531" t="str">
        <f>VLOOKUP(A5531,Planilha2!$A$2:$C$5566,3,0)</f>
        <v>SANTA RITA DE JACUTINGA</v>
      </c>
      <c r="C5531" t="str">
        <f>VLOOKUP(A5531,Planilha2!$A$2:$D$5566,4,0)</f>
        <v>MG</v>
      </c>
    </row>
    <row r="5532" spans="1:3" x14ac:dyDescent="0.35">
      <c r="A5532">
        <v>432185</v>
      </c>
      <c r="B5532" t="str">
        <f>VLOOKUP(A5532,Planilha2!$A$2:$C$5566,3,0)</f>
        <v>TRÊS PALMEIRAS</v>
      </c>
      <c r="C5532" t="str">
        <f>VLOOKUP(A5532,Planilha2!$A$2:$D$5566,4,0)</f>
        <v>RS</v>
      </c>
    </row>
    <row r="5533" spans="1:3" x14ac:dyDescent="0.35">
      <c r="A5533" s="2">
        <v>510000</v>
      </c>
      <c r="B5533" t="str">
        <f>VLOOKUP(A5533,[1]IBGE!A$2:B$27,2,0)</f>
        <v>-</v>
      </c>
      <c r="C5533" t="str">
        <f>VLOOKUP(A5533,[1]IBGE!A$2:C$27,3,0)</f>
        <v>MT</v>
      </c>
    </row>
    <row r="5534" spans="1:3" x14ac:dyDescent="0.35">
      <c r="A5534" s="2">
        <v>240000</v>
      </c>
      <c r="B5534" t="str">
        <f>VLOOKUP(A5534,[1]IBGE!A$2:B$27,2,0)</f>
        <v>-</v>
      </c>
      <c r="C5534" t="str">
        <f>VLOOKUP(A5534,[1]IBGE!A$2:C$27,3,0)</f>
        <v>RN</v>
      </c>
    </row>
    <row r="5535" spans="1:3" x14ac:dyDescent="0.35">
      <c r="A5535">
        <v>431267</v>
      </c>
      <c r="B5535" t="str">
        <f>VLOOKUP(A5535,Planilha2!$A$2:$C$5566,3,0)</f>
        <v>NICOLAU VERGUEIRO</v>
      </c>
      <c r="C5535" t="str">
        <f>VLOOKUP(A5535,Planilha2!$A$2:$D$5566,4,0)</f>
        <v>RS</v>
      </c>
    </row>
    <row r="5536" spans="1:3" x14ac:dyDescent="0.35">
      <c r="A5536">
        <v>251740</v>
      </c>
      <c r="B5536" t="str">
        <f>VLOOKUP(A5536,Planilha2!$A$2:$C$5566,3,0)</f>
        <v>ZABELÊ</v>
      </c>
      <c r="C5536" t="str">
        <f>VLOOKUP(A5536,Planilha2!$A$2:$D$5566,4,0)</f>
        <v>PB</v>
      </c>
    </row>
    <row r="5537" spans="1:3" x14ac:dyDescent="0.35">
      <c r="A5537">
        <v>311490</v>
      </c>
      <c r="B5537" t="str">
        <f>VLOOKUP(A5537,Planilha2!$A$2:$C$5566,3,0)</f>
        <v>CASA GRANDE</v>
      </c>
      <c r="C5537" t="str">
        <f>VLOOKUP(A5537,Planilha2!$A$2:$D$5566,4,0)</f>
        <v>MG</v>
      </c>
    </row>
    <row r="5538" spans="1:3" x14ac:dyDescent="0.35">
      <c r="A5538">
        <v>316060</v>
      </c>
      <c r="B5538" t="str">
        <f>VLOOKUP(A5538,Planilha2!$A$2:$C$5566,3,0)</f>
        <v>SANTO HIPÓLITO</v>
      </c>
      <c r="C5538" t="str">
        <f>VLOOKUP(A5538,Planilha2!$A$2:$D$5566,4,0)</f>
        <v>MG</v>
      </c>
    </row>
    <row r="5539" spans="1:3" x14ac:dyDescent="0.35">
      <c r="A5539">
        <v>431087</v>
      </c>
      <c r="B5539" t="str">
        <f>VLOOKUP(A5539,Planilha2!$A$2:$C$5566,3,0)</f>
        <v>JACUIZINHO</v>
      </c>
      <c r="C5539" t="str">
        <f>VLOOKUP(A5539,Planilha2!$A$2:$D$5566,4,0)</f>
        <v>RS</v>
      </c>
    </row>
    <row r="5540" spans="1:3" x14ac:dyDescent="0.35">
      <c r="A5540">
        <v>431935</v>
      </c>
      <c r="B5540" t="str">
        <f>VLOOKUP(A5540,Planilha2!$A$2:$C$5566,3,0)</f>
        <v>SÃO PEDRO DA SERRA</v>
      </c>
      <c r="C5540" t="str">
        <f>VLOOKUP(A5540,Planilha2!$A$2:$D$5566,4,0)</f>
        <v>RS</v>
      </c>
    </row>
    <row r="5541" spans="1:3" x14ac:dyDescent="0.35">
      <c r="A5541">
        <v>510100</v>
      </c>
      <c r="B5541" t="str">
        <f>VLOOKUP(A5541,Planilha2!$A$2:$C$5566,3,0)</f>
        <v>ARAGUAIANA</v>
      </c>
      <c r="C5541" t="str">
        <f>VLOOKUP(A5541,Planilha2!$A$2:$D$5566,4,0)</f>
        <v>MT</v>
      </c>
    </row>
    <row r="5542" spans="1:3" x14ac:dyDescent="0.35">
      <c r="A5542">
        <v>500627</v>
      </c>
      <c r="B5542" t="str">
        <f>VLOOKUP(A5542,Planilha2!$A$2:$C$5566,3,0)</f>
        <v>PARAÍSO DAS ÁGUAS</v>
      </c>
      <c r="C5542" t="str">
        <f>VLOOKUP(A5542,Planilha2!$A$2:$D$5566,4,0)</f>
        <v>MS</v>
      </c>
    </row>
    <row r="5543" spans="1:3" x14ac:dyDescent="0.35">
      <c r="A5543">
        <v>420517</v>
      </c>
      <c r="B5543" t="str">
        <f>VLOOKUP(A5543,Planilha2!$A$2:$C$5566,3,0)</f>
        <v>ENTRE RIOS</v>
      </c>
      <c r="C5543" t="str">
        <f>VLOOKUP(A5543,Planilha2!$A$2:$D$5566,4,0)</f>
        <v>SC</v>
      </c>
    </row>
    <row r="5544" spans="1:3" x14ac:dyDescent="0.35">
      <c r="A5544">
        <v>522005</v>
      </c>
      <c r="B5544" t="str">
        <f>VLOOKUP(A5544,Planilha2!$A$2:$C$5566,3,0)</f>
        <v>SÃO JOÃO DA PARAÚNA</v>
      </c>
      <c r="C5544" t="str">
        <f>VLOOKUP(A5544,Planilha2!$A$2:$D$5566,4,0)</f>
        <v>GO</v>
      </c>
    </row>
    <row r="5545" spans="1:3" x14ac:dyDescent="0.35">
      <c r="A5545">
        <v>315620</v>
      </c>
      <c r="B5545" t="str">
        <f>VLOOKUP(A5545,Planilha2!$A$2:$C$5566,3,0)</f>
        <v>ROCHEDO DE MINAS</v>
      </c>
      <c r="C5545" t="str">
        <f>VLOOKUP(A5545,Planilha2!$A$2:$D$5566,4,0)</f>
        <v>MG</v>
      </c>
    </row>
    <row r="5546" spans="1:3" x14ac:dyDescent="0.35">
      <c r="A5546">
        <v>411260</v>
      </c>
      <c r="B5546" t="str">
        <f>VLOOKUP(A5546,Planilha2!$A$2:$C$5566,3,0)</f>
        <v>JARDIM OLINDA</v>
      </c>
      <c r="C5546" t="str">
        <f>VLOOKUP(A5546,Planilha2!$A$2:$D$5566,4,0)</f>
        <v>PR</v>
      </c>
    </row>
    <row r="5547" spans="1:3" x14ac:dyDescent="0.35">
      <c r="A5547">
        <v>170105</v>
      </c>
      <c r="B5547" t="str">
        <f>VLOOKUP(A5547,Planilha2!$A$2:$C$5566,3,0)</f>
        <v>ANGICO</v>
      </c>
      <c r="C5547" t="str">
        <f>VLOOKUP(A5547,Planilha2!$A$2:$D$5566,4,0)</f>
        <v>TO</v>
      </c>
    </row>
    <row r="5548" spans="1:3" x14ac:dyDescent="0.35">
      <c r="A5548">
        <v>430066</v>
      </c>
      <c r="B5548" t="str">
        <f>VLOOKUP(A5548,Planilha2!$A$2:$C$5566,3,0)</f>
        <v>ANDRÉ DA ROCHA</v>
      </c>
      <c r="C5548" t="str">
        <f>VLOOKUP(A5548,Planilha2!$A$2:$D$5566,4,0)</f>
        <v>RS</v>
      </c>
    </row>
    <row r="5549" spans="1:3" x14ac:dyDescent="0.35">
      <c r="A5549">
        <v>421185</v>
      </c>
      <c r="B5549" t="str">
        <f>VLOOKUP(A5549,Planilha2!$A$2:$C$5566,3,0)</f>
        <v>OURO VERDE</v>
      </c>
      <c r="C5549" t="str">
        <f>VLOOKUP(A5549,Planilha2!$A$2:$D$5566,4,0)</f>
        <v>SC</v>
      </c>
    </row>
    <row r="5550" spans="1:3" x14ac:dyDescent="0.35">
      <c r="A5550">
        <v>316360</v>
      </c>
      <c r="B5550" t="str">
        <f>VLOOKUP(A5550,Planilha2!$A$2:$C$5566,3,0)</f>
        <v>SÃO JOSÉ DO MANTIMENTO</v>
      </c>
      <c r="C5550" t="str">
        <f>VLOOKUP(A5550,Planilha2!$A$2:$D$5566,4,0)</f>
        <v>MG</v>
      </c>
    </row>
    <row r="5551" spans="1:3" x14ac:dyDescent="0.35">
      <c r="A5551">
        <v>171550</v>
      </c>
      <c r="B5551" t="str">
        <f>VLOOKUP(A5551,Planilha2!$A$2:$C$5566,3,0)</f>
        <v>OLIVEIRA DE FÁTIMA</v>
      </c>
      <c r="C5551" t="str">
        <f>VLOOKUP(A5551,Planilha2!$A$2:$D$5566,4,0)</f>
        <v>TO</v>
      </c>
    </row>
    <row r="5552" spans="1:3" x14ac:dyDescent="0.35">
      <c r="A5552">
        <v>311720</v>
      </c>
      <c r="B5552" t="str">
        <f>VLOOKUP(A5552,Planilha2!$A$2:$C$5566,3,0)</f>
        <v>CONCEIÇÃO DAS PEDRAS</v>
      </c>
      <c r="C5552" t="str">
        <f>VLOOKUP(A5552,Planilha2!$A$2:$D$5566,4,0)</f>
        <v>MG</v>
      </c>
    </row>
    <row r="5553" spans="1:3" x14ac:dyDescent="0.35">
      <c r="A5553">
        <v>210970</v>
      </c>
      <c r="B5553" t="str">
        <f>VLOOKUP(A5553,Planilha2!$A$2:$C$5566,3,0)</f>
        <v>SAMBAÍBA</v>
      </c>
      <c r="C5553" t="str">
        <f>VLOOKUP(A5553,Planilha2!$A$2:$D$5566,4,0)</f>
        <v>MA</v>
      </c>
    </row>
    <row r="5554" spans="1:3" x14ac:dyDescent="0.35">
      <c r="A5554">
        <v>353450</v>
      </c>
      <c r="B5554" t="str">
        <f>VLOOKUP(A5554,Planilha2!$A$2:$C$5566,3,0)</f>
        <v>OSCAR BRESSANE</v>
      </c>
      <c r="C5554" t="str">
        <f>VLOOKUP(A5554,Planilha2!$A$2:$D$5566,4,0)</f>
        <v>SP</v>
      </c>
    </row>
    <row r="5555" spans="1:3" x14ac:dyDescent="0.35">
      <c r="A5555">
        <v>251570</v>
      </c>
      <c r="B5555" t="str">
        <f>VLOOKUP(A5555,Planilha2!$A$2:$C$5566,3,0)</f>
        <v>SERRA GRANDE</v>
      </c>
      <c r="C5555" t="str">
        <f>VLOOKUP(A5555,Planilha2!$A$2:$D$5566,4,0)</f>
        <v>PB</v>
      </c>
    </row>
    <row r="5556" spans="1:3" x14ac:dyDescent="0.35">
      <c r="A5556">
        <v>251260</v>
      </c>
      <c r="B5556" t="str">
        <f>VLOOKUP(A5556,Planilha2!$A$2:$C$5566,3,0)</f>
        <v>QUIXABÁ</v>
      </c>
      <c r="C5556" t="str">
        <f>VLOOKUP(A5556,Planilha2!$A$2:$D$5566,4,0)</f>
        <v>PB</v>
      </c>
    </row>
    <row r="5557" spans="1:3" x14ac:dyDescent="0.35">
      <c r="A5557">
        <v>170460</v>
      </c>
      <c r="B5557" t="str">
        <f>VLOOKUP(A5557,Planilha2!$A$2:$C$5566,3,0)</f>
        <v>CHAPADA DE AREIA</v>
      </c>
      <c r="C5557" t="str">
        <f>VLOOKUP(A5557,Planilha2!$A$2:$D$5566,4,0)</f>
        <v>TO</v>
      </c>
    </row>
    <row r="5558" spans="1:3" x14ac:dyDescent="0.35">
      <c r="A5558">
        <v>421560</v>
      </c>
      <c r="B5558" t="str">
        <f>VLOOKUP(A5558,Planilha2!$A$2:$C$5566,3,0)</f>
        <v>SANTA ROSA DE LIMA</v>
      </c>
      <c r="C5558" t="str">
        <f>VLOOKUP(A5558,Planilha2!$A$2:$D$5566,4,0)</f>
        <v>SC</v>
      </c>
    </row>
    <row r="5559" spans="1:3" x14ac:dyDescent="0.35">
      <c r="A5559">
        <v>310660</v>
      </c>
      <c r="B5559" t="str">
        <f>VLOOKUP(A5559,Planilha2!$A$2:$C$5566,3,0)</f>
        <v>BERTÓPOLIS</v>
      </c>
      <c r="C5559" t="str">
        <f>VLOOKUP(A5559,Planilha2!$A$2:$D$5566,4,0)</f>
        <v>MG</v>
      </c>
    </row>
    <row r="5560" spans="1:3" x14ac:dyDescent="0.35">
      <c r="A5560">
        <v>411729</v>
      </c>
      <c r="B5560" t="str">
        <f>VLOOKUP(A5560,Planilha2!$A$2:$C$5566,3,0)</f>
        <v>NOVO ITACOLOMI</v>
      </c>
      <c r="C5560" t="str">
        <f>VLOOKUP(A5560,Planilha2!$A$2:$D$5566,4,0)</f>
        <v>PR</v>
      </c>
    </row>
    <row r="5561" spans="1:3" x14ac:dyDescent="0.35">
      <c r="A5561">
        <v>510774</v>
      </c>
      <c r="B5561" t="str">
        <f>VLOOKUP(A5561,Planilha2!$A$2:$C$5566,3,0)</f>
        <v>SANTA CRUZ DO XINGU</v>
      </c>
      <c r="C5561" t="str">
        <f>VLOOKUP(A5561,Planilha2!$A$2:$D$5566,4,0)</f>
        <v>MT</v>
      </c>
    </row>
    <row r="5562" spans="1:3" x14ac:dyDescent="0.35">
      <c r="A5562">
        <v>521690</v>
      </c>
      <c r="B5562" t="str">
        <f>VLOOKUP(A5562,Planilha2!$A$2:$C$5566,3,0)</f>
        <v>PILAR DE GOIÁS</v>
      </c>
      <c r="C5562" t="str">
        <f>VLOOKUP(A5562,Planilha2!$A$2:$D$5566,4,0)</f>
        <v>GO</v>
      </c>
    </row>
    <row r="5563" spans="1:3" x14ac:dyDescent="0.35">
      <c r="A5563">
        <v>420945</v>
      </c>
      <c r="B5563" t="str">
        <f>VLOOKUP(A5563,Planilha2!$A$2:$C$5566,3,0)</f>
        <v>LAJEADO GRANDE</v>
      </c>
      <c r="C5563" t="str">
        <f>VLOOKUP(A5563,Planilha2!$A$2:$D$5566,4,0)</f>
        <v>SC</v>
      </c>
    </row>
    <row r="5564" spans="1:3" x14ac:dyDescent="0.35">
      <c r="A5564">
        <v>172015</v>
      </c>
      <c r="B5564" t="str">
        <f>VLOOKUP(A5564,Planilha2!$A$2:$C$5566,3,0)</f>
        <v>SÃO FÉLIX DO TOCANTINS</v>
      </c>
      <c r="C5564" t="str">
        <f>VLOOKUP(A5564,Planilha2!$A$2:$D$5566,4,0)</f>
        <v>TO</v>
      </c>
    </row>
    <row r="5565" spans="1:3" x14ac:dyDescent="0.35">
      <c r="A5565">
        <v>510719</v>
      </c>
      <c r="B5565" t="str">
        <f>VLOOKUP(A5565,Planilha2!$A$2:$C$5566,3,0)</f>
        <v>RIBEIRÃOZINHO</v>
      </c>
      <c r="C5565" t="str">
        <f>VLOOKUP(A5565,Planilha2!$A$2:$D$5566,4,0)</f>
        <v>MT</v>
      </c>
    </row>
    <row r="5566" spans="1:3" x14ac:dyDescent="0.35">
      <c r="A5566">
        <v>431295</v>
      </c>
      <c r="B5566" t="str">
        <f>VLOOKUP(A5566,Planilha2!$A$2:$C$5566,3,0)</f>
        <v>NOVA BOA VISTA</v>
      </c>
      <c r="C5566" t="str">
        <f>VLOOKUP(A5566,Planilha2!$A$2:$D$5566,4,0)</f>
        <v>RS</v>
      </c>
    </row>
    <row r="5567" spans="1:3" x14ac:dyDescent="0.35">
      <c r="A5567">
        <v>171270</v>
      </c>
      <c r="B5567" t="str">
        <f>VLOOKUP(A5567,Planilha2!$A$2:$C$5566,3,0)</f>
        <v>MATEIROS</v>
      </c>
      <c r="C5567" t="str">
        <f>VLOOKUP(A5567,Planilha2!$A$2:$D$5566,4,0)</f>
        <v>TO</v>
      </c>
    </row>
    <row r="5568" spans="1:3" x14ac:dyDescent="0.35">
      <c r="A5568">
        <v>510788</v>
      </c>
      <c r="B5568" t="str">
        <f>VLOOKUP(A5568,Planilha2!$A$2:$C$5566,3,0)</f>
        <v>SERRA NOVA DOURADA</v>
      </c>
      <c r="C5568" t="str">
        <f>VLOOKUP(A5568,Planilha2!$A$2:$D$5566,4,0)</f>
        <v>MT</v>
      </c>
    </row>
    <row r="5569" spans="1:3" x14ac:dyDescent="0.35">
      <c r="A5569">
        <v>310760</v>
      </c>
      <c r="B5569" t="str">
        <f>VLOOKUP(A5569,Planilha2!$A$2:$C$5566,3,0)</f>
        <v>BOM JESUS DA PENHA</v>
      </c>
      <c r="C5569" t="str">
        <f>VLOOKUP(A5569,Planilha2!$A$2:$D$5566,4,0)</f>
        <v>MG</v>
      </c>
    </row>
    <row r="5570" spans="1:3" x14ac:dyDescent="0.35">
      <c r="A5570">
        <v>431514</v>
      </c>
      <c r="B5570" t="str">
        <f>VLOOKUP(A5570,Planilha2!$A$2:$C$5566,3,0)</f>
        <v>PRESIDENTE LUCENA</v>
      </c>
      <c r="C5570" t="str">
        <f>VLOOKUP(A5570,Planilha2!$A$2:$D$5566,4,0)</f>
        <v>RS</v>
      </c>
    </row>
    <row r="5571" spans="1:3" x14ac:dyDescent="0.35">
      <c r="A5571">
        <v>250590</v>
      </c>
      <c r="B5571" t="str">
        <f>VLOOKUP(A5571,Planilha2!$A$2:$C$5566,3,0)</f>
        <v>EMAS</v>
      </c>
      <c r="C5571" t="str">
        <f>VLOOKUP(A5571,Planilha2!$A$2:$D$5566,4,0)</f>
        <v>PB</v>
      </c>
    </row>
    <row r="5572" spans="1:3" x14ac:dyDescent="0.35">
      <c r="A5572">
        <v>421755</v>
      </c>
      <c r="B5572" t="str">
        <f>VLOOKUP(A5572,Planilha2!$A$2:$C$5566,3,0)</f>
        <v>SERRA ALTA</v>
      </c>
      <c r="C5572" t="str">
        <f>VLOOKUP(A5572,Planilha2!$A$2:$D$5566,4,0)</f>
        <v>SC</v>
      </c>
    </row>
    <row r="5573" spans="1:3" x14ac:dyDescent="0.35">
      <c r="A5573" s="2">
        <v>230000</v>
      </c>
      <c r="B5573" t="str">
        <f>VLOOKUP(A5573,[1]IBGE!A$2:B$27,2,0)</f>
        <v>-</v>
      </c>
      <c r="C5573" t="str">
        <f>VLOOKUP(A5573,[1]IBGE!A$2:C$27,3,0)</f>
        <v>CE</v>
      </c>
    </row>
    <row r="5574" spans="1:3" x14ac:dyDescent="0.35">
      <c r="A5574">
        <v>432057</v>
      </c>
      <c r="B5574" t="str">
        <f>VLOOKUP(A5574,Planilha2!$A$2:$C$5566,3,0)</f>
        <v>SETE DE SETEMBRO</v>
      </c>
      <c r="C5574" t="str">
        <f>VLOOKUP(A5574,Planilha2!$A$2:$D$5566,4,0)</f>
        <v>RS</v>
      </c>
    </row>
    <row r="5575" spans="1:3" x14ac:dyDescent="0.35">
      <c r="A5575">
        <v>520945</v>
      </c>
      <c r="B5575" t="str">
        <f>VLOOKUP(A5575,Planilha2!$A$2:$C$5566,3,0)</f>
        <v>GUARINOS</v>
      </c>
      <c r="C5575" t="str">
        <f>VLOOKUP(A5575,Planilha2!$A$2:$D$5566,4,0)</f>
        <v>GO</v>
      </c>
    </row>
    <row r="5576" spans="1:3" x14ac:dyDescent="0.35">
      <c r="A5576">
        <v>410270</v>
      </c>
      <c r="B5576" t="str">
        <f>VLOOKUP(A5576,Planilha2!$A$2:$C$5566,3,0)</f>
        <v>BARRA DO JACARÉ</v>
      </c>
      <c r="C5576" t="str">
        <f>VLOOKUP(A5576,Planilha2!$A$2:$D$5566,4,0)</f>
        <v>PR</v>
      </c>
    </row>
    <row r="5577" spans="1:3" x14ac:dyDescent="0.35">
      <c r="A5577">
        <v>250620</v>
      </c>
      <c r="B5577" t="str">
        <f>VLOOKUP(A5577,Planilha2!$A$2:$C$5566,3,0)</f>
        <v>FREI MARTINHO</v>
      </c>
      <c r="C5577" t="str">
        <f>VLOOKUP(A5577,Planilha2!$A$2:$D$5566,4,0)</f>
        <v>PB</v>
      </c>
    </row>
    <row r="5578" spans="1:3" x14ac:dyDescent="0.35">
      <c r="A5578" s="2">
        <v>500000</v>
      </c>
      <c r="B5578" t="str">
        <f>VLOOKUP(A5578,[1]IBGE!A$2:B$27,2,0)</f>
        <v>-</v>
      </c>
      <c r="C5578" t="str">
        <f>VLOOKUP(A5578,[1]IBGE!A$2:C$27,3,0)</f>
        <v>MS</v>
      </c>
    </row>
    <row r="5579" spans="1:3" x14ac:dyDescent="0.35">
      <c r="A5579">
        <v>317030</v>
      </c>
      <c r="B5579" t="str">
        <f>VLOOKUP(A5579,Planilha2!$A$2:$C$5566,3,0)</f>
        <v>UMBURATIBA</v>
      </c>
      <c r="C5579" t="str">
        <f>VLOOKUP(A5579,Planilha2!$A$2:$D$5566,4,0)</f>
        <v>MG</v>
      </c>
    </row>
    <row r="5580" spans="1:3" x14ac:dyDescent="0.35">
      <c r="A5580">
        <v>521645</v>
      </c>
      <c r="B5580" t="str">
        <f>VLOOKUP(A5580,Planilha2!$A$2:$C$5566,3,0)</f>
        <v>PEROLÂNDIA</v>
      </c>
      <c r="C5580" t="str">
        <f>VLOOKUP(A5580,Planilha2!$A$2:$D$5566,4,0)</f>
        <v>GO</v>
      </c>
    </row>
    <row r="5581" spans="1:3" x14ac:dyDescent="0.35">
      <c r="A5581">
        <v>421005</v>
      </c>
      <c r="B5581" t="str">
        <f>VLOOKUP(A5581,Planilha2!$A$2:$C$5566,3,0)</f>
        <v>MACIEIRA</v>
      </c>
      <c r="C5581" t="str">
        <f>VLOOKUP(A5581,Planilha2!$A$2:$D$5566,4,0)</f>
        <v>SC</v>
      </c>
    </row>
  </sheetData>
  <pageMargins left="0.511811024" right="0.511811024" top="0.78740157499999996" bottom="0.78740157499999996" header="0.31496062000000002" footer="0.31496062000000002"/>
  <ignoredErrors>
    <ignoredError sqref="B93:B5578 C93:C55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3E6D-C884-4091-BBA0-569F28A1AF6B}">
  <dimension ref="A1:M5566"/>
  <sheetViews>
    <sheetView topLeftCell="A5505" workbookViewId="0">
      <selection sqref="A1:M5566"/>
    </sheetView>
  </sheetViews>
  <sheetFormatPr defaultRowHeight="14.5" x14ac:dyDescent="0.35"/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>
        <v>110002</v>
      </c>
      <c r="B2">
        <v>3026</v>
      </c>
      <c r="C2" t="s">
        <v>14</v>
      </c>
      <c r="D2" t="s">
        <v>15</v>
      </c>
      <c r="E2" t="s">
        <v>14</v>
      </c>
      <c r="F2">
        <v>82388</v>
      </c>
      <c r="G2">
        <v>2</v>
      </c>
      <c r="H2" t="s">
        <v>16</v>
      </c>
      <c r="I2" s="1">
        <v>-991300</v>
      </c>
      <c r="J2" s="1">
        <v>-6304100</v>
      </c>
      <c r="K2">
        <v>142</v>
      </c>
      <c r="L2">
        <v>4426</v>
      </c>
      <c r="M2" t="s">
        <v>16</v>
      </c>
    </row>
    <row r="3" spans="1:13" x14ac:dyDescent="0.35">
      <c r="A3">
        <v>110003</v>
      </c>
      <c r="B3">
        <v>8001</v>
      </c>
      <c r="C3" t="s">
        <v>17</v>
      </c>
      <c r="D3" t="s">
        <v>15</v>
      </c>
      <c r="E3" t="s">
        <v>18</v>
      </c>
      <c r="F3">
        <v>6575</v>
      </c>
      <c r="G3">
        <v>1</v>
      </c>
      <c r="H3" t="s">
        <v>16</v>
      </c>
      <c r="I3" s="1">
        <v>-1349200</v>
      </c>
      <c r="J3" s="1">
        <v>-6054500</v>
      </c>
      <c r="K3">
        <v>230</v>
      </c>
      <c r="L3">
        <v>1314</v>
      </c>
      <c r="M3" t="s">
        <v>16</v>
      </c>
    </row>
    <row r="4" spans="1:13" x14ac:dyDescent="0.35">
      <c r="A4">
        <v>110004</v>
      </c>
      <c r="B4">
        <v>3042</v>
      </c>
      <c r="C4" t="s">
        <v>19</v>
      </c>
      <c r="D4" t="s">
        <v>15</v>
      </c>
      <c r="E4" t="s">
        <v>19</v>
      </c>
      <c r="F4">
        <v>76155</v>
      </c>
      <c r="G4">
        <v>2</v>
      </c>
      <c r="H4" t="s">
        <v>16</v>
      </c>
      <c r="I4" s="1">
        <v>-1143800</v>
      </c>
      <c r="J4" s="1">
        <v>-6144800</v>
      </c>
      <c r="K4">
        <v>200</v>
      </c>
      <c r="L4">
        <v>3792</v>
      </c>
      <c r="M4" t="s">
        <v>16</v>
      </c>
    </row>
    <row r="5" spans="1:13" x14ac:dyDescent="0.35">
      <c r="A5">
        <v>110005</v>
      </c>
      <c r="B5">
        <v>12416</v>
      </c>
      <c r="C5" t="s">
        <v>20</v>
      </c>
      <c r="D5" t="s">
        <v>15</v>
      </c>
      <c r="E5" t="s">
        <v>18</v>
      </c>
      <c r="F5">
        <v>16290</v>
      </c>
      <c r="G5">
        <v>1</v>
      </c>
      <c r="H5" t="s">
        <v>16</v>
      </c>
      <c r="I5" s="1">
        <v>-1318900</v>
      </c>
      <c r="J5" s="1">
        <v>-6081200</v>
      </c>
      <c r="K5">
        <v>277</v>
      </c>
      <c r="L5">
        <v>2783</v>
      </c>
      <c r="M5" t="s">
        <v>16</v>
      </c>
    </row>
    <row r="6" spans="1:13" x14ac:dyDescent="0.35">
      <c r="A6">
        <v>110006</v>
      </c>
      <c r="B6">
        <v>3077</v>
      </c>
      <c r="C6" t="s">
        <v>18</v>
      </c>
      <c r="D6" t="s">
        <v>15</v>
      </c>
      <c r="E6" t="s">
        <v>18</v>
      </c>
      <c r="F6">
        <v>17644</v>
      </c>
      <c r="G6">
        <v>1</v>
      </c>
      <c r="H6" t="s">
        <v>16</v>
      </c>
      <c r="I6" s="1">
        <v>-1311700</v>
      </c>
      <c r="J6" s="1">
        <v>-6054200</v>
      </c>
      <c r="K6">
        <v>460</v>
      </c>
      <c r="L6">
        <v>1451</v>
      </c>
      <c r="M6" t="s">
        <v>16</v>
      </c>
    </row>
    <row r="7" spans="1:13" x14ac:dyDescent="0.35">
      <c r="A7">
        <v>110007</v>
      </c>
      <c r="B7">
        <v>49042</v>
      </c>
      <c r="C7" t="s">
        <v>21</v>
      </c>
      <c r="D7" t="s">
        <v>15</v>
      </c>
      <c r="E7" t="s">
        <v>18</v>
      </c>
      <c r="F7">
        <v>9476</v>
      </c>
      <c r="G7">
        <v>1</v>
      </c>
      <c r="H7" t="s">
        <v>16</v>
      </c>
      <c r="I7" s="1">
        <v>-1296200</v>
      </c>
      <c r="J7" s="1">
        <v>-6088700</v>
      </c>
      <c r="K7">
        <v>340</v>
      </c>
      <c r="L7">
        <v>3060</v>
      </c>
      <c r="M7" t="s">
        <v>16</v>
      </c>
    </row>
    <row r="8" spans="1:13" x14ac:dyDescent="0.35">
      <c r="A8">
        <v>110008</v>
      </c>
      <c r="B8">
        <v>3085</v>
      </c>
      <c r="C8" t="s">
        <v>22</v>
      </c>
      <c r="D8" t="s">
        <v>15</v>
      </c>
      <c r="E8" t="s">
        <v>23</v>
      </c>
      <c r="F8">
        <v>13664</v>
      </c>
      <c r="G8">
        <v>1</v>
      </c>
      <c r="H8" t="s">
        <v>16</v>
      </c>
      <c r="I8" s="1">
        <v>-1244500</v>
      </c>
      <c r="J8" s="1">
        <v>-6422700</v>
      </c>
      <c r="K8">
        <v>140</v>
      </c>
      <c r="L8">
        <v>12722</v>
      </c>
      <c r="M8" t="s">
        <v>16</v>
      </c>
    </row>
    <row r="9" spans="1:13" x14ac:dyDescent="0.35">
      <c r="A9">
        <v>110009</v>
      </c>
      <c r="B9">
        <v>3093</v>
      </c>
      <c r="C9" t="s">
        <v>24</v>
      </c>
      <c r="D9" t="s">
        <v>15</v>
      </c>
      <c r="E9" t="s">
        <v>19</v>
      </c>
      <c r="F9">
        <v>27867</v>
      </c>
      <c r="G9">
        <v>1</v>
      </c>
      <c r="H9" t="s">
        <v>16</v>
      </c>
      <c r="I9" s="1">
        <v>-1152500</v>
      </c>
      <c r="J9" s="1">
        <v>-6101300</v>
      </c>
      <c r="K9">
        <v>270</v>
      </c>
      <c r="L9">
        <v>4518</v>
      </c>
      <c r="M9" t="s">
        <v>16</v>
      </c>
    </row>
    <row r="10" spans="1:13" x14ac:dyDescent="0.35">
      <c r="A10">
        <v>110010</v>
      </c>
      <c r="B10">
        <v>3018</v>
      </c>
      <c r="C10" t="s">
        <v>25</v>
      </c>
      <c r="D10" t="s">
        <v>15</v>
      </c>
      <c r="E10" t="s">
        <v>23</v>
      </c>
      <c r="F10">
        <v>39451</v>
      </c>
      <c r="G10">
        <v>1</v>
      </c>
      <c r="H10" t="s">
        <v>16</v>
      </c>
      <c r="I10" s="1">
        <v>-1078300</v>
      </c>
      <c r="J10" s="1">
        <v>-6533900</v>
      </c>
      <c r="K10">
        <v>128</v>
      </c>
      <c r="L10">
        <v>24855</v>
      </c>
      <c r="M10" t="s">
        <v>16</v>
      </c>
    </row>
    <row r="11" spans="1:13" x14ac:dyDescent="0.35">
      <c r="A11">
        <v>110011</v>
      </c>
      <c r="B11">
        <v>45306</v>
      </c>
      <c r="C11" t="s">
        <v>26</v>
      </c>
      <c r="D11" t="s">
        <v>15</v>
      </c>
      <c r="E11" t="s">
        <v>27</v>
      </c>
      <c r="F11">
        <v>52453</v>
      </c>
      <c r="G11">
        <v>2</v>
      </c>
      <c r="H11" t="s">
        <v>16</v>
      </c>
      <c r="I11" s="1">
        <v>-1043900</v>
      </c>
      <c r="J11" s="1">
        <v>-6246600</v>
      </c>
      <c r="K11">
        <v>124</v>
      </c>
      <c r="L11">
        <v>2944</v>
      </c>
      <c r="M11" t="s">
        <v>16</v>
      </c>
    </row>
    <row r="12" spans="1:13" x14ac:dyDescent="0.35">
      <c r="A12">
        <v>110012</v>
      </c>
      <c r="B12">
        <v>3034</v>
      </c>
      <c r="C12" t="s">
        <v>28</v>
      </c>
      <c r="D12" t="s">
        <v>15</v>
      </c>
      <c r="E12" t="s">
        <v>27</v>
      </c>
      <c r="F12">
        <v>107679</v>
      </c>
      <c r="G12">
        <v>3</v>
      </c>
      <c r="H12" t="s">
        <v>16</v>
      </c>
      <c r="I12" s="1">
        <v>-1088200</v>
      </c>
      <c r="J12" s="1">
        <v>-6194400</v>
      </c>
      <c r="K12">
        <v>170</v>
      </c>
      <c r="L12">
        <v>6896</v>
      </c>
      <c r="M12" t="s">
        <v>16</v>
      </c>
    </row>
    <row r="13" spans="1:13" x14ac:dyDescent="0.35">
      <c r="A13">
        <v>110013</v>
      </c>
      <c r="B13">
        <v>10685</v>
      </c>
      <c r="C13" t="s">
        <v>29</v>
      </c>
      <c r="D13" t="s">
        <v>15</v>
      </c>
      <c r="E13" t="s">
        <v>14</v>
      </c>
      <c r="F13">
        <v>31475</v>
      </c>
      <c r="G13">
        <v>1</v>
      </c>
      <c r="H13" t="s">
        <v>16</v>
      </c>
      <c r="I13" s="1">
        <v>-944400</v>
      </c>
      <c r="J13" s="1">
        <v>-6198100</v>
      </c>
      <c r="K13">
        <v>102</v>
      </c>
      <c r="L13">
        <v>8509</v>
      </c>
      <c r="M13" t="s">
        <v>16</v>
      </c>
    </row>
    <row r="14" spans="1:13" x14ac:dyDescent="0.35">
      <c r="A14">
        <v>110014</v>
      </c>
      <c r="B14">
        <v>10693</v>
      </c>
      <c r="C14" t="s">
        <v>30</v>
      </c>
      <c r="D14" t="s">
        <v>15</v>
      </c>
      <c r="E14" t="s">
        <v>31</v>
      </c>
      <c r="F14">
        <v>17170</v>
      </c>
      <c r="G14">
        <v>1</v>
      </c>
      <c r="H14" t="s">
        <v>16</v>
      </c>
      <c r="I14" s="1">
        <v>-1172500</v>
      </c>
      <c r="J14" s="1">
        <v>-6233100</v>
      </c>
      <c r="K14">
        <v>320</v>
      </c>
      <c r="L14">
        <v>1155</v>
      </c>
      <c r="M14" t="s">
        <v>16</v>
      </c>
    </row>
    <row r="15" spans="1:13" x14ac:dyDescent="0.35">
      <c r="A15">
        <v>110015</v>
      </c>
      <c r="B15">
        <v>45314</v>
      </c>
      <c r="C15" t="s">
        <v>32</v>
      </c>
      <c r="D15" t="s">
        <v>15</v>
      </c>
      <c r="E15" t="s">
        <v>27</v>
      </c>
      <c r="F15">
        <v>36040</v>
      </c>
      <c r="G15">
        <v>1</v>
      </c>
      <c r="H15" t="s">
        <v>16</v>
      </c>
      <c r="I15" s="1">
        <v>-1071600</v>
      </c>
      <c r="J15" s="1">
        <v>-6224800</v>
      </c>
      <c r="K15">
        <v>280</v>
      </c>
      <c r="L15">
        <v>1970</v>
      </c>
      <c r="M15" t="s">
        <v>16</v>
      </c>
    </row>
    <row r="16" spans="1:13" x14ac:dyDescent="0.35">
      <c r="A16">
        <v>110018</v>
      </c>
      <c r="B16">
        <v>3050</v>
      </c>
      <c r="C16" t="s">
        <v>33</v>
      </c>
      <c r="D16" t="s">
        <v>15</v>
      </c>
      <c r="E16" t="s">
        <v>34</v>
      </c>
      <c r="F16">
        <v>32893</v>
      </c>
      <c r="G16">
        <v>1</v>
      </c>
      <c r="H16" t="s">
        <v>16</v>
      </c>
      <c r="I16" s="1">
        <v>-1167300</v>
      </c>
      <c r="J16" s="1">
        <v>-6119300</v>
      </c>
      <c r="K16">
        <v>195</v>
      </c>
      <c r="L16">
        <v>6241</v>
      </c>
      <c r="M16" t="s">
        <v>16</v>
      </c>
    </row>
    <row r="17" spans="1:13" x14ac:dyDescent="0.35">
      <c r="A17">
        <v>110020</v>
      </c>
      <c r="B17">
        <v>3000</v>
      </c>
      <c r="C17" t="s">
        <v>35</v>
      </c>
      <c r="D17" t="s">
        <v>15</v>
      </c>
      <c r="E17" t="s">
        <v>35</v>
      </c>
      <c r="F17">
        <v>369345</v>
      </c>
      <c r="G17">
        <v>5</v>
      </c>
      <c r="H17" t="s">
        <v>16</v>
      </c>
      <c r="I17" s="1">
        <v>-876200</v>
      </c>
      <c r="J17" s="1">
        <v>-6390400</v>
      </c>
      <c r="K17">
        <v>85</v>
      </c>
      <c r="L17">
        <v>34082</v>
      </c>
      <c r="M17" t="s">
        <v>16</v>
      </c>
    </row>
    <row r="18" spans="1:13" x14ac:dyDescent="0.35">
      <c r="A18">
        <v>110025</v>
      </c>
      <c r="B18">
        <v>45322</v>
      </c>
      <c r="C18" t="s">
        <v>36</v>
      </c>
      <c r="D18" t="s">
        <v>15</v>
      </c>
      <c r="E18" t="s">
        <v>27</v>
      </c>
      <c r="F18">
        <v>22197</v>
      </c>
      <c r="G18">
        <v>1</v>
      </c>
      <c r="H18" t="s">
        <v>16</v>
      </c>
      <c r="I18" s="1">
        <v>-1117600</v>
      </c>
      <c r="J18" s="1">
        <v>-6190100</v>
      </c>
      <c r="K18">
        <v>185</v>
      </c>
      <c r="L18">
        <v>1758</v>
      </c>
      <c r="M18" t="s">
        <v>16</v>
      </c>
    </row>
    <row r="19" spans="1:13" x14ac:dyDescent="0.35">
      <c r="A19">
        <v>110026</v>
      </c>
      <c r="B19">
        <v>48925</v>
      </c>
      <c r="C19" t="s">
        <v>37</v>
      </c>
      <c r="D19" t="s">
        <v>15</v>
      </c>
      <c r="E19" t="s">
        <v>14</v>
      </c>
      <c r="F19">
        <v>3174</v>
      </c>
      <c r="G19">
        <v>1</v>
      </c>
      <c r="H19" t="s">
        <v>16</v>
      </c>
      <c r="I19" s="1">
        <v>-970500</v>
      </c>
      <c r="J19" s="1">
        <v>-6290000</v>
      </c>
      <c r="K19">
        <v>0</v>
      </c>
      <c r="L19">
        <v>1717</v>
      </c>
      <c r="M19" t="s">
        <v>16</v>
      </c>
    </row>
    <row r="20" spans="1:13" x14ac:dyDescent="0.35">
      <c r="A20">
        <v>110028</v>
      </c>
      <c r="B20">
        <v>12424</v>
      </c>
      <c r="C20" t="s">
        <v>38</v>
      </c>
      <c r="D20" t="s">
        <v>15</v>
      </c>
      <c r="E20" t="s">
        <v>19</v>
      </c>
      <c r="F20">
        <v>48894</v>
      </c>
      <c r="G20">
        <v>1</v>
      </c>
      <c r="H20" t="s">
        <v>16</v>
      </c>
      <c r="I20" s="1">
        <v>-1173300</v>
      </c>
      <c r="J20" s="1">
        <v>-6177800</v>
      </c>
      <c r="K20">
        <v>290</v>
      </c>
      <c r="L20">
        <v>1457</v>
      </c>
      <c r="M20" t="s">
        <v>16</v>
      </c>
    </row>
    <row r="21" spans="1:13" x14ac:dyDescent="0.35">
      <c r="A21">
        <v>110029</v>
      </c>
      <c r="B21">
        <v>45519</v>
      </c>
      <c r="C21" t="s">
        <v>39</v>
      </c>
      <c r="D21" t="s">
        <v>15</v>
      </c>
      <c r="E21" t="s">
        <v>19</v>
      </c>
      <c r="F21">
        <v>9264</v>
      </c>
      <c r="G21">
        <v>1</v>
      </c>
      <c r="H21" t="s">
        <v>16</v>
      </c>
      <c r="I21" s="1">
        <v>-1190200</v>
      </c>
      <c r="J21" s="1">
        <v>-6177900</v>
      </c>
      <c r="K21">
        <v>260</v>
      </c>
      <c r="L21">
        <v>1197</v>
      </c>
      <c r="M21" t="s">
        <v>16</v>
      </c>
    </row>
    <row r="22" spans="1:13" x14ac:dyDescent="0.35">
      <c r="A22">
        <v>110030</v>
      </c>
      <c r="B22">
        <v>3069</v>
      </c>
      <c r="C22" t="s">
        <v>34</v>
      </c>
      <c r="D22" t="s">
        <v>15</v>
      </c>
      <c r="E22" t="s">
        <v>34</v>
      </c>
      <c r="F22">
        <v>66746</v>
      </c>
      <c r="G22">
        <v>2</v>
      </c>
      <c r="H22" t="s">
        <v>16</v>
      </c>
      <c r="I22" s="1">
        <v>-1274100</v>
      </c>
      <c r="J22" s="1">
        <v>-6014600</v>
      </c>
      <c r="K22">
        <v>600</v>
      </c>
      <c r="L22">
        <v>11518</v>
      </c>
      <c r="M22" t="s">
        <v>16</v>
      </c>
    </row>
    <row r="23" spans="1:13" x14ac:dyDescent="0.35">
      <c r="A23">
        <v>110032</v>
      </c>
      <c r="B23">
        <v>12483</v>
      </c>
      <c r="C23" t="s">
        <v>40</v>
      </c>
      <c r="D23" t="s">
        <v>15</v>
      </c>
      <c r="E23" t="s">
        <v>31</v>
      </c>
      <c r="F23">
        <v>22622</v>
      </c>
      <c r="G23">
        <v>1</v>
      </c>
      <c r="H23" t="s">
        <v>16</v>
      </c>
      <c r="I23" s="1">
        <v>-1168100</v>
      </c>
      <c r="J23" s="1">
        <v>-6268400</v>
      </c>
      <c r="K23">
        <v>205</v>
      </c>
      <c r="L23">
        <v>8007</v>
      </c>
      <c r="M23" t="s">
        <v>16</v>
      </c>
    </row>
    <row r="24" spans="1:13" x14ac:dyDescent="0.35">
      <c r="A24">
        <v>110033</v>
      </c>
      <c r="B24">
        <v>17965</v>
      </c>
      <c r="C24" t="s">
        <v>41</v>
      </c>
      <c r="D24" t="s">
        <v>15</v>
      </c>
      <c r="E24" t="s">
        <v>35</v>
      </c>
      <c r="F24">
        <v>21162</v>
      </c>
      <c r="G24">
        <v>1</v>
      </c>
      <c r="H24" t="s">
        <v>16</v>
      </c>
      <c r="I24" s="1">
        <v>-1041100</v>
      </c>
      <c r="J24" s="1">
        <v>-6533100</v>
      </c>
      <c r="K24">
        <v>134</v>
      </c>
      <c r="L24">
        <v>10071</v>
      </c>
      <c r="M24" t="s">
        <v>16</v>
      </c>
    </row>
    <row r="25" spans="1:13" x14ac:dyDescent="0.35">
      <c r="A25">
        <v>110034</v>
      </c>
      <c r="B25">
        <v>45500</v>
      </c>
      <c r="C25" t="s">
        <v>31</v>
      </c>
      <c r="D25" t="s">
        <v>15</v>
      </c>
      <c r="E25" t="s">
        <v>31</v>
      </c>
      <c r="F25">
        <v>16485</v>
      </c>
      <c r="G25">
        <v>1</v>
      </c>
      <c r="H25" t="s">
        <v>16</v>
      </c>
      <c r="I25" s="1">
        <v>-1140800</v>
      </c>
      <c r="J25" s="1">
        <v>-6238900</v>
      </c>
      <c r="K25">
        <v>224</v>
      </c>
      <c r="L25">
        <v>3029</v>
      </c>
      <c r="M25" t="s">
        <v>16</v>
      </c>
    </row>
    <row r="26" spans="1:13" x14ac:dyDescent="0.35">
      <c r="A26">
        <v>110037</v>
      </c>
      <c r="B26">
        <v>53759</v>
      </c>
      <c r="C26" t="s">
        <v>42</v>
      </c>
      <c r="D26" t="s">
        <v>15</v>
      </c>
      <c r="E26" t="s">
        <v>19</v>
      </c>
      <c r="F26">
        <v>11615</v>
      </c>
      <c r="G26">
        <v>1</v>
      </c>
      <c r="H26" t="s">
        <v>16</v>
      </c>
      <c r="I26" s="1">
        <v>-1212800</v>
      </c>
      <c r="J26" s="1">
        <v>-6185100</v>
      </c>
      <c r="K26">
        <v>405</v>
      </c>
      <c r="L26">
        <v>3958</v>
      </c>
      <c r="M26" t="s">
        <v>16</v>
      </c>
    </row>
    <row r="27" spans="1:13" x14ac:dyDescent="0.35">
      <c r="A27">
        <v>110040</v>
      </c>
      <c r="B27">
        <v>49069</v>
      </c>
      <c r="C27" t="s">
        <v>43</v>
      </c>
      <c r="D27" t="s">
        <v>15</v>
      </c>
      <c r="E27" t="s">
        <v>14</v>
      </c>
      <c r="F27">
        <v>16758</v>
      </c>
      <c r="G27">
        <v>1</v>
      </c>
      <c r="H27" t="s">
        <v>16</v>
      </c>
      <c r="I27" s="1">
        <v>-971300</v>
      </c>
      <c r="J27" s="1">
        <v>-6332100</v>
      </c>
      <c r="K27">
        <v>0</v>
      </c>
      <c r="L27">
        <v>2651</v>
      </c>
      <c r="M27" t="s">
        <v>16</v>
      </c>
    </row>
    <row r="28" spans="1:13" x14ac:dyDescent="0.35">
      <c r="A28">
        <v>110045</v>
      </c>
      <c r="B28">
        <v>56880</v>
      </c>
      <c r="C28" t="s">
        <v>44</v>
      </c>
      <c r="D28" t="s">
        <v>15</v>
      </c>
      <c r="E28" t="s">
        <v>35</v>
      </c>
      <c r="F28">
        <v>33072</v>
      </c>
      <c r="G28">
        <v>1</v>
      </c>
      <c r="H28" t="s">
        <v>16</v>
      </c>
      <c r="I28" s="1">
        <v>-1021200</v>
      </c>
      <c r="J28" s="1">
        <v>-6382900</v>
      </c>
      <c r="K28">
        <v>200</v>
      </c>
      <c r="L28">
        <v>3265</v>
      </c>
      <c r="M28" t="s">
        <v>16</v>
      </c>
    </row>
    <row r="29" spans="1:13" x14ac:dyDescent="0.35">
      <c r="A29">
        <v>110050</v>
      </c>
      <c r="B29">
        <v>49077</v>
      </c>
      <c r="C29" t="s">
        <v>45</v>
      </c>
      <c r="D29" t="s">
        <v>15</v>
      </c>
      <c r="E29" t="s">
        <v>19</v>
      </c>
      <c r="F29">
        <v>9648</v>
      </c>
      <c r="G29">
        <v>1</v>
      </c>
      <c r="H29" t="s">
        <v>16</v>
      </c>
      <c r="I29" s="1">
        <v>-1171000</v>
      </c>
      <c r="J29" s="1">
        <v>-6200000</v>
      </c>
      <c r="K29">
        <v>0</v>
      </c>
      <c r="L29">
        <v>843</v>
      </c>
      <c r="M29" t="s">
        <v>16</v>
      </c>
    </row>
    <row r="30" spans="1:13" x14ac:dyDescent="0.35">
      <c r="A30">
        <v>110060</v>
      </c>
      <c r="B30">
        <v>48895</v>
      </c>
      <c r="C30" t="s">
        <v>46</v>
      </c>
      <c r="D30" t="s">
        <v>15</v>
      </c>
      <c r="E30" t="s">
        <v>14</v>
      </c>
      <c r="F30">
        <v>5553</v>
      </c>
      <c r="G30">
        <v>1</v>
      </c>
      <c r="H30" t="s">
        <v>16</v>
      </c>
      <c r="I30" s="1">
        <v>-1034000</v>
      </c>
      <c r="J30" s="1">
        <v>-6289600</v>
      </c>
      <c r="K30">
        <v>205</v>
      </c>
      <c r="L30">
        <v>1961</v>
      </c>
      <c r="M30" t="s">
        <v>16</v>
      </c>
    </row>
    <row r="31" spans="1:13" x14ac:dyDescent="0.35">
      <c r="A31">
        <v>110070</v>
      </c>
      <c r="B31">
        <v>48860</v>
      </c>
      <c r="C31" t="s">
        <v>47</v>
      </c>
      <c r="D31" t="s">
        <v>15</v>
      </c>
      <c r="E31" t="s">
        <v>35</v>
      </c>
      <c r="F31">
        <v>12455</v>
      </c>
      <c r="G31">
        <v>1</v>
      </c>
      <c r="H31" t="s">
        <v>16</v>
      </c>
      <c r="I31" s="1">
        <v>-1057100</v>
      </c>
      <c r="J31" s="1">
        <v>-6362700</v>
      </c>
      <c r="K31">
        <v>0</v>
      </c>
      <c r="L31">
        <v>3442</v>
      </c>
      <c r="M31" t="s">
        <v>16</v>
      </c>
    </row>
    <row r="32" spans="1:13" x14ac:dyDescent="0.35">
      <c r="A32">
        <v>110080</v>
      </c>
      <c r="B32">
        <v>48879</v>
      </c>
      <c r="C32" t="s">
        <v>48</v>
      </c>
      <c r="D32" t="s">
        <v>15</v>
      </c>
      <c r="E32" t="s">
        <v>35</v>
      </c>
      <c r="F32">
        <v>16736</v>
      </c>
      <c r="G32">
        <v>1</v>
      </c>
      <c r="H32" t="s">
        <v>16</v>
      </c>
      <c r="I32" s="1">
        <v>-879100</v>
      </c>
      <c r="J32" s="1">
        <v>-6370100</v>
      </c>
      <c r="K32">
        <v>0</v>
      </c>
      <c r="L32">
        <v>6843</v>
      </c>
      <c r="M32" t="s">
        <v>16</v>
      </c>
    </row>
    <row r="33" spans="1:13" x14ac:dyDescent="0.35">
      <c r="A33">
        <v>110090</v>
      </c>
      <c r="B33">
        <v>48887</v>
      </c>
      <c r="C33" t="s">
        <v>49</v>
      </c>
      <c r="D33" t="s">
        <v>15</v>
      </c>
      <c r="E33" t="s">
        <v>19</v>
      </c>
      <c r="F33">
        <v>3624</v>
      </c>
      <c r="G33">
        <v>1</v>
      </c>
      <c r="H33" t="s">
        <v>16</v>
      </c>
      <c r="I33" s="1">
        <v>-1142700</v>
      </c>
      <c r="J33" s="1">
        <v>-6195000</v>
      </c>
      <c r="K33">
        <v>190</v>
      </c>
      <c r="L33">
        <v>892</v>
      </c>
      <c r="M33" t="s">
        <v>16</v>
      </c>
    </row>
    <row r="34" spans="1:13" x14ac:dyDescent="0.35">
      <c r="A34">
        <v>110092</v>
      </c>
      <c r="B34">
        <v>56898</v>
      </c>
      <c r="C34" t="s">
        <v>50</v>
      </c>
      <c r="D34" t="s">
        <v>15</v>
      </c>
      <c r="E34" t="s">
        <v>34</v>
      </c>
      <c r="F34">
        <v>7456</v>
      </c>
      <c r="G34">
        <v>1</v>
      </c>
      <c r="H34" t="s">
        <v>16</v>
      </c>
      <c r="I34" s="1">
        <v>-1255200</v>
      </c>
      <c r="J34" s="1">
        <v>-6090000</v>
      </c>
      <c r="K34">
        <v>360</v>
      </c>
      <c r="L34">
        <v>5126</v>
      </c>
      <c r="M34" t="s">
        <v>16</v>
      </c>
    </row>
    <row r="35" spans="1:13" x14ac:dyDescent="0.35">
      <c r="A35">
        <v>110094</v>
      </c>
      <c r="B35">
        <v>53767</v>
      </c>
      <c r="C35" t="s">
        <v>51</v>
      </c>
      <c r="D35" t="s">
        <v>15</v>
      </c>
      <c r="E35" t="s">
        <v>35</v>
      </c>
      <c r="F35">
        <v>13857</v>
      </c>
      <c r="G35">
        <v>1</v>
      </c>
      <c r="H35" t="s">
        <v>16</v>
      </c>
      <c r="I35" s="1">
        <v>-936300</v>
      </c>
      <c r="J35" s="1">
        <v>-6258500</v>
      </c>
      <c r="K35">
        <v>95</v>
      </c>
      <c r="L35">
        <v>3864</v>
      </c>
      <c r="M35" t="s">
        <v>16</v>
      </c>
    </row>
    <row r="36" spans="1:13" x14ac:dyDescent="0.35">
      <c r="A36">
        <v>110100</v>
      </c>
      <c r="B36">
        <v>49123</v>
      </c>
      <c r="C36" t="s">
        <v>52</v>
      </c>
      <c r="D36" t="s">
        <v>15</v>
      </c>
      <c r="E36" t="s">
        <v>27</v>
      </c>
      <c r="F36">
        <v>11432</v>
      </c>
      <c r="G36">
        <v>1</v>
      </c>
      <c r="H36" t="s">
        <v>16</v>
      </c>
      <c r="I36" s="1">
        <v>-1061000</v>
      </c>
      <c r="J36" s="1">
        <v>-6273700</v>
      </c>
      <c r="K36">
        <v>190</v>
      </c>
      <c r="L36">
        <v>5067</v>
      </c>
      <c r="M36" t="s">
        <v>16</v>
      </c>
    </row>
    <row r="37" spans="1:13" x14ac:dyDescent="0.35">
      <c r="A37">
        <v>110110</v>
      </c>
      <c r="B37">
        <v>48909</v>
      </c>
      <c r="C37" t="s">
        <v>53</v>
      </c>
      <c r="D37" t="s">
        <v>15</v>
      </c>
      <c r="E37" t="s">
        <v>35</v>
      </c>
      <c r="F37">
        <v>7905</v>
      </c>
      <c r="G37">
        <v>1</v>
      </c>
      <c r="H37" t="s">
        <v>16</v>
      </c>
      <c r="I37" s="1">
        <v>-920500</v>
      </c>
      <c r="J37" s="1">
        <v>-6318000</v>
      </c>
      <c r="K37">
        <v>0</v>
      </c>
      <c r="L37">
        <v>4081</v>
      </c>
      <c r="M37" t="s">
        <v>16</v>
      </c>
    </row>
    <row r="38" spans="1:13" x14ac:dyDescent="0.35">
      <c r="A38">
        <v>110120</v>
      </c>
      <c r="B38">
        <v>49140</v>
      </c>
      <c r="C38" t="s">
        <v>54</v>
      </c>
      <c r="D38" t="s">
        <v>15</v>
      </c>
      <c r="E38" t="s">
        <v>19</v>
      </c>
      <c r="F38">
        <v>10343</v>
      </c>
      <c r="G38">
        <v>1</v>
      </c>
      <c r="H38" t="s">
        <v>16</v>
      </c>
      <c r="I38" s="1">
        <v>-1119600</v>
      </c>
      <c r="J38" s="1">
        <v>-6151700</v>
      </c>
      <c r="K38">
        <v>400</v>
      </c>
      <c r="L38">
        <v>798</v>
      </c>
      <c r="M38" t="s">
        <v>16</v>
      </c>
    </row>
    <row r="39" spans="1:13" x14ac:dyDescent="0.35">
      <c r="A39">
        <v>110130</v>
      </c>
      <c r="B39">
        <v>48917</v>
      </c>
      <c r="C39" t="s">
        <v>55</v>
      </c>
      <c r="D39" t="s">
        <v>15</v>
      </c>
      <c r="E39" t="s">
        <v>27</v>
      </c>
      <c r="F39">
        <v>12086</v>
      </c>
      <c r="G39">
        <v>1</v>
      </c>
      <c r="H39" t="s">
        <v>16</v>
      </c>
      <c r="I39" s="1">
        <v>-1103000</v>
      </c>
      <c r="J39" s="1">
        <v>-6267500</v>
      </c>
      <c r="K39">
        <v>230</v>
      </c>
      <c r="L39">
        <v>1191</v>
      </c>
      <c r="M39" t="s">
        <v>16</v>
      </c>
    </row>
    <row r="40" spans="1:13" x14ac:dyDescent="0.35">
      <c r="A40">
        <v>110140</v>
      </c>
      <c r="B40">
        <v>49166</v>
      </c>
      <c r="C40" t="s">
        <v>56</v>
      </c>
      <c r="D40" t="s">
        <v>15</v>
      </c>
      <c r="E40" t="s">
        <v>14</v>
      </c>
      <c r="F40">
        <v>12357</v>
      </c>
      <c r="G40">
        <v>1</v>
      </c>
      <c r="H40" t="s">
        <v>16</v>
      </c>
      <c r="I40" s="1">
        <v>-1024600</v>
      </c>
      <c r="J40" s="1">
        <v>-6329000</v>
      </c>
      <c r="K40">
        <v>0</v>
      </c>
      <c r="L40">
        <v>1931</v>
      </c>
      <c r="M40" t="s">
        <v>16</v>
      </c>
    </row>
    <row r="41" spans="1:13" x14ac:dyDescent="0.35">
      <c r="A41">
        <v>110143</v>
      </c>
      <c r="B41">
        <v>53775</v>
      </c>
      <c r="C41" t="s">
        <v>57</v>
      </c>
      <c r="D41" t="s">
        <v>15</v>
      </c>
      <c r="E41" t="s">
        <v>27</v>
      </c>
      <c r="F41">
        <v>7750</v>
      </c>
      <c r="G41">
        <v>1</v>
      </c>
      <c r="H41" t="s">
        <v>16</v>
      </c>
      <c r="I41" s="1">
        <v>-1090400</v>
      </c>
      <c r="J41" s="1">
        <v>-6256100</v>
      </c>
      <c r="K41">
        <v>250</v>
      </c>
      <c r="L41">
        <v>807</v>
      </c>
      <c r="M41" t="s">
        <v>16</v>
      </c>
    </row>
    <row r="42" spans="1:13" x14ac:dyDescent="0.35">
      <c r="A42">
        <v>110145</v>
      </c>
      <c r="B42">
        <v>53783</v>
      </c>
      <c r="C42" t="s">
        <v>58</v>
      </c>
      <c r="D42" t="s">
        <v>15</v>
      </c>
      <c r="E42" t="s">
        <v>34</v>
      </c>
      <c r="F42">
        <v>4583</v>
      </c>
      <c r="G42">
        <v>1</v>
      </c>
      <c r="H42" t="s">
        <v>16</v>
      </c>
      <c r="I42" s="1">
        <v>-1217500</v>
      </c>
      <c r="J42" s="1">
        <v>-6160300</v>
      </c>
      <c r="K42">
        <v>355</v>
      </c>
      <c r="L42">
        <v>2548</v>
      </c>
      <c r="M42" t="s">
        <v>16</v>
      </c>
    </row>
    <row r="43" spans="1:13" x14ac:dyDescent="0.35">
      <c r="A43">
        <v>110146</v>
      </c>
      <c r="B43">
        <v>56901</v>
      </c>
      <c r="C43" t="s">
        <v>59</v>
      </c>
      <c r="D43" t="s">
        <v>15</v>
      </c>
      <c r="E43" t="s">
        <v>18</v>
      </c>
      <c r="F43">
        <v>2358</v>
      </c>
      <c r="G43">
        <v>1</v>
      </c>
      <c r="H43" t="s">
        <v>16</v>
      </c>
      <c r="I43" s="1">
        <v>-1348300</v>
      </c>
      <c r="J43" s="1">
        <v>-6104700</v>
      </c>
      <c r="K43">
        <v>185</v>
      </c>
      <c r="L43">
        <v>6014</v>
      </c>
      <c r="M43" t="s">
        <v>16</v>
      </c>
    </row>
    <row r="44" spans="1:13" x14ac:dyDescent="0.35">
      <c r="A44">
        <v>110147</v>
      </c>
      <c r="B44">
        <v>53791</v>
      </c>
      <c r="C44" t="s">
        <v>60</v>
      </c>
      <c r="D44" t="s">
        <v>15</v>
      </c>
      <c r="E44" t="s">
        <v>34</v>
      </c>
      <c r="F44">
        <v>3704</v>
      </c>
      <c r="G44">
        <v>1</v>
      </c>
      <c r="H44" t="s">
        <v>16</v>
      </c>
      <c r="I44" s="1">
        <v>-1182800</v>
      </c>
      <c r="J44" s="1">
        <v>-6132100</v>
      </c>
      <c r="K44">
        <v>210</v>
      </c>
      <c r="L44">
        <v>605</v>
      </c>
      <c r="M44" t="s">
        <v>16</v>
      </c>
    </row>
    <row r="45" spans="1:13" x14ac:dyDescent="0.35">
      <c r="A45">
        <v>110148</v>
      </c>
      <c r="B45">
        <v>53805</v>
      </c>
      <c r="C45" t="s">
        <v>61</v>
      </c>
      <c r="D45" t="s">
        <v>15</v>
      </c>
      <c r="E45" t="s">
        <v>34</v>
      </c>
      <c r="F45">
        <v>6286</v>
      </c>
      <c r="G45">
        <v>1</v>
      </c>
      <c r="H45" t="s">
        <v>16</v>
      </c>
      <c r="I45" s="1">
        <v>-1190300</v>
      </c>
      <c r="J45" s="1">
        <v>-6150200</v>
      </c>
      <c r="K45">
        <v>290</v>
      </c>
      <c r="L45">
        <v>541</v>
      </c>
      <c r="M45" t="s">
        <v>16</v>
      </c>
    </row>
    <row r="46" spans="1:13" x14ac:dyDescent="0.35">
      <c r="A46">
        <v>110149</v>
      </c>
      <c r="B46">
        <v>53880</v>
      </c>
      <c r="C46" t="s">
        <v>62</v>
      </c>
      <c r="D46" t="s">
        <v>15</v>
      </c>
      <c r="E46" t="s">
        <v>23</v>
      </c>
      <c r="F46">
        <v>15710</v>
      </c>
      <c r="G46">
        <v>1</v>
      </c>
      <c r="H46" t="s">
        <v>16</v>
      </c>
      <c r="I46" s="1">
        <v>-1206200</v>
      </c>
      <c r="J46" s="1">
        <v>-6356900</v>
      </c>
      <c r="K46">
        <v>185</v>
      </c>
      <c r="L46">
        <v>4747</v>
      </c>
      <c r="M46" t="s">
        <v>16</v>
      </c>
    </row>
    <row r="47" spans="1:13" x14ac:dyDescent="0.35">
      <c r="A47">
        <v>110150</v>
      </c>
      <c r="B47">
        <v>48933</v>
      </c>
      <c r="C47" t="s">
        <v>63</v>
      </c>
      <c r="D47" t="s">
        <v>15</v>
      </c>
      <c r="E47" t="s">
        <v>31</v>
      </c>
      <c r="F47">
        <v>11757</v>
      </c>
      <c r="G47">
        <v>1</v>
      </c>
      <c r="H47" t="s">
        <v>16</v>
      </c>
      <c r="I47" s="1">
        <v>-1179800</v>
      </c>
      <c r="J47" s="1">
        <v>-6303100</v>
      </c>
      <c r="K47">
        <v>0</v>
      </c>
      <c r="L47">
        <v>2251</v>
      </c>
      <c r="M47" t="s">
        <v>16</v>
      </c>
    </row>
    <row r="48" spans="1:13" x14ac:dyDescent="0.35">
      <c r="A48">
        <v>110155</v>
      </c>
      <c r="B48">
        <v>53813</v>
      </c>
      <c r="C48" t="s">
        <v>64</v>
      </c>
      <c r="D48" t="s">
        <v>15</v>
      </c>
      <c r="E48" t="s">
        <v>27</v>
      </c>
      <c r="F48">
        <v>4919</v>
      </c>
      <c r="G48">
        <v>1</v>
      </c>
      <c r="H48" t="s">
        <v>16</v>
      </c>
      <c r="I48" s="1">
        <v>-1091800</v>
      </c>
      <c r="J48" s="1">
        <v>-6224900</v>
      </c>
      <c r="K48">
        <v>260</v>
      </c>
      <c r="L48">
        <v>459</v>
      </c>
      <c r="M48" t="s">
        <v>16</v>
      </c>
    </row>
    <row r="49" spans="1:13" x14ac:dyDescent="0.35">
      <c r="A49">
        <v>110160</v>
      </c>
      <c r="B49">
        <v>48941</v>
      </c>
      <c r="C49" t="s">
        <v>65</v>
      </c>
      <c r="D49" t="s">
        <v>15</v>
      </c>
      <c r="E49" t="s">
        <v>27</v>
      </c>
      <c r="F49">
        <v>9952</v>
      </c>
      <c r="G49">
        <v>1</v>
      </c>
      <c r="H49" t="s">
        <v>16</v>
      </c>
      <c r="I49" s="1">
        <v>-1024400</v>
      </c>
      <c r="J49" s="1">
        <v>-6235500</v>
      </c>
      <c r="K49">
        <v>205</v>
      </c>
      <c r="L49">
        <v>2197</v>
      </c>
      <c r="M49" t="s">
        <v>16</v>
      </c>
    </row>
    <row r="50" spans="1:13" x14ac:dyDescent="0.35">
      <c r="A50">
        <v>110170</v>
      </c>
      <c r="B50">
        <v>48950</v>
      </c>
      <c r="C50" t="s">
        <v>66</v>
      </c>
      <c r="D50" t="s">
        <v>15</v>
      </c>
      <c r="E50" t="s">
        <v>27</v>
      </c>
      <c r="F50">
        <v>13381</v>
      </c>
      <c r="G50">
        <v>1</v>
      </c>
      <c r="H50" t="s">
        <v>16</v>
      </c>
      <c r="I50" s="1">
        <v>-1112500</v>
      </c>
      <c r="J50" s="1">
        <v>-6237600</v>
      </c>
      <c r="K50">
        <v>200</v>
      </c>
      <c r="L50">
        <v>831</v>
      </c>
      <c r="M50" t="s">
        <v>16</v>
      </c>
    </row>
    <row r="51" spans="1:13" x14ac:dyDescent="0.35">
      <c r="A51">
        <v>110175</v>
      </c>
      <c r="B51">
        <v>53821</v>
      </c>
      <c r="C51" t="s">
        <v>67</v>
      </c>
      <c r="D51" t="s">
        <v>15</v>
      </c>
      <c r="E51" t="s">
        <v>14</v>
      </c>
      <c r="F51">
        <v>8751</v>
      </c>
      <c r="G51">
        <v>1</v>
      </c>
      <c r="H51" t="s">
        <v>16</v>
      </c>
      <c r="I51" s="1">
        <v>-986300</v>
      </c>
      <c r="J51" s="1">
        <v>-6218600</v>
      </c>
      <c r="K51">
        <v>140</v>
      </c>
      <c r="L51">
        <v>3135</v>
      </c>
      <c r="M51" t="s">
        <v>16</v>
      </c>
    </row>
    <row r="52" spans="1:13" x14ac:dyDescent="0.35">
      <c r="A52">
        <v>110180</v>
      </c>
      <c r="B52">
        <v>48968</v>
      </c>
      <c r="C52" t="s">
        <v>68</v>
      </c>
      <c r="D52" t="s">
        <v>15</v>
      </c>
      <c r="E52" t="s">
        <v>27</v>
      </c>
      <c r="F52">
        <v>8742</v>
      </c>
      <c r="G52">
        <v>1</v>
      </c>
      <c r="H52" t="s">
        <v>16</v>
      </c>
      <c r="I52" s="1">
        <v>-1044900</v>
      </c>
      <c r="J52" s="1">
        <v>-6213400</v>
      </c>
      <c r="K52">
        <v>204</v>
      </c>
      <c r="L52">
        <v>965</v>
      </c>
      <c r="M52" t="s">
        <v>16</v>
      </c>
    </row>
    <row r="53" spans="1:13" x14ac:dyDescent="0.35">
      <c r="A53">
        <v>120001</v>
      </c>
      <c r="B53">
        <v>49212</v>
      </c>
      <c r="C53" t="s">
        <v>69</v>
      </c>
      <c r="D53" t="s">
        <v>70</v>
      </c>
      <c r="E53" t="s">
        <v>71</v>
      </c>
      <c r="F53">
        <v>11520</v>
      </c>
      <c r="G53">
        <v>1</v>
      </c>
      <c r="H53" t="s">
        <v>16</v>
      </c>
      <c r="I53" s="1">
        <v>-982800</v>
      </c>
      <c r="J53" s="1">
        <v>-6688300</v>
      </c>
      <c r="K53">
        <v>25</v>
      </c>
      <c r="L53">
        <v>1574</v>
      </c>
      <c r="M53" t="s">
        <v>16</v>
      </c>
    </row>
    <row r="54" spans="1:13" x14ac:dyDescent="0.35">
      <c r="A54">
        <v>120005</v>
      </c>
      <c r="B54">
        <v>3379</v>
      </c>
      <c r="C54" t="s">
        <v>72</v>
      </c>
      <c r="D54" t="s">
        <v>70</v>
      </c>
      <c r="E54" t="s">
        <v>73</v>
      </c>
      <c r="F54">
        <v>5351</v>
      </c>
      <c r="G54">
        <v>1</v>
      </c>
      <c r="H54" t="s">
        <v>16</v>
      </c>
      <c r="I54" s="1">
        <v>-1094100</v>
      </c>
      <c r="J54" s="1">
        <v>-6956700</v>
      </c>
      <c r="K54">
        <v>239</v>
      </c>
      <c r="L54">
        <v>2875</v>
      </c>
      <c r="M54" t="s">
        <v>16</v>
      </c>
    </row>
    <row r="55" spans="1:13" x14ac:dyDescent="0.35">
      <c r="A55">
        <v>120010</v>
      </c>
      <c r="B55">
        <v>3310</v>
      </c>
      <c r="C55" t="s">
        <v>74</v>
      </c>
      <c r="D55" t="s">
        <v>70</v>
      </c>
      <c r="E55" t="s">
        <v>73</v>
      </c>
      <c r="F55">
        <v>19065</v>
      </c>
      <c r="G55">
        <v>1</v>
      </c>
      <c r="H55" t="s">
        <v>16</v>
      </c>
      <c r="I55" s="1">
        <v>-1101000</v>
      </c>
      <c r="J55" s="1">
        <v>-6874800</v>
      </c>
      <c r="K55">
        <v>172</v>
      </c>
      <c r="L55">
        <v>4336</v>
      </c>
      <c r="M55" t="s">
        <v>16</v>
      </c>
    </row>
    <row r="56" spans="1:13" x14ac:dyDescent="0.35">
      <c r="A56">
        <v>120013</v>
      </c>
      <c r="B56">
        <v>49220</v>
      </c>
      <c r="C56" t="s">
        <v>75</v>
      </c>
      <c r="D56" t="s">
        <v>70</v>
      </c>
      <c r="E56" t="s">
        <v>71</v>
      </c>
      <c r="F56">
        <v>6543</v>
      </c>
      <c r="G56">
        <v>1</v>
      </c>
      <c r="H56" t="s">
        <v>16</v>
      </c>
      <c r="I56" s="1">
        <v>-983100</v>
      </c>
      <c r="J56" s="1">
        <v>-6795200</v>
      </c>
      <c r="K56">
        <v>50</v>
      </c>
      <c r="L56">
        <v>3467</v>
      </c>
      <c r="M56" t="s">
        <v>16</v>
      </c>
    </row>
    <row r="57" spans="1:13" x14ac:dyDescent="0.35">
      <c r="A57">
        <v>120017</v>
      </c>
      <c r="B57">
        <v>49239</v>
      </c>
      <c r="C57" t="s">
        <v>76</v>
      </c>
      <c r="D57" t="s">
        <v>70</v>
      </c>
      <c r="E57" t="s">
        <v>71</v>
      </c>
      <c r="F57">
        <v>8446</v>
      </c>
      <c r="G57">
        <v>1</v>
      </c>
      <c r="H57" t="s">
        <v>16</v>
      </c>
      <c r="I57" s="1">
        <v>-1057300</v>
      </c>
      <c r="J57" s="1">
        <v>-6767600</v>
      </c>
      <c r="K57">
        <v>40</v>
      </c>
      <c r="L57">
        <v>1713</v>
      </c>
      <c r="M57" t="s">
        <v>16</v>
      </c>
    </row>
    <row r="58" spans="1:13" x14ac:dyDescent="0.35">
      <c r="A58">
        <v>120020</v>
      </c>
      <c r="B58">
        <v>3328</v>
      </c>
      <c r="C58" t="s">
        <v>77</v>
      </c>
      <c r="D58" t="s">
        <v>70</v>
      </c>
      <c r="E58" t="s">
        <v>77</v>
      </c>
      <c r="F58">
        <v>73948</v>
      </c>
      <c r="G58">
        <v>2</v>
      </c>
      <c r="H58" t="s">
        <v>16</v>
      </c>
      <c r="I58" s="1">
        <v>-763100</v>
      </c>
      <c r="J58" s="1">
        <v>-7267000</v>
      </c>
      <c r="K58">
        <v>182</v>
      </c>
      <c r="L58">
        <v>7924</v>
      </c>
      <c r="M58" t="s">
        <v>16</v>
      </c>
    </row>
    <row r="59" spans="1:13" x14ac:dyDescent="0.35">
      <c r="A59">
        <v>120025</v>
      </c>
      <c r="B59">
        <v>3441</v>
      </c>
      <c r="C59" t="s">
        <v>78</v>
      </c>
      <c r="D59" t="s">
        <v>70</v>
      </c>
      <c r="E59" t="s">
        <v>73</v>
      </c>
      <c r="F59">
        <v>13434</v>
      </c>
      <c r="G59">
        <v>1</v>
      </c>
      <c r="H59" t="s">
        <v>16</v>
      </c>
      <c r="I59" s="1">
        <v>-1102900</v>
      </c>
      <c r="J59" s="1">
        <v>-6874100</v>
      </c>
      <c r="K59">
        <v>0</v>
      </c>
      <c r="L59">
        <v>1659</v>
      </c>
      <c r="M59" t="s">
        <v>16</v>
      </c>
    </row>
    <row r="60" spans="1:13" x14ac:dyDescent="0.35">
      <c r="A60">
        <v>120030</v>
      </c>
      <c r="B60">
        <v>3336</v>
      </c>
      <c r="C60" t="s">
        <v>79</v>
      </c>
      <c r="D60" t="s">
        <v>70</v>
      </c>
      <c r="E60" t="s">
        <v>80</v>
      </c>
      <c r="F60">
        <v>31288</v>
      </c>
      <c r="G60">
        <v>1</v>
      </c>
      <c r="H60" t="s">
        <v>16</v>
      </c>
      <c r="I60" s="1">
        <v>-816400</v>
      </c>
      <c r="J60" s="1">
        <v>-7035400</v>
      </c>
      <c r="K60">
        <v>153</v>
      </c>
      <c r="L60">
        <v>24202</v>
      </c>
      <c r="M60" t="s">
        <v>16</v>
      </c>
    </row>
    <row r="61" spans="1:13" x14ac:dyDescent="0.35">
      <c r="A61">
        <v>120032</v>
      </c>
      <c r="B61">
        <v>3492</v>
      </c>
      <c r="C61" t="s">
        <v>81</v>
      </c>
      <c r="D61" t="s">
        <v>70</v>
      </c>
      <c r="E61" t="s">
        <v>80</v>
      </c>
      <c r="F61">
        <v>6059</v>
      </c>
      <c r="G61">
        <v>1</v>
      </c>
      <c r="H61" t="s">
        <v>16</v>
      </c>
      <c r="I61" s="1">
        <v>-943400</v>
      </c>
      <c r="J61" s="1">
        <v>-7188400</v>
      </c>
      <c r="K61">
        <v>278</v>
      </c>
      <c r="L61">
        <v>5428</v>
      </c>
      <c r="M61" t="s">
        <v>16</v>
      </c>
    </row>
    <row r="62" spans="1:13" x14ac:dyDescent="0.35">
      <c r="A62">
        <v>120033</v>
      </c>
      <c r="B62">
        <v>3417</v>
      </c>
      <c r="C62" t="s">
        <v>82</v>
      </c>
      <c r="D62" t="s">
        <v>70</v>
      </c>
      <c r="E62" t="s">
        <v>77</v>
      </c>
      <c r="F62">
        <v>13785</v>
      </c>
      <c r="G62">
        <v>1</v>
      </c>
      <c r="H62" t="s">
        <v>16</v>
      </c>
      <c r="I62" s="1">
        <v>-761400</v>
      </c>
      <c r="J62" s="1">
        <v>-7289600</v>
      </c>
      <c r="K62">
        <v>195</v>
      </c>
      <c r="L62">
        <v>4672</v>
      </c>
      <c r="M62" t="s">
        <v>16</v>
      </c>
    </row>
    <row r="63" spans="1:13" x14ac:dyDescent="0.35">
      <c r="A63">
        <v>120034</v>
      </c>
      <c r="B63">
        <v>3387</v>
      </c>
      <c r="C63" t="s">
        <v>83</v>
      </c>
      <c r="D63" t="s">
        <v>70</v>
      </c>
      <c r="E63" t="s">
        <v>84</v>
      </c>
      <c r="F63">
        <v>7148</v>
      </c>
      <c r="G63">
        <v>1</v>
      </c>
      <c r="H63" t="s">
        <v>16</v>
      </c>
      <c r="I63" s="1">
        <v>-883900</v>
      </c>
      <c r="J63" s="1">
        <v>-6926000</v>
      </c>
      <c r="K63">
        <v>162</v>
      </c>
      <c r="L63">
        <v>9386</v>
      </c>
      <c r="M63" t="s">
        <v>16</v>
      </c>
    </row>
    <row r="64" spans="1:13" x14ac:dyDescent="0.35">
      <c r="A64">
        <v>120035</v>
      </c>
      <c r="B64">
        <v>44970</v>
      </c>
      <c r="C64" t="s">
        <v>85</v>
      </c>
      <c r="D64" t="s">
        <v>70</v>
      </c>
      <c r="E64" t="s">
        <v>77</v>
      </c>
      <c r="F64">
        <v>13061</v>
      </c>
      <c r="G64">
        <v>1</v>
      </c>
      <c r="H64" t="s">
        <v>16</v>
      </c>
      <c r="I64" s="1">
        <v>-894100</v>
      </c>
      <c r="J64" s="1">
        <v>-7279200</v>
      </c>
      <c r="K64">
        <v>190</v>
      </c>
      <c r="L64">
        <v>7743</v>
      </c>
      <c r="M64" t="s">
        <v>16</v>
      </c>
    </row>
    <row r="65" spans="1:13" x14ac:dyDescent="0.35">
      <c r="A65">
        <v>120038</v>
      </c>
      <c r="B65">
        <v>3395</v>
      </c>
      <c r="C65" t="s">
        <v>86</v>
      </c>
      <c r="D65" t="s">
        <v>70</v>
      </c>
      <c r="E65" t="s">
        <v>71</v>
      </c>
      <c r="F65">
        <v>17258</v>
      </c>
      <c r="G65">
        <v>1</v>
      </c>
      <c r="H65" t="s">
        <v>16</v>
      </c>
      <c r="I65" s="1">
        <v>-1033500</v>
      </c>
      <c r="J65" s="1">
        <v>-6718400</v>
      </c>
      <c r="K65">
        <v>136</v>
      </c>
      <c r="L65">
        <v>2047</v>
      </c>
      <c r="M65" t="s">
        <v>16</v>
      </c>
    </row>
    <row r="66" spans="1:13" x14ac:dyDescent="0.35">
      <c r="A66">
        <v>120039</v>
      </c>
      <c r="B66">
        <v>49255</v>
      </c>
      <c r="C66" t="s">
        <v>87</v>
      </c>
      <c r="D66" t="s">
        <v>70</v>
      </c>
      <c r="E66" t="s">
        <v>77</v>
      </c>
      <c r="F66">
        <v>8170</v>
      </c>
      <c r="G66">
        <v>1</v>
      </c>
      <c r="H66" t="s">
        <v>16</v>
      </c>
      <c r="I66" s="1">
        <v>-826900</v>
      </c>
      <c r="J66" s="1">
        <v>-7274400</v>
      </c>
      <c r="K66">
        <v>195</v>
      </c>
      <c r="L66">
        <v>6135</v>
      </c>
      <c r="M66" t="s">
        <v>16</v>
      </c>
    </row>
    <row r="67" spans="1:13" x14ac:dyDescent="0.35">
      <c r="A67">
        <v>120040</v>
      </c>
      <c r="B67">
        <v>3301</v>
      </c>
      <c r="C67" t="s">
        <v>71</v>
      </c>
      <c r="D67" t="s">
        <v>70</v>
      </c>
      <c r="E67" t="s">
        <v>71</v>
      </c>
      <c r="F67">
        <v>290639</v>
      </c>
      <c r="G67">
        <v>5</v>
      </c>
      <c r="H67" t="s">
        <v>16</v>
      </c>
      <c r="I67" s="1">
        <v>-997500</v>
      </c>
      <c r="J67" s="1">
        <v>-6781000</v>
      </c>
      <c r="K67">
        <v>153</v>
      </c>
      <c r="L67">
        <v>9222</v>
      </c>
      <c r="M67" t="s">
        <v>16</v>
      </c>
    </row>
    <row r="68" spans="1:13" x14ac:dyDescent="0.35">
      <c r="A68">
        <v>120042</v>
      </c>
      <c r="B68">
        <v>49271</v>
      </c>
      <c r="C68" t="s">
        <v>88</v>
      </c>
      <c r="D68" t="s">
        <v>70</v>
      </c>
      <c r="E68" t="s">
        <v>77</v>
      </c>
      <c r="F68">
        <v>12428</v>
      </c>
      <c r="G68">
        <v>1</v>
      </c>
      <c r="H68" t="s">
        <v>16</v>
      </c>
      <c r="I68" s="1">
        <v>-774200</v>
      </c>
      <c r="J68" s="1">
        <v>-7264700</v>
      </c>
      <c r="K68">
        <v>0</v>
      </c>
      <c r="L68">
        <v>3304</v>
      </c>
      <c r="M68" t="s">
        <v>16</v>
      </c>
    </row>
    <row r="69" spans="1:13" x14ac:dyDescent="0.35">
      <c r="A69">
        <v>120043</v>
      </c>
      <c r="B69">
        <v>45004</v>
      </c>
      <c r="C69" t="s">
        <v>89</v>
      </c>
      <c r="D69" t="s">
        <v>70</v>
      </c>
      <c r="E69" t="s">
        <v>84</v>
      </c>
      <c r="F69">
        <v>3948</v>
      </c>
      <c r="G69">
        <v>1</v>
      </c>
      <c r="H69" t="s">
        <v>16</v>
      </c>
      <c r="I69" s="1">
        <v>-943300</v>
      </c>
      <c r="J69" s="1">
        <v>-7049300</v>
      </c>
      <c r="K69">
        <v>25</v>
      </c>
      <c r="L69">
        <v>5981</v>
      </c>
      <c r="M69" t="s">
        <v>16</v>
      </c>
    </row>
    <row r="70" spans="1:13" x14ac:dyDescent="0.35">
      <c r="A70">
        <v>120045</v>
      </c>
      <c r="B70">
        <v>3409</v>
      </c>
      <c r="C70" t="s">
        <v>90</v>
      </c>
      <c r="D70" t="s">
        <v>70</v>
      </c>
      <c r="E70" t="s">
        <v>71</v>
      </c>
      <c r="F70">
        <v>18863</v>
      </c>
      <c r="G70">
        <v>1</v>
      </c>
      <c r="H70" t="s">
        <v>16</v>
      </c>
      <c r="I70" s="1">
        <v>-1015100</v>
      </c>
      <c r="J70" s="1">
        <v>-6773600</v>
      </c>
      <c r="K70">
        <v>201</v>
      </c>
      <c r="L70">
        <v>1837</v>
      </c>
      <c r="M70" t="s">
        <v>16</v>
      </c>
    </row>
    <row r="71" spans="1:13" x14ac:dyDescent="0.35">
      <c r="A71">
        <v>120050</v>
      </c>
      <c r="B71">
        <v>3344</v>
      </c>
      <c r="C71" t="s">
        <v>84</v>
      </c>
      <c r="D71" t="s">
        <v>70</v>
      </c>
      <c r="E71" t="s">
        <v>84</v>
      </c>
      <c r="F71">
        <v>34230</v>
      </c>
      <c r="G71">
        <v>1</v>
      </c>
      <c r="H71" t="s">
        <v>16</v>
      </c>
      <c r="I71" s="1">
        <v>-906600</v>
      </c>
      <c r="J71" s="1">
        <v>-6865700</v>
      </c>
      <c r="K71">
        <v>150</v>
      </c>
      <c r="L71">
        <v>25278</v>
      </c>
      <c r="M71" t="s">
        <v>16</v>
      </c>
    </row>
    <row r="72" spans="1:13" x14ac:dyDescent="0.35">
      <c r="A72">
        <v>120060</v>
      </c>
      <c r="B72">
        <v>3352</v>
      </c>
      <c r="C72" t="s">
        <v>91</v>
      </c>
      <c r="D72" t="s">
        <v>70</v>
      </c>
      <c r="E72" t="s">
        <v>80</v>
      </c>
      <c r="F72">
        <v>32171</v>
      </c>
      <c r="G72">
        <v>1</v>
      </c>
      <c r="H72" t="s">
        <v>16</v>
      </c>
      <c r="I72" s="1">
        <v>-816100</v>
      </c>
      <c r="J72" s="1">
        <v>-7076600</v>
      </c>
      <c r="K72">
        <v>168</v>
      </c>
      <c r="L72">
        <v>15553</v>
      </c>
      <c r="M72" t="s">
        <v>16</v>
      </c>
    </row>
    <row r="73" spans="1:13" x14ac:dyDescent="0.35">
      <c r="A73">
        <v>120070</v>
      </c>
      <c r="B73">
        <v>3360</v>
      </c>
      <c r="C73" t="s">
        <v>92</v>
      </c>
      <c r="D73" t="s">
        <v>70</v>
      </c>
      <c r="E73" t="s">
        <v>73</v>
      </c>
      <c r="F73">
        <v>14314</v>
      </c>
      <c r="G73">
        <v>1</v>
      </c>
      <c r="H73" t="s">
        <v>16</v>
      </c>
      <c r="I73" s="1">
        <v>-1065200</v>
      </c>
      <c r="J73" s="1">
        <v>-6850400</v>
      </c>
      <c r="K73">
        <v>150</v>
      </c>
      <c r="L73">
        <v>5250</v>
      </c>
      <c r="M73" t="s">
        <v>16</v>
      </c>
    </row>
    <row r="74" spans="1:13" x14ac:dyDescent="0.35">
      <c r="A74">
        <v>120080</v>
      </c>
      <c r="B74">
        <v>53520</v>
      </c>
      <c r="C74" t="s">
        <v>93</v>
      </c>
      <c r="D74" t="s">
        <v>70</v>
      </c>
      <c r="E74" t="s">
        <v>71</v>
      </c>
      <c r="F74">
        <v>13716</v>
      </c>
      <c r="G74">
        <v>1</v>
      </c>
      <c r="H74" t="s">
        <v>16</v>
      </c>
      <c r="I74" s="1">
        <v>-958800</v>
      </c>
      <c r="J74" s="1">
        <v>-6753300</v>
      </c>
      <c r="K74">
        <v>145</v>
      </c>
      <c r="L74">
        <v>2984</v>
      </c>
      <c r="M74" t="s">
        <v>16</v>
      </c>
    </row>
    <row r="75" spans="1:13" x14ac:dyDescent="0.35">
      <c r="A75">
        <v>130002</v>
      </c>
      <c r="B75">
        <v>3948</v>
      </c>
      <c r="C75" t="s">
        <v>94</v>
      </c>
      <c r="D75" t="s">
        <v>95</v>
      </c>
      <c r="E75" t="s">
        <v>96</v>
      </c>
      <c r="F75">
        <v>13010</v>
      </c>
      <c r="G75">
        <v>1</v>
      </c>
      <c r="H75" t="s">
        <v>16</v>
      </c>
      <c r="I75" s="1">
        <v>-322100</v>
      </c>
      <c r="J75" s="1">
        <v>-6480400</v>
      </c>
      <c r="K75">
        <v>75</v>
      </c>
      <c r="L75">
        <v>5911</v>
      </c>
      <c r="M75" t="s">
        <v>16</v>
      </c>
    </row>
    <row r="76" spans="1:13" x14ac:dyDescent="0.35">
      <c r="A76">
        <v>130006</v>
      </c>
      <c r="B76">
        <v>3964</v>
      </c>
      <c r="C76" t="s">
        <v>97</v>
      </c>
      <c r="D76" t="s">
        <v>95</v>
      </c>
      <c r="E76" t="s">
        <v>98</v>
      </c>
      <c r="F76">
        <v>8384</v>
      </c>
      <c r="G76">
        <v>1</v>
      </c>
      <c r="H76" t="s">
        <v>16</v>
      </c>
      <c r="I76" s="1">
        <v>-336400</v>
      </c>
      <c r="J76" s="1">
        <v>-6819800</v>
      </c>
      <c r="K76">
        <v>58</v>
      </c>
      <c r="L76">
        <v>4758</v>
      </c>
      <c r="M76" t="s">
        <v>16</v>
      </c>
    </row>
    <row r="77" spans="1:13" x14ac:dyDescent="0.35">
      <c r="A77">
        <v>130008</v>
      </c>
      <c r="B77">
        <v>3972</v>
      </c>
      <c r="C77" t="s">
        <v>99</v>
      </c>
      <c r="D77" t="s">
        <v>95</v>
      </c>
      <c r="E77" t="s">
        <v>100</v>
      </c>
      <c r="F77">
        <v>8152</v>
      </c>
      <c r="G77">
        <v>1</v>
      </c>
      <c r="H77" t="s">
        <v>16</v>
      </c>
      <c r="I77" s="1">
        <v>-358000</v>
      </c>
      <c r="J77" s="1">
        <v>-6140400</v>
      </c>
      <c r="K77">
        <v>28</v>
      </c>
      <c r="L77">
        <v>2453</v>
      </c>
      <c r="M77" t="s">
        <v>16</v>
      </c>
    </row>
    <row r="78" spans="1:13" x14ac:dyDescent="0.35">
      <c r="A78">
        <v>130010</v>
      </c>
      <c r="B78">
        <v>3522</v>
      </c>
      <c r="C78" t="s">
        <v>101</v>
      </c>
      <c r="D78" t="s">
        <v>95</v>
      </c>
      <c r="E78" t="s">
        <v>100</v>
      </c>
      <c r="F78">
        <v>13834</v>
      </c>
      <c r="G78">
        <v>1</v>
      </c>
      <c r="H78" t="s">
        <v>16</v>
      </c>
      <c r="I78" s="1">
        <v>-377300</v>
      </c>
      <c r="J78" s="1">
        <v>-6164400</v>
      </c>
      <c r="K78">
        <v>120</v>
      </c>
      <c r="L78">
        <v>5795</v>
      </c>
      <c r="M78" t="s">
        <v>16</v>
      </c>
    </row>
    <row r="79" spans="1:13" x14ac:dyDescent="0.35">
      <c r="A79">
        <v>130014</v>
      </c>
      <c r="B79">
        <v>3980</v>
      </c>
      <c r="C79" t="s">
        <v>102</v>
      </c>
      <c r="D79" t="s">
        <v>95</v>
      </c>
      <c r="E79" t="s">
        <v>103</v>
      </c>
      <c r="F79">
        <v>17451</v>
      </c>
      <c r="G79">
        <v>1</v>
      </c>
      <c r="H79" t="s">
        <v>16</v>
      </c>
      <c r="I79" s="1">
        <v>-719700</v>
      </c>
      <c r="J79" s="1">
        <v>-5989100</v>
      </c>
      <c r="K79">
        <v>135</v>
      </c>
      <c r="L79">
        <v>54239</v>
      </c>
      <c r="M79" t="s">
        <v>16</v>
      </c>
    </row>
    <row r="80" spans="1:13" x14ac:dyDescent="0.35">
      <c r="A80">
        <v>130020</v>
      </c>
      <c r="B80">
        <v>3530</v>
      </c>
      <c r="C80" t="s">
        <v>104</v>
      </c>
      <c r="D80" t="s">
        <v>95</v>
      </c>
      <c r="E80" t="s">
        <v>98</v>
      </c>
      <c r="F80">
        <v>13682</v>
      </c>
      <c r="G80">
        <v>1</v>
      </c>
      <c r="H80" t="s">
        <v>16</v>
      </c>
      <c r="I80" s="1">
        <v>-437200</v>
      </c>
      <c r="J80" s="1">
        <v>-7019200</v>
      </c>
      <c r="K80">
        <v>65</v>
      </c>
      <c r="L80">
        <v>76354</v>
      </c>
      <c r="M80" t="s">
        <v>16</v>
      </c>
    </row>
    <row r="81" spans="1:13" x14ac:dyDescent="0.35">
      <c r="A81">
        <v>130030</v>
      </c>
      <c r="B81">
        <v>3549</v>
      </c>
      <c r="C81" t="s">
        <v>105</v>
      </c>
      <c r="D81" t="s">
        <v>95</v>
      </c>
      <c r="E81" t="s">
        <v>106</v>
      </c>
      <c r="F81">
        <v>29907</v>
      </c>
      <c r="G81">
        <v>4</v>
      </c>
      <c r="H81" t="s">
        <v>107</v>
      </c>
      <c r="I81" s="1">
        <v>-358000</v>
      </c>
      <c r="J81" s="1">
        <v>-5913100</v>
      </c>
      <c r="K81">
        <v>36</v>
      </c>
      <c r="L81">
        <v>7599</v>
      </c>
      <c r="M81" t="s">
        <v>16</v>
      </c>
    </row>
    <row r="82" spans="1:13" x14ac:dyDescent="0.35">
      <c r="A82">
        <v>130040</v>
      </c>
      <c r="B82">
        <v>3557</v>
      </c>
      <c r="C82" t="s">
        <v>108</v>
      </c>
      <c r="D82" t="s">
        <v>95</v>
      </c>
      <c r="E82" t="s">
        <v>109</v>
      </c>
      <c r="F82">
        <v>24567</v>
      </c>
      <c r="G82">
        <v>1</v>
      </c>
      <c r="H82" t="s">
        <v>16</v>
      </c>
      <c r="I82" t="s">
        <v>110</v>
      </c>
      <c r="J82" s="1">
        <v>-6292400</v>
      </c>
      <c r="K82">
        <v>47</v>
      </c>
      <c r="L82">
        <v>122475</v>
      </c>
      <c r="M82" t="s">
        <v>16</v>
      </c>
    </row>
    <row r="83" spans="1:13" x14ac:dyDescent="0.35">
      <c r="A83">
        <v>130050</v>
      </c>
      <c r="B83">
        <v>3565</v>
      </c>
      <c r="C83" t="s">
        <v>111</v>
      </c>
      <c r="D83" t="s">
        <v>95</v>
      </c>
      <c r="E83" t="s">
        <v>112</v>
      </c>
      <c r="F83">
        <v>26645</v>
      </c>
      <c r="G83">
        <v>1</v>
      </c>
      <c r="H83" t="s">
        <v>16</v>
      </c>
      <c r="I83" s="1">
        <v>-279300</v>
      </c>
      <c r="J83" s="1">
        <v>-5707000</v>
      </c>
      <c r="K83">
        <v>19</v>
      </c>
      <c r="L83">
        <v>5750</v>
      </c>
      <c r="M83" t="s">
        <v>16</v>
      </c>
    </row>
    <row r="84" spans="1:13" x14ac:dyDescent="0.35">
      <c r="A84">
        <v>130060</v>
      </c>
      <c r="B84">
        <v>3573</v>
      </c>
      <c r="C84" t="s">
        <v>113</v>
      </c>
      <c r="D84" t="s">
        <v>95</v>
      </c>
      <c r="E84" t="s">
        <v>98</v>
      </c>
      <c r="F84">
        <v>29268</v>
      </c>
      <c r="G84">
        <v>1</v>
      </c>
      <c r="H84" t="s">
        <v>16</v>
      </c>
      <c r="I84" s="1">
        <v>-438300</v>
      </c>
      <c r="J84" s="1">
        <v>-7003100</v>
      </c>
      <c r="K84">
        <v>65</v>
      </c>
      <c r="L84">
        <v>8793</v>
      </c>
      <c r="M84" t="s">
        <v>16</v>
      </c>
    </row>
    <row r="85" spans="1:13" x14ac:dyDescent="0.35">
      <c r="A85">
        <v>130063</v>
      </c>
      <c r="B85">
        <v>3131</v>
      </c>
      <c r="C85" t="s">
        <v>114</v>
      </c>
      <c r="D85" t="s">
        <v>95</v>
      </c>
      <c r="E85" t="s">
        <v>100</v>
      </c>
      <c r="F85">
        <v>13809</v>
      </c>
      <c r="G85">
        <v>1</v>
      </c>
      <c r="H85" t="s">
        <v>16</v>
      </c>
      <c r="I85" s="1">
        <v>-389800</v>
      </c>
      <c r="J85" s="1">
        <v>-6137300</v>
      </c>
      <c r="K85">
        <v>35</v>
      </c>
      <c r="L85">
        <v>17251</v>
      </c>
      <c r="M85" t="s">
        <v>16</v>
      </c>
    </row>
    <row r="86" spans="1:13" x14ac:dyDescent="0.35">
      <c r="A86">
        <v>130068</v>
      </c>
      <c r="B86">
        <v>3158</v>
      </c>
      <c r="C86" t="s">
        <v>115</v>
      </c>
      <c r="D86" t="s">
        <v>95</v>
      </c>
      <c r="E86" t="s">
        <v>112</v>
      </c>
      <c r="F86">
        <v>13138</v>
      </c>
      <c r="G86">
        <v>1</v>
      </c>
      <c r="H86" t="s">
        <v>16</v>
      </c>
      <c r="I86" s="1">
        <v>-297000</v>
      </c>
      <c r="J86" s="1">
        <v>-5759000</v>
      </c>
      <c r="K86">
        <v>32</v>
      </c>
      <c r="L86">
        <v>2586</v>
      </c>
      <c r="M86" t="s">
        <v>16</v>
      </c>
    </row>
    <row r="87" spans="1:13" x14ac:dyDescent="0.35">
      <c r="A87">
        <v>130070</v>
      </c>
      <c r="B87">
        <v>3581</v>
      </c>
      <c r="C87" t="s">
        <v>116</v>
      </c>
      <c r="D87" t="s">
        <v>95</v>
      </c>
      <c r="E87" t="s">
        <v>116</v>
      </c>
      <c r="F87">
        <v>29818</v>
      </c>
      <c r="G87">
        <v>1</v>
      </c>
      <c r="H87" t="s">
        <v>16</v>
      </c>
      <c r="I87" s="1">
        <v>-875200</v>
      </c>
      <c r="J87" s="1">
        <v>-6739800</v>
      </c>
      <c r="K87">
        <v>116</v>
      </c>
      <c r="L87">
        <v>22348</v>
      </c>
      <c r="M87" t="s">
        <v>16</v>
      </c>
    </row>
    <row r="88" spans="1:13" x14ac:dyDescent="0.35">
      <c r="A88">
        <v>130080</v>
      </c>
      <c r="B88">
        <v>3590</v>
      </c>
      <c r="C88" t="s">
        <v>117</v>
      </c>
      <c r="D88" t="s">
        <v>95</v>
      </c>
      <c r="E88" t="s">
        <v>103</v>
      </c>
      <c r="F88">
        <v>31098</v>
      </c>
      <c r="G88">
        <v>1</v>
      </c>
      <c r="H88" t="s">
        <v>16</v>
      </c>
      <c r="I88" s="1">
        <v>-438800</v>
      </c>
      <c r="J88" s="1">
        <v>-5959400</v>
      </c>
      <c r="K88">
        <v>45</v>
      </c>
      <c r="L88">
        <v>44251</v>
      </c>
      <c r="M88" t="s">
        <v>16</v>
      </c>
    </row>
    <row r="89" spans="1:13" x14ac:dyDescent="0.35">
      <c r="A89">
        <v>130083</v>
      </c>
      <c r="B89">
        <v>3166</v>
      </c>
      <c r="C89" t="s">
        <v>118</v>
      </c>
      <c r="D89" t="s">
        <v>95</v>
      </c>
      <c r="E89" t="s">
        <v>100</v>
      </c>
      <c r="F89">
        <v>10547</v>
      </c>
      <c r="G89">
        <v>1</v>
      </c>
      <c r="H89" t="s">
        <v>16</v>
      </c>
      <c r="I89" s="1">
        <v>-332800</v>
      </c>
      <c r="J89" s="1">
        <v>-6120900</v>
      </c>
      <c r="K89">
        <v>32</v>
      </c>
      <c r="L89">
        <v>9456</v>
      </c>
      <c r="M89" t="s">
        <v>16</v>
      </c>
    </row>
    <row r="90" spans="1:13" x14ac:dyDescent="0.35">
      <c r="A90">
        <v>130090</v>
      </c>
      <c r="B90">
        <v>3603</v>
      </c>
      <c r="C90" t="s">
        <v>119</v>
      </c>
      <c r="D90" t="s">
        <v>95</v>
      </c>
      <c r="E90" t="s">
        <v>120</v>
      </c>
      <c r="F90">
        <v>11463</v>
      </c>
      <c r="G90">
        <v>1</v>
      </c>
      <c r="H90" t="s">
        <v>16</v>
      </c>
      <c r="I90" s="1">
        <v>-653400</v>
      </c>
      <c r="J90" s="1">
        <v>-6438300</v>
      </c>
      <c r="K90">
        <v>55</v>
      </c>
      <c r="L90">
        <v>29819</v>
      </c>
      <c r="M90" t="s">
        <v>16</v>
      </c>
    </row>
    <row r="91" spans="1:13" x14ac:dyDescent="0.35">
      <c r="A91">
        <v>130100</v>
      </c>
      <c r="B91">
        <v>3611</v>
      </c>
      <c r="C91" t="s">
        <v>121</v>
      </c>
      <c r="D91" t="s">
        <v>95</v>
      </c>
      <c r="E91" t="s">
        <v>122</v>
      </c>
      <c r="F91">
        <v>25110</v>
      </c>
      <c r="G91">
        <v>1</v>
      </c>
      <c r="H91" t="s">
        <v>16</v>
      </c>
      <c r="I91" s="1">
        <v>-488300</v>
      </c>
      <c r="J91" s="1">
        <v>-6689600</v>
      </c>
      <c r="K91">
        <v>87</v>
      </c>
      <c r="L91">
        <v>25767</v>
      </c>
      <c r="M91" t="s">
        <v>16</v>
      </c>
    </row>
    <row r="92" spans="1:13" x14ac:dyDescent="0.35">
      <c r="A92">
        <v>130110</v>
      </c>
      <c r="B92">
        <v>3620</v>
      </c>
      <c r="C92" t="s">
        <v>123</v>
      </c>
      <c r="D92" t="s">
        <v>95</v>
      </c>
      <c r="E92" t="s">
        <v>106</v>
      </c>
      <c r="F92">
        <v>31070</v>
      </c>
      <c r="G92">
        <v>4</v>
      </c>
      <c r="H92" t="s">
        <v>107</v>
      </c>
      <c r="I92" s="1">
        <v>-376800</v>
      </c>
      <c r="J92" s="1">
        <v>-6036900</v>
      </c>
      <c r="K92">
        <v>27</v>
      </c>
      <c r="L92">
        <v>6091</v>
      </c>
      <c r="M92" t="s">
        <v>16</v>
      </c>
    </row>
    <row r="93" spans="1:13" x14ac:dyDescent="0.35">
      <c r="A93">
        <v>130115</v>
      </c>
      <c r="B93">
        <v>27383</v>
      </c>
      <c r="C93" t="s">
        <v>124</v>
      </c>
      <c r="D93" t="s">
        <v>95</v>
      </c>
      <c r="E93" t="s">
        <v>106</v>
      </c>
      <c r="F93">
        <v>23023</v>
      </c>
      <c r="G93">
        <v>4</v>
      </c>
      <c r="H93" t="s">
        <v>107</v>
      </c>
      <c r="I93" s="1">
        <v>-322100</v>
      </c>
      <c r="J93" s="1">
        <v>-5982600</v>
      </c>
      <c r="K93">
        <v>25</v>
      </c>
      <c r="L93">
        <v>2631</v>
      </c>
      <c r="M93" t="s">
        <v>16</v>
      </c>
    </row>
    <row r="94" spans="1:13" x14ac:dyDescent="0.35">
      <c r="A94">
        <v>130120</v>
      </c>
      <c r="B94">
        <v>3638</v>
      </c>
      <c r="C94" t="s">
        <v>100</v>
      </c>
      <c r="D94" t="s">
        <v>95</v>
      </c>
      <c r="E94" t="s">
        <v>100</v>
      </c>
      <c r="F94">
        <v>65222</v>
      </c>
      <c r="G94">
        <v>2</v>
      </c>
      <c r="H94" t="s">
        <v>16</v>
      </c>
      <c r="I94" s="1">
        <v>-408500</v>
      </c>
      <c r="J94" s="1">
        <v>-6314100</v>
      </c>
      <c r="K94">
        <v>10</v>
      </c>
      <c r="L94">
        <v>57921</v>
      </c>
      <c r="M94" t="s">
        <v>16</v>
      </c>
    </row>
    <row r="95" spans="1:13" x14ac:dyDescent="0.35">
      <c r="A95">
        <v>130130</v>
      </c>
      <c r="B95">
        <v>3646</v>
      </c>
      <c r="C95" t="s">
        <v>125</v>
      </c>
      <c r="D95" t="s">
        <v>95</v>
      </c>
      <c r="E95" t="s">
        <v>100</v>
      </c>
      <c r="F95">
        <v>16025</v>
      </c>
      <c r="G95">
        <v>1</v>
      </c>
      <c r="H95" t="s">
        <v>16</v>
      </c>
      <c r="I95" s="1">
        <v>-383700</v>
      </c>
      <c r="J95" s="1">
        <v>-6205700</v>
      </c>
      <c r="K95">
        <v>47</v>
      </c>
      <c r="L95">
        <v>18711</v>
      </c>
      <c r="M95" t="s">
        <v>16</v>
      </c>
    </row>
    <row r="96" spans="1:13" x14ac:dyDescent="0.35">
      <c r="A96">
        <v>130140</v>
      </c>
      <c r="B96">
        <v>3654</v>
      </c>
      <c r="C96" t="s">
        <v>126</v>
      </c>
      <c r="D96" t="s">
        <v>95</v>
      </c>
      <c r="E96" t="s">
        <v>122</v>
      </c>
      <c r="F96">
        <v>29411</v>
      </c>
      <c r="G96">
        <v>1</v>
      </c>
      <c r="H96" t="s">
        <v>16</v>
      </c>
      <c r="I96" s="1">
        <v>-666000</v>
      </c>
      <c r="J96" s="1">
        <v>-6987400</v>
      </c>
      <c r="K96">
        <v>124</v>
      </c>
      <c r="L96">
        <v>15831</v>
      </c>
      <c r="M96" t="s">
        <v>16</v>
      </c>
    </row>
    <row r="97" spans="1:13" x14ac:dyDescent="0.35">
      <c r="A97">
        <v>130150</v>
      </c>
      <c r="B97">
        <v>3662</v>
      </c>
      <c r="C97" t="s">
        <v>127</v>
      </c>
      <c r="D97" t="s">
        <v>95</v>
      </c>
      <c r="E97" t="s">
        <v>122</v>
      </c>
      <c r="F97">
        <v>16438</v>
      </c>
      <c r="G97">
        <v>1</v>
      </c>
      <c r="H97" t="s">
        <v>16</v>
      </c>
      <c r="I97" s="1">
        <v>-743300</v>
      </c>
      <c r="J97" s="1">
        <v>-7002300</v>
      </c>
      <c r="K97">
        <v>135</v>
      </c>
      <c r="L97">
        <v>13369</v>
      </c>
      <c r="M97" t="s">
        <v>16</v>
      </c>
    </row>
    <row r="98" spans="1:13" x14ac:dyDescent="0.35">
      <c r="A98">
        <v>130160</v>
      </c>
      <c r="B98">
        <v>3670</v>
      </c>
      <c r="C98" t="s">
        <v>128</v>
      </c>
      <c r="D98" t="s">
        <v>95</v>
      </c>
      <c r="E98" t="s">
        <v>98</v>
      </c>
      <c r="F98">
        <v>19726</v>
      </c>
      <c r="G98">
        <v>1</v>
      </c>
      <c r="H98" t="s">
        <v>16</v>
      </c>
      <c r="I98" s="1">
        <v>-251400</v>
      </c>
      <c r="J98" s="1">
        <v>-6609200</v>
      </c>
      <c r="K98">
        <v>62</v>
      </c>
      <c r="L98">
        <v>12110</v>
      </c>
      <c r="M98" t="s">
        <v>16</v>
      </c>
    </row>
    <row r="99" spans="1:13" x14ac:dyDescent="0.35">
      <c r="A99">
        <v>130165</v>
      </c>
      <c r="B99">
        <v>27391</v>
      </c>
      <c r="C99" t="s">
        <v>129</v>
      </c>
      <c r="D99" t="s">
        <v>95</v>
      </c>
      <c r="E99" t="s">
        <v>122</v>
      </c>
      <c r="F99">
        <v>14102</v>
      </c>
      <c r="G99">
        <v>1</v>
      </c>
      <c r="H99" t="s">
        <v>16</v>
      </c>
      <c r="I99" s="1">
        <v>-754600</v>
      </c>
      <c r="J99" s="1">
        <v>-7258400</v>
      </c>
      <c r="K99">
        <v>0</v>
      </c>
      <c r="L99">
        <v>8904</v>
      </c>
      <c r="M99" t="s">
        <v>16</v>
      </c>
    </row>
    <row r="100" spans="1:13" x14ac:dyDescent="0.35">
      <c r="A100">
        <v>130170</v>
      </c>
      <c r="B100">
        <v>3689</v>
      </c>
      <c r="C100" t="s">
        <v>130</v>
      </c>
      <c r="D100" t="s">
        <v>95</v>
      </c>
      <c r="E100" t="s">
        <v>103</v>
      </c>
      <c r="F100">
        <v>50000</v>
      </c>
      <c r="G100">
        <v>2</v>
      </c>
      <c r="H100" t="s">
        <v>16</v>
      </c>
      <c r="I100" s="1">
        <v>-750600</v>
      </c>
      <c r="J100" s="1">
        <v>-6302100</v>
      </c>
      <c r="K100">
        <v>58</v>
      </c>
      <c r="L100">
        <v>33071</v>
      </c>
      <c r="M100" t="s">
        <v>16</v>
      </c>
    </row>
    <row r="101" spans="1:13" x14ac:dyDescent="0.35">
      <c r="A101">
        <v>130180</v>
      </c>
      <c r="B101">
        <v>3700</v>
      </c>
      <c r="C101" t="s">
        <v>131</v>
      </c>
      <c r="D101" t="s">
        <v>95</v>
      </c>
      <c r="E101" t="s">
        <v>122</v>
      </c>
      <c r="F101">
        <v>17177</v>
      </c>
      <c r="G101">
        <v>1</v>
      </c>
      <c r="H101" t="s">
        <v>16</v>
      </c>
      <c r="I101" s="1">
        <v>-705100</v>
      </c>
      <c r="J101" s="1">
        <v>-7169500</v>
      </c>
      <c r="K101">
        <v>190</v>
      </c>
      <c r="L101">
        <v>13565</v>
      </c>
      <c r="M101" t="s">
        <v>16</v>
      </c>
    </row>
    <row r="102" spans="1:13" x14ac:dyDescent="0.35">
      <c r="A102">
        <v>130185</v>
      </c>
      <c r="B102">
        <v>3263</v>
      </c>
      <c r="C102" t="s">
        <v>132</v>
      </c>
      <c r="D102" t="s">
        <v>95</v>
      </c>
      <c r="E102" t="s">
        <v>106</v>
      </c>
      <c r="F102">
        <v>32869</v>
      </c>
      <c r="G102">
        <v>4</v>
      </c>
      <c r="H102" t="s">
        <v>107</v>
      </c>
      <c r="I102" s="1">
        <v>-328500</v>
      </c>
      <c r="J102" s="1">
        <v>-6018600</v>
      </c>
      <c r="K102">
        <v>60</v>
      </c>
      <c r="L102">
        <v>2215</v>
      </c>
      <c r="M102" t="s">
        <v>16</v>
      </c>
    </row>
    <row r="103" spans="1:13" x14ac:dyDescent="0.35">
      <c r="A103">
        <v>130190</v>
      </c>
      <c r="B103">
        <v>3719</v>
      </c>
      <c r="C103" t="s">
        <v>133</v>
      </c>
      <c r="D103" t="s">
        <v>95</v>
      </c>
      <c r="E103" t="s">
        <v>133</v>
      </c>
      <c r="F103">
        <v>84676</v>
      </c>
      <c r="G103">
        <v>4</v>
      </c>
      <c r="H103" t="s">
        <v>107</v>
      </c>
      <c r="I103" s="1">
        <v>-314300</v>
      </c>
      <c r="J103" s="1">
        <v>-5844400</v>
      </c>
      <c r="K103">
        <v>26</v>
      </c>
      <c r="L103">
        <v>8891</v>
      </c>
      <c r="M103" t="s">
        <v>16</v>
      </c>
    </row>
    <row r="104" spans="1:13" x14ac:dyDescent="0.35">
      <c r="A104">
        <v>130195</v>
      </c>
      <c r="B104">
        <v>3271</v>
      </c>
      <c r="C104" t="s">
        <v>134</v>
      </c>
      <c r="D104" t="s">
        <v>95</v>
      </c>
      <c r="E104" t="s">
        <v>122</v>
      </c>
      <c r="F104">
        <v>8078</v>
      </c>
      <c r="G104">
        <v>1</v>
      </c>
      <c r="H104" t="s">
        <v>16</v>
      </c>
      <c r="I104" s="1">
        <v>-642500</v>
      </c>
      <c r="J104" s="1">
        <v>-6825300</v>
      </c>
      <c r="K104">
        <v>60</v>
      </c>
      <c r="L104">
        <v>25275</v>
      </c>
      <c r="M104" t="s">
        <v>16</v>
      </c>
    </row>
    <row r="105" spans="1:13" x14ac:dyDescent="0.35">
      <c r="A105">
        <v>130200</v>
      </c>
      <c r="B105">
        <v>3727</v>
      </c>
      <c r="C105" t="s">
        <v>135</v>
      </c>
      <c r="D105" t="s">
        <v>95</v>
      </c>
      <c r="E105" t="s">
        <v>133</v>
      </c>
      <c r="F105">
        <v>9141</v>
      </c>
      <c r="G105">
        <v>4</v>
      </c>
      <c r="H105" t="s">
        <v>107</v>
      </c>
      <c r="I105" s="1">
        <v>-274900</v>
      </c>
      <c r="J105" s="1">
        <v>-5802200</v>
      </c>
      <c r="K105">
        <v>43</v>
      </c>
      <c r="L105">
        <v>4231</v>
      </c>
      <c r="M105" t="s">
        <v>16</v>
      </c>
    </row>
    <row r="106" spans="1:13" x14ac:dyDescent="0.35">
      <c r="A106">
        <v>130210</v>
      </c>
      <c r="B106">
        <v>3735</v>
      </c>
      <c r="C106" t="s">
        <v>136</v>
      </c>
      <c r="D106" t="s">
        <v>95</v>
      </c>
      <c r="E106" t="s">
        <v>137</v>
      </c>
      <c r="F106">
        <v>5281</v>
      </c>
      <c r="G106">
        <v>1</v>
      </c>
      <c r="H106" t="s">
        <v>16</v>
      </c>
      <c r="I106" s="1">
        <v>-182600</v>
      </c>
      <c r="J106" s="1">
        <v>-6659900</v>
      </c>
      <c r="K106">
        <v>50</v>
      </c>
      <c r="L106">
        <v>55791</v>
      </c>
      <c r="M106" t="s">
        <v>16</v>
      </c>
    </row>
    <row r="107" spans="1:13" x14ac:dyDescent="0.35">
      <c r="A107">
        <v>130220</v>
      </c>
      <c r="B107">
        <v>3743</v>
      </c>
      <c r="C107" t="s">
        <v>138</v>
      </c>
      <c r="D107" t="s">
        <v>95</v>
      </c>
      <c r="E107" t="s">
        <v>122</v>
      </c>
      <c r="F107">
        <v>8658</v>
      </c>
      <c r="G107">
        <v>1</v>
      </c>
      <c r="H107" t="s">
        <v>16</v>
      </c>
      <c r="I107" s="1">
        <v>-348100</v>
      </c>
      <c r="J107" s="1">
        <v>-6606900</v>
      </c>
      <c r="K107">
        <v>55</v>
      </c>
      <c r="L107">
        <v>19400</v>
      </c>
      <c r="M107" t="s">
        <v>16</v>
      </c>
    </row>
    <row r="108" spans="1:13" x14ac:dyDescent="0.35">
      <c r="A108">
        <v>130230</v>
      </c>
      <c r="B108">
        <v>3751</v>
      </c>
      <c r="C108" t="s">
        <v>139</v>
      </c>
      <c r="D108" t="s">
        <v>95</v>
      </c>
      <c r="E108" t="s">
        <v>98</v>
      </c>
      <c r="F108">
        <v>17129</v>
      </c>
      <c r="G108">
        <v>1</v>
      </c>
      <c r="H108" t="s">
        <v>16</v>
      </c>
      <c r="I108" s="1">
        <v>-274700</v>
      </c>
      <c r="J108" s="1">
        <v>-6676700</v>
      </c>
      <c r="K108">
        <v>48</v>
      </c>
      <c r="L108">
        <v>69551</v>
      </c>
      <c r="M108" t="s">
        <v>16</v>
      </c>
    </row>
    <row r="109" spans="1:13" x14ac:dyDescent="0.35">
      <c r="A109">
        <v>130240</v>
      </c>
      <c r="B109">
        <v>3760</v>
      </c>
      <c r="C109" t="s">
        <v>140</v>
      </c>
      <c r="D109" t="s">
        <v>95</v>
      </c>
      <c r="E109" t="s">
        <v>120</v>
      </c>
      <c r="F109">
        <v>36909</v>
      </c>
      <c r="G109">
        <v>1</v>
      </c>
      <c r="H109" t="s">
        <v>16</v>
      </c>
      <c r="I109" s="1">
        <v>-725900</v>
      </c>
      <c r="J109" s="1">
        <v>-6479800</v>
      </c>
      <c r="K109">
        <v>75</v>
      </c>
      <c r="L109">
        <v>68229</v>
      </c>
      <c r="M109" t="s">
        <v>16</v>
      </c>
    </row>
    <row r="110" spans="1:13" x14ac:dyDescent="0.35">
      <c r="A110">
        <v>130250</v>
      </c>
      <c r="B110">
        <v>3778</v>
      </c>
      <c r="C110" t="s">
        <v>141</v>
      </c>
      <c r="D110" t="s">
        <v>95</v>
      </c>
      <c r="E110" t="s">
        <v>106</v>
      </c>
      <c r="F110">
        <v>82309</v>
      </c>
      <c r="G110">
        <v>4</v>
      </c>
      <c r="H110" t="s">
        <v>107</v>
      </c>
      <c r="I110" s="1">
        <v>-330000</v>
      </c>
      <c r="J110" s="1">
        <v>-6062100</v>
      </c>
      <c r="K110">
        <v>60</v>
      </c>
      <c r="L110">
        <v>7329</v>
      </c>
      <c r="M110" t="s">
        <v>16</v>
      </c>
    </row>
    <row r="111" spans="1:13" x14ac:dyDescent="0.35">
      <c r="A111">
        <v>130255</v>
      </c>
      <c r="B111">
        <v>3280</v>
      </c>
      <c r="C111" t="s">
        <v>142</v>
      </c>
      <c r="D111" t="s">
        <v>95</v>
      </c>
      <c r="E111" t="s">
        <v>106</v>
      </c>
      <c r="F111">
        <v>19164</v>
      </c>
      <c r="G111">
        <v>4</v>
      </c>
      <c r="H111" t="s">
        <v>107</v>
      </c>
      <c r="I111" s="1">
        <v>-342800</v>
      </c>
      <c r="J111" s="1">
        <v>-6045900</v>
      </c>
      <c r="K111">
        <v>48</v>
      </c>
      <c r="L111">
        <v>3975</v>
      </c>
      <c r="M111" t="s">
        <v>16</v>
      </c>
    </row>
    <row r="112" spans="1:13" x14ac:dyDescent="0.35">
      <c r="A112">
        <v>130260</v>
      </c>
      <c r="B112">
        <v>3506</v>
      </c>
      <c r="C112" t="s">
        <v>106</v>
      </c>
      <c r="D112" t="s">
        <v>95</v>
      </c>
      <c r="E112" t="s">
        <v>106</v>
      </c>
      <c r="F112">
        <v>1646602</v>
      </c>
      <c r="G112">
        <v>5</v>
      </c>
      <c r="H112" t="s">
        <v>107</v>
      </c>
      <c r="I112" s="1">
        <v>-310200</v>
      </c>
      <c r="J112" s="1">
        <v>-6002500</v>
      </c>
      <c r="K112">
        <v>92</v>
      </c>
      <c r="L112">
        <v>11401</v>
      </c>
      <c r="M112" t="s">
        <v>16</v>
      </c>
    </row>
    <row r="113" spans="1:13" x14ac:dyDescent="0.35">
      <c r="A113">
        <v>130270</v>
      </c>
      <c r="B113">
        <v>3786</v>
      </c>
      <c r="C113" t="s">
        <v>143</v>
      </c>
      <c r="D113" t="s">
        <v>95</v>
      </c>
      <c r="E113" t="s">
        <v>103</v>
      </c>
      <c r="F113">
        <v>44327</v>
      </c>
      <c r="G113">
        <v>1</v>
      </c>
      <c r="H113" t="s">
        <v>16</v>
      </c>
      <c r="I113" s="1">
        <v>-580900</v>
      </c>
      <c r="J113" s="1">
        <v>-6130000</v>
      </c>
      <c r="K113">
        <v>45</v>
      </c>
      <c r="L113">
        <v>48282</v>
      </c>
      <c r="M113" t="s">
        <v>16</v>
      </c>
    </row>
    <row r="114" spans="1:13" x14ac:dyDescent="0.35">
      <c r="A114">
        <v>130280</v>
      </c>
      <c r="B114">
        <v>3794</v>
      </c>
      <c r="C114" t="s">
        <v>144</v>
      </c>
      <c r="D114" t="s">
        <v>95</v>
      </c>
      <c r="E114" t="s">
        <v>137</v>
      </c>
      <c r="F114">
        <v>17507</v>
      </c>
      <c r="G114">
        <v>1</v>
      </c>
      <c r="H114" t="s">
        <v>16</v>
      </c>
      <c r="I114" s="1">
        <v>-185600</v>
      </c>
      <c r="J114" s="1">
        <v>-6558100</v>
      </c>
      <c r="K114">
        <v>50</v>
      </c>
      <c r="L114">
        <v>16910</v>
      </c>
      <c r="M114" t="s">
        <v>16</v>
      </c>
    </row>
    <row r="115" spans="1:13" x14ac:dyDescent="0.35">
      <c r="A115">
        <v>130290</v>
      </c>
      <c r="B115">
        <v>3808</v>
      </c>
      <c r="C115" t="s">
        <v>145</v>
      </c>
      <c r="D115" t="s">
        <v>95</v>
      </c>
      <c r="E115" t="s">
        <v>112</v>
      </c>
      <c r="F115">
        <v>47020</v>
      </c>
      <c r="G115">
        <v>1</v>
      </c>
      <c r="H115" t="s">
        <v>16</v>
      </c>
      <c r="I115" s="1">
        <v>-338400</v>
      </c>
      <c r="J115" s="1">
        <v>-5771900</v>
      </c>
      <c r="K115">
        <v>25</v>
      </c>
      <c r="L115">
        <v>39988</v>
      </c>
      <c r="M115" t="s">
        <v>16</v>
      </c>
    </row>
    <row r="116" spans="1:13" x14ac:dyDescent="0.35">
      <c r="A116">
        <v>130300</v>
      </c>
      <c r="B116">
        <v>3816</v>
      </c>
      <c r="C116" t="s">
        <v>146</v>
      </c>
      <c r="D116" t="s">
        <v>95</v>
      </c>
      <c r="E116" t="s">
        <v>112</v>
      </c>
      <c r="F116">
        <v>17553</v>
      </c>
      <c r="G116">
        <v>1</v>
      </c>
      <c r="H116" t="s">
        <v>16</v>
      </c>
      <c r="I116" s="1">
        <v>-218600</v>
      </c>
      <c r="J116" s="1">
        <v>-5671300</v>
      </c>
      <c r="K116">
        <v>25</v>
      </c>
      <c r="L116">
        <v>14105</v>
      </c>
      <c r="M116" t="s">
        <v>16</v>
      </c>
    </row>
    <row r="117" spans="1:13" x14ac:dyDescent="0.35">
      <c r="A117">
        <v>130310</v>
      </c>
      <c r="B117">
        <v>3824</v>
      </c>
      <c r="C117" t="s">
        <v>147</v>
      </c>
      <c r="D117" t="s">
        <v>95</v>
      </c>
      <c r="E117" t="s">
        <v>133</v>
      </c>
      <c r="F117">
        <v>29184</v>
      </c>
      <c r="G117">
        <v>1</v>
      </c>
      <c r="H117" t="s">
        <v>16</v>
      </c>
      <c r="I117" s="1">
        <v>-388800</v>
      </c>
      <c r="J117" s="1">
        <v>-5909400</v>
      </c>
      <c r="K117">
        <v>32</v>
      </c>
      <c r="L117">
        <v>5608</v>
      </c>
      <c r="M117" t="s">
        <v>16</v>
      </c>
    </row>
    <row r="118" spans="1:13" x14ac:dyDescent="0.35">
      <c r="A118">
        <v>130320</v>
      </c>
      <c r="B118">
        <v>3514</v>
      </c>
      <c r="C118" t="s">
        <v>148</v>
      </c>
      <c r="D118" t="s">
        <v>95</v>
      </c>
      <c r="E118" t="s">
        <v>109</v>
      </c>
      <c r="F118">
        <v>14630</v>
      </c>
      <c r="G118">
        <v>4</v>
      </c>
      <c r="H118" t="s">
        <v>107</v>
      </c>
      <c r="I118" s="1">
        <v>-262100</v>
      </c>
      <c r="J118" s="1">
        <v>-6094400</v>
      </c>
      <c r="K118">
        <v>45</v>
      </c>
      <c r="L118">
        <v>37771</v>
      </c>
      <c r="M118" t="s">
        <v>16</v>
      </c>
    </row>
    <row r="119" spans="1:13" x14ac:dyDescent="0.35">
      <c r="A119">
        <v>130330</v>
      </c>
      <c r="B119">
        <v>3832</v>
      </c>
      <c r="C119" t="s">
        <v>149</v>
      </c>
      <c r="D119" t="s">
        <v>95</v>
      </c>
      <c r="E119" t="s">
        <v>103</v>
      </c>
      <c r="F119">
        <v>18196</v>
      </c>
      <c r="G119">
        <v>1</v>
      </c>
      <c r="H119" t="s">
        <v>16</v>
      </c>
      <c r="I119" s="1">
        <v>-512100</v>
      </c>
      <c r="J119" s="1">
        <v>-6038000</v>
      </c>
      <c r="K119">
        <v>20</v>
      </c>
      <c r="L119">
        <v>41191</v>
      </c>
      <c r="M119" t="s">
        <v>16</v>
      </c>
    </row>
    <row r="120" spans="1:13" x14ac:dyDescent="0.35">
      <c r="A120">
        <v>130340</v>
      </c>
      <c r="B120">
        <v>3840</v>
      </c>
      <c r="C120" t="s">
        <v>112</v>
      </c>
      <c r="D120" t="s">
        <v>95</v>
      </c>
      <c r="E120" t="s">
        <v>112</v>
      </c>
      <c r="F120">
        <v>102044</v>
      </c>
      <c r="G120">
        <v>3</v>
      </c>
      <c r="H120" t="s">
        <v>16</v>
      </c>
      <c r="I120" s="1">
        <v>-262800</v>
      </c>
      <c r="J120" s="1">
        <v>-5673600</v>
      </c>
      <c r="K120">
        <v>27</v>
      </c>
      <c r="L120">
        <v>5952</v>
      </c>
      <c r="M120" t="s">
        <v>16</v>
      </c>
    </row>
    <row r="121" spans="1:13" x14ac:dyDescent="0.35">
      <c r="A121">
        <v>130350</v>
      </c>
      <c r="B121">
        <v>3859</v>
      </c>
      <c r="C121" t="s">
        <v>150</v>
      </c>
      <c r="D121" t="s">
        <v>95</v>
      </c>
      <c r="E121" t="s">
        <v>116</v>
      </c>
      <c r="F121">
        <v>18325</v>
      </c>
      <c r="G121">
        <v>1</v>
      </c>
      <c r="H121" t="s">
        <v>16</v>
      </c>
      <c r="I121" s="1">
        <v>-771400</v>
      </c>
      <c r="J121" s="1">
        <v>-6697600</v>
      </c>
      <c r="K121">
        <v>101</v>
      </c>
      <c r="L121">
        <v>43263</v>
      </c>
      <c r="M121" t="s">
        <v>16</v>
      </c>
    </row>
    <row r="122" spans="1:13" x14ac:dyDescent="0.35">
      <c r="A122">
        <v>130353</v>
      </c>
      <c r="B122">
        <v>4871</v>
      </c>
      <c r="C122" t="s">
        <v>151</v>
      </c>
      <c r="D122" t="s">
        <v>95</v>
      </c>
      <c r="E122" t="s">
        <v>152</v>
      </c>
      <c r="F122">
        <v>24360</v>
      </c>
      <c r="G122">
        <v>4</v>
      </c>
      <c r="H122" t="s">
        <v>107</v>
      </c>
      <c r="I122" s="1">
        <v>-203400</v>
      </c>
      <c r="J122" s="1">
        <v>-6002500</v>
      </c>
      <c r="K122">
        <v>122</v>
      </c>
      <c r="L122">
        <v>25422</v>
      </c>
      <c r="M122" t="s">
        <v>16</v>
      </c>
    </row>
    <row r="123" spans="1:13" x14ac:dyDescent="0.35">
      <c r="A123">
        <v>130356</v>
      </c>
      <c r="B123">
        <v>4880</v>
      </c>
      <c r="C123" t="s">
        <v>152</v>
      </c>
      <c r="D123" t="s">
        <v>95</v>
      </c>
      <c r="E123" t="s">
        <v>152</v>
      </c>
      <c r="F123">
        <v>24858</v>
      </c>
      <c r="G123">
        <v>4</v>
      </c>
      <c r="H123" t="s">
        <v>107</v>
      </c>
      <c r="I123" s="1">
        <v>-269900</v>
      </c>
      <c r="J123" s="1">
        <v>-5970000</v>
      </c>
      <c r="K123">
        <v>47</v>
      </c>
      <c r="L123">
        <v>5813</v>
      </c>
      <c r="M123" t="s">
        <v>16</v>
      </c>
    </row>
    <row r="124" spans="1:13" x14ac:dyDescent="0.35">
      <c r="A124">
        <v>130360</v>
      </c>
      <c r="B124">
        <v>3697</v>
      </c>
      <c r="C124" t="s">
        <v>153</v>
      </c>
      <c r="D124" t="s">
        <v>95</v>
      </c>
      <c r="E124" t="s">
        <v>109</v>
      </c>
      <c r="F124">
        <v>16921</v>
      </c>
      <c r="G124">
        <v>1</v>
      </c>
      <c r="H124" t="s">
        <v>16</v>
      </c>
      <c r="I124" t="s">
        <v>154</v>
      </c>
      <c r="J124" s="1">
        <v>-6501900</v>
      </c>
      <c r="K124">
        <v>60</v>
      </c>
      <c r="L124">
        <v>62846</v>
      </c>
      <c r="M124" t="s">
        <v>16</v>
      </c>
    </row>
    <row r="125" spans="1:13" x14ac:dyDescent="0.35">
      <c r="A125">
        <v>130370</v>
      </c>
      <c r="B125">
        <v>3867</v>
      </c>
      <c r="C125" t="s">
        <v>155</v>
      </c>
      <c r="D125" t="s">
        <v>95</v>
      </c>
      <c r="E125" t="s">
        <v>98</v>
      </c>
      <c r="F125">
        <v>29249</v>
      </c>
      <c r="G125">
        <v>1</v>
      </c>
      <c r="H125" t="s">
        <v>16</v>
      </c>
      <c r="I125" s="1">
        <v>-310200</v>
      </c>
      <c r="J125" s="1">
        <v>-6794000</v>
      </c>
      <c r="K125">
        <v>91</v>
      </c>
      <c r="L125">
        <v>12307</v>
      </c>
      <c r="M125" t="s">
        <v>16</v>
      </c>
    </row>
    <row r="126" spans="1:13" x14ac:dyDescent="0.35">
      <c r="A126">
        <v>130380</v>
      </c>
      <c r="B126">
        <v>3875</v>
      </c>
      <c r="C126" t="s">
        <v>156</v>
      </c>
      <c r="D126" t="s">
        <v>95</v>
      </c>
      <c r="E126" t="s">
        <v>109</v>
      </c>
      <c r="F126">
        <v>39129</v>
      </c>
      <c r="G126">
        <v>1</v>
      </c>
      <c r="H126" t="s">
        <v>16</v>
      </c>
      <c r="I126" t="s">
        <v>157</v>
      </c>
      <c r="J126" s="1">
        <v>-6708900</v>
      </c>
      <c r="K126">
        <v>132</v>
      </c>
      <c r="L126">
        <v>109184</v>
      </c>
      <c r="M126" t="s">
        <v>16</v>
      </c>
    </row>
    <row r="127" spans="1:13" x14ac:dyDescent="0.35">
      <c r="A127">
        <v>130390</v>
      </c>
      <c r="B127">
        <v>3883</v>
      </c>
      <c r="C127" t="s">
        <v>158</v>
      </c>
      <c r="D127" t="s">
        <v>95</v>
      </c>
      <c r="E127" t="s">
        <v>98</v>
      </c>
      <c r="F127">
        <v>30727</v>
      </c>
      <c r="G127">
        <v>1</v>
      </c>
      <c r="H127" t="s">
        <v>16</v>
      </c>
      <c r="I127" s="1">
        <v>-337800</v>
      </c>
      <c r="J127" s="1">
        <v>-6887300</v>
      </c>
      <c r="K127">
        <v>102</v>
      </c>
      <c r="L127">
        <v>19745</v>
      </c>
      <c r="M127" t="s">
        <v>16</v>
      </c>
    </row>
    <row r="128" spans="1:13" x14ac:dyDescent="0.35">
      <c r="A128">
        <v>130395</v>
      </c>
      <c r="B128">
        <v>4898</v>
      </c>
      <c r="C128" t="s">
        <v>159</v>
      </c>
      <c r="D128" t="s">
        <v>95</v>
      </c>
      <c r="E128" t="s">
        <v>112</v>
      </c>
      <c r="F128">
        <v>8731</v>
      </c>
      <c r="G128">
        <v>1</v>
      </c>
      <c r="H128" t="s">
        <v>16</v>
      </c>
      <c r="I128" s="1">
        <v>-257200</v>
      </c>
      <c r="J128" s="1">
        <v>-5787100</v>
      </c>
      <c r="K128">
        <v>24</v>
      </c>
      <c r="L128">
        <v>10741</v>
      </c>
      <c r="M128" t="s">
        <v>16</v>
      </c>
    </row>
    <row r="129" spans="1:13" x14ac:dyDescent="0.35">
      <c r="A129">
        <v>130400</v>
      </c>
      <c r="B129">
        <v>3891</v>
      </c>
      <c r="C129" t="s">
        <v>160</v>
      </c>
      <c r="D129" t="s">
        <v>95</v>
      </c>
      <c r="E129" t="s">
        <v>133</v>
      </c>
      <c r="F129">
        <v>8211</v>
      </c>
      <c r="G129">
        <v>4</v>
      </c>
      <c r="H129" t="s">
        <v>107</v>
      </c>
      <c r="I129" s="1">
        <v>-283900</v>
      </c>
      <c r="J129" s="1">
        <v>-5820900</v>
      </c>
      <c r="K129">
        <v>46</v>
      </c>
      <c r="L129">
        <v>3748</v>
      </c>
      <c r="M129" t="s">
        <v>16</v>
      </c>
    </row>
    <row r="130" spans="1:13" x14ac:dyDescent="0.35">
      <c r="A130">
        <v>130406</v>
      </c>
      <c r="B130">
        <v>4910</v>
      </c>
      <c r="C130" t="s">
        <v>161</v>
      </c>
      <c r="D130" t="s">
        <v>95</v>
      </c>
      <c r="E130" t="s">
        <v>98</v>
      </c>
      <c r="F130">
        <v>45293</v>
      </c>
      <c r="G130">
        <v>1</v>
      </c>
      <c r="H130" t="s">
        <v>16</v>
      </c>
      <c r="I130" s="1">
        <v>-425300</v>
      </c>
      <c r="J130" s="1">
        <v>-6993800</v>
      </c>
      <c r="K130">
        <v>60</v>
      </c>
      <c r="L130">
        <v>3225</v>
      </c>
      <c r="M130" t="s">
        <v>16</v>
      </c>
    </row>
    <row r="131" spans="1:13" x14ac:dyDescent="0.35">
      <c r="A131">
        <v>130410</v>
      </c>
      <c r="B131">
        <v>3905</v>
      </c>
      <c r="C131" t="s">
        <v>162</v>
      </c>
      <c r="D131" t="s">
        <v>95</v>
      </c>
      <c r="E131" t="s">
        <v>120</v>
      </c>
      <c r="F131">
        <v>19453</v>
      </c>
      <c r="G131">
        <v>1</v>
      </c>
      <c r="H131" t="s">
        <v>16</v>
      </c>
      <c r="I131" s="1">
        <v>-562800</v>
      </c>
      <c r="J131" s="1">
        <v>-6318300</v>
      </c>
      <c r="K131">
        <v>54</v>
      </c>
      <c r="L131">
        <v>89324</v>
      </c>
      <c r="M131" t="s">
        <v>16</v>
      </c>
    </row>
    <row r="132" spans="1:13" x14ac:dyDescent="0.35">
      <c r="A132">
        <v>130420</v>
      </c>
      <c r="B132">
        <v>3913</v>
      </c>
      <c r="C132" t="s">
        <v>163</v>
      </c>
      <c r="D132" t="s">
        <v>95</v>
      </c>
      <c r="E132" t="s">
        <v>96</v>
      </c>
      <c r="F132">
        <v>62920</v>
      </c>
      <c r="G132">
        <v>2</v>
      </c>
      <c r="H132" t="s">
        <v>16</v>
      </c>
      <c r="I132" s="1">
        <v>-335400</v>
      </c>
      <c r="J132" s="1">
        <v>-6471100</v>
      </c>
      <c r="K132">
        <v>75</v>
      </c>
      <c r="L132">
        <v>23704</v>
      </c>
      <c r="M132" t="s">
        <v>16</v>
      </c>
    </row>
    <row r="133" spans="1:13" x14ac:dyDescent="0.35">
      <c r="A133">
        <v>130423</v>
      </c>
      <c r="B133">
        <v>4936</v>
      </c>
      <c r="C133" t="s">
        <v>164</v>
      </c>
      <c r="D133" t="s">
        <v>95</v>
      </c>
      <c r="E133" t="s">
        <v>98</v>
      </c>
      <c r="F133">
        <v>19090</v>
      </c>
      <c r="G133">
        <v>1</v>
      </c>
      <c r="H133" t="s">
        <v>16</v>
      </c>
      <c r="I133" s="1">
        <v>-287300</v>
      </c>
      <c r="J133" s="1">
        <v>-6780200</v>
      </c>
      <c r="K133">
        <v>55</v>
      </c>
      <c r="L133">
        <v>6432</v>
      </c>
      <c r="M133" t="s">
        <v>16</v>
      </c>
    </row>
    <row r="134" spans="1:13" x14ac:dyDescent="0.35">
      <c r="A134">
        <v>130426</v>
      </c>
      <c r="B134">
        <v>4944</v>
      </c>
      <c r="C134" t="s">
        <v>165</v>
      </c>
      <c r="D134" t="s">
        <v>95</v>
      </c>
      <c r="E134" t="s">
        <v>96</v>
      </c>
      <c r="F134">
        <v>9859</v>
      </c>
      <c r="G134">
        <v>1</v>
      </c>
      <c r="H134" t="s">
        <v>16</v>
      </c>
      <c r="I134" s="1">
        <v>-299000</v>
      </c>
      <c r="J134" s="1">
        <v>-6510800</v>
      </c>
      <c r="K134">
        <v>60</v>
      </c>
      <c r="L134">
        <v>10246</v>
      </c>
      <c r="M134" t="s">
        <v>16</v>
      </c>
    </row>
    <row r="135" spans="1:13" x14ac:dyDescent="0.35">
      <c r="A135">
        <v>130430</v>
      </c>
      <c r="B135">
        <v>3921</v>
      </c>
      <c r="C135" t="s">
        <v>166</v>
      </c>
      <c r="D135" t="s">
        <v>95</v>
      </c>
      <c r="E135" t="s">
        <v>112</v>
      </c>
      <c r="F135">
        <v>15716</v>
      </c>
      <c r="G135">
        <v>1</v>
      </c>
      <c r="H135" t="s">
        <v>16</v>
      </c>
      <c r="I135" s="1">
        <v>-253600</v>
      </c>
      <c r="J135" s="1">
        <v>-5776000</v>
      </c>
      <c r="K135">
        <v>26</v>
      </c>
      <c r="L135">
        <v>27904</v>
      </c>
      <c r="M135" t="s">
        <v>16</v>
      </c>
    </row>
    <row r="136" spans="1:13" x14ac:dyDescent="0.35">
      <c r="A136">
        <v>130440</v>
      </c>
      <c r="B136">
        <v>3930</v>
      </c>
      <c r="C136" t="s">
        <v>167</v>
      </c>
      <c r="D136" t="s">
        <v>95</v>
      </c>
      <c r="E136" t="s">
        <v>133</v>
      </c>
      <c r="F136">
        <v>17184</v>
      </c>
      <c r="G136">
        <v>1</v>
      </c>
      <c r="H136" t="s">
        <v>16</v>
      </c>
      <c r="I136" s="1">
        <v>-313100</v>
      </c>
      <c r="J136" s="1">
        <v>-5815500</v>
      </c>
      <c r="K136">
        <v>40</v>
      </c>
      <c r="L136">
        <v>2906</v>
      </c>
      <c r="M136" t="s">
        <v>16</v>
      </c>
    </row>
    <row r="137" spans="1:13" x14ac:dyDescent="0.35">
      <c r="A137">
        <v>140002</v>
      </c>
      <c r="B137">
        <v>54364</v>
      </c>
      <c r="C137" t="s">
        <v>168</v>
      </c>
      <c r="D137" t="s">
        <v>169</v>
      </c>
      <c r="E137" t="s">
        <v>170</v>
      </c>
      <c r="F137">
        <v>7586</v>
      </c>
      <c r="G137">
        <v>1</v>
      </c>
      <c r="H137" t="s">
        <v>16</v>
      </c>
      <c r="I137" s="1">
        <v>365200</v>
      </c>
      <c r="J137" s="1">
        <v>-6137100</v>
      </c>
      <c r="K137">
        <v>100</v>
      </c>
      <c r="L137">
        <v>28472</v>
      </c>
      <c r="M137" t="s">
        <v>16</v>
      </c>
    </row>
    <row r="138" spans="1:13" x14ac:dyDescent="0.35">
      <c r="A138">
        <v>140005</v>
      </c>
      <c r="B138">
        <v>4952</v>
      </c>
      <c r="C138" t="s">
        <v>171</v>
      </c>
      <c r="D138" t="s">
        <v>169</v>
      </c>
      <c r="E138" t="s">
        <v>170</v>
      </c>
      <c r="F138">
        <v>14386</v>
      </c>
      <c r="G138">
        <v>1</v>
      </c>
      <c r="H138" t="s">
        <v>16</v>
      </c>
      <c r="I138" s="1">
        <v>298000</v>
      </c>
      <c r="J138" s="1">
        <v>-6129200</v>
      </c>
      <c r="K138">
        <v>72</v>
      </c>
      <c r="L138">
        <v>25566</v>
      </c>
      <c r="M138" t="s">
        <v>16</v>
      </c>
    </row>
    <row r="139" spans="1:13" x14ac:dyDescent="0.35">
      <c r="A139">
        <v>140010</v>
      </c>
      <c r="B139">
        <v>3107</v>
      </c>
      <c r="C139" t="s">
        <v>170</v>
      </c>
      <c r="D139" t="s">
        <v>169</v>
      </c>
      <c r="E139" t="s">
        <v>170</v>
      </c>
      <c r="F139">
        <v>249853</v>
      </c>
      <c r="G139">
        <v>5</v>
      </c>
      <c r="H139" t="s">
        <v>16</v>
      </c>
      <c r="I139" s="1">
        <v>282000</v>
      </c>
      <c r="J139" s="1">
        <v>-6067300</v>
      </c>
      <c r="K139">
        <v>85</v>
      </c>
      <c r="L139">
        <v>5687</v>
      </c>
      <c r="M139" t="s">
        <v>16</v>
      </c>
    </row>
    <row r="140" spans="1:13" x14ac:dyDescent="0.35">
      <c r="A140">
        <v>140015</v>
      </c>
      <c r="B140">
        <v>4960</v>
      </c>
      <c r="C140" t="s">
        <v>172</v>
      </c>
      <c r="D140" t="s">
        <v>169</v>
      </c>
      <c r="E140" t="s">
        <v>173</v>
      </c>
      <c r="F140">
        <v>10231</v>
      </c>
      <c r="G140">
        <v>1</v>
      </c>
      <c r="H140" t="s">
        <v>16</v>
      </c>
      <c r="I140" s="1">
        <v>336000</v>
      </c>
      <c r="J140" s="1">
        <v>-5983300</v>
      </c>
      <c r="K140">
        <v>92</v>
      </c>
      <c r="L140">
        <v>8095</v>
      </c>
      <c r="M140" t="s">
        <v>16</v>
      </c>
    </row>
    <row r="141" spans="1:13" x14ac:dyDescent="0.35">
      <c r="A141">
        <v>140017</v>
      </c>
      <c r="B141">
        <v>54372</v>
      </c>
      <c r="C141" t="s">
        <v>174</v>
      </c>
      <c r="D141" t="s">
        <v>169</v>
      </c>
      <c r="E141" t="s">
        <v>173</v>
      </c>
      <c r="F141">
        <v>11119</v>
      </c>
      <c r="G141">
        <v>1</v>
      </c>
      <c r="H141" t="s">
        <v>16</v>
      </c>
      <c r="I141" s="1">
        <v>261000</v>
      </c>
      <c r="J141" s="1">
        <v>-6059700</v>
      </c>
      <c r="K141">
        <v>100</v>
      </c>
      <c r="L141">
        <v>7664</v>
      </c>
      <c r="M141" t="s">
        <v>16</v>
      </c>
    </row>
    <row r="142" spans="1:13" x14ac:dyDescent="0.35">
      <c r="A142">
        <v>140020</v>
      </c>
      <c r="B142">
        <v>3115</v>
      </c>
      <c r="C142" t="s">
        <v>175</v>
      </c>
      <c r="D142" t="s">
        <v>169</v>
      </c>
      <c r="E142" t="s">
        <v>176</v>
      </c>
      <c r="F142">
        <v>17981</v>
      </c>
      <c r="G142">
        <v>1</v>
      </c>
      <c r="H142" t="s">
        <v>16</v>
      </c>
      <c r="I142" s="1">
        <v>181600</v>
      </c>
      <c r="J142" s="1">
        <v>-6112800</v>
      </c>
      <c r="K142">
        <v>52</v>
      </c>
      <c r="L142">
        <v>47410</v>
      </c>
      <c r="M142" t="s">
        <v>16</v>
      </c>
    </row>
    <row r="143" spans="1:13" x14ac:dyDescent="0.35">
      <c r="A143">
        <v>140023</v>
      </c>
      <c r="B143">
        <v>54380</v>
      </c>
      <c r="C143" t="s">
        <v>177</v>
      </c>
      <c r="D143" t="s">
        <v>169</v>
      </c>
      <c r="E143" t="s">
        <v>178</v>
      </c>
      <c r="F143">
        <v>7086</v>
      </c>
      <c r="G143">
        <v>1</v>
      </c>
      <c r="H143" t="s">
        <v>16</v>
      </c>
      <c r="I143" t="s">
        <v>179</v>
      </c>
      <c r="J143" s="1">
        <v>-5969600</v>
      </c>
      <c r="K143">
        <v>135</v>
      </c>
      <c r="L143">
        <v>12065</v>
      </c>
      <c r="M143" t="s">
        <v>16</v>
      </c>
    </row>
    <row r="144" spans="1:13" x14ac:dyDescent="0.35">
      <c r="A144">
        <v>140028</v>
      </c>
      <c r="B144">
        <v>54399</v>
      </c>
      <c r="C144" t="s">
        <v>180</v>
      </c>
      <c r="D144" t="s">
        <v>169</v>
      </c>
      <c r="E144" t="s">
        <v>176</v>
      </c>
      <c r="F144">
        <v>5863</v>
      </c>
      <c r="G144">
        <v>1</v>
      </c>
      <c r="H144" t="s">
        <v>16</v>
      </c>
      <c r="I144" s="1">
        <v>218200</v>
      </c>
      <c r="J144" s="1">
        <v>-6104100</v>
      </c>
      <c r="K144">
        <v>80</v>
      </c>
      <c r="L144">
        <v>14119</v>
      </c>
      <c r="M144" t="s">
        <v>16</v>
      </c>
    </row>
    <row r="145" spans="1:13" x14ac:dyDescent="0.35">
      <c r="A145">
        <v>140030</v>
      </c>
      <c r="B145">
        <v>4979</v>
      </c>
      <c r="C145" t="s">
        <v>181</v>
      </c>
      <c r="D145" t="s">
        <v>169</v>
      </c>
      <c r="E145" t="s">
        <v>176</v>
      </c>
      <c r="F145">
        <v>12546</v>
      </c>
      <c r="G145">
        <v>1</v>
      </c>
      <c r="H145" t="s">
        <v>16</v>
      </c>
      <c r="I145" s="1">
        <v>243000</v>
      </c>
      <c r="J145" s="1">
        <v>-6090000</v>
      </c>
      <c r="K145">
        <v>70</v>
      </c>
      <c r="L145">
        <v>12751</v>
      </c>
      <c r="M145" t="s">
        <v>16</v>
      </c>
    </row>
    <row r="146" spans="1:13" x14ac:dyDescent="0.35">
      <c r="A146">
        <v>140040</v>
      </c>
      <c r="B146">
        <v>4987</v>
      </c>
      <c r="C146" t="s">
        <v>182</v>
      </c>
      <c r="D146" t="s">
        <v>169</v>
      </c>
      <c r="E146" t="s">
        <v>173</v>
      </c>
      <c r="F146">
        <v>7118</v>
      </c>
      <c r="G146">
        <v>1</v>
      </c>
      <c r="H146" t="s">
        <v>16</v>
      </c>
      <c r="I146" s="1">
        <v>388100</v>
      </c>
      <c r="J146" s="1">
        <v>-5962300</v>
      </c>
      <c r="K146">
        <v>100</v>
      </c>
      <c r="L146">
        <v>6966</v>
      </c>
      <c r="M146" t="s">
        <v>16</v>
      </c>
    </row>
    <row r="147" spans="1:13" x14ac:dyDescent="0.35">
      <c r="A147">
        <v>140045</v>
      </c>
      <c r="B147">
        <v>54402</v>
      </c>
      <c r="C147" t="s">
        <v>183</v>
      </c>
      <c r="D147" t="s">
        <v>169</v>
      </c>
      <c r="E147" t="s">
        <v>170</v>
      </c>
      <c r="F147">
        <v>8640</v>
      </c>
      <c r="G147">
        <v>1</v>
      </c>
      <c r="H147" t="s">
        <v>16</v>
      </c>
      <c r="I147" s="1">
        <v>443100</v>
      </c>
      <c r="J147" s="1">
        <v>-6114600</v>
      </c>
      <c r="K147">
        <v>920</v>
      </c>
      <c r="L147">
        <v>8028</v>
      </c>
      <c r="M147" t="s">
        <v>16</v>
      </c>
    </row>
    <row r="148" spans="1:13" x14ac:dyDescent="0.35">
      <c r="A148">
        <v>140047</v>
      </c>
      <c r="B148">
        <v>54410</v>
      </c>
      <c r="C148" t="s">
        <v>184</v>
      </c>
      <c r="D148" t="s">
        <v>169</v>
      </c>
      <c r="E148" t="s">
        <v>178</v>
      </c>
      <c r="F148">
        <v>24466</v>
      </c>
      <c r="G148">
        <v>1</v>
      </c>
      <c r="H148" t="s">
        <v>16</v>
      </c>
      <c r="I148" t="s">
        <v>185</v>
      </c>
      <c r="J148" s="1">
        <v>-6041800</v>
      </c>
      <c r="K148">
        <v>98</v>
      </c>
      <c r="L148">
        <v>33593</v>
      </c>
      <c r="M148" t="s">
        <v>16</v>
      </c>
    </row>
    <row r="149" spans="1:13" x14ac:dyDescent="0.35">
      <c r="A149">
        <v>140050</v>
      </c>
      <c r="B149">
        <v>4995</v>
      </c>
      <c r="C149" t="s">
        <v>186</v>
      </c>
      <c r="D149" t="s">
        <v>169</v>
      </c>
      <c r="E149" t="s">
        <v>178</v>
      </c>
      <c r="F149">
        <v>5727</v>
      </c>
      <c r="G149">
        <v>1</v>
      </c>
      <c r="H149" t="s">
        <v>16</v>
      </c>
      <c r="I149" t="s">
        <v>187</v>
      </c>
      <c r="J149" s="1">
        <v>-5991100</v>
      </c>
      <c r="K149">
        <v>255</v>
      </c>
      <c r="L149">
        <v>4284</v>
      </c>
      <c r="M149" t="s">
        <v>16</v>
      </c>
    </row>
    <row r="150" spans="1:13" x14ac:dyDescent="0.35">
      <c r="A150">
        <v>140060</v>
      </c>
      <c r="B150">
        <v>6335</v>
      </c>
      <c r="C150" t="s">
        <v>188</v>
      </c>
      <c r="D150" t="s">
        <v>169</v>
      </c>
      <c r="E150" t="s">
        <v>178</v>
      </c>
      <c r="F150">
        <v>5720</v>
      </c>
      <c r="G150">
        <v>1</v>
      </c>
      <c r="H150" t="s">
        <v>16</v>
      </c>
      <c r="I150" s="1">
        <v>100500</v>
      </c>
      <c r="J150" s="1">
        <v>-6015900</v>
      </c>
      <c r="K150">
        <v>52</v>
      </c>
      <c r="L150">
        <v>1526</v>
      </c>
      <c r="M150" t="s">
        <v>16</v>
      </c>
    </row>
    <row r="151" spans="1:13" x14ac:dyDescent="0.35">
      <c r="A151">
        <v>140070</v>
      </c>
      <c r="B151">
        <v>54429</v>
      </c>
      <c r="C151" t="s">
        <v>189</v>
      </c>
      <c r="D151" t="s">
        <v>169</v>
      </c>
      <c r="E151" t="s">
        <v>173</v>
      </c>
      <c r="F151">
        <v>7403</v>
      </c>
      <c r="G151">
        <v>1</v>
      </c>
      <c r="H151" t="s">
        <v>16</v>
      </c>
      <c r="I151" s="1">
        <v>459600</v>
      </c>
      <c r="J151" s="1">
        <v>-6016800</v>
      </c>
      <c r="K151">
        <v>0</v>
      </c>
      <c r="L151">
        <v>8065</v>
      </c>
      <c r="M151" t="s">
        <v>16</v>
      </c>
    </row>
    <row r="152" spans="1:13" x14ac:dyDescent="0.35">
      <c r="A152">
        <v>150010</v>
      </c>
      <c r="B152">
        <v>4014</v>
      </c>
      <c r="C152" t="s">
        <v>190</v>
      </c>
      <c r="D152" t="s">
        <v>191</v>
      </c>
      <c r="E152" t="s">
        <v>192</v>
      </c>
      <c r="F152">
        <v>132222</v>
      </c>
      <c r="G152">
        <v>3</v>
      </c>
      <c r="H152" t="s">
        <v>16</v>
      </c>
      <c r="I152" s="1">
        <v>-171800</v>
      </c>
      <c r="J152" s="1">
        <v>-4888300</v>
      </c>
      <c r="K152">
        <v>10</v>
      </c>
      <c r="L152">
        <v>1610</v>
      </c>
      <c r="M152" t="s">
        <v>16</v>
      </c>
    </row>
    <row r="153" spans="1:13" x14ac:dyDescent="0.35">
      <c r="A153">
        <v>150013</v>
      </c>
      <c r="B153">
        <v>49280</v>
      </c>
      <c r="C153" t="s">
        <v>193</v>
      </c>
      <c r="D153" t="s">
        <v>191</v>
      </c>
      <c r="E153" t="s">
        <v>194</v>
      </c>
      <c r="F153">
        <v>6592</v>
      </c>
      <c r="G153">
        <v>1</v>
      </c>
      <c r="H153" t="s">
        <v>16</v>
      </c>
      <c r="I153" s="1">
        <v>-495400</v>
      </c>
      <c r="J153" s="1">
        <v>-4839300</v>
      </c>
      <c r="K153">
        <v>0</v>
      </c>
      <c r="L153">
        <v>614</v>
      </c>
      <c r="M153" t="s">
        <v>16</v>
      </c>
    </row>
    <row r="154" spans="1:13" x14ac:dyDescent="0.35">
      <c r="A154">
        <v>150020</v>
      </c>
      <c r="B154">
        <v>4022</v>
      </c>
      <c r="C154" t="s">
        <v>195</v>
      </c>
      <c r="D154" t="s">
        <v>191</v>
      </c>
      <c r="E154" t="s">
        <v>196</v>
      </c>
      <c r="F154">
        <v>47923</v>
      </c>
      <c r="G154">
        <v>1</v>
      </c>
      <c r="H154" t="s">
        <v>16</v>
      </c>
      <c r="I154" s="1">
        <v>-196100</v>
      </c>
      <c r="J154" s="1">
        <v>-4819700</v>
      </c>
      <c r="K154">
        <v>25</v>
      </c>
      <c r="L154">
        <v>4343</v>
      </c>
      <c r="M154" t="s">
        <v>16</v>
      </c>
    </row>
    <row r="155" spans="1:13" x14ac:dyDescent="0.35">
      <c r="A155">
        <v>150030</v>
      </c>
      <c r="B155">
        <v>4030</v>
      </c>
      <c r="C155" t="s">
        <v>197</v>
      </c>
      <c r="D155" t="s">
        <v>191</v>
      </c>
      <c r="E155" t="s">
        <v>198</v>
      </c>
      <c r="F155">
        <v>31183</v>
      </c>
      <c r="G155">
        <v>1</v>
      </c>
      <c r="H155" t="s">
        <v>16</v>
      </c>
      <c r="I155" t="s">
        <v>199</v>
      </c>
      <c r="J155" s="1">
        <v>-5038700</v>
      </c>
      <c r="K155">
        <v>8</v>
      </c>
      <c r="L155">
        <v>8372</v>
      </c>
      <c r="M155" t="s">
        <v>16</v>
      </c>
    </row>
    <row r="156" spans="1:13" x14ac:dyDescent="0.35">
      <c r="A156">
        <v>150034</v>
      </c>
      <c r="B156">
        <v>49298</v>
      </c>
      <c r="C156" t="s">
        <v>200</v>
      </c>
      <c r="D156" t="s">
        <v>191</v>
      </c>
      <c r="E156" t="s">
        <v>201</v>
      </c>
      <c r="F156">
        <v>28658</v>
      </c>
      <c r="G156">
        <v>1</v>
      </c>
      <c r="H156" t="s">
        <v>16</v>
      </c>
      <c r="I156" s="1">
        <v>-679100</v>
      </c>
      <c r="J156" s="1">
        <v>-5046700</v>
      </c>
      <c r="K156">
        <v>0</v>
      </c>
      <c r="L156">
        <v>7576</v>
      </c>
      <c r="M156" t="s">
        <v>16</v>
      </c>
    </row>
    <row r="157" spans="1:13" x14ac:dyDescent="0.35">
      <c r="A157">
        <v>150040</v>
      </c>
      <c r="B157">
        <v>4049</v>
      </c>
      <c r="C157" t="s">
        <v>202</v>
      </c>
      <c r="D157" t="s">
        <v>191</v>
      </c>
      <c r="E157" t="s">
        <v>203</v>
      </c>
      <c r="F157">
        <v>52661</v>
      </c>
      <c r="G157">
        <v>2</v>
      </c>
      <c r="H157" t="s">
        <v>16</v>
      </c>
      <c r="I157" s="1">
        <v>-194200</v>
      </c>
      <c r="J157" s="1">
        <v>-5473800</v>
      </c>
      <c r="K157">
        <v>52</v>
      </c>
      <c r="L157">
        <v>22282</v>
      </c>
      <c r="M157" t="s">
        <v>16</v>
      </c>
    </row>
    <row r="158" spans="1:13" x14ac:dyDescent="0.35">
      <c r="A158">
        <v>150050</v>
      </c>
      <c r="B158">
        <v>4057</v>
      </c>
      <c r="C158" t="s">
        <v>204</v>
      </c>
      <c r="D158" t="s">
        <v>191</v>
      </c>
      <c r="E158" t="s">
        <v>204</v>
      </c>
      <c r="F158">
        <v>30903</v>
      </c>
      <c r="G158">
        <v>1</v>
      </c>
      <c r="H158" t="s">
        <v>16</v>
      </c>
      <c r="I158" s="1">
        <v>-152300</v>
      </c>
      <c r="J158" s="1">
        <v>-5258200</v>
      </c>
      <c r="K158">
        <v>65</v>
      </c>
      <c r="L158">
        <v>72960</v>
      </c>
      <c r="M158" t="s">
        <v>16</v>
      </c>
    </row>
    <row r="159" spans="1:13" x14ac:dyDescent="0.35">
      <c r="A159">
        <v>150060</v>
      </c>
      <c r="B159">
        <v>4065</v>
      </c>
      <c r="C159" t="s">
        <v>205</v>
      </c>
      <c r="D159" t="s">
        <v>191</v>
      </c>
      <c r="E159" t="s">
        <v>205</v>
      </c>
      <c r="F159">
        <v>92105</v>
      </c>
      <c r="G159">
        <v>2</v>
      </c>
      <c r="H159" t="s">
        <v>16</v>
      </c>
      <c r="I159" s="1">
        <v>-320300</v>
      </c>
      <c r="J159" s="1">
        <v>-5220600</v>
      </c>
      <c r="K159">
        <v>109</v>
      </c>
      <c r="L159">
        <v>159695</v>
      </c>
      <c r="M159" t="s">
        <v>16</v>
      </c>
    </row>
    <row r="160" spans="1:13" x14ac:dyDescent="0.35">
      <c r="A160">
        <v>150070</v>
      </c>
      <c r="B160">
        <v>4073</v>
      </c>
      <c r="C160" t="s">
        <v>206</v>
      </c>
      <c r="D160" t="s">
        <v>191</v>
      </c>
      <c r="E160" t="s">
        <v>198</v>
      </c>
      <c r="F160">
        <v>24942</v>
      </c>
      <c r="G160">
        <v>1</v>
      </c>
      <c r="H160" t="s">
        <v>16</v>
      </c>
      <c r="I160" t="s">
        <v>207</v>
      </c>
      <c r="J160" s="1">
        <v>-4994000</v>
      </c>
      <c r="K160">
        <v>10</v>
      </c>
      <c r="L160">
        <v>6921</v>
      </c>
      <c r="M160" t="s">
        <v>16</v>
      </c>
    </row>
    <row r="161" spans="1:13" x14ac:dyDescent="0.35">
      <c r="A161">
        <v>150080</v>
      </c>
      <c r="B161">
        <v>4081</v>
      </c>
      <c r="C161" t="s">
        <v>208</v>
      </c>
      <c r="D161" t="s">
        <v>191</v>
      </c>
      <c r="E161" t="s">
        <v>209</v>
      </c>
      <c r="F161">
        <v>484278</v>
      </c>
      <c r="G161">
        <v>4</v>
      </c>
      <c r="H161" t="s">
        <v>210</v>
      </c>
      <c r="I161" s="1">
        <v>-136600</v>
      </c>
      <c r="J161" s="1">
        <v>-4837200</v>
      </c>
      <c r="K161">
        <v>17</v>
      </c>
      <c r="L161">
        <v>185</v>
      </c>
      <c r="M161" t="s">
        <v>16</v>
      </c>
    </row>
    <row r="162" spans="1:13" x14ac:dyDescent="0.35">
      <c r="A162">
        <v>150085</v>
      </c>
      <c r="B162">
        <v>56910</v>
      </c>
      <c r="C162" t="s">
        <v>211</v>
      </c>
      <c r="D162" t="s">
        <v>191</v>
      </c>
      <c r="E162" t="s">
        <v>205</v>
      </c>
      <c r="F162">
        <v>17787</v>
      </c>
      <c r="G162">
        <v>1</v>
      </c>
      <c r="H162" t="s">
        <v>16</v>
      </c>
      <c r="I162" s="1">
        <v>-347200</v>
      </c>
      <c r="J162" s="1">
        <v>-5119800</v>
      </c>
      <c r="K162">
        <v>96</v>
      </c>
      <c r="L162">
        <v>11895</v>
      </c>
      <c r="M162" t="s">
        <v>16</v>
      </c>
    </row>
    <row r="163" spans="1:13" x14ac:dyDescent="0.35">
      <c r="A163">
        <v>150090</v>
      </c>
      <c r="B163">
        <v>4090</v>
      </c>
      <c r="C163" t="s">
        <v>212</v>
      </c>
      <c r="D163" t="s">
        <v>191</v>
      </c>
      <c r="E163" t="s">
        <v>213</v>
      </c>
      <c r="F163">
        <v>37086</v>
      </c>
      <c r="G163">
        <v>1</v>
      </c>
      <c r="H163" t="s">
        <v>16</v>
      </c>
      <c r="I163" s="1">
        <v>-102200</v>
      </c>
      <c r="J163" s="1">
        <v>-4664500</v>
      </c>
      <c r="K163">
        <v>20</v>
      </c>
      <c r="L163">
        <v>1091</v>
      </c>
      <c r="M163" t="s">
        <v>16</v>
      </c>
    </row>
    <row r="164" spans="1:13" x14ac:dyDescent="0.35">
      <c r="A164">
        <v>150095</v>
      </c>
      <c r="B164">
        <v>49301</v>
      </c>
      <c r="C164" t="s">
        <v>214</v>
      </c>
      <c r="D164" t="s">
        <v>191</v>
      </c>
      <c r="E164" t="s">
        <v>215</v>
      </c>
      <c r="F164">
        <v>21239</v>
      </c>
      <c r="G164">
        <v>1</v>
      </c>
      <c r="H164" t="s">
        <v>16</v>
      </c>
      <c r="I164" s="1">
        <v>-213400</v>
      </c>
      <c r="J164" s="1">
        <v>-4756300</v>
      </c>
      <c r="K164">
        <v>50</v>
      </c>
      <c r="L164">
        <v>1811</v>
      </c>
      <c r="M164" t="s">
        <v>16</v>
      </c>
    </row>
    <row r="165" spans="1:13" x14ac:dyDescent="0.35">
      <c r="A165">
        <v>150100</v>
      </c>
      <c r="B165">
        <v>4103</v>
      </c>
      <c r="C165" t="s">
        <v>216</v>
      </c>
      <c r="D165" t="s">
        <v>191</v>
      </c>
      <c r="E165" t="s">
        <v>217</v>
      </c>
      <c r="F165">
        <v>18830</v>
      </c>
      <c r="G165">
        <v>1</v>
      </c>
      <c r="H165" t="s">
        <v>16</v>
      </c>
      <c r="I165" s="1">
        <v>-360600</v>
      </c>
      <c r="J165" s="1">
        <v>-5533200</v>
      </c>
      <c r="K165">
        <v>28</v>
      </c>
      <c r="L165">
        <v>17074</v>
      </c>
      <c r="M165" t="s">
        <v>16</v>
      </c>
    </row>
    <row r="166" spans="1:13" x14ac:dyDescent="0.35">
      <c r="A166">
        <v>150110</v>
      </c>
      <c r="B166">
        <v>4111</v>
      </c>
      <c r="C166" t="s">
        <v>218</v>
      </c>
      <c r="D166" t="s">
        <v>191</v>
      </c>
      <c r="E166" t="s">
        <v>219</v>
      </c>
      <c r="F166">
        <v>18580</v>
      </c>
      <c r="G166">
        <v>1</v>
      </c>
      <c r="H166" t="s">
        <v>16</v>
      </c>
      <c r="I166" s="1">
        <v>-190000</v>
      </c>
      <c r="J166" s="1">
        <v>-5016400</v>
      </c>
      <c r="K166">
        <v>31</v>
      </c>
      <c r="L166">
        <v>4397</v>
      </c>
      <c r="M166" t="s">
        <v>16</v>
      </c>
    </row>
    <row r="167" spans="1:13" x14ac:dyDescent="0.35">
      <c r="A167">
        <v>150120</v>
      </c>
      <c r="B167">
        <v>4120</v>
      </c>
      <c r="C167" t="s">
        <v>220</v>
      </c>
      <c r="D167" t="s">
        <v>191</v>
      </c>
      <c r="E167" t="s">
        <v>192</v>
      </c>
      <c r="F167">
        <v>26190</v>
      </c>
      <c r="G167">
        <v>1</v>
      </c>
      <c r="H167" t="s">
        <v>16</v>
      </c>
      <c r="I167" s="1">
        <v>-279100</v>
      </c>
      <c r="J167" s="1">
        <v>-4967200</v>
      </c>
      <c r="K167">
        <v>30</v>
      </c>
      <c r="L167">
        <v>3758</v>
      </c>
      <c r="M167" t="s">
        <v>16</v>
      </c>
    </row>
    <row r="168" spans="1:13" x14ac:dyDescent="0.35">
      <c r="A168">
        <v>150125</v>
      </c>
      <c r="B168">
        <v>56928</v>
      </c>
      <c r="C168" t="s">
        <v>221</v>
      </c>
      <c r="D168" t="s">
        <v>191</v>
      </c>
      <c r="E168" t="s">
        <v>222</v>
      </c>
      <c r="F168">
        <v>3812</v>
      </c>
      <c r="G168">
        <v>1</v>
      </c>
      <c r="H168" t="s">
        <v>16</v>
      </c>
      <c r="I168" s="1">
        <v>-734800</v>
      </c>
      <c r="J168" s="1">
        <v>-5039600</v>
      </c>
      <c r="K168">
        <v>420</v>
      </c>
      <c r="L168">
        <v>2956</v>
      </c>
      <c r="M168" t="s">
        <v>16</v>
      </c>
    </row>
    <row r="169" spans="1:13" x14ac:dyDescent="0.35">
      <c r="A169">
        <v>150130</v>
      </c>
      <c r="B169">
        <v>4138</v>
      </c>
      <c r="C169" t="s">
        <v>223</v>
      </c>
      <c r="D169" t="s">
        <v>191</v>
      </c>
      <c r="E169" t="s">
        <v>209</v>
      </c>
      <c r="F169">
        <v>84560</v>
      </c>
      <c r="G169">
        <v>2</v>
      </c>
      <c r="H169" t="s">
        <v>16</v>
      </c>
      <c r="I169" s="1">
        <v>-150600</v>
      </c>
      <c r="J169" s="1">
        <v>-4862600</v>
      </c>
      <c r="K169">
        <v>15</v>
      </c>
      <c r="L169">
        <v>1310</v>
      </c>
      <c r="M169" t="s">
        <v>16</v>
      </c>
    </row>
    <row r="170" spans="1:13" x14ac:dyDescent="0.35">
      <c r="A170">
        <v>150140</v>
      </c>
      <c r="B170">
        <v>4006</v>
      </c>
      <c r="C170" t="s">
        <v>224</v>
      </c>
      <c r="D170" t="s">
        <v>191</v>
      </c>
      <c r="E170" t="s">
        <v>209</v>
      </c>
      <c r="F170">
        <v>1408847</v>
      </c>
      <c r="G170">
        <v>5</v>
      </c>
      <c r="H170" t="s">
        <v>210</v>
      </c>
      <c r="I170" s="1">
        <v>-145600</v>
      </c>
      <c r="J170" s="1">
        <v>-4850400</v>
      </c>
      <c r="K170">
        <v>10</v>
      </c>
      <c r="L170">
        <v>1064</v>
      </c>
      <c r="M170" t="s">
        <v>16</v>
      </c>
    </row>
    <row r="171" spans="1:13" x14ac:dyDescent="0.35">
      <c r="A171">
        <v>150145</v>
      </c>
      <c r="B171">
        <v>56936</v>
      </c>
      <c r="C171" t="s">
        <v>225</v>
      </c>
      <c r="D171" t="s">
        <v>191</v>
      </c>
      <c r="E171" t="s">
        <v>203</v>
      </c>
      <c r="F171">
        <v>12707</v>
      </c>
      <c r="G171">
        <v>1</v>
      </c>
      <c r="H171" t="s">
        <v>16</v>
      </c>
      <c r="I171" s="1">
        <v>-263600</v>
      </c>
      <c r="J171" s="1">
        <v>-5493700</v>
      </c>
      <c r="K171">
        <v>152</v>
      </c>
      <c r="L171">
        <v>4398</v>
      </c>
      <c r="M171" t="s">
        <v>16</v>
      </c>
    </row>
    <row r="172" spans="1:13" x14ac:dyDescent="0.35">
      <c r="A172">
        <v>150150</v>
      </c>
      <c r="B172">
        <v>4146</v>
      </c>
      <c r="C172" t="s">
        <v>226</v>
      </c>
      <c r="D172" t="s">
        <v>191</v>
      </c>
      <c r="E172" t="s">
        <v>209</v>
      </c>
      <c r="F172">
        <v>43282</v>
      </c>
      <c r="G172">
        <v>4</v>
      </c>
      <c r="H172" t="s">
        <v>210</v>
      </c>
      <c r="I172" s="1">
        <v>-136100</v>
      </c>
      <c r="J172" s="1">
        <v>-4824500</v>
      </c>
      <c r="K172">
        <v>28</v>
      </c>
      <c r="L172">
        <v>187</v>
      </c>
      <c r="M172" t="s">
        <v>16</v>
      </c>
    </row>
    <row r="173" spans="1:13" x14ac:dyDescent="0.35">
      <c r="A173">
        <v>150157</v>
      </c>
      <c r="B173">
        <v>28037</v>
      </c>
      <c r="C173" t="s">
        <v>227</v>
      </c>
      <c r="D173" t="s">
        <v>191</v>
      </c>
      <c r="E173" t="s">
        <v>194</v>
      </c>
      <c r="F173">
        <v>13145</v>
      </c>
      <c r="G173">
        <v>1</v>
      </c>
      <c r="H173" t="s">
        <v>16</v>
      </c>
      <c r="I173" s="1">
        <v>-505100</v>
      </c>
      <c r="J173" s="1">
        <v>-4860900</v>
      </c>
      <c r="K173">
        <v>175</v>
      </c>
      <c r="L173">
        <v>2816</v>
      </c>
      <c r="M173" t="s">
        <v>16</v>
      </c>
    </row>
    <row r="174" spans="1:13" x14ac:dyDescent="0.35">
      <c r="A174">
        <v>150160</v>
      </c>
      <c r="B174">
        <v>4154</v>
      </c>
      <c r="C174" t="s">
        <v>228</v>
      </c>
      <c r="D174" t="s">
        <v>191</v>
      </c>
      <c r="E174" t="s">
        <v>213</v>
      </c>
      <c r="F174">
        <v>11279</v>
      </c>
      <c r="G174">
        <v>1</v>
      </c>
      <c r="H174" t="s">
        <v>16</v>
      </c>
      <c r="I174" s="1">
        <v>-136300</v>
      </c>
      <c r="J174" s="1">
        <v>-4730700</v>
      </c>
      <c r="K174">
        <v>49</v>
      </c>
      <c r="L174">
        <v>587</v>
      </c>
      <c r="M174" t="s">
        <v>16</v>
      </c>
    </row>
    <row r="175" spans="1:13" x14ac:dyDescent="0.35">
      <c r="A175">
        <v>150170</v>
      </c>
      <c r="B175">
        <v>4162</v>
      </c>
      <c r="C175" t="s">
        <v>229</v>
      </c>
      <c r="D175" t="s">
        <v>191</v>
      </c>
      <c r="E175" t="s">
        <v>213</v>
      </c>
      <c r="F175">
        <v>101728</v>
      </c>
      <c r="G175">
        <v>3</v>
      </c>
      <c r="H175" t="s">
        <v>16</v>
      </c>
      <c r="I175" s="1">
        <v>-106300</v>
      </c>
      <c r="J175" s="1">
        <v>-4677300</v>
      </c>
      <c r="K175">
        <v>19</v>
      </c>
      <c r="L175">
        <v>2090</v>
      </c>
      <c r="M175" t="s">
        <v>16</v>
      </c>
    </row>
    <row r="176" spans="1:13" x14ac:dyDescent="0.35">
      <c r="A176">
        <v>150172</v>
      </c>
      <c r="B176">
        <v>49310</v>
      </c>
      <c r="C176" t="s">
        <v>230</v>
      </c>
      <c r="D176" t="s">
        <v>191</v>
      </c>
      <c r="E176" t="s">
        <v>205</v>
      </c>
      <c r="F176">
        <v>18749</v>
      </c>
      <c r="G176">
        <v>1</v>
      </c>
      <c r="H176" t="s">
        <v>16</v>
      </c>
      <c r="I176" s="1">
        <v>-326200</v>
      </c>
      <c r="J176" s="1">
        <v>-5266800</v>
      </c>
      <c r="K176">
        <v>0</v>
      </c>
      <c r="L176">
        <v>6368</v>
      </c>
      <c r="M176" t="s">
        <v>16</v>
      </c>
    </row>
    <row r="177" spans="1:13" x14ac:dyDescent="0.35">
      <c r="A177">
        <v>150175</v>
      </c>
      <c r="B177">
        <v>28045</v>
      </c>
      <c r="C177" t="s">
        <v>231</v>
      </c>
      <c r="D177" t="s">
        <v>191</v>
      </c>
      <c r="E177" t="s">
        <v>232</v>
      </c>
      <c r="F177">
        <v>7444</v>
      </c>
      <c r="G177">
        <v>1</v>
      </c>
      <c r="H177" t="s">
        <v>16</v>
      </c>
      <c r="I177" s="1">
        <v>-569900</v>
      </c>
      <c r="J177" s="1">
        <v>-4841300</v>
      </c>
      <c r="K177">
        <v>110</v>
      </c>
      <c r="L177">
        <v>1187</v>
      </c>
      <c r="M177" t="s">
        <v>16</v>
      </c>
    </row>
    <row r="178" spans="1:13" x14ac:dyDescent="0.35">
      <c r="A178">
        <v>150178</v>
      </c>
      <c r="B178">
        <v>49328</v>
      </c>
      <c r="C178" t="s">
        <v>233</v>
      </c>
      <c r="D178" t="s">
        <v>191</v>
      </c>
      <c r="E178" t="s">
        <v>234</v>
      </c>
      <c r="F178">
        <v>47069</v>
      </c>
      <c r="G178">
        <v>1</v>
      </c>
      <c r="H178" t="s">
        <v>16</v>
      </c>
      <c r="I178" s="1">
        <v>-400900</v>
      </c>
      <c r="J178" s="1">
        <v>-4946100</v>
      </c>
      <c r="K178">
        <v>0</v>
      </c>
      <c r="L178">
        <v>3943</v>
      </c>
      <c r="M178" t="s">
        <v>16</v>
      </c>
    </row>
    <row r="179" spans="1:13" x14ac:dyDescent="0.35">
      <c r="A179">
        <v>150180</v>
      </c>
      <c r="B179">
        <v>4170</v>
      </c>
      <c r="C179" t="s">
        <v>235</v>
      </c>
      <c r="D179" t="s">
        <v>191</v>
      </c>
      <c r="E179" t="s">
        <v>198</v>
      </c>
      <c r="F179">
        <v>94458</v>
      </c>
      <c r="G179">
        <v>2</v>
      </c>
      <c r="H179" t="s">
        <v>16</v>
      </c>
      <c r="I179" s="1">
        <v>-168200</v>
      </c>
      <c r="J179" s="1">
        <v>-5048000</v>
      </c>
      <c r="K179">
        <v>40</v>
      </c>
      <c r="L179">
        <v>9550</v>
      </c>
      <c r="M179" t="s">
        <v>16</v>
      </c>
    </row>
    <row r="180" spans="1:13" x14ac:dyDescent="0.35">
      <c r="A180">
        <v>150190</v>
      </c>
      <c r="B180">
        <v>4189</v>
      </c>
      <c r="C180" t="s">
        <v>236</v>
      </c>
      <c r="D180" t="s">
        <v>191</v>
      </c>
      <c r="E180" t="s">
        <v>237</v>
      </c>
      <c r="F180">
        <v>22535</v>
      </c>
      <c r="G180">
        <v>1</v>
      </c>
      <c r="H180" t="s">
        <v>16</v>
      </c>
      <c r="I180" s="1">
        <v>-151500</v>
      </c>
      <c r="J180" s="1">
        <v>-4804500</v>
      </c>
      <c r="K180">
        <v>10</v>
      </c>
      <c r="L180">
        <v>1005</v>
      </c>
      <c r="M180" t="s">
        <v>16</v>
      </c>
    </row>
    <row r="181" spans="1:13" x14ac:dyDescent="0.35">
      <c r="A181">
        <v>150195</v>
      </c>
      <c r="B181">
        <v>56944</v>
      </c>
      <c r="C181" t="s">
        <v>238</v>
      </c>
      <c r="D181" t="s">
        <v>191</v>
      </c>
      <c r="E181" t="s">
        <v>215</v>
      </c>
      <c r="F181">
        <v>17649</v>
      </c>
      <c r="G181">
        <v>1</v>
      </c>
      <c r="H181" t="s">
        <v>16</v>
      </c>
      <c r="I181" s="1">
        <v>-167100</v>
      </c>
      <c r="J181" s="1">
        <v>-4652900</v>
      </c>
      <c r="K181">
        <v>0</v>
      </c>
      <c r="L181">
        <v>2418</v>
      </c>
      <c r="M181" t="s">
        <v>16</v>
      </c>
    </row>
    <row r="182" spans="1:13" x14ac:dyDescent="0.35">
      <c r="A182">
        <v>150200</v>
      </c>
      <c r="B182">
        <v>4197</v>
      </c>
      <c r="C182" t="s">
        <v>239</v>
      </c>
      <c r="D182" t="s">
        <v>191</v>
      </c>
      <c r="E182" t="s">
        <v>240</v>
      </c>
      <c r="F182">
        <v>18995</v>
      </c>
      <c r="G182">
        <v>1</v>
      </c>
      <c r="H182" t="s">
        <v>16</v>
      </c>
      <c r="I182" s="1">
        <v>-101100</v>
      </c>
      <c r="J182" s="1">
        <v>-4896300</v>
      </c>
      <c r="K182">
        <v>20</v>
      </c>
      <c r="L182">
        <v>3102</v>
      </c>
      <c r="M182" t="s">
        <v>16</v>
      </c>
    </row>
    <row r="183" spans="1:13" x14ac:dyDescent="0.35">
      <c r="A183">
        <v>150210</v>
      </c>
      <c r="B183">
        <v>4200</v>
      </c>
      <c r="C183" t="s">
        <v>241</v>
      </c>
      <c r="D183" t="s">
        <v>191</v>
      </c>
      <c r="E183" t="s">
        <v>192</v>
      </c>
      <c r="F183">
        <v>110323</v>
      </c>
      <c r="G183">
        <v>3</v>
      </c>
      <c r="H183" t="s">
        <v>16</v>
      </c>
      <c r="I183" s="1">
        <v>-224400</v>
      </c>
      <c r="J183" s="1">
        <v>-4949600</v>
      </c>
      <c r="K183">
        <v>150</v>
      </c>
      <c r="L183">
        <v>3081</v>
      </c>
      <c r="M183" t="s">
        <v>16</v>
      </c>
    </row>
    <row r="184" spans="1:13" x14ac:dyDescent="0.35">
      <c r="A184">
        <v>150215</v>
      </c>
      <c r="B184">
        <v>56952</v>
      </c>
      <c r="C184" t="s">
        <v>242</v>
      </c>
      <c r="D184" t="s">
        <v>191</v>
      </c>
      <c r="E184" t="s">
        <v>201</v>
      </c>
      <c r="F184">
        <v>23757</v>
      </c>
      <c r="G184">
        <v>1</v>
      </c>
      <c r="H184" t="s">
        <v>16</v>
      </c>
      <c r="I184" s="1">
        <v>-649700</v>
      </c>
      <c r="J184" s="1">
        <v>-4987800</v>
      </c>
      <c r="K184">
        <v>210</v>
      </c>
      <c r="L184">
        <v>3146</v>
      </c>
      <c r="M184" t="s">
        <v>16</v>
      </c>
    </row>
    <row r="185" spans="1:13" x14ac:dyDescent="0.35">
      <c r="A185">
        <v>150220</v>
      </c>
      <c r="B185">
        <v>4219</v>
      </c>
      <c r="C185" t="s">
        <v>243</v>
      </c>
      <c r="D185" t="s">
        <v>191</v>
      </c>
      <c r="E185" t="s">
        <v>213</v>
      </c>
      <c r="F185">
        <v>61350</v>
      </c>
      <c r="G185">
        <v>2</v>
      </c>
      <c r="H185" t="s">
        <v>16</v>
      </c>
      <c r="I185" s="1">
        <v>-119600</v>
      </c>
      <c r="J185" s="1">
        <v>-4718100</v>
      </c>
      <c r="K185">
        <v>24</v>
      </c>
      <c r="L185">
        <v>614</v>
      </c>
      <c r="M185" t="s">
        <v>16</v>
      </c>
    </row>
    <row r="186" spans="1:13" x14ac:dyDescent="0.35">
      <c r="A186">
        <v>150230</v>
      </c>
      <c r="B186">
        <v>4227</v>
      </c>
      <c r="C186" t="s">
        <v>244</v>
      </c>
      <c r="D186" t="s">
        <v>191</v>
      </c>
      <c r="E186" t="s">
        <v>215</v>
      </c>
      <c r="F186">
        <v>50839</v>
      </c>
      <c r="G186">
        <v>2</v>
      </c>
      <c r="H186" t="s">
        <v>16</v>
      </c>
      <c r="I186" s="1">
        <v>-174500</v>
      </c>
      <c r="J186" s="1">
        <v>-4706500</v>
      </c>
      <c r="K186">
        <v>73</v>
      </c>
      <c r="L186">
        <v>2899</v>
      </c>
      <c r="M186" t="s">
        <v>16</v>
      </c>
    </row>
    <row r="187" spans="1:13" x14ac:dyDescent="0.35">
      <c r="A187">
        <v>150240</v>
      </c>
      <c r="B187">
        <v>4235</v>
      </c>
      <c r="C187" t="s">
        <v>237</v>
      </c>
      <c r="D187" t="s">
        <v>191</v>
      </c>
      <c r="E187" t="s">
        <v>237</v>
      </c>
      <c r="F187">
        <v>152126</v>
      </c>
      <c r="G187">
        <v>3</v>
      </c>
      <c r="H187" t="s">
        <v>16</v>
      </c>
      <c r="I187" s="1">
        <v>-129700</v>
      </c>
      <c r="J187" s="1">
        <v>-4792200</v>
      </c>
      <c r="K187">
        <v>41</v>
      </c>
      <c r="L187">
        <v>1029</v>
      </c>
      <c r="M187" t="s">
        <v>16</v>
      </c>
    </row>
    <row r="188" spans="1:13" x14ac:dyDescent="0.35">
      <c r="A188">
        <v>150250</v>
      </c>
      <c r="B188">
        <v>4243</v>
      </c>
      <c r="C188" t="s">
        <v>245</v>
      </c>
      <c r="D188" t="s">
        <v>191</v>
      </c>
      <c r="E188" t="s">
        <v>240</v>
      </c>
      <c r="F188">
        <v>19368</v>
      </c>
      <c r="G188">
        <v>1</v>
      </c>
      <c r="H188" t="s">
        <v>16</v>
      </c>
      <c r="I188" t="s">
        <v>246</v>
      </c>
      <c r="J188" s="1">
        <v>-4998800</v>
      </c>
      <c r="K188">
        <v>6</v>
      </c>
      <c r="L188">
        <v>13084</v>
      </c>
      <c r="M188" t="s">
        <v>16</v>
      </c>
    </row>
    <row r="189" spans="1:13" x14ac:dyDescent="0.35">
      <c r="A189">
        <v>150260</v>
      </c>
      <c r="B189">
        <v>4251</v>
      </c>
      <c r="C189" t="s">
        <v>247</v>
      </c>
      <c r="D189" t="s">
        <v>191</v>
      </c>
      <c r="E189" t="s">
        <v>248</v>
      </c>
      <c r="F189">
        <v>10981</v>
      </c>
      <c r="G189">
        <v>1</v>
      </c>
      <c r="H189" t="s">
        <v>16</v>
      </c>
      <c r="I189" t="s">
        <v>249</v>
      </c>
      <c r="J189" s="1">
        <v>-4828200</v>
      </c>
      <c r="K189">
        <v>15</v>
      </c>
      <c r="L189">
        <v>609</v>
      </c>
      <c r="M189" t="s">
        <v>16</v>
      </c>
    </row>
    <row r="190" spans="1:13" x14ac:dyDescent="0.35">
      <c r="A190">
        <v>150270</v>
      </c>
      <c r="B190">
        <v>4260</v>
      </c>
      <c r="C190" t="s">
        <v>250</v>
      </c>
      <c r="D190" t="s">
        <v>191</v>
      </c>
      <c r="E190" t="s">
        <v>251</v>
      </c>
      <c r="F190">
        <v>45267</v>
      </c>
      <c r="G190">
        <v>1</v>
      </c>
      <c r="H190" t="s">
        <v>16</v>
      </c>
      <c r="I190" s="1">
        <v>-825800</v>
      </c>
      <c r="J190" s="1">
        <v>-4926500</v>
      </c>
      <c r="K190">
        <v>165</v>
      </c>
      <c r="L190">
        <v>5829</v>
      </c>
      <c r="M190" t="s">
        <v>16</v>
      </c>
    </row>
    <row r="191" spans="1:13" x14ac:dyDescent="0.35">
      <c r="A191">
        <v>150275</v>
      </c>
      <c r="B191">
        <v>28053</v>
      </c>
      <c r="C191" t="s">
        <v>252</v>
      </c>
      <c r="D191" t="s">
        <v>191</v>
      </c>
      <c r="E191" t="s">
        <v>196</v>
      </c>
      <c r="F191">
        <v>21422</v>
      </c>
      <c r="G191">
        <v>1</v>
      </c>
      <c r="H191" t="s">
        <v>16</v>
      </c>
      <c r="I191" s="1">
        <v>-199100</v>
      </c>
      <c r="J191" s="1">
        <v>-4794900</v>
      </c>
      <c r="K191">
        <v>440</v>
      </c>
      <c r="L191">
        <v>690</v>
      </c>
      <c r="M191" t="s">
        <v>16</v>
      </c>
    </row>
    <row r="192" spans="1:13" x14ac:dyDescent="0.35">
      <c r="A192">
        <v>150276</v>
      </c>
      <c r="B192">
        <v>49336</v>
      </c>
      <c r="C192" t="s">
        <v>253</v>
      </c>
      <c r="D192" t="s">
        <v>191</v>
      </c>
      <c r="E192" t="s">
        <v>222</v>
      </c>
      <c r="F192">
        <v>10452</v>
      </c>
      <c r="G192">
        <v>1</v>
      </c>
      <c r="H192" t="s">
        <v>16</v>
      </c>
      <c r="I192" s="1">
        <v>-782500</v>
      </c>
      <c r="J192" s="1">
        <v>-5077300</v>
      </c>
      <c r="K192">
        <v>299</v>
      </c>
      <c r="L192">
        <v>17084</v>
      </c>
      <c r="M192" t="s">
        <v>16</v>
      </c>
    </row>
    <row r="193" spans="1:13" x14ac:dyDescent="0.35">
      <c r="A193">
        <v>150277</v>
      </c>
      <c r="B193">
        <v>28061</v>
      </c>
      <c r="C193" t="s">
        <v>254</v>
      </c>
      <c r="D193" t="s">
        <v>191</v>
      </c>
      <c r="E193" t="s">
        <v>201</v>
      </c>
      <c r="F193">
        <v>17769</v>
      </c>
      <c r="G193">
        <v>1</v>
      </c>
      <c r="H193" t="s">
        <v>16</v>
      </c>
      <c r="I193" s="1">
        <v>-609100</v>
      </c>
      <c r="J193" s="1">
        <v>-4954100</v>
      </c>
      <c r="K193">
        <v>180</v>
      </c>
      <c r="L193">
        <v>2368</v>
      </c>
      <c r="M193" t="s">
        <v>16</v>
      </c>
    </row>
    <row r="194" spans="1:13" x14ac:dyDescent="0.35">
      <c r="A194">
        <v>150280</v>
      </c>
      <c r="B194">
        <v>4278</v>
      </c>
      <c r="C194" t="s">
        <v>255</v>
      </c>
      <c r="D194" t="s">
        <v>191</v>
      </c>
      <c r="E194" t="s">
        <v>198</v>
      </c>
      <c r="F194">
        <v>25388</v>
      </c>
      <c r="G194">
        <v>1</v>
      </c>
      <c r="H194" t="s">
        <v>16</v>
      </c>
      <c r="I194" s="1">
        <v>-181400</v>
      </c>
      <c r="J194" s="1">
        <v>-4979500</v>
      </c>
      <c r="K194">
        <v>15</v>
      </c>
      <c r="L194">
        <v>3617</v>
      </c>
      <c r="M194" t="s">
        <v>16</v>
      </c>
    </row>
    <row r="195" spans="1:13" x14ac:dyDescent="0.35">
      <c r="A195">
        <v>150285</v>
      </c>
      <c r="B195">
        <v>56960</v>
      </c>
      <c r="C195" t="s">
        <v>256</v>
      </c>
      <c r="D195" t="s">
        <v>191</v>
      </c>
      <c r="E195" t="s">
        <v>203</v>
      </c>
      <c r="F195">
        <v>11928</v>
      </c>
      <c r="G195">
        <v>1</v>
      </c>
      <c r="H195" t="s">
        <v>16</v>
      </c>
      <c r="I195" s="1">
        <v>-188800</v>
      </c>
      <c r="J195" s="1">
        <v>-5511700</v>
      </c>
      <c r="K195">
        <v>0</v>
      </c>
      <c r="L195">
        <v>1431</v>
      </c>
      <c r="M195" t="s">
        <v>16</v>
      </c>
    </row>
    <row r="196" spans="1:13" x14ac:dyDescent="0.35">
      <c r="A196">
        <v>150290</v>
      </c>
      <c r="B196">
        <v>4286</v>
      </c>
      <c r="C196" t="s">
        <v>257</v>
      </c>
      <c r="D196" t="s">
        <v>191</v>
      </c>
      <c r="E196" t="s">
        <v>248</v>
      </c>
      <c r="F196">
        <v>33768</v>
      </c>
      <c r="G196">
        <v>1</v>
      </c>
      <c r="H196" t="s">
        <v>16</v>
      </c>
      <c r="I196" t="s">
        <v>258</v>
      </c>
      <c r="J196" s="1">
        <v>-4785500</v>
      </c>
      <c r="K196">
        <v>37</v>
      </c>
      <c r="L196">
        <v>672</v>
      </c>
      <c r="M196" t="s">
        <v>16</v>
      </c>
    </row>
    <row r="197" spans="1:13" x14ac:dyDescent="0.35">
      <c r="A197">
        <v>150293</v>
      </c>
      <c r="B197">
        <v>28070</v>
      </c>
      <c r="C197" t="s">
        <v>259</v>
      </c>
      <c r="D197" t="s">
        <v>191</v>
      </c>
      <c r="E197" t="s">
        <v>194</v>
      </c>
      <c r="F197">
        <v>38150</v>
      </c>
      <c r="G197">
        <v>1</v>
      </c>
      <c r="H197" t="s">
        <v>16</v>
      </c>
      <c r="I197" s="1">
        <v>-428500</v>
      </c>
      <c r="J197" s="1">
        <v>-4750500</v>
      </c>
      <c r="K197">
        <v>180</v>
      </c>
      <c r="L197">
        <v>5267</v>
      </c>
      <c r="M197" t="s">
        <v>16</v>
      </c>
    </row>
    <row r="198" spans="1:13" x14ac:dyDescent="0.35">
      <c r="A198">
        <v>150295</v>
      </c>
      <c r="B198">
        <v>49344</v>
      </c>
      <c r="C198" t="s">
        <v>260</v>
      </c>
      <c r="D198" t="s">
        <v>191</v>
      </c>
      <c r="E198" t="s">
        <v>201</v>
      </c>
      <c r="F198">
        <v>28554</v>
      </c>
      <c r="G198">
        <v>1</v>
      </c>
      <c r="H198" t="s">
        <v>16</v>
      </c>
      <c r="I198" s="1">
        <v>-610400</v>
      </c>
      <c r="J198" s="1">
        <v>-4935500</v>
      </c>
      <c r="K198">
        <v>140</v>
      </c>
      <c r="L198">
        <v>2956</v>
      </c>
      <c r="M198" t="s">
        <v>16</v>
      </c>
    </row>
    <row r="199" spans="1:13" x14ac:dyDescent="0.35">
      <c r="A199">
        <v>150300</v>
      </c>
      <c r="B199">
        <v>4294</v>
      </c>
      <c r="C199" t="s">
        <v>261</v>
      </c>
      <c r="D199" t="s">
        <v>191</v>
      </c>
      <c r="E199" t="s">
        <v>262</v>
      </c>
      <c r="F199">
        <v>17253</v>
      </c>
      <c r="G199">
        <v>1</v>
      </c>
      <c r="H199" t="s">
        <v>16</v>
      </c>
      <c r="I199" s="1">
        <v>-217100</v>
      </c>
      <c r="J199" s="1">
        <v>-5674500</v>
      </c>
      <c r="K199">
        <v>31</v>
      </c>
      <c r="L199">
        <v>11766</v>
      </c>
      <c r="M199" t="s">
        <v>16</v>
      </c>
    </row>
    <row r="200" spans="1:13" x14ac:dyDescent="0.35">
      <c r="A200">
        <v>150304</v>
      </c>
      <c r="B200">
        <v>56979</v>
      </c>
      <c r="C200" t="s">
        <v>263</v>
      </c>
      <c r="D200" t="s">
        <v>191</v>
      </c>
      <c r="E200" t="s">
        <v>251</v>
      </c>
      <c r="F200">
        <v>14964</v>
      </c>
      <c r="G200">
        <v>1</v>
      </c>
      <c r="H200" t="s">
        <v>16</v>
      </c>
      <c r="I200" s="1">
        <v>-755400</v>
      </c>
      <c r="J200" s="1">
        <v>-4971300</v>
      </c>
      <c r="K200">
        <v>190</v>
      </c>
      <c r="L200">
        <v>3444</v>
      </c>
      <c r="M200" t="s">
        <v>16</v>
      </c>
    </row>
    <row r="201" spans="1:13" x14ac:dyDescent="0.35">
      <c r="A201">
        <v>150307</v>
      </c>
      <c r="B201">
        <v>28088</v>
      </c>
      <c r="C201" t="s">
        <v>264</v>
      </c>
      <c r="D201" t="s">
        <v>191</v>
      </c>
      <c r="E201" t="s">
        <v>215</v>
      </c>
      <c r="F201">
        <v>24619</v>
      </c>
      <c r="G201">
        <v>1</v>
      </c>
      <c r="H201" t="s">
        <v>16</v>
      </c>
      <c r="I201" s="1">
        <v>-193400</v>
      </c>
      <c r="J201" s="1">
        <v>-4705300</v>
      </c>
      <c r="K201">
        <v>56</v>
      </c>
      <c r="L201">
        <v>1604</v>
      </c>
      <c r="M201" t="s">
        <v>16</v>
      </c>
    </row>
    <row r="202" spans="1:13" x14ac:dyDescent="0.35">
      <c r="A202">
        <v>150309</v>
      </c>
      <c r="B202">
        <v>49352</v>
      </c>
      <c r="C202" t="s">
        <v>265</v>
      </c>
      <c r="D202" t="s">
        <v>191</v>
      </c>
      <c r="E202" t="s">
        <v>194</v>
      </c>
      <c r="F202">
        <v>27166</v>
      </c>
      <c r="G202">
        <v>1</v>
      </c>
      <c r="H202" t="s">
        <v>16</v>
      </c>
      <c r="I202" s="1">
        <v>-384300</v>
      </c>
      <c r="J202" s="1">
        <v>-4909700</v>
      </c>
      <c r="K202">
        <v>103</v>
      </c>
      <c r="L202">
        <v>7021</v>
      </c>
      <c r="M202" t="s">
        <v>16</v>
      </c>
    </row>
    <row r="203" spans="1:13" x14ac:dyDescent="0.35">
      <c r="A203">
        <v>150310</v>
      </c>
      <c r="B203">
        <v>4308</v>
      </c>
      <c r="C203" t="s">
        <v>266</v>
      </c>
      <c r="D203" t="s">
        <v>191</v>
      </c>
      <c r="E203" t="s">
        <v>219</v>
      </c>
      <c r="F203">
        <v>24384</v>
      </c>
      <c r="G203">
        <v>1</v>
      </c>
      <c r="H203" t="s">
        <v>16</v>
      </c>
      <c r="I203" s="1">
        <v>-140500</v>
      </c>
      <c r="J203" s="1">
        <v>-5164000</v>
      </c>
      <c r="K203">
        <v>20</v>
      </c>
      <c r="L203">
        <v>8540</v>
      </c>
      <c r="M203" t="s">
        <v>16</v>
      </c>
    </row>
    <row r="204" spans="1:13" x14ac:dyDescent="0.35">
      <c r="A204">
        <v>150320</v>
      </c>
      <c r="B204">
        <v>4316</v>
      </c>
      <c r="C204" t="s">
        <v>267</v>
      </c>
      <c r="D204" t="s">
        <v>191</v>
      </c>
      <c r="E204" t="s">
        <v>213</v>
      </c>
      <c r="F204">
        <v>33778</v>
      </c>
      <c r="G204">
        <v>1</v>
      </c>
      <c r="H204" t="s">
        <v>16</v>
      </c>
      <c r="I204" s="1">
        <v>-112700</v>
      </c>
      <c r="J204" s="1">
        <v>-4761800</v>
      </c>
      <c r="K204">
        <v>50</v>
      </c>
      <c r="L204">
        <v>785</v>
      </c>
      <c r="M204" t="s">
        <v>16</v>
      </c>
    </row>
    <row r="205" spans="1:13" x14ac:dyDescent="0.35">
      <c r="A205">
        <v>150330</v>
      </c>
      <c r="B205">
        <v>4324</v>
      </c>
      <c r="C205" t="s">
        <v>268</v>
      </c>
      <c r="D205" t="s">
        <v>191</v>
      </c>
      <c r="E205" t="s">
        <v>192</v>
      </c>
      <c r="F205">
        <v>54673</v>
      </c>
      <c r="G205">
        <v>2</v>
      </c>
      <c r="H205" t="s">
        <v>16</v>
      </c>
      <c r="I205" s="1">
        <v>-197500</v>
      </c>
      <c r="J205" s="1">
        <v>-4896000</v>
      </c>
      <c r="K205">
        <v>17</v>
      </c>
      <c r="L205">
        <v>1996</v>
      </c>
      <c r="M205" t="s">
        <v>16</v>
      </c>
    </row>
    <row r="206" spans="1:13" x14ac:dyDescent="0.35">
      <c r="A206">
        <v>150340</v>
      </c>
      <c r="B206">
        <v>4332</v>
      </c>
      <c r="C206" t="s">
        <v>269</v>
      </c>
      <c r="D206" t="s">
        <v>191</v>
      </c>
      <c r="E206" t="s">
        <v>237</v>
      </c>
      <c r="F206">
        <v>9592</v>
      </c>
      <c r="G206">
        <v>1</v>
      </c>
      <c r="H206" t="s">
        <v>16</v>
      </c>
      <c r="I206" s="1">
        <v>-143000</v>
      </c>
      <c r="J206" s="1">
        <v>-4791700</v>
      </c>
      <c r="K206">
        <v>35</v>
      </c>
      <c r="L206">
        <v>471</v>
      </c>
      <c r="M206" t="s">
        <v>16</v>
      </c>
    </row>
    <row r="207" spans="1:13" x14ac:dyDescent="0.35">
      <c r="A207">
        <v>150345</v>
      </c>
      <c r="B207">
        <v>49360</v>
      </c>
      <c r="C207" t="s">
        <v>270</v>
      </c>
      <c r="D207" t="s">
        <v>191</v>
      </c>
      <c r="E207" t="s">
        <v>215</v>
      </c>
      <c r="F207">
        <v>39563</v>
      </c>
      <c r="G207">
        <v>1</v>
      </c>
      <c r="H207" t="s">
        <v>16</v>
      </c>
      <c r="I207" s="1">
        <v>-255800</v>
      </c>
      <c r="J207" s="1">
        <v>-4749400</v>
      </c>
      <c r="K207">
        <v>50</v>
      </c>
      <c r="L207">
        <v>5216</v>
      </c>
      <c r="M207" t="s">
        <v>16</v>
      </c>
    </row>
    <row r="208" spans="1:13" x14ac:dyDescent="0.35">
      <c r="A208">
        <v>150350</v>
      </c>
      <c r="B208">
        <v>4340</v>
      </c>
      <c r="C208" t="s">
        <v>271</v>
      </c>
      <c r="D208" t="s">
        <v>191</v>
      </c>
      <c r="E208" t="s">
        <v>215</v>
      </c>
      <c r="F208">
        <v>29746</v>
      </c>
      <c r="G208">
        <v>1</v>
      </c>
      <c r="H208" t="s">
        <v>16</v>
      </c>
      <c r="I208" s="1">
        <v>-176900</v>
      </c>
      <c r="J208" s="1">
        <v>-4743900</v>
      </c>
      <c r="K208">
        <v>25</v>
      </c>
      <c r="L208">
        <v>1379</v>
      </c>
      <c r="M208" t="s">
        <v>16</v>
      </c>
    </row>
    <row r="209" spans="1:13" x14ac:dyDescent="0.35">
      <c r="A209">
        <v>150360</v>
      </c>
      <c r="B209">
        <v>4359</v>
      </c>
      <c r="C209" t="s">
        <v>217</v>
      </c>
      <c r="D209" t="s">
        <v>191</v>
      </c>
      <c r="E209" t="s">
        <v>217</v>
      </c>
      <c r="F209">
        <v>118194</v>
      </c>
      <c r="G209">
        <v>3</v>
      </c>
      <c r="H209" t="s">
        <v>16</v>
      </c>
      <c r="I209" s="1">
        <v>-427600</v>
      </c>
      <c r="J209" s="1">
        <v>-5598400</v>
      </c>
      <c r="K209">
        <v>15</v>
      </c>
      <c r="L209">
        <v>62040</v>
      </c>
      <c r="M209" t="s">
        <v>16</v>
      </c>
    </row>
    <row r="210" spans="1:13" x14ac:dyDescent="0.35">
      <c r="A210">
        <v>150370</v>
      </c>
      <c r="B210">
        <v>4367</v>
      </c>
      <c r="C210" t="s">
        <v>272</v>
      </c>
      <c r="D210" t="s">
        <v>191</v>
      </c>
      <c r="E210" t="s">
        <v>234</v>
      </c>
      <c r="F210">
        <v>42002</v>
      </c>
      <c r="G210">
        <v>1</v>
      </c>
      <c r="H210" t="s">
        <v>16</v>
      </c>
      <c r="I210" s="1">
        <v>-513500</v>
      </c>
      <c r="J210" s="1">
        <v>-4932700</v>
      </c>
      <c r="K210">
        <v>89</v>
      </c>
      <c r="L210">
        <v>7879</v>
      </c>
      <c r="M210" t="s">
        <v>16</v>
      </c>
    </row>
    <row r="211" spans="1:13" x14ac:dyDescent="0.35">
      <c r="A211">
        <v>150375</v>
      </c>
      <c r="B211">
        <v>49379</v>
      </c>
      <c r="C211" t="s">
        <v>273</v>
      </c>
      <c r="D211" t="s">
        <v>191</v>
      </c>
      <c r="E211" t="s">
        <v>217</v>
      </c>
      <c r="F211">
        <v>37073</v>
      </c>
      <c r="G211">
        <v>1</v>
      </c>
      <c r="H211" t="s">
        <v>16</v>
      </c>
      <c r="I211" s="1">
        <v>-622400</v>
      </c>
      <c r="J211" s="1">
        <v>-5775400</v>
      </c>
      <c r="K211">
        <v>70</v>
      </c>
      <c r="L211">
        <v>53303</v>
      </c>
      <c r="M211" t="s">
        <v>16</v>
      </c>
    </row>
    <row r="212" spans="1:13" x14ac:dyDescent="0.35">
      <c r="A212">
        <v>150380</v>
      </c>
      <c r="B212">
        <v>4375</v>
      </c>
      <c r="C212" t="s">
        <v>274</v>
      </c>
      <c r="D212" t="s">
        <v>191</v>
      </c>
      <c r="E212" t="s">
        <v>234</v>
      </c>
      <c r="F212">
        <v>51511</v>
      </c>
      <c r="G212">
        <v>2</v>
      </c>
      <c r="H212" t="s">
        <v>16</v>
      </c>
      <c r="I212" s="1">
        <v>-445100</v>
      </c>
      <c r="J212" s="1">
        <v>-4911600</v>
      </c>
      <c r="K212">
        <v>108</v>
      </c>
      <c r="L212">
        <v>2008</v>
      </c>
      <c r="M212" t="s">
        <v>16</v>
      </c>
    </row>
    <row r="213" spans="1:13" x14ac:dyDescent="0.35">
      <c r="A213">
        <v>150390</v>
      </c>
      <c r="B213">
        <v>4383</v>
      </c>
      <c r="C213" t="s">
        <v>275</v>
      </c>
      <c r="D213" t="s">
        <v>191</v>
      </c>
      <c r="E213" t="s">
        <v>262</v>
      </c>
      <c r="F213">
        <v>33775</v>
      </c>
      <c r="G213">
        <v>1</v>
      </c>
      <c r="H213" t="s">
        <v>16</v>
      </c>
      <c r="I213" s="1">
        <v>-215200</v>
      </c>
      <c r="J213" s="1">
        <v>-5609200</v>
      </c>
      <c r="K213">
        <v>36</v>
      </c>
      <c r="L213">
        <v>8303</v>
      </c>
      <c r="M213" t="s">
        <v>16</v>
      </c>
    </row>
    <row r="214" spans="1:13" x14ac:dyDescent="0.35">
      <c r="A214">
        <v>150400</v>
      </c>
      <c r="B214">
        <v>4391</v>
      </c>
      <c r="C214" t="s">
        <v>276</v>
      </c>
      <c r="D214" t="s">
        <v>191</v>
      </c>
      <c r="E214" t="s">
        <v>192</v>
      </c>
      <c r="F214">
        <v>23284</v>
      </c>
      <c r="G214">
        <v>1</v>
      </c>
      <c r="H214" t="s">
        <v>16</v>
      </c>
      <c r="I214" s="1">
        <v>-189500</v>
      </c>
      <c r="J214" s="1">
        <v>-4938100</v>
      </c>
      <c r="K214">
        <v>28</v>
      </c>
      <c r="L214">
        <v>1490</v>
      </c>
      <c r="M214" t="s">
        <v>16</v>
      </c>
    </row>
    <row r="215" spans="1:13" x14ac:dyDescent="0.35">
      <c r="A215">
        <v>150405</v>
      </c>
      <c r="B215">
        <v>28096</v>
      </c>
      <c r="C215" t="s">
        <v>277</v>
      </c>
      <c r="D215" t="s">
        <v>191</v>
      </c>
      <c r="E215" t="s">
        <v>215</v>
      </c>
      <c r="F215">
        <v>27614</v>
      </c>
      <c r="G215">
        <v>1</v>
      </c>
      <c r="H215" t="s">
        <v>16</v>
      </c>
      <c r="I215" s="1">
        <v>-206000</v>
      </c>
      <c r="J215" s="1">
        <v>-4755300</v>
      </c>
      <c r="K215">
        <v>25</v>
      </c>
      <c r="L215">
        <v>469</v>
      </c>
      <c r="M215" t="s">
        <v>16</v>
      </c>
    </row>
    <row r="216" spans="1:13" x14ac:dyDescent="0.35">
      <c r="A216">
        <v>150410</v>
      </c>
      <c r="B216">
        <v>4405</v>
      </c>
      <c r="C216" t="s">
        <v>278</v>
      </c>
      <c r="D216" t="s">
        <v>191</v>
      </c>
      <c r="E216" t="s">
        <v>248</v>
      </c>
      <c r="F216">
        <v>7650</v>
      </c>
      <c r="G216">
        <v>1</v>
      </c>
      <c r="H216" t="s">
        <v>16</v>
      </c>
      <c r="I216" t="s">
        <v>279</v>
      </c>
      <c r="J216" s="1">
        <v>-4759800</v>
      </c>
      <c r="K216">
        <v>50</v>
      </c>
      <c r="L216">
        <v>324</v>
      </c>
      <c r="M216" t="s">
        <v>16</v>
      </c>
    </row>
    <row r="217" spans="1:13" x14ac:dyDescent="0.35">
      <c r="A217">
        <v>150420</v>
      </c>
      <c r="B217">
        <v>4413</v>
      </c>
      <c r="C217" t="s">
        <v>280</v>
      </c>
      <c r="D217" t="s">
        <v>191</v>
      </c>
      <c r="E217" t="s">
        <v>232</v>
      </c>
      <c r="F217">
        <v>196468</v>
      </c>
      <c r="G217">
        <v>3</v>
      </c>
      <c r="H217" t="s">
        <v>16</v>
      </c>
      <c r="I217" s="1">
        <v>-536900</v>
      </c>
      <c r="J217" s="1">
        <v>-4911800</v>
      </c>
      <c r="K217">
        <v>84</v>
      </c>
      <c r="L217">
        <v>15092</v>
      </c>
      <c r="M217" t="s">
        <v>16</v>
      </c>
    </row>
    <row r="218" spans="1:13" x14ac:dyDescent="0.35">
      <c r="A218">
        <v>150430</v>
      </c>
      <c r="B218">
        <v>4421</v>
      </c>
      <c r="C218" t="s">
        <v>281</v>
      </c>
      <c r="D218" t="s">
        <v>191</v>
      </c>
      <c r="E218" t="s">
        <v>248</v>
      </c>
      <c r="F218">
        <v>28296</v>
      </c>
      <c r="G218">
        <v>1</v>
      </c>
      <c r="H218" t="s">
        <v>16</v>
      </c>
      <c r="I218" t="s">
        <v>282</v>
      </c>
      <c r="J218" s="1">
        <v>-4745000</v>
      </c>
      <c r="K218">
        <v>45</v>
      </c>
      <c r="L218">
        <v>780</v>
      </c>
      <c r="M218" t="s">
        <v>16</v>
      </c>
    </row>
    <row r="219" spans="1:13" x14ac:dyDescent="0.35">
      <c r="A219">
        <v>150440</v>
      </c>
      <c r="B219">
        <v>4430</v>
      </c>
      <c r="C219" t="s">
        <v>283</v>
      </c>
      <c r="D219" t="s">
        <v>191</v>
      </c>
      <c r="E219" t="s">
        <v>248</v>
      </c>
      <c r="F219">
        <v>26651</v>
      </c>
      <c r="G219">
        <v>1</v>
      </c>
      <c r="H219" t="s">
        <v>16</v>
      </c>
      <c r="I219" t="s">
        <v>284</v>
      </c>
      <c r="J219" s="1">
        <v>-4769400</v>
      </c>
      <c r="K219">
        <v>40</v>
      </c>
      <c r="L219">
        <v>791</v>
      </c>
      <c r="M219" t="s">
        <v>16</v>
      </c>
    </row>
    <row r="220" spans="1:13" x14ac:dyDescent="0.35">
      <c r="A220">
        <v>150442</v>
      </c>
      <c r="B220">
        <v>56987</v>
      </c>
      <c r="C220" t="s">
        <v>285</v>
      </c>
      <c r="D220" t="s">
        <v>191</v>
      </c>
      <c r="E220" t="s">
        <v>209</v>
      </c>
      <c r="F220">
        <v>93416</v>
      </c>
      <c r="G220">
        <v>4</v>
      </c>
      <c r="H220" t="s">
        <v>210</v>
      </c>
      <c r="I220" s="1">
        <v>-135500</v>
      </c>
      <c r="J220" s="1">
        <v>-4834200</v>
      </c>
      <c r="K220">
        <v>18</v>
      </c>
      <c r="L220">
        <v>103</v>
      </c>
      <c r="M220" t="s">
        <v>16</v>
      </c>
    </row>
    <row r="221" spans="1:13" x14ac:dyDescent="0.35">
      <c r="A221">
        <v>150445</v>
      </c>
      <c r="B221">
        <v>28150</v>
      </c>
      <c r="C221" t="s">
        <v>286</v>
      </c>
      <c r="D221" t="s">
        <v>191</v>
      </c>
      <c r="E221" t="s">
        <v>205</v>
      </c>
      <c r="F221">
        <v>22624</v>
      </c>
      <c r="G221">
        <v>1</v>
      </c>
      <c r="H221" t="s">
        <v>16</v>
      </c>
      <c r="I221" s="1">
        <v>-344600</v>
      </c>
      <c r="J221" s="1">
        <v>-5288900</v>
      </c>
      <c r="K221">
        <v>151</v>
      </c>
      <c r="L221">
        <v>8272</v>
      </c>
      <c r="M221" t="s">
        <v>16</v>
      </c>
    </row>
    <row r="222" spans="1:13" x14ac:dyDescent="0.35">
      <c r="A222">
        <v>150450</v>
      </c>
      <c r="B222">
        <v>4448</v>
      </c>
      <c r="C222" t="s">
        <v>287</v>
      </c>
      <c r="D222" t="s">
        <v>191</v>
      </c>
      <c r="E222" t="s">
        <v>219</v>
      </c>
      <c r="F222">
        <v>17845</v>
      </c>
      <c r="G222">
        <v>1</v>
      </c>
      <c r="H222" t="s">
        <v>16</v>
      </c>
      <c r="I222" s="1">
        <v>-180400</v>
      </c>
      <c r="J222" s="1">
        <v>-5071200</v>
      </c>
      <c r="K222">
        <v>12</v>
      </c>
      <c r="L222">
        <v>6773</v>
      </c>
      <c r="M222" t="s">
        <v>16</v>
      </c>
    </row>
    <row r="223" spans="1:13" x14ac:dyDescent="0.35">
      <c r="A223">
        <v>150460</v>
      </c>
      <c r="B223">
        <v>4456</v>
      </c>
      <c r="C223" t="s">
        <v>288</v>
      </c>
      <c r="D223" t="s">
        <v>191</v>
      </c>
      <c r="E223" t="s">
        <v>192</v>
      </c>
      <c r="F223">
        <v>23258</v>
      </c>
      <c r="G223">
        <v>1</v>
      </c>
      <c r="H223" t="s">
        <v>16</v>
      </c>
      <c r="I223" s="1">
        <v>-258400</v>
      </c>
      <c r="J223" s="1">
        <v>-4950700</v>
      </c>
      <c r="K223">
        <v>30</v>
      </c>
      <c r="L223">
        <v>870</v>
      </c>
      <c r="M223" t="s">
        <v>16</v>
      </c>
    </row>
    <row r="224" spans="1:13" x14ac:dyDescent="0.35">
      <c r="A224">
        <v>150470</v>
      </c>
      <c r="B224">
        <v>4464</v>
      </c>
      <c r="C224" t="s">
        <v>289</v>
      </c>
      <c r="D224" t="s">
        <v>191</v>
      </c>
      <c r="E224" t="s">
        <v>196</v>
      </c>
      <c r="F224">
        <v>63821</v>
      </c>
      <c r="G224">
        <v>2</v>
      </c>
      <c r="H224" t="s">
        <v>16</v>
      </c>
      <c r="I224" s="1">
        <v>-188400</v>
      </c>
      <c r="J224" s="1">
        <v>-4876900</v>
      </c>
      <c r="K224">
        <v>16</v>
      </c>
      <c r="L224">
        <v>9093</v>
      </c>
      <c r="M224" t="s">
        <v>16</v>
      </c>
    </row>
    <row r="225" spans="1:13" x14ac:dyDescent="0.35">
      <c r="A225">
        <v>150480</v>
      </c>
      <c r="B225">
        <v>4472</v>
      </c>
      <c r="C225" t="s">
        <v>290</v>
      </c>
      <c r="D225" t="s">
        <v>191</v>
      </c>
      <c r="E225" t="s">
        <v>203</v>
      </c>
      <c r="F225">
        <v>61350</v>
      </c>
      <c r="G225">
        <v>2</v>
      </c>
      <c r="H225" t="s">
        <v>16</v>
      </c>
      <c r="I225" s="1">
        <v>-200800</v>
      </c>
      <c r="J225" s="1">
        <v>-5406900</v>
      </c>
      <c r="K225">
        <v>38</v>
      </c>
      <c r="L225">
        <v>21703</v>
      </c>
      <c r="M225" t="s">
        <v>16</v>
      </c>
    </row>
    <row r="226" spans="1:13" x14ac:dyDescent="0.35">
      <c r="A226">
        <v>150490</v>
      </c>
      <c r="B226">
        <v>4480</v>
      </c>
      <c r="C226" t="s">
        <v>291</v>
      </c>
      <c r="D226" t="s">
        <v>191</v>
      </c>
      <c r="E226" t="s">
        <v>240</v>
      </c>
      <c r="F226">
        <v>28796</v>
      </c>
      <c r="G226">
        <v>1</v>
      </c>
      <c r="H226" t="s">
        <v>16</v>
      </c>
      <c r="I226" s="1">
        <v>-152800</v>
      </c>
      <c r="J226" s="1">
        <v>-4921700</v>
      </c>
      <c r="K226">
        <v>22</v>
      </c>
      <c r="L226">
        <v>3765</v>
      </c>
      <c r="M226" t="s">
        <v>16</v>
      </c>
    </row>
    <row r="227" spans="1:13" x14ac:dyDescent="0.35">
      <c r="A227">
        <v>150495</v>
      </c>
      <c r="B227">
        <v>49387</v>
      </c>
      <c r="C227" t="s">
        <v>292</v>
      </c>
      <c r="D227" t="s">
        <v>191</v>
      </c>
      <c r="E227" t="s">
        <v>215</v>
      </c>
      <c r="F227">
        <v>22447</v>
      </c>
      <c r="G227">
        <v>1</v>
      </c>
      <c r="H227" t="s">
        <v>16</v>
      </c>
      <c r="I227" s="1">
        <v>-226900</v>
      </c>
      <c r="J227" s="1">
        <v>-4696600</v>
      </c>
      <c r="K227">
        <v>0</v>
      </c>
      <c r="L227">
        <v>2809</v>
      </c>
      <c r="M227" t="s">
        <v>16</v>
      </c>
    </row>
    <row r="228" spans="1:13" x14ac:dyDescent="0.35">
      <c r="A228">
        <v>150497</v>
      </c>
      <c r="B228">
        <v>56995</v>
      </c>
      <c r="C228" t="s">
        <v>293</v>
      </c>
      <c r="D228" t="s">
        <v>191</v>
      </c>
      <c r="E228" t="s">
        <v>234</v>
      </c>
      <c r="F228">
        <v>14086</v>
      </c>
      <c r="G228">
        <v>1</v>
      </c>
      <c r="H228" t="s">
        <v>16</v>
      </c>
      <c r="I228" s="1">
        <v>-492100</v>
      </c>
      <c r="J228" s="1">
        <v>-4907700</v>
      </c>
      <c r="K228">
        <v>118</v>
      </c>
      <c r="L228">
        <v>1600</v>
      </c>
      <c r="M228" t="s">
        <v>16</v>
      </c>
    </row>
    <row r="229" spans="1:13" x14ac:dyDescent="0.35">
      <c r="A229">
        <v>150500</v>
      </c>
      <c r="B229">
        <v>4499</v>
      </c>
      <c r="C229" t="s">
        <v>294</v>
      </c>
      <c r="D229" t="s">
        <v>191</v>
      </c>
      <c r="E229" t="s">
        <v>213</v>
      </c>
      <c r="F229">
        <v>12103</v>
      </c>
      <c r="G229">
        <v>1</v>
      </c>
      <c r="H229" t="s">
        <v>16</v>
      </c>
      <c r="I229" s="1">
        <v>-120600</v>
      </c>
      <c r="J229" s="1">
        <v>-4738600</v>
      </c>
      <c r="K229">
        <v>51</v>
      </c>
      <c r="L229">
        <v>489</v>
      </c>
      <c r="M229" t="s">
        <v>16</v>
      </c>
    </row>
    <row r="230" spans="1:13" x14ac:dyDescent="0.35">
      <c r="A230">
        <v>150503</v>
      </c>
      <c r="B230">
        <v>49395</v>
      </c>
      <c r="C230" t="s">
        <v>295</v>
      </c>
      <c r="D230" t="s">
        <v>191</v>
      </c>
      <c r="E230" t="s">
        <v>217</v>
      </c>
      <c r="F230">
        <v>21598</v>
      </c>
      <c r="G230">
        <v>1</v>
      </c>
      <c r="H230" t="s">
        <v>16</v>
      </c>
      <c r="I230" s="1">
        <v>-714700</v>
      </c>
      <c r="J230" s="1">
        <v>-5538200</v>
      </c>
      <c r="K230">
        <v>240</v>
      </c>
      <c r="L230">
        <v>38162</v>
      </c>
      <c r="M230" t="s">
        <v>16</v>
      </c>
    </row>
    <row r="231" spans="1:13" x14ac:dyDescent="0.35">
      <c r="A231">
        <v>150506</v>
      </c>
      <c r="B231">
        <v>49409</v>
      </c>
      <c r="C231" t="s">
        <v>296</v>
      </c>
      <c r="D231" t="s">
        <v>191</v>
      </c>
      <c r="E231" t="s">
        <v>234</v>
      </c>
      <c r="F231">
        <v>51645</v>
      </c>
      <c r="G231">
        <v>2</v>
      </c>
      <c r="H231" t="s">
        <v>16</v>
      </c>
      <c r="I231" s="1">
        <v>-433100</v>
      </c>
      <c r="J231" s="1">
        <v>-4979600</v>
      </c>
      <c r="K231">
        <v>0</v>
      </c>
      <c r="L231">
        <v>15398</v>
      </c>
      <c r="M231" t="s">
        <v>16</v>
      </c>
    </row>
    <row r="232" spans="1:13" x14ac:dyDescent="0.35">
      <c r="A232">
        <v>150510</v>
      </c>
      <c r="B232">
        <v>4502</v>
      </c>
      <c r="C232" t="s">
        <v>297</v>
      </c>
      <c r="D232" t="s">
        <v>191</v>
      </c>
      <c r="E232" t="s">
        <v>262</v>
      </c>
      <c r="F232">
        <v>46793</v>
      </c>
      <c r="G232">
        <v>1</v>
      </c>
      <c r="H232" t="s">
        <v>16</v>
      </c>
      <c r="I232" s="1">
        <v>-191800</v>
      </c>
      <c r="J232" s="1">
        <v>-5551800</v>
      </c>
      <c r="K232">
        <v>45</v>
      </c>
      <c r="L232">
        <v>28021</v>
      </c>
      <c r="M232" t="s">
        <v>16</v>
      </c>
    </row>
    <row r="233" spans="1:13" x14ac:dyDescent="0.35">
      <c r="A233">
        <v>150520</v>
      </c>
      <c r="B233">
        <v>4510</v>
      </c>
      <c r="C233" t="s">
        <v>298</v>
      </c>
      <c r="D233" t="s">
        <v>191</v>
      </c>
      <c r="E233" t="s">
        <v>192</v>
      </c>
      <c r="F233">
        <v>25420</v>
      </c>
      <c r="G233">
        <v>1</v>
      </c>
      <c r="H233" t="s">
        <v>16</v>
      </c>
      <c r="I233" s="1">
        <v>-200300</v>
      </c>
      <c r="J233" s="1">
        <v>-4985400</v>
      </c>
      <c r="K233">
        <v>2</v>
      </c>
      <c r="L233">
        <v>3852</v>
      </c>
      <c r="M233" t="s">
        <v>16</v>
      </c>
    </row>
    <row r="234" spans="1:13" x14ac:dyDescent="0.35">
      <c r="A234">
        <v>150530</v>
      </c>
      <c r="B234">
        <v>4529</v>
      </c>
      <c r="C234" t="s">
        <v>299</v>
      </c>
      <c r="D234" t="s">
        <v>191</v>
      </c>
      <c r="E234" t="s">
        <v>262</v>
      </c>
      <c r="F234">
        <v>55175</v>
      </c>
      <c r="G234">
        <v>2</v>
      </c>
      <c r="H234" t="s">
        <v>16</v>
      </c>
      <c r="I234" s="1">
        <v>-176600</v>
      </c>
      <c r="J234" s="1">
        <v>-5586600</v>
      </c>
      <c r="K234">
        <v>46</v>
      </c>
      <c r="L234">
        <v>107602</v>
      </c>
      <c r="M234" t="s">
        <v>16</v>
      </c>
    </row>
    <row r="235" spans="1:13" x14ac:dyDescent="0.35">
      <c r="A235">
        <v>150540</v>
      </c>
      <c r="B235">
        <v>4537</v>
      </c>
      <c r="C235" t="s">
        <v>300</v>
      </c>
      <c r="D235" t="s">
        <v>191</v>
      </c>
      <c r="E235" t="s">
        <v>215</v>
      </c>
      <c r="F235">
        <v>15152</v>
      </c>
      <c r="G235">
        <v>1</v>
      </c>
      <c r="H235" t="s">
        <v>16</v>
      </c>
      <c r="I235" s="1">
        <v>-154800</v>
      </c>
      <c r="J235" s="1">
        <v>-4711900</v>
      </c>
      <c r="K235">
        <v>40</v>
      </c>
      <c r="L235">
        <v>562</v>
      </c>
      <c r="M235" t="s">
        <v>16</v>
      </c>
    </row>
    <row r="236" spans="1:13" x14ac:dyDescent="0.35">
      <c r="A236">
        <v>150543</v>
      </c>
      <c r="B236">
        <v>28169</v>
      </c>
      <c r="C236" t="s">
        <v>301</v>
      </c>
      <c r="D236" t="s">
        <v>191</v>
      </c>
      <c r="E236" t="s">
        <v>222</v>
      </c>
      <c r="F236">
        <v>20415</v>
      </c>
      <c r="G236">
        <v>1</v>
      </c>
      <c r="H236" t="s">
        <v>16</v>
      </c>
      <c r="I236" s="1">
        <v>-675500</v>
      </c>
      <c r="J236" s="1">
        <v>-5108400</v>
      </c>
      <c r="K236">
        <v>280</v>
      </c>
      <c r="L236">
        <v>13826</v>
      </c>
      <c r="M236" t="s">
        <v>16</v>
      </c>
    </row>
    <row r="237" spans="1:13" x14ac:dyDescent="0.35">
      <c r="A237">
        <v>150548</v>
      </c>
      <c r="B237">
        <v>28177</v>
      </c>
      <c r="C237" t="s">
        <v>302</v>
      </c>
      <c r="D237" t="s">
        <v>191</v>
      </c>
      <c r="E237" t="s">
        <v>205</v>
      </c>
      <c r="F237">
        <v>38365</v>
      </c>
      <c r="G237">
        <v>1</v>
      </c>
      <c r="H237" t="s">
        <v>16</v>
      </c>
      <c r="I237" s="1">
        <v>-383800</v>
      </c>
      <c r="J237" s="1">
        <v>-5063800</v>
      </c>
      <c r="K237">
        <v>105</v>
      </c>
      <c r="L237">
        <v>11832</v>
      </c>
      <c r="M237" t="s">
        <v>16</v>
      </c>
    </row>
    <row r="238" spans="1:13" x14ac:dyDescent="0.35">
      <c r="A238">
        <v>150549</v>
      </c>
      <c r="B238">
        <v>49417</v>
      </c>
      <c r="C238" t="s">
        <v>303</v>
      </c>
      <c r="D238" t="s">
        <v>191</v>
      </c>
      <c r="E238" t="s">
        <v>232</v>
      </c>
      <c r="F238">
        <v>7156</v>
      </c>
      <c r="G238">
        <v>1</v>
      </c>
      <c r="H238" t="s">
        <v>16</v>
      </c>
      <c r="I238" s="1">
        <v>-574200</v>
      </c>
      <c r="J238" s="1">
        <v>-4831700</v>
      </c>
      <c r="K238">
        <v>0</v>
      </c>
      <c r="L238">
        <v>983</v>
      </c>
      <c r="M238" t="s">
        <v>16</v>
      </c>
    </row>
    <row r="239" spans="1:13" x14ac:dyDescent="0.35">
      <c r="A239">
        <v>150550</v>
      </c>
      <c r="B239">
        <v>4545</v>
      </c>
      <c r="C239" t="s">
        <v>194</v>
      </c>
      <c r="D239" t="s">
        <v>191</v>
      </c>
      <c r="E239" t="s">
        <v>194</v>
      </c>
      <c r="F239">
        <v>90819</v>
      </c>
      <c r="G239">
        <v>2</v>
      </c>
      <c r="H239" t="s">
        <v>16</v>
      </c>
      <c r="I239" s="1">
        <v>-299500</v>
      </c>
      <c r="J239" s="1">
        <v>-4735300</v>
      </c>
      <c r="K239">
        <v>90</v>
      </c>
      <c r="L239">
        <v>19330</v>
      </c>
      <c r="M239" t="s">
        <v>16</v>
      </c>
    </row>
    <row r="240" spans="1:13" x14ac:dyDescent="0.35">
      <c r="A240">
        <v>150553</v>
      </c>
      <c r="B240">
        <v>28185</v>
      </c>
      <c r="C240" t="s">
        <v>201</v>
      </c>
      <c r="D240" t="s">
        <v>191</v>
      </c>
      <c r="E240" t="s">
        <v>201</v>
      </c>
      <c r="F240">
        <v>133298</v>
      </c>
      <c r="G240">
        <v>3</v>
      </c>
      <c r="H240" t="s">
        <v>16</v>
      </c>
      <c r="I240" s="1">
        <v>-606800</v>
      </c>
      <c r="J240" s="1">
        <v>-4990200</v>
      </c>
      <c r="K240">
        <v>18</v>
      </c>
      <c r="L240">
        <v>7007</v>
      </c>
      <c r="M240" t="s">
        <v>16</v>
      </c>
    </row>
    <row r="241" spans="1:13" x14ac:dyDescent="0.35">
      <c r="A241">
        <v>150555</v>
      </c>
      <c r="B241">
        <v>49425</v>
      </c>
      <c r="C241" t="s">
        <v>304</v>
      </c>
      <c r="D241" t="s">
        <v>191</v>
      </c>
      <c r="E241" t="s">
        <v>305</v>
      </c>
      <c r="F241">
        <v>6466</v>
      </c>
      <c r="G241">
        <v>1</v>
      </c>
      <c r="H241" t="s">
        <v>16</v>
      </c>
      <c r="I241" s="1">
        <v>-783300</v>
      </c>
      <c r="J241" s="1">
        <v>-5004400</v>
      </c>
      <c r="K241">
        <v>0</v>
      </c>
      <c r="L241">
        <v>1671</v>
      </c>
      <c r="M241" t="s">
        <v>16</v>
      </c>
    </row>
    <row r="242" spans="1:13" x14ac:dyDescent="0.35">
      <c r="A242">
        <v>150560</v>
      </c>
      <c r="B242">
        <v>4553</v>
      </c>
      <c r="C242" t="s">
        <v>306</v>
      </c>
      <c r="D242" t="s">
        <v>191</v>
      </c>
      <c r="E242" t="s">
        <v>213</v>
      </c>
      <c r="F242">
        <v>7679</v>
      </c>
      <c r="G242">
        <v>1</v>
      </c>
      <c r="H242" t="s">
        <v>16</v>
      </c>
      <c r="I242" s="1">
        <v>-119200</v>
      </c>
      <c r="J242" s="1">
        <v>-4731400</v>
      </c>
      <c r="K242">
        <v>34</v>
      </c>
      <c r="L242">
        <v>450</v>
      </c>
      <c r="M242" t="s">
        <v>16</v>
      </c>
    </row>
    <row r="243" spans="1:13" x14ac:dyDescent="0.35">
      <c r="A243">
        <v>150563</v>
      </c>
      <c r="B243">
        <v>57002</v>
      </c>
      <c r="C243" t="s">
        <v>307</v>
      </c>
      <c r="D243" t="s">
        <v>191</v>
      </c>
      <c r="E243" t="s">
        <v>305</v>
      </c>
      <c r="F243">
        <v>12707</v>
      </c>
      <c r="G243">
        <v>1</v>
      </c>
      <c r="H243" t="s">
        <v>16</v>
      </c>
      <c r="I243" s="1">
        <v>-643800</v>
      </c>
      <c r="J243" s="1">
        <v>-4887200</v>
      </c>
      <c r="K243">
        <v>215</v>
      </c>
      <c r="L243">
        <v>3312</v>
      </c>
      <c r="M243" t="s">
        <v>16</v>
      </c>
    </row>
    <row r="244" spans="1:13" x14ac:dyDescent="0.35">
      <c r="A244">
        <v>150565</v>
      </c>
      <c r="B244">
        <v>57010</v>
      </c>
      <c r="C244" t="s">
        <v>308</v>
      </c>
      <c r="D244" t="s">
        <v>191</v>
      </c>
      <c r="E244" t="s">
        <v>203</v>
      </c>
      <c r="F244">
        <v>17898</v>
      </c>
      <c r="G244">
        <v>1</v>
      </c>
      <c r="H244" t="s">
        <v>16</v>
      </c>
      <c r="I244" s="1">
        <v>-386800</v>
      </c>
      <c r="J244" s="1">
        <v>-5422000</v>
      </c>
      <c r="K244">
        <v>95</v>
      </c>
      <c r="L244">
        <v>7173</v>
      </c>
      <c r="M244" t="s">
        <v>16</v>
      </c>
    </row>
    <row r="245" spans="1:13" x14ac:dyDescent="0.35">
      <c r="A245">
        <v>150570</v>
      </c>
      <c r="B245">
        <v>4561</v>
      </c>
      <c r="C245" t="s">
        <v>309</v>
      </c>
      <c r="D245" t="s">
        <v>191</v>
      </c>
      <c r="E245" t="s">
        <v>240</v>
      </c>
      <c r="F245">
        <v>24276</v>
      </c>
      <c r="G245">
        <v>1</v>
      </c>
      <c r="H245" t="s">
        <v>16</v>
      </c>
      <c r="I245" s="1">
        <v>-139000</v>
      </c>
      <c r="J245" s="1">
        <v>-4887100</v>
      </c>
      <c r="K245">
        <v>10</v>
      </c>
      <c r="L245">
        <v>3365</v>
      </c>
      <c r="M245" t="s">
        <v>16</v>
      </c>
    </row>
    <row r="246" spans="1:13" x14ac:dyDescent="0.35">
      <c r="A246">
        <v>150580</v>
      </c>
      <c r="B246">
        <v>4570</v>
      </c>
      <c r="C246" t="s">
        <v>219</v>
      </c>
      <c r="D246" t="s">
        <v>191</v>
      </c>
      <c r="E246" t="s">
        <v>219</v>
      </c>
      <c r="F246">
        <v>45586</v>
      </c>
      <c r="G246">
        <v>1</v>
      </c>
      <c r="H246" t="s">
        <v>16</v>
      </c>
      <c r="I246" s="1">
        <v>-193600</v>
      </c>
      <c r="J246" s="1">
        <v>-5082100</v>
      </c>
      <c r="K246">
        <v>19</v>
      </c>
      <c r="L246">
        <v>25384</v>
      </c>
      <c r="M246" t="s">
        <v>16</v>
      </c>
    </row>
    <row r="247" spans="1:13" x14ac:dyDescent="0.35">
      <c r="A247">
        <v>150590</v>
      </c>
      <c r="B247">
        <v>4588</v>
      </c>
      <c r="C247" t="s">
        <v>310</v>
      </c>
      <c r="D247" t="s">
        <v>191</v>
      </c>
      <c r="E247" t="s">
        <v>204</v>
      </c>
      <c r="F247">
        <v>26489</v>
      </c>
      <c r="G247">
        <v>1</v>
      </c>
      <c r="H247" t="s">
        <v>16</v>
      </c>
      <c r="I247" s="1">
        <v>-174800</v>
      </c>
      <c r="J247" s="1">
        <v>-5223800</v>
      </c>
      <c r="K247">
        <v>15</v>
      </c>
      <c r="L247">
        <v>17422</v>
      </c>
      <c r="M247" t="s">
        <v>16</v>
      </c>
    </row>
    <row r="248" spans="1:13" x14ac:dyDescent="0.35">
      <c r="A248">
        <v>150600</v>
      </c>
      <c r="B248">
        <v>4596</v>
      </c>
      <c r="C248" t="s">
        <v>311</v>
      </c>
      <c r="D248" t="s">
        <v>191</v>
      </c>
      <c r="E248" t="s">
        <v>203</v>
      </c>
      <c r="F248">
        <v>26436</v>
      </c>
      <c r="G248">
        <v>1</v>
      </c>
      <c r="H248" t="s">
        <v>16</v>
      </c>
      <c r="I248" s="1">
        <v>-180000</v>
      </c>
      <c r="J248" s="1">
        <v>-5348000</v>
      </c>
      <c r="K248">
        <v>70</v>
      </c>
      <c r="L248">
        <v>12599</v>
      </c>
      <c r="M248" t="s">
        <v>16</v>
      </c>
    </row>
    <row r="249" spans="1:13" x14ac:dyDescent="0.35">
      <c r="A249">
        <v>150610</v>
      </c>
      <c r="B249">
        <v>4600</v>
      </c>
      <c r="C249" t="s">
        <v>312</v>
      </c>
      <c r="D249" t="s">
        <v>191</v>
      </c>
      <c r="E249" t="s">
        <v>213</v>
      </c>
      <c r="F249">
        <v>10463</v>
      </c>
      <c r="G249">
        <v>1</v>
      </c>
      <c r="H249" t="s">
        <v>16</v>
      </c>
      <c r="I249" t="s">
        <v>313</v>
      </c>
      <c r="J249" s="1">
        <v>-4711600</v>
      </c>
      <c r="K249">
        <v>48</v>
      </c>
      <c r="L249">
        <v>258</v>
      </c>
      <c r="M249" t="s">
        <v>16</v>
      </c>
    </row>
    <row r="250" spans="1:13" x14ac:dyDescent="0.35">
      <c r="A250">
        <v>150611</v>
      </c>
      <c r="B250">
        <v>57029</v>
      </c>
      <c r="C250" t="s">
        <v>314</v>
      </c>
      <c r="D250" t="s">
        <v>191</v>
      </c>
      <c r="E250" t="s">
        <v>213</v>
      </c>
      <c r="F250">
        <v>12620</v>
      </c>
      <c r="G250">
        <v>1</v>
      </c>
      <c r="H250" t="s">
        <v>16</v>
      </c>
      <c r="I250" t="s">
        <v>315</v>
      </c>
      <c r="J250" s="1">
        <v>-4700600</v>
      </c>
      <c r="K250">
        <v>29</v>
      </c>
      <c r="L250">
        <v>324</v>
      </c>
      <c r="M250" t="s">
        <v>16</v>
      </c>
    </row>
    <row r="251" spans="1:13" x14ac:dyDescent="0.35">
      <c r="A251">
        <v>150613</v>
      </c>
      <c r="B251">
        <v>4839</v>
      </c>
      <c r="C251" t="s">
        <v>316</v>
      </c>
      <c r="D251" t="s">
        <v>191</v>
      </c>
      <c r="E251" t="s">
        <v>305</v>
      </c>
      <c r="F251">
        <v>64583</v>
      </c>
      <c r="G251">
        <v>2</v>
      </c>
      <c r="H251" t="s">
        <v>16</v>
      </c>
      <c r="I251" s="1">
        <v>-802900</v>
      </c>
      <c r="J251" s="1">
        <v>-5003100</v>
      </c>
      <c r="K251">
        <v>227</v>
      </c>
      <c r="L251">
        <v>3823</v>
      </c>
      <c r="M251" t="s">
        <v>16</v>
      </c>
    </row>
    <row r="252" spans="1:13" x14ac:dyDescent="0.35">
      <c r="A252">
        <v>150616</v>
      </c>
      <c r="B252">
        <v>4847</v>
      </c>
      <c r="C252" t="s">
        <v>317</v>
      </c>
      <c r="D252" t="s">
        <v>191</v>
      </c>
      <c r="E252" t="s">
        <v>305</v>
      </c>
      <c r="F252">
        <v>16993</v>
      </c>
      <c r="G252">
        <v>1</v>
      </c>
      <c r="H252" t="s">
        <v>16</v>
      </c>
      <c r="I252" s="1">
        <v>-731100</v>
      </c>
      <c r="J252" s="1">
        <v>-5004800</v>
      </c>
      <c r="K252">
        <v>205</v>
      </c>
      <c r="L252">
        <v>4114</v>
      </c>
      <c r="M252" t="s">
        <v>16</v>
      </c>
    </row>
    <row r="253" spans="1:13" x14ac:dyDescent="0.35">
      <c r="A253">
        <v>150618</v>
      </c>
      <c r="B253">
        <v>4855</v>
      </c>
      <c r="C253" t="s">
        <v>318</v>
      </c>
      <c r="D253" t="s">
        <v>191</v>
      </c>
      <c r="E253" t="s">
        <v>194</v>
      </c>
      <c r="F253">
        <v>45016</v>
      </c>
      <c r="G253">
        <v>1</v>
      </c>
      <c r="H253" t="s">
        <v>16</v>
      </c>
      <c r="I253" s="1">
        <v>-477600</v>
      </c>
      <c r="J253" s="1">
        <v>-4806700</v>
      </c>
      <c r="K253">
        <v>195</v>
      </c>
      <c r="L253">
        <v>8246</v>
      </c>
      <c r="M253" t="s">
        <v>16</v>
      </c>
    </row>
    <row r="254" spans="1:13" x14ac:dyDescent="0.35">
      <c r="A254">
        <v>150619</v>
      </c>
      <c r="B254">
        <v>28193</v>
      </c>
      <c r="C254" t="s">
        <v>319</v>
      </c>
      <c r="D254" t="s">
        <v>191</v>
      </c>
      <c r="E254" t="s">
        <v>217</v>
      </c>
      <c r="F254">
        <v>32950</v>
      </c>
      <c r="G254">
        <v>1</v>
      </c>
      <c r="H254" t="s">
        <v>16</v>
      </c>
      <c r="I254" s="1">
        <v>-409600</v>
      </c>
      <c r="J254" s="1">
        <v>-5491000</v>
      </c>
      <c r="K254">
        <v>170</v>
      </c>
      <c r="L254">
        <v>7021</v>
      </c>
      <c r="M254" t="s">
        <v>16</v>
      </c>
    </row>
    <row r="255" spans="1:13" x14ac:dyDescent="0.35">
      <c r="A255">
        <v>150620</v>
      </c>
      <c r="B255">
        <v>4618</v>
      </c>
      <c r="C255" t="s">
        <v>320</v>
      </c>
      <c r="D255" t="s">
        <v>191</v>
      </c>
      <c r="E255" t="s">
        <v>248</v>
      </c>
      <c r="F255">
        <v>37066</v>
      </c>
      <c r="G255">
        <v>1</v>
      </c>
      <c r="H255" t="s">
        <v>16</v>
      </c>
      <c r="I255" t="s">
        <v>321</v>
      </c>
      <c r="J255" s="1">
        <v>-4735600</v>
      </c>
      <c r="K255">
        <v>21</v>
      </c>
      <c r="L255">
        <v>217</v>
      </c>
      <c r="M255" t="s">
        <v>16</v>
      </c>
    </row>
    <row r="256" spans="1:13" x14ac:dyDescent="0.35">
      <c r="A256">
        <v>150630</v>
      </c>
      <c r="B256">
        <v>4626</v>
      </c>
      <c r="C256" t="s">
        <v>322</v>
      </c>
      <c r="D256" t="s">
        <v>191</v>
      </c>
      <c r="E256" t="s">
        <v>240</v>
      </c>
      <c r="F256">
        <v>17077</v>
      </c>
      <c r="G256">
        <v>1</v>
      </c>
      <c r="H256" t="s">
        <v>16</v>
      </c>
      <c r="I256" t="s">
        <v>323</v>
      </c>
      <c r="J256" s="1">
        <v>-4851700</v>
      </c>
      <c r="K256">
        <v>5</v>
      </c>
      <c r="L256">
        <v>1043</v>
      </c>
      <c r="M256" t="s">
        <v>16</v>
      </c>
    </row>
    <row r="257" spans="1:13" x14ac:dyDescent="0.35">
      <c r="A257">
        <v>150635</v>
      </c>
      <c r="B257">
        <v>49433</v>
      </c>
      <c r="C257" t="s">
        <v>324</v>
      </c>
      <c r="D257" t="s">
        <v>191</v>
      </c>
      <c r="E257" t="s">
        <v>209</v>
      </c>
      <c r="F257">
        <v>13714</v>
      </c>
      <c r="G257">
        <v>4</v>
      </c>
      <c r="H257" t="s">
        <v>210</v>
      </c>
      <c r="I257" s="1">
        <v>-122400</v>
      </c>
      <c r="J257" s="1">
        <v>-4829400</v>
      </c>
      <c r="K257">
        <v>21</v>
      </c>
      <c r="L257">
        <v>278</v>
      </c>
      <c r="M257" t="s">
        <v>16</v>
      </c>
    </row>
    <row r="258" spans="1:13" x14ac:dyDescent="0.35">
      <c r="A258">
        <v>150640</v>
      </c>
      <c r="B258">
        <v>4634</v>
      </c>
      <c r="C258" t="s">
        <v>325</v>
      </c>
      <c r="D258" t="s">
        <v>191</v>
      </c>
      <c r="E258" t="s">
        <v>240</v>
      </c>
      <c r="F258">
        <v>5921</v>
      </c>
      <c r="G258">
        <v>1</v>
      </c>
      <c r="H258" t="s">
        <v>16</v>
      </c>
      <c r="I258" t="s">
        <v>326</v>
      </c>
      <c r="J258" s="1">
        <v>-4916300</v>
      </c>
      <c r="K258">
        <v>6</v>
      </c>
      <c r="L258">
        <v>1074</v>
      </c>
      <c r="M258" t="s">
        <v>16</v>
      </c>
    </row>
    <row r="259" spans="1:13" x14ac:dyDescent="0.35">
      <c r="A259">
        <v>150650</v>
      </c>
      <c r="B259">
        <v>4642</v>
      </c>
      <c r="C259" t="s">
        <v>327</v>
      </c>
      <c r="D259" t="s">
        <v>191</v>
      </c>
      <c r="E259" t="s">
        <v>237</v>
      </c>
      <c r="F259">
        <v>51763</v>
      </c>
      <c r="G259">
        <v>2</v>
      </c>
      <c r="H259" t="s">
        <v>16</v>
      </c>
      <c r="I259" s="1">
        <v>-129900</v>
      </c>
      <c r="J259" s="1">
        <v>-4816100</v>
      </c>
      <c r="K259">
        <v>24</v>
      </c>
      <c r="L259">
        <v>717</v>
      </c>
      <c r="M259" t="s">
        <v>16</v>
      </c>
    </row>
    <row r="260" spans="1:13" x14ac:dyDescent="0.35">
      <c r="A260">
        <v>150655</v>
      </c>
      <c r="B260">
        <v>49441</v>
      </c>
      <c r="C260" t="s">
        <v>328</v>
      </c>
      <c r="D260" t="s">
        <v>191</v>
      </c>
      <c r="E260" t="s">
        <v>215</v>
      </c>
      <c r="F260">
        <v>18123</v>
      </c>
      <c r="G260">
        <v>1</v>
      </c>
      <c r="H260" t="s">
        <v>16</v>
      </c>
      <c r="I260" s="1">
        <v>-151700</v>
      </c>
      <c r="J260" s="1">
        <v>-4694200</v>
      </c>
      <c r="K260">
        <v>0</v>
      </c>
      <c r="L260">
        <v>1350</v>
      </c>
      <c r="M260" t="s">
        <v>16</v>
      </c>
    </row>
    <row r="261" spans="1:13" x14ac:dyDescent="0.35">
      <c r="A261">
        <v>150658</v>
      </c>
      <c r="B261">
        <v>28207</v>
      </c>
      <c r="C261" t="s">
        <v>329</v>
      </c>
      <c r="D261" t="s">
        <v>191</v>
      </c>
      <c r="E261" t="s">
        <v>251</v>
      </c>
      <c r="F261">
        <v>16012</v>
      </c>
      <c r="G261">
        <v>1</v>
      </c>
      <c r="H261" t="s">
        <v>16</v>
      </c>
      <c r="I261" s="1">
        <v>-885500</v>
      </c>
      <c r="J261" s="1">
        <v>-4972200</v>
      </c>
      <c r="K261">
        <v>150</v>
      </c>
      <c r="L261">
        <v>10330</v>
      </c>
      <c r="M261" t="s">
        <v>16</v>
      </c>
    </row>
    <row r="262" spans="1:13" x14ac:dyDescent="0.35">
      <c r="A262">
        <v>150660</v>
      </c>
      <c r="B262">
        <v>4650</v>
      </c>
      <c r="C262" t="s">
        <v>330</v>
      </c>
      <c r="D262" t="s">
        <v>191</v>
      </c>
      <c r="E262" t="s">
        <v>213</v>
      </c>
      <c r="F262">
        <v>22147</v>
      </c>
      <c r="G262">
        <v>1</v>
      </c>
      <c r="H262" t="s">
        <v>16</v>
      </c>
      <c r="I262" s="1">
        <v>-135200</v>
      </c>
      <c r="J262" s="1">
        <v>-4757600</v>
      </c>
      <c r="K262">
        <v>51</v>
      </c>
      <c r="L262">
        <v>457</v>
      </c>
      <c r="M262" t="s">
        <v>16</v>
      </c>
    </row>
    <row r="263" spans="1:13" x14ac:dyDescent="0.35">
      <c r="A263">
        <v>150670</v>
      </c>
      <c r="B263">
        <v>4669</v>
      </c>
      <c r="C263" t="s">
        <v>331</v>
      </c>
      <c r="D263" t="s">
        <v>191</v>
      </c>
      <c r="E263" t="s">
        <v>251</v>
      </c>
      <c r="F263">
        <v>49053</v>
      </c>
      <c r="G263">
        <v>1</v>
      </c>
      <c r="H263" t="s">
        <v>16</v>
      </c>
      <c r="I263" s="1">
        <v>-950500</v>
      </c>
      <c r="J263" s="1">
        <v>-5062500</v>
      </c>
      <c r="K263">
        <v>160</v>
      </c>
      <c r="L263">
        <v>11591</v>
      </c>
      <c r="M263" t="s">
        <v>16</v>
      </c>
    </row>
    <row r="264" spans="1:13" x14ac:dyDescent="0.35">
      <c r="A264">
        <v>150680</v>
      </c>
      <c r="B264">
        <v>4677</v>
      </c>
      <c r="C264" t="s">
        <v>332</v>
      </c>
      <c r="D264" t="s">
        <v>191</v>
      </c>
      <c r="E264" t="s">
        <v>203</v>
      </c>
      <c r="F264">
        <v>274285</v>
      </c>
      <c r="G264">
        <v>3</v>
      </c>
      <c r="H264" t="s">
        <v>16</v>
      </c>
      <c r="I264" s="1">
        <v>-244300</v>
      </c>
      <c r="J264" s="1">
        <v>-5470800</v>
      </c>
      <c r="K264">
        <v>51</v>
      </c>
      <c r="L264">
        <v>22887</v>
      </c>
      <c r="M264" t="s">
        <v>16</v>
      </c>
    </row>
    <row r="265" spans="1:13" x14ac:dyDescent="0.35">
      <c r="A265">
        <v>150690</v>
      </c>
      <c r="B265">
        <v>4685</v>
      </c>
      <c r="C265" t="s">
        <v>333</v>
      </c>
      <c r="D265" t="s">
        <v>191</v>
      </c>
      <c r="E265" t="s">
        <v>213</v>
      </c>
      <c r="F265">
        <v>6007</v>
      </c>
      <c r="G265">
        <v>1</v>
      </c>
      <c r="H265" t="s">
        <v>16</v>
      </c>
      <c r="I265" t="s">
        <v>334</v>
      </c>
      <c r="J265" s="1">
        <v>-4739700</v>
      </c>
      <c r="K265">
        <v>30</v>
      </c>
      <c r="L265">
        <v>229</v>
      </c>
      <c r="M265" t="s">
        <v>16</v>
      </c>
    </row>
    <row r="266" spans="1:13" x14ac:dyDescent="0.35">
      <c r="A266">
        <v>150700</v>
      </c>
      <c r="B266">
        <v>4693</v>
      </c>
      <c r="C266" t="s">
        <v>335</v>
      </c>
      <c r="D266" t="s">
        <v>191</v>
      </c>
      <c r="E266" t="s">
        <v>237</v>
      </c>
      <c r="F266">
        <v>24814</v>
      </c>
      <c r="G266">
        <v>1</v>
      </c>
      <c r="H266" t="s">
        <v>16</v>
      </c>
      <c r="I266" s="1">
        <v>-115200</v>
      </c>
      <c r="J266" s="1">
        <v>-4812900</v>
      </c>
      <c r="K266">
        <v>17</v>
      </c>
      <c r="L266">
        <v>537</v>
      </c>
      <c r="M266" t="s">
        <v>16</v>
      </c>
    </row>
    <row r="267" spans="1:13" x14ac:dyDescent="0.35">
      <c r="A267">
        <v>150710</v>
      </c>
      <c r="B267">
        <v>4707</v>
      </c>
      <c r="C267" t="s">
        <v>336</v>
      </c>
      <c r="D267" t="s">
        <v>191</v>
      </c>
      <c r="E267" t="s">
        <v>248</v>
      </c>
      <c r="F267">
        <v>16179</v>
      </c>
      <c r="G267">
        <v>1</v>
      </c>
      <c r="H267" t="s">
        <v>16</v>
      </c>
      <c r="I267" t="s">
        <v>337</v>
      </c>
      <c r="J267" s="1">
        <v>-4802000</v>
      </c>
      <c r="K267">
        <v>5</v>
      </c>
      <c r="L267">
        <v>748</v>
      </c>
      <c r="M267" t="s">
        <v>16</v>
      </c>
    </row>
    <row r="268" spans="1:13" x14ac:dyDescent="0.35">
      <c r="A268">
        <v>150715</v>
      </c>
      <c r="B268">
        <v>49450</v>
      </c>
      <c r="C268" t="s">
        <v>338</v>
      </c>
      <c r="D268" t="s">
        <v>191</v>
      </c>
      <c r="E268" t="s">
        <v>232</v>
      </c>
      <c r="F268">
        <v>21094</v>
      </c>
      <c r="G268">
        <v>1</v>
      </c>
      <c r="H268" t="s">
        <v>16</v>
      </c>
      <c r="I268" s="1">
        <v>-553800</v>
      </c>
      <c r="J268" s="1">
        <v>-4873300</v>
      </c>
      <c r="K268">
        <v>130</v>
      </c>
      <c r="L268">
        <v>1392</v>
      </c>
      <c r="M268" t="s">
        <v>16</v>
      </c>
    </row>
    <row r="269" spans="1:13" x14ac:dyDescent="0.35">
      <c r="A269">
        <v>150720</v>
      </c>
      <c r="B269">
        <v>4715</v>
      </c>
      <c r="C269" t="s">
        <v>339</v>
      </c>
      <c r="D269" t="s">
        <v>191</v>
      </c>
      <c r="E269" t="s">
        <v>215</v>
      </c>
      <c r="F269">
        <v>27094</v>
      </c>
      <c r="G269">
        <v>1</v>
      </c>
      <c r="H269" t="s">
        <v>16</v>
      </c>
      <c r="I269" s="1">
        <v>-167500</v>
      </c>
      <c r="J269" s="1">
        <v>-4777500</v>
      </c>
      <c r="K269">
        <v>20</v>
      </c>
      <c r="L269">
        <v>1677</v>
      </c>
      <c r="M269" t="s">
        <v>16</v>
      </c>
    </row>
    <row r="270" spans="1:13" x14ac:dyDescent="0.35">
      <c r="A270">
        <v>150730</v>
      </c>
      <c r="B270">
        <v>4723</v>
      </c>
      <c r="C270" t="s">
        <v>340</v>
      </c>
      <c r="D270" t="s">
        <v>191</v>
      </c>
      <c r="E270" t="s">
        <v>222</v>
      </c>
      <c r="F270">
        <v>59238</v>
      </c>
      <c r="G270">
        <v>2</v>
      </c>
      <c r="H270" t="s">
        <v>16</v>
      </c>
      <c r="I270" s="1">
        <v>-664500</v>
      </c>
      <c r="J270" s="1">
        <v>-5199500</v>
      </c>
      <c r="K270">
        <v>220</v>
      </c>
      <c r="L270">
        <v>84212</v>
      </c>
      <c r="M270" t="s">
        <v>16</v>
      </c>
    </row>
    <row r="271" spans="1:13" x14ac:dyDescent="0.35">
      <c r="A271">
        <v>150740</v>
      </c>
      <c r="B271">
        <v>4731</v>
      </c>
      <c r="C271" t="s">
        <v>341</v>
      </c>
      <c r="D271" t="s">
        <v>191</v>
      </c>
      <c r="E271" t="s">
        <v>213</v>
      </c>
      <c r="F271">
        <v>11913</v>
      </c>
      <c r="G271">
        <v>1</v>
      </c>
      <c r="H271" t="s">
        <v>16</v>
      </c>
      <c r="I271" s="1">
        <v>-116900</v>
      </c>
      <c r="J271" s="1">
        <v>-4779500</v>
      </c>
      <c r="K271">
        <v>46</v>
      </c>
      <c r="L271">
        <v>479</v>
      </c>
      <c r="M271" t="s">
        <v>16</v>
      </c>
    </row>
    <row r="272" spans="1:13" x14ac:dyDescent="0.35">
      <c r="A272">
        <v>150745</v>
      </c>
      <c r="B272">
        <v>28215</v>
      </c>
      <c r="C272" t="s">
        <v>342</v>
      </c>
      <c r="D272" t="s">
        <v>191</v>
      </c>
      <c r="E272" t="s">
        <v>305</v>
      </c>
      <c r="F272">
        <v>24872</v>
      </c>
      <c r="G272">
        <v>1</v>
      </c>
      <c r="H272" t="s">
        <v>16</v>
      </c>
      <c r="I272" s="1">
        <v>-640100</v>
      </c>
      <c r="J272" s="1">
        <v>-4855500</v>
      </c>
      <c r="K272">
        <v>145</v>
      </c>
      <c r="L272">
        <v>3269</v>
      </c>
      <c r="M272" t="s">
        <v>16</v>
      </c>
    </row>
    <row r="273" spans="1:13" x14ac:dyDescent="0.35">
      <c r="A273">
        <v>150746</v>
      </c>
      <c r="B273">
        <v>57037</v>
      </c>
      <c r="C273" t="s">
        <v>343</v>
      </c>
      <c r="D273" t="s">
        <v>191</v>
      </c>
      <c r="E273" t="s">
        <v>248</v>
      </c>
      <c r="F273">
        <v>4715</v>
      </c>
      <c r="G273">
        <v>1</v>
      </c>
      <c r="H273" t="s">
        <v>16</v>
      </c>
      <c r="I273" t="s">
        <v>344</v>
      </c>
      <c r="J273" s="1">
        <v>-4792000</v>
      </c>
      <c r="K273">
        <v>34</v>
      </c>
      <c r="L273">
        <v>195</v>
      </c>
      <c r="M273" t="s">
        <v>16</v>
      </c>
    </row>
    <row r="274" spans="1:13" x14ac:dyDescent="0.35">
      <c r="A274">
        <v>150747</v>
      </c>
      <c r="B274">
        <v>28223</v>
      </c>
      <c r="C274" t="s">
        <v>345</v>
      </c>
      <c r="D274" t="s">
        <v>191</v>
      </c>
      <c r="E274" t="s">
        <v>248</v>
      </c>
      <c r="F274">
        <v>18919</v>
      </c>
      <c r="G274">
        <v>1</v>
      </c>
      <c r="H274" t="s">
        <v>16</v>
      </c>
      <c r="I274" t="s">
        <v>346</v>
      </c>
      <c r="J274" s="1">
        <v>-4717400</v>
      </c>
      <c r="K274">
        <v>35</v>
      </c>
      <c r="L274">
        <v>701</v>
      </c>
      <c r="M274" t="s">
        <v>16</v>
      </c>
    </row>
    <row r="275" spans="1:13" x14ac:dyDescent="0.35">
      <c r="A275">
        <v>150750</v>
      </c>
      <c r="B275">
        <v>4740</v>
      </c>
      <c r="C275" t="s">
        <v>347</v>
      </c>
      <c r="D275" t="s">
        <v>191</v>
      </c>
      <c r="E275" t="s">
        <v>232</v>
      </c>
      <c r="F275">
        <v>11673</v>
      </c>
      <c r="G275">
        <v>1</v>
      </c>
      <c r="H275" t="s">
        <v>16</v>
      </c>
      <c r="I275" s="1">
        <v>-535800</v>
      </c>
      <c r="J275" s="1">
        <v>-4879100</v>
      </c>
      <c r="K275">
        <v>99</v>
      </c>
      <c r="L275">
        <v>1280</v>
      </c>
      <c r="M275" t="s">
        <v>16</v>
      </c>
    </row>
    <row r="276" spans="1:13" x14ac:dyDescent="0.35">
      <c r="A276">
        <v>150760</v>
      </c>
      <c r="B276">
        <v>4758</v>
      </c>
      <c r="C276" t="s">
        <v>348</v>
      </c>
      <c r="D276" t="s">
        <v>191</v>
      </c>
      <c r="E276" t="s">
        <v>215</v>
      </c>
      <c r="F276">
        <v>42987</v>
      </c>
      <c r="G276">
        <v>1</v>
      </c>
      <c r="H276" t="s">
        <v>16</v>
      </c>
      <c r="I276" s="1">
        <v>-162700</v>
      </c>
      <c r="J276" s="1">
        <v>-4748300</v>
      </c>
      <c r="K276">
        <v>10</v>
      </c>
      <c r="L276">
        <v>1110</v>
      </c>
      <c r="M276" t="s">
        <v>16</v>
      </c>
    </row>
    <row r="277" spans="1:13" x14ac:dyDescent="0.35">
      <c r="A277">
        <v>150770</v>
      </c>
      <c r="B277">
        <v>4766</v>
      </c>
      <c r="C277" t="s">
        <v>349</v>
      </c>
      <c r="D277" t="s">
        <v>191</v>
      </c>
      <c r="E277" t="s">
        <v>198</v>
      </c>
      <c r="F277">
        <v>20500</v>
      </c>
      <c r="G277">
        <v>1</v>
      </c>
      <c r="H277" t="s">
        <v>16</v>
      </c>
      <c r="I277" s="1">
        <v>-171800</v>
      </c>
      <c r="J277" s="1">
        <v>-4954100</v>
      </c>
      <c r="K277">
        <v>2</v>
      </c>
      <c r="L277">
        <v>1632</v>
      </c>
      <c r="M277" t="s">
        <v>16</v>
      </c>
    </row>
    <row r="278" spans="1:13" x14ac:dyDescent="0.35">
      <c r="A278">
        <v>150775</v>
      </c>
      <c r="B278">
        <v>57045</v>
      </c>
      <c r="C278" t="s">
        <v>350</v>
      </c>
      <c r="D278" t="s">
        <v>191</v>
      </c>
      <c r="E278" t="s">
        <v>305</v>
      </c>
      <c r="F278">
        <v>5117</v>
      </c>
      <c r="G278">
        <v>1</v>
      </c>
      <c r="H278" t="s">
        <v>16</v>
      </c>
      <c r="I278" s="1">
        <v>-694700</v>
      </c>
      <c r="J278" s="1">
        <v>-4968200</v>
      </c>
      <c r="K278">
        <v>190</v>
      </c>
      <c r="L278">
        <v>1298</v>
      </c>
      <c r="M278" t="s">
        <v>16</v>
      </c>
    </row>
    <row r="279" spans="1:13" x14ac:dyDescent="0.35">
      <c r="A279">
        <v>150780</v>
      </c>
      <c r="B279">
        <v>4774</v>
      </c>
      <c r="C279" t="s">
        <v>351</v>
      </c>
      <c r="D279" t="s">
        <v>191</v>
      </c>
      <c r="E279" t="s">
        <v>205</v>
      </c>
      <c r="F279">
        <v>14302</v>
      </c>
      <c r="G279">
        <v>1</v>
      </c>
      <c r="H279" t="s">
        <v>16</v>
      </c>
      <c r="I279" s="1">
        <v>-259100</v>
      </c>
      <c r="J279" s="1">
        <v>-5195400</v>
      </c>
      <c r="K279">
        <v>20</v>
      </c>
      <c r="L279">
        <v>14374</v>
      </c>
      <c r="M279" t="s">
        <v>16</v>
      </c>
    </row>
    <row r="280" spans="1:13" x14ac:dyDescent="0.35">
      <c r="A280">
        <v>150790</v>
      </c>
      <c r="B280">
        <v>4782</v>
      </c>
      <c r="C280" t="s">
        <v>352</v>
      </c>
      <c r="D280" t="s">
        <v>191</v>
      </c>
      <c r="E280" t="s">
        <v>240</v>
      </c>
      <c r="F280">
        <v>21395</v>
      </c>
      <c r="G280">
        <v>1</v>
      </c>
      <c r="H280" t="s">
        <v>16</v>
      </c>
      <c r="I280" t="s">
        <v>353</v>
      </c>
      <c r="J280" s="1">
        <v>-4852300</v>
      </c>
      <c r="K280">
        <v>10</v>
      </c>
      <c r="L280">
        <v>3512</v>
      </c>
      <c r="M280" t="s">
        <v>16</v>
      </c>
    </row>
    <row r="281" spans="1:13" x14ac:dyDescent="0.35">
      <c r="A281">
        <v>150795</v>
      </c>
      <c r="B281">
        <v>28231</v>
      </c>
      <c r="C281" t="s">
        <v>354</v>
      </c>
      <c r="D281" t="s">
        <v>191</v>
      </c>
      <c r="E281" t="s">
        <v>196</v>
      </c>
      <c r="F281">
        <v>64281</v>
      </c>
      <c r="G281">
        <v>2</v>
      </c>
      <c r="H281" t="s">
        <v>16</v>
      </c>
      <c r="I281" s="1">
        <v>-294700</v>
      </c>
      <c r="J281" s="1">
        <v>-4895300</v>
      </c>
      <c r="K281">
        <v>460</v>
      </c>
      <c r="L281">
        <v>4430</v>
      </c>
      <c r="M281" t="s">
        <v>16</v>
      </c>
    </row>
    <row r="282" spans="1:13" x14ac:dyDescent="0.35">
      <c r="A282">
        <v>150796</v>
      </c>
      <c r="B282">
        <v>49468</v>
      </c>
      <c r="C282" t="s">
        <v>355</v>
      </c>
      <c r="D282" t="s">
        <v>191</v>
      </c>
      <c r="E282" t="s">
        <v>248</v>
      </c>
      <c r="F282">
        <v>9861</v>
      </c>
      <c r="G282">
        <v>1</v>
      </c>
      <c r="H282" t="s">
        <v>16</v>
      </c>
      <c r="I282" s="1">
        <v>-103800</v>
      </c>
      <c r="J282" s="1">
        <v>-4790800</v>
      </c>
      <c r="K282">
        <v>35</v>
      </c>
      <c r="L282">
        <v>206</v>
      </c>
      <c r="M282" t="s">
        <v>16</v>
      </c>
    </row>
    <row r="283" spans="1:13" x14ac:dyDescent="0.35">
      <c r="A283">
        <v>150797</v>
      </c>
      <c r="B283">
        <v>49476</v>
      </c>
      <c r="C283" t="s">
        <v>356</v>
      </c>
      <c r="D283" t="s">
        <v>191</v>
      </c>
      <c r="E283" t="s">
        <v>262</v>
      </c>
      <c r="F283">
        <v>15316</v>
      </c>
      <c r="G283">
        <v>1</v>
      </c>
      <c r="H283" t="s">
        <v>16</v>
      </c>
      <c r="I283" s="1">
        <v>-210400</v>
      </c>
      <c r="J283" s="1">
        <v>-5648700</v>
      </c>
      <c r="K283">
        <v>18</v>
      </c>
      <c r="L283">
        <v>1900</v>
      </c>
      <c r="M283" t="s">
        <v>16</v>
      </c>
    </row>
    <row r="284" spans="1:13" x14ac:dyDescent="0.35">
      <c r="A284">
        <v>150800</v>
      </c>
      <c r="B284">
        <v>4790</v>
      </c>
      <c r="C284" t="s">
        <v>357</v>
      </c>
      <c r="D284" t="s">
        <v>191</v>
      </c>
      <c r="E284" t="s">
        <v>196</v>
      </c>
      <c r="F284">
        <v>47081</v>
      </c>
      <c r="G284">
        <v>1</v>
      </c>
      <c r="H284" t="s">
        <v>16</v>
      </c>
      <c r="I284" s="1">
        <v>-241900</v>
      </c>
      <c r="J284" s="1">
        <v>-4815200</v>
      </c>
      <c r="K284">
        <v>45</v>
      </c>
      <c r="L284">
        <v>5145</v>
      </c>
      <c r="M284" t="s">
        <v>16</v>
      </c>
    </row>
    <row r="285" spans="1:13" x14ac:dyDescent="0.35">
      <c r="A285">
        <v>150803</v>
      </c>
      <c r="B285">
        <v>57053</v>
      </c>
      <c r="C285" t="s">
        <v>358</v>
      </c>
      <c r="D285" t="s">
        <v>191</v>
      </c>
      <c r="E285" t="s">
        <v>213</v>
      </c>
      <c r="F285">
        <v>26129</v>
      </c>
      <c r="G285">
        <v>1</v>
      </c>
      <c r="H285" t="s">
        <v>16</v>
      </c>
      <c r="I285" s="1">
        <v>-107200</v>
      </c>
      <c r="J285" s="1">
        <v>-4689700</v>
      </c>
      <c r="K285">
        <v>20</v>
      </c>
      <c r="L285">
        <v>852</v>
      </c>
      <c r="M285" t="s">
        <v>16</v>
      </c>
    </row>
    <row r="286" spans="1:13" x14ac:dyDescent="0.35">
      <c r="A286">
        <v>150805</v>
      </c>
      <c r="B286">
        <v>49484</v>
      </c>
      <c r="C286" t="s">
        <v>359</v>
      </c>
      <c r="D286" t="s">
        <v>191</v>
      </c>
      <c r="E286" t="s">
        <v>217</v>
      </c>
      <c r="F286">
        <v>16097</v>
      </c>
      <c r="G286">
        <v>1</v>
      </c>
      <c r="H286" t="s">
        <v>16</v>
      </c>
      <c r="I286" s="1">
        <v>-457400</v>
      </c>
      <c r="J286" s="1">
        <v>-5594400</v>
      </c>
      <c r="K286">
        <v>105</v>
      </c>
      <c r="L286">
        <v>11991</v>
      </c>
      <c r="M286" t="s">
        <v>16</v>
      </c>
    </row>
    <row r="287" spans="1:13" x14ac:dyDescent="0.35">
      <c r="A287">
        <v>150808</v>
      </c>
      <c r="B287">
        <v>28240</v>
      </c>
      <c r="C287" t="s">
        <v>360</v>
      </c>
      <c r="D287" t="s">
        <v>191</v>
      </c>
      <c r="E287" t="s">
        <v>222</v>
      </c>
      <c r="F287">
        <v>26513</v>
      </c>
      <c r="G287">
        <v>1</v>
      </c>
      <c r="H287" t="s">
        <v>16</v>
      </c>
      <c r="I287" s="1">
        <v>-674800</v>
      </c>
      <c r="J287" s="1">
        <v>-5116100</v>
      </c>
      <c r="K287">
        <v>34</v>
      </c>
      <c r="L287">
        <v>2512</v>
      </c>
      <c r="M287" t="s">
        <v>16</v>
      </c>
    </row>
    <row r="288" spans="1:13" x14ac:dyDescent="0.35">
      <c r="A288">
        <v>150810</v>
      </c>
      <c r="B288">
        <v>4804</v>
      </c>
      <c r="C288" t="s">
        <v>361</v>
      </c>
      <c r="D288" t="s">
        <v>191</v>
      </c>
      <c r="E288" t="s">
        <v>234</v>
      </c>
      <c r="F288">
        <v>89264</v>
      </c>
      <c r="G288">
        <v>2</v>
      </c>
      <c r="H288" t="s">
        <v>16</v>
      </c>
      <c r="I288" s="1">
        <v>-376800</v>
      </c>
      <c r="J288" s="1">
        <v>-4967300</v>
      </c>
      <c r="K288">
        <v>42</v>
      </c>
      <c r="L288">
        <v>2086</v>
      </c>
      <c r="M288" t="s">
        <v>16</v>
      </c>
    </row>
    <row r="289" spans="1:13" x14ac:dyDescent="0.35">
      <c r="A289">
        <v>150812</v>
      </c>
      <c r="B289">
        <v>49492</v>
      </c>
      <c r="C289" t="s">
        <v>362</v>
      </c>
      <c r="D289" t="s">
        <v>191</v>
      </c>
      <c r="E289" t="s">
        <v>194</v>
      </c>
      <c r="F289">
        <v>50000</v>
      </c>
      <c r="G289">
        <v>2</v>
      </c>
      <c r="H289" t="s">
        <v>16</v>
      </c>
      <c r="I289" s="1">
        <v>-375600</v>
      </c>
      <c r="J289" s="1">
        <v>-4750100</v>
      </c>
      <c r="K289">
        <v>130</v>
      </c>
      <c r="L289">
        <v>5081</v>
      </c>
      <c r="M289" t="s">
        <v>16</v>
      </c>
    </row>
    <row r="290" spans="1:13" x14ac:dyDescent="0.35">
      <c r="A290">
        <v>150815</v>
      </c>
      <c r="B290">
        <v>28258</v>
      </c>
      <c r="C290" t="s">
        <v>363</v>
      </c>
      <c r="D290" t="s">
        <v>191</v>
      </c>
      <c r="E290" t="s">
        <v>205</v>
      </c>
      <c r="F290">
        <v>50000</v>
      </c>
      <c r="G290">
        <v>1</v>
      </c>
      <c r="H290" t="s">
        <v>16</v>
      </c>
      <c r="I290" s="1">
        <v>-371800</v>
      </c>
      <c r="J290" s="1">
        <v>-5373700</v>
      </c>
      <c r="K290">
        <v>129</v>
      </c>
      <c r="L290">
        <v>10791</v>
      </c>
      <c r="M290" t="s">
        <v>16</v>
      </c>
    </row>
    <row r="291" spans="1:13" x14ac:dyDescent="0.35">
      <c r="A291">
        <v>150820</v>
      </c>
      <c r="B291">
        <v>4812</v>
      </c>
      <c r="C291" t="s">
        <v>364</v>
      </c>
      <c r="D291" t="s">
        <v>191</v>
      </c>
      <c r="E291" t="s">
        <v>248</v>
      </c>
      <c r="F291">
        <v>43847</v>
      </c>
      <c r="G291">
        <v>1</v>
      </c>
      <c r="H291" t="s">
        <v>16</v>
      </c>
      <c r="I291" t="s">
        <v>365</v>
      </c>
      <c r="J291" s="1">
        <v>-4814200</v>
      </c>
      <c r="K291">
        <v>6</v>
      </c>
      <c r="L291">
        <v>533</v>
      </c>
      <c r="M291" t="s">
        <v>16</v>
      </c>
    </row>
    <row r="292" spans="1:13" x14ac:dyDescent="0.35">
      <c r="A292">
        <v>150830</v>
      </c>
      <c r="B292">
        <v>4820</v>
      </c>
      <c r="C292" t="s">
        <v>366</v>
      </c>
      <c r="D292" t="s">
        <v>191</v>
      </c>
      <c r="E292" t="s">
        <v>215</v>
      </c>
      <c r="F292">
        <v>53217</v>
      </c>
      <c r="G292">
        <v>2</v>
      </c>
      <c r="H292" t="s">
        <v>16</v>
      </c>
      <c r="I292" s="1">
        <v>-119700</v>
      </c>
      <c r="J292" s="1">
        <v>-4614000</v>
      </c>
      <c r="K292">
        <v>15</v>
      </c>
      <c r="L292">
        <v>4904</v>
      </c>
      <c r="M292" t="s">
        <v>16</v>
      </c>
    </row>
    <row r="293" spans="1:13" x14ac:dyDescent="0.35">
      <c r="A293">
        <v>150835</v>
      </c>
      <c r="B293">
        <v>49506</v>
      </c>
      <c r="C293" t="s">
        <v>367</v>
      </c>
      <c r="D293" t="s">
        <v>191</v>
      </c>
      <c r="E293" t="s">
        <v>205</v>
      </c>
      <c r="F293">
        <v>9693</v>
      </c>
      <c r="G293">
        <v>1</v>
      </c>
      <c r="H293" t="s">
        <v>16</v>
      </c>
      <c r="I293" s="1">
        <v>-288000</v>
      </c>
      <c r="J293" s="1">
        <v>-5201000</v>
      </c>
      <c r="K293">
        <v>0</v>
      </c>
      <c r="L293">
        <v>2966</v>
      </c>
      <c r="M293" t="s">
        <v>16</v>
      </c>
    </row>
    <row r="294" spans="1:13" x14ac:dyDescent="0.35">
      <c r="A294">
        <v>150840</v>
      </c>
      <c r="B294">
        <v>4863</v>
      </c>
      <c r="C294" t="s">
        <v>368</v>
      </c>
      <c r="D294" t="s">
        <v>191</v>
      </c>
      <c r="E294" t="s">
        <v>305</v>
      </c>
      <c r="F294">
        <v>38457</v>
      </c>
      <c r="G294">
        <v>1</v>
      </c>
      <c r="H294" t="s">
        <v>16</v>
      </c>
      <c r="I294" s="1">
        <v>-709500</v>
      </c>
      <c r="J294" s="1">
        <v>-4994600</v>
      </c>
      <c r="K294">
        <v>279</v>
      </c>
      <c r="L294">
        <v>3779</v>
      </c>
      <c r="M294" t="s">
        <v>16</v>
      </c>
    </row>
    <row r="295" spans="1:13" x14ac:dyDescent="0.35">
      <c r="A295">
        <v>160005</v>
      </c>
      <c r="B295">
        <v>53538</v>
      </c>
      <c r="C295" t="s">
        <v>369</v>
      </c>
      <c r="D295" t="s">
        <v>370</v>
      </c>
      <c r="E295" t="s">
        <v>371</v>
      </c>
      <c r="F295">
        <v>3772</v>
      </c>
      <c r="G295">
        <v>1</v>
      </c>
      <c r="H295" t="s">
        <v>16</v>
      </c>
      <c r="I295" t="s">
        <v>372</v>
      </c>
      <c r="J295" s="1">
        <v>-5200200</v>
      </c>
      <c r="K295">
        <v>0</v>
      </c>
      <c r="L295">
        <v>7756</v>
      </c>
      <c r="M295" t="s">
        <v>16</v>
      </c>
    </row>
    <row r="296" spans="1:13" x14ac:dyDescent="0.35">
      <c r="A296">
        <v>160010</v>
      </c>
      <c r="B296">
        <v>3212</v>
      </c>
      <c r="C296" t="s">
        <v>373</v>
      </c>
      <c r="D296" t="s">
        <v>370</v>
      </c>
      <c r="E296" t="s">
        <v>374</v>
      </c>
      <c r="F296">
        <v>7492</v>
      </c>
      <c r="G296">
        <v>1</v>
      </c>
      <c r="H296" t="s">
        <v>16</v>
      </c>
      <c r="I296" s="1">
        <v>205300</v>
      </c>
      <c r="J296" s="1">
        <v>-5079300</v>
      </c>
      <c r="K296">
        <v>8</v>
      </c>
      <c r="L296">
        <v>9168</v>
      </c>
      <c r="M296" t="s">
        <v>16</v>
      </c>
    </row>
    <row r="297" spans="1:13" x14ac:dyDescent="0.35">
      <c r="A297">
        <v>160015</v>
      </c>
      <c r="B297">
        <v>49522</v>
      </c>
      <c r="C297" t="s">
        <v>375</v>
      </c>
      <c r="D297" t="s">
        <v>370</v>
      </c>
      <c r="E297" t="s">
        <v>371</v>
      </c>
      <c r="F297">
        <v>7332</v>
      </c>
      <c r="G297">
        <v>1</v>
      </c>
      <c r="H297" t="s">
        <v>16</v>
      </c>
      <c r="I297" t="s">
        <v>376</v>
      </c>
      <c r="J297" s="1">
        <v>-5194400</v>
      </c>
      <c r="K297">
        <v>0</v>
      </c>
      <c r="L297">
        <v>9495</v>
      </c>
      <c r="M297" t="s">
        <v>16</v>
      </c>
    </row>
    <row r="298" spans="1:13" x14ac:dyDescent="0.35">
      <c r="A298">
        <v>160020</v>
      </c>
      <c r="B298">
        <v>3220</v>
      </c>
      <c r="C298" t="s">
        <v>377</v>
      </c>
      <c r="D298" t="s">
        <v>370</v>
      </c>
      <c r="E298" t="s">
        <v>378</v>
      </c>
      <c r="F298">
        <v>8656</v>
      </c>
      <c r="G298">
        <v>1</v>
      </c>
      <c r="H298" t="s">
        <v>16</v>
      </c>
      <c r="I298" s="1">
        <v>249800</v>
      </c>
      <c r="J298" s="1">
        <v>-5094900</v>
      </c>
      <c r="K298">
        <v>12</v>
      </c>
      <c r="L298">
        <v>14269</v>
      </c>
      <c r="M298" t="s">
        <v>16</v>
      </c>
    </row>
    <row r="299" spans="1:13" x14ac:dyDescent="0.35">
      <c r="A299">
        <v>160021</v>
      </c>
      <c r="B299">
        <v>49530</v>
      </c>
      <c r="C299" t="s">
        <v>379</v>
      </c>
      <c r="D299" t="s">
        <v>370</v>
      </c>
      <c r="E299" t="s">
        <v>371</v>
      </c>
      <c r="F299">
        <v>4320</v>
      </c>
      <c r="G299">
        <v>1</v>
      </c>
      <c r="H299" t="s">
        <v>16</v>
      </c>
      <c r="I299" t="s">
        <v>380</v>
      </c>
      <c r="J299" s="1">
        <v>-5080200</v>
      </c>
      <c r="K299">
        <v>0</v>
      </c>
      <c r="L299">
        <v>2114</v>
      </c>
      <c r="M299" t="s">
        <v>16</v>
      </c>
    </row>
    <row r="300" spans="1:13" x14ac:dyDescent="0.35">
      <c r="A300">
        <v>160023</v>
      </c>
      <c r="B300">
        <v>28266</v>
      </c>
      <c r="C300" t="s">
        <v>381</v>
      </c>
      <c r="D300" t="s">
        <v>370</v>
      </c>
      <c r="E300" t="s">
        <v>371</v>
      </c>
      <c r="F300">
        <v>5040</v>
      </c>
      <c r="G300">
        <v>1</v>
      </c>
      <c r="H300" t="s">
        <v>16</v>
      </c>
      <c r="I300" t="s">
        <v>382</v>
      </c>
      <c r="J300" s="1">
        <v>-5118000</v>
      </c>
      <c r="K300">
        <v>50</v>
      </c>
      <c r="L300">
        <v>5046</v>
      </c>
      <c r="M300" t="s">
        <v>16</v>
      </c>
    </row>
    <row r="301" spans="1:13" x14ac:dyDescent="0.35">
      <c r="A301">
        <v>160025</v>
      </c>
      <c r="B301">
        <v>49549</v>
      </c>
      <c r="C301" t="s">
        <v>383</v>
      </c>
      <c r="D301" t="s">
        <v>370</v>
      </c>
      <c r="E301" t="s">
        <v>371</v>
      </c>
      <c r="F301">
        <v>3439</v>
      </c>
      <c r="G301">
        <v>1</v>
      </c>
      <c r="H301" t="s">
        <v>16</v>
      </c>
      <c r="I301" t="s">
        <v>384</v>
      </c>
      <c r="J301" s="1">
        <v>-5067100</v>
      </c>
      <c r="K301">
        <v>27</v>
      </c>
      <c r="L301">
        <v>1703</v>
      </c>
      <c r="M301" t="s">
        <v>16</v>
      </c>
    </row>
    <row r="302" spans="1:13" x14ac:dyDescent="0.35">
      <c r="A302">
        <v>160027</v>
      </c>
      <c r="B302">
        <v>28274</v>
      </c>
      <c r="C302" t="s">
        <v>385</v>
      </c>
      <c r="D302" t="s">
        <v>370</v>
      </c>
      <c r="E302" t="s">
        <v>386</v>
      </c>
      <c r="F302">
        <v>37491</v>
      </c>
      <c r="G302">
        <v>1</v>
      </c>
      <c r="H302" t="s">
        <v>16</v>
      </c>
      <c r="I302" t="s">
        <v>387</v>
      </c>
      <c r="J302" s="1">
        <v>-5251600</v>
      </c>
      <c r="K302">
        <v>22</v>
      </c>
      <c r="L302">
        <v>30966</v>
      </c>
      <c r="M302" t="s">
        <v>16</v>
      </c>
    </row>
    <row r="303" spans="1:13" x14ac:dyDescent="0.35">
      <c r="A303">
        <v>160030</v>
      </c>
      <c r="B303">
        <v>3204</v>
      </c>
      <c r="C303" t="s">
        <v>388</v>
      </c>
      <c r="D303" t="s">
        <v>370</v>
      </c>
      <c r="E303" t="s">
        <v>371</v>
      </c>
      <c r="F303">
        <v>344153</v>
      </c>
      <c r="G303">
        <v>5</v>
      </c>
      <c r="H303" t="s">
        <v>389</v>
      </c>
      <c r="I303" t="s">
        <v>390</v>
      </c>
      <c r="J303" s="1">
        <v>-5106600</v>
      </c>
      <c r="K303">
        <v>16</v>
      </c>
      <c r="L303">
        <v>6407</v>
      </c>
      <c r="M303" t="s">
        <v>16</v>
      </c>
    </row>
    <row r="304" spans="1:13" x14ac:dyDescent="0.35">
      <c r="A304">
        <v>160040</v>
      </c>
      <c r="B304">
        <v>3239</v>
      </c>
      <c r="C304" t="s">
        <v>391</v>
      </c>
      <c r="D304" t="s">
        <v>370</v>
      </c>
      <c r="E304" t="s">
        <v>386</v>
      </c>
      <c r="F304">
        <v>13862</v>
      </c>
      <c r="G304">
        <v>1</v>
      </c>
      <c r="H304" t="s">
        <v>16</v>
      </c>
      <c r="I304" t="s">
        <v>392</v>
      </c>
      <c r="J304" s="1">
        <v>-5128900</v>
      </c>
      <c r="K304">
        <v>60</v>
      </c>
      <c r="L304">
        <v>13130</v>
      </c>
      <c r="M304" t="s">
        <v>16</v>
      </c>
    </row>
    <row r="305" spans="1:13" x14ac:dyDescent="0.35">
      <c r="A305">
        <v>160050</v>
      </c>
      <c r="B305">
        <v>3247</v>
      </c>
      <c r="C305" t="s">
        <v>378</v>
      </c>
      <c r="D305" t="s">
        <v>370</v>
      </c>
      <c r="E305" t="s">
        <v>378</v>
      </c>
      <c r="F305">
        <v>19181</v>
      </c>
      <c r="G305">
        <v>1</v>
      </c>
      <c r="H305" t="s">
        <v>16</v>
      </c>
      <c r="I305" s="1">
        <v>384300</v>
      </c>
      <c r="J305" s="1">
        <v>-5183500</v>
      </c>
      <c r="K305">
        <v>10</v>
      </c>
      <c r="L305">
        <v>22625</v>
      </c>
      <c r="M305" t="s">
        <v>16</v>
      </c>
    </row>
    <row r="306" spans="1:13" x14ac:dyDescent="0.35">
      <c r="A306">
        <v>160053</v>
      </c>
      <c r="B306">
        <v>49557</v>
      </c>
      <c r="C306" t="s">
        <v>393</v>
      </c>
      <c r="D306" t="s">
        <v>370</v>
      </c>
      <c r="E306" t="s">
        <v>371</v>
      </c>
      <c r="F306">
        <v>13962</v>
      </c>
      <c r="G306">
        <v>1</v>
      </c>
      <c r="H306" t="s">
        <v>16</v>
      </c>
      <c r="I306" t="s">
        <v>394</v>
      </c>
      <c r="J306" s="1">
        <v>-5141300</v>
      </c>
      <c r="K306">
        <v>60</v>
      </c>
      <c r="L306">
        <v>4401</v>
      </c>
      <c r="M306" t="s">
        <v>16</v>
      </c>
    </row>
    <row r="307" spans="1:13" x14ac:dyDescent="0.35">
      <c r="A307">
        <v>160055</v>
      </c>
      <c r="B307">
        <v>49565</v>
      </c>
      <c r="C307" t="s">
        <v>395</v>
      </c>
      <c r="D307" t="s">
        <v>370</v>
      </c>
      <c r="E307" t="s">
        <v>374</v>
      </c>
      <c r="F307">
        <v>3353</v>
      </c>
      <c r="G307">
        <v>1</v>
      </c>
      <c r="H307" t="s">
        <v>16</v>
      </c>
      <c r="I307" s="1">
        <v>174300</v>
      </c>
      <c r="J307" s="1">
        <v>-5079100</v>
      </c>
      <c r="K307">
        <v>0</v>
      </c>
      <c r="L307">
        <v>4956</v>
      </c>
      <c r="M307" t="s">
        <v>16</v>
      </c>
    </row>
    <row r="308" spans="1:13" x14ac:dyDescent="0.35">
      <c r="A308">
        <v>160060</v>
      </c>
      <c r="B308">
        <v>28282</v>
      </c>
      <c r="C308" t="s">
        <v>396</v>
      </c>
      <c r="D308" t="s">
        <v>370</v>
      </c>
      <c r="E308" t="s">
        <v>371</v>
      </c>
      <c r="F308">
        <v>92098</v>
      </c>
      <c r="G308">
        <v>4</v>
      </c>
      <c r="H308" t="s">
        <v>389</v>
      </c>
      <c r="I308" t="s">
        <v>397</v>
      </c>
      <c r="J308" s="1">
        <v>-5118200</v>
      </c>
      <c r="K308">
        <v>15</v>
      </c>
      <c r="L308">
        <v>1577</v>
      </c>
      <c r="M308" t="s">
        <v>16</v>
      </c>
    </row>
    <row r="309" spans="1:13" x14ac:dyDescent="0.35">
      <c r="A309">
        <v>160070</v>
      </c>
      <c r="B309">
        <v>28290</v>
      </c>
      <c r="C309" t="s">
        <v>398</v>
      </c>
      <c r="D309" t="s">
        <v>370</v>
      </c>
      <c r="E309" t="s">
        <v>374</v>
      </c>
      <c r="F309">
        <v>12395</v>
      </c>
      <c r="G309">
        <v>1</v>
      </c>
      <c r="H309" t="s">
        <v>16</v>
      </c>
      <c r="I309" s="1">
        <v>150600</v>
      </c>
      <c r="J309" s="1">
        <v>-5091200</v>
      </c>
      <c r="K309">
        <v>13</v>
      </c>
      <c r="L309">
        <v>6711</v>
      </c>
      <c r="M309" t="s">
        <v>16</v>
      </c>
    </row>
    <row r="310" spans="1:13" x14ac:dyDescent="0.35">
      <c r="A310">
        <v>160080</v>
      </c>
      <c r="B310">
        <v>54437</v>
      </c>
      <c r="C310" t="s">
        <v>399</v>
      </c>
      <c r="D310" t="s">
        <v>370</v>
      </c>
      <c r="E310" t="s">
        <v>386</v>
      </c>
      <c r="F310">
        <v>10765</v>
      </c>
      <c r="G310">
        <v>1</v>
      </c>
      <c r="H310" t="s">
        <v>16</v>
      </c>
      <c r="I310" t="s">
        <v>400</v>
      </c>
      <c r="J310" s="1">
        <v>-5242400</v>
      </c>
      <c r="K310">
        <v>0</v>
      </c>
      <c r="L310">
        <v>2482</v>
      </c>
      <c r="M310" t="s">
        <v>16</v>
      </c>
    </row>
    <row r="311" spans="1:13" x14ac:dyDescent="0.35">
      <c r="A311">
        <v>170025</v>
      </c>
      <c r="B311">
        <v>49573</v>
      </c>
      <c r="C311" t="s">
        <v>401</v>
      </c>
      <c r="D311" t="s">
        <v>402</v>
      </c>
      <c r="E311" t="s">
        <v>403</v>
      </c>
      <c r="F311">
        <v>2245</v>
      </c>
      <c r="G311">
        <v>1</v>
      </c>
      <c r="H311" t="s">
        <v>16</v>
      </c>
      <c r="I311" s="1">
        <v>-962100</v>
      </c>
      <c r="J311" s="1">
        <v>-4915100</v>
      </c>
      <c r="K311">
        <v>245</v>
      </c>
      <c r="L311">
        <v>1895</v>
      </c>
      <c r="M311" t="s">
        <v>16</v>
      </c>
    </row>
    <row r="312" spans="1:13" x14ac:dyDescent="0.35">
      <c r="A312">
        <v>170030</v>
      </c>
      <c r="B312">
        <v>59072</v>
      </c>
      <c r="C312" t="s">
        <v>404</v>
      </c>
      <c r="D312" t="s">
        <v>402</v>
      </c>
      <c r="E312" t="s">
        <v>405</v>
      </c>
      <c r="F312">
        <v>3995</v>
      </c>
      <c r="G312">
        <v>1</v>
      </c>
      <c r="H312" t="s">
        <v>16</v>
      </c>
      <c r="I312" s="1">
        <v>-656300</v>
      </c>
      <c r="J312" s="1">
        <v>-4746600</v>
      </c>
      <c r="K312">
        <v>150</v>
      </c>
      <c r="L312">
        <v>235</v>
      </c>
      <c r="M312" t="s">
        <v>16</v>
      </c>
    </row>
    <row r="313" spans="1:13" x14ac:dyDescent="0.35">
      <c r="A313">
        <v>170035</v>
      </c>
      <c r="B313">
        <v>48135</v>
      </c>
      <c r="C313" t="s">
        <v>406</v>
      </c>
      <c r="D313" t="s">
        <v>402</v>
      </c>
      <c r="E313" t="s">
        <v>407</v>
      </c>
      <c r="F313">
        <v>5701</v>
      </c>
      <c r="G313">
        <v>1</v>
      </c>
      <c r="H313" t="s">
        <v>16</v>
      </c>
      <c r="I313" s="1">
        <v>-1130600</v>
      </c>
      <c r="J313" s="1">
        <v>-4893600</v>
      </c>
      <c r="K313">
        <v>333</v>
      </c>
      <c r="L313">
        <v>1579</v>
      </c>
      <c r="M313" t="s">
        <v>16</v>
      </c>
    </row>
    <row r="314" spans="1:13" x14ac:dyDescent="0.35">
      <c r="A314">
        <v>170040</v>
      </c>
      <c r="B314">
        <v>42641</v>
      </c>
      <c r="C314" t="s">
        <v>408</v>
      </c>
      <c r="D314" t="s">
        <v>402</v>
      </c>
      <c r="E314" t="s">
        <v>409</v>
      </c>
      <c r="F314">
        <v>7488</v>
      </c>
      <c r="G314">
        <v>1</v>
      </c>
      <c r="H314" t="s">
        <v>16</v>
      </c>
      <c r="I314" s="1">
        <v>-1157400</v>
      </c>
      <c r="J314" s="1">
        <v>-4717000</v>
      </c>
      <c r="K314">
        <v>397</v>
      </c>
      <c r="L314">
        <v>4021</v>
      </c>
      <c r="M314" t="s">
        <v>16</v>
      </c>
    </row>
    <row r="315" spans="1:13" x14ac:dyDescent="0.35">
      <c r="A315">
        <v>170070</v>
      </c>
      <c r="B315">
        <v>42676</v>
      </c>
      <c r="C315" t="s">
        <v>410</v>
      </c>
      <c r="D315" t="s">
        <v>402</v>
      </c>
      <c r="E315" t="s">
        <v>407</v>
      </c>
      <c r="F315">
        <v>7976</v>
      </c>
      <c r="G315">
        <v>1</v>
      </c>
      <c r="H315" t="s">
        <v>16</v>
      </c>
      <c r="I315" s="1">
        <v>-1248000</v>
      </c>
      <c r="J315" s="1">
        <v>-4912500</v>
      </c>
      <c r="K315">
        <v>289</v>
      </c>
      <c r="L315">
        <v>1212</v>
      </c>
      <c r="M315" t="s">
        <v>16</v>
      </c>
    </row>
    <row r="316" spans="1:13" x14ac:dyDescent="0.35">
      <c r="A316">
        <v>170100</v>
      </c>
      <c r="B316">
        <v>42706</v>
      </c>
      <c r="C316" t="s">
        <v>411</v>
      </c>
      <c r="D316" t="s">
        <v>402</v>
      </c>
      <c r="E316" t="s">
        <v>405</v>
      </c>
      <c r="F316">
        <v>9358</v>
      </c>
      <c r="G316">
        <v>1</v>
      </c>
      <c r="H316" t="s">
        <v>16</v>
      </c>
      <c r="I316" s="1">
        <v>-636600</v>
      </c>
      <c r="J316" s="1">
        <v>-4807300</v>
      </c>
      <c r="K316">
        <v>220</v>
      </c>
      <c r="L316">
        <v>1587</v>
      </c>
      <c r="M316" t="s">
        <v>16</v>
      </c>
    </row>
    <row r="317" spans="1:13" x14ac:dyDescent="0.35">
      <c r="A317">
        <v>170105</v>
      </c>
      <c r="B317">
        <v>49581</v>
      </c>
      <c r="C317" t="s">
        <v>412</v>
      </c>
      <c r="D317" t="s">
        <v>402</v>
      </c>
      <c r="E317" t="s">
        <v>405</v>
      </c>
      <c r="F317">
        <v>3169</v>
      </c>
      <c r="G317">
        <v>1</v>
      </c>
      <c r="H317" t="s">
        <v>16</v>
      </c>
      <c r="I317" s="1">
        <v>-639000</v>
      </c>
      <c r="J317" s="1">
        <v>-4786500</v>
      </c>
      <c r="K317">
        <v>290</v>
      </c>
      <c r="L317">
        <v>438</v>
      </c>
      <c r="M317" t="s">
        <v>16</v>
      </c>
    </row>
    <row r="318" spans="1:13" x14ac:dyDescent="0.35">
      <c r="A318">
        <v>170110</v>
      </c>
      <c r="B318">
        <v>47953</v>
      </c>
      <c r="C318" t="s">
        <v>413</v>
      </c>
      <c r="D318" t="s">
        <v>402</v>
      </c>
      <c r="E318" t="s">
        <v>414</v>
      </c>
      <c r="F318">
        <v>4018</v>
      </c>
      <c r="G318">
        <v>1</v>
      </c>
      <c r="H318" t="s">
        <v>16</v>
      </c>
      <c r="I318" s="1">
        <v>-995200</v>
      </c>
      <c r="J318" s="1">
        <v>-4797200</v>
      </c>
      <c r="K318">
        <v>265</v>
      </c>
      <c r="L318">
        <v>1160</v>
      </c>
      <c r="M318" t="s">
        <v>16</v>
      </c>
    </row>
    <row r="319" spans="1:13" x14ac:dyDescent="0.35">
      <c r="A319">
        <v>170130</v>
      </c>
      <c r="B319">
        <v>49590</v>
      </c>
      <c r="C319" t="s">
        <v>415</v>
      </c>
      <c r="D319" t="s">
        <v>402</v>
      </c>
      <c r="E319" t="s">
        <v>416</v>
      </c>
      <c r="F319">
        <v>5469</v>
      </c>
      <c r="G319">
        <v>1</v>
      </c>
      <c r="H319" t="s">
        <v>16</v>
      </c>
      <c r="I319" s="1">
        <v>-716200</v>
      </c>
      <c r="J319" s="1">
        <v>-4852800</v>
      </c>
      <c r="K319">
        <v>345</v>
      </c>
      <c r="L319">
        <v>1173</v>
      </c>
      <c r="M319" t="s">
        <v>16</v>
      </c>
    </row>
    <row r="320" spans="1:13" x14ac:dyDescent="0.35">
      <c r="A320">
        <v>170190</v>
      </c>
      <c r="B320">
        <v>42790</v>
      </c>
      <c r="C320" t="s">
        <v>417</v>
      </c>
      <c r="D320" t="s">
        <v>402</v>
      </c>
      <c r="E320" t="s">
        <v>403</v>
      </c>
      <c r="F320">
        <v>5423</v>
      </c>
      <c r="G320">
        <v>1</v>
      </c>
      <c r="H320" t="s">
        <v>16</v>
      </c>
      <c r="I320" s="1">
        <v>-880400</v>
      </c>
      <c r="J320" s="1">
        <v>-4955600</v>
      </c>
      <c r="K320">
        <v>159</v>
      </c>
      <c r="L320">
        <v>2778</v>
      </c>
      <c r="M320" t="s">
        <v>16</v>
      </c>
    </row>
    <row r="321" spans="1:13" x14ac:dyDescent="0.35">
      <c r="A321">
        <v>170200</v>
      </c>
      <c r="B321">
        <v>42803</v>
      </c>
      <c r="C321" t="s">
        <v>418</v>
      </c>
      <c r="D321" t="s">
        <v>402</v>
      </c>
      <c r="E321" t="s">
        <v>419</v>
      </c>
      <c r="F321">
        <v>8989</v>
      </c>
      <c r="G321">
        <v>1</v>
      </c>
      <c r="H321" t="s">
        <v>16</v>
      </c>
      <c r="I321" s="1">
        <v>-1293100</v>
      </c>
      <c r="J321" s="1">
        <v>-4982600</v>
      </c>
      <c r="K321">
        <v>278</v>
      </c>
      <c r="L321">
        <v>5167</v>
      </c>
      <c r="M321" t="s">
        <v>16</v>
      </c>
    </row>
    <row r="322" spans="1:13" x14ac:dyDescent="0.35">
      <c r="A322">
        <v>170210</v>
      </c>
      <c r="B322">
        <v>42811</v>
      </c>
      <c r="C322" t="s">
        <v>420</v>
      </c>
      <c r="D322" t="s">
        <v>402</v>
      </c>
      <c r="E322" t="s">
        <v>416</v>
      </c>
      <c r="F322">
        <v>115759</v>
      </c>
      <c r="G322">
        <v>3</v>
      </c>
      <c r="H322" t="s">
        <v>16</v>
      </c>
      <c r="I322" s="1">
        <v>-719100</v>
      </c>
      <c r="J322" s="1">
        <v>-4820700</v>
      </c>
      <c r="K322">
        <v>227</v>
      </c>
      <c r="L322">
        <v>4000</v>
      </c>
      <c r="M322" t="s">
        <v>16</v>
      </c>
    </row>
    <row r="323" spans="1:13" x14ac:dyDescent="0.35">
      <c r="A323">
        <v>170215</v>
      </c>
      <c r="B323">
        <v>49603</v>
      </c>
      <c r="C323" t="s">
        <v>421</v>
      </c>
      <c r="D323" t="s">
        <v>402</v>
      </c>
      <c r="E323" t="s">
        <v>416</v>
      </c>
      <c r="F323">
        <v>5000</v>
      </c>
      <c r="G323">
        <v>1</v>
      </c>
      <c r="H323" t="s">
        <v>16</v>
      </c>
      <c r="I323" s="1">
        <v>-658100</v>
      </c>
      <c r="J323" s="1">
        <v>-4864400</v>
      </c>
      <c r="K323">
        <v>142</v>
      </c>
      <c r="L323">
        <v>834</v>
      </c>
      <c r="M323" t="s">
        <v>16</v>
      </c>
    </row>
    <row r="324" spans="1:13" x14ac:dyDescent="0.35">
      <c r="A324">
        <v>170220</v>
      </c>
      <c r="B324">
        <v>42820</v>
      </c>
      <c r="C324" t="s">
        <v>422</v>
      </c>
      <c r="D324" t="s">
        <v>402</v>
      </c>
      <c r="E324" t="s">
        <v>405</v>
      </c>
      <c r="F324">
        <v>25973</v>
      </c>
      <c r="G324">
        <v>1</v>
      </c>
      <c r="H324" t="s">
        <v>16</v>
      </c>
      <c r="I324" s="1">
        <v>-565100</v>
      </c>
      <c r="J324" s="1">
        <v>-4812400</v>
      </c>
      <c r="K324">
        <v>103</v>
      </c>
      <c r="L324">
        <v>2627</v>
      </c>
      <c r="M324" t="s">
        <v>16</v>
      </c>
    </row>
    <row r="325" spans="1:13" x14ac:dyDescent="0.35">
      <c r="A325">
        <v>170230</v>
      </c>
      <c r="B325">
        <v>42838</v>
      </c>
      <c r="C325" t="s">
        <v>423</v>
      </c>
      <c r="D325" t="s">
        <v>402</v>
      </c>
      <c r="E325" t="s">
        <v>416</v>
      </c>
      <c r="F325">
        <v>6839</v>
      </c>
      <c r="G325">
        <v>1</v>
      </c>
      <c r="H325" t="s">
        <v>16</v>
      </c>
      <c r="I325" s="1">
        <v>-765800</v>
      </c>
      <c r="J325" s="1">
        <v>-4906400</v>
      </c>
      <c r="K325">
        <v>221</v>
      </c>
      <c r="L325">
        <v>1552</v>
      </c>
      <c r="M325" t="s">
        <v>16</v>
      </c>
    </row>
    <row r="326" spans="1:13" x14ac:dyDescent="0.35">
      <c r="A326">
        <v>170240</v>
      </c>
      <c r="B326">
        <v>42846</v>
      </c>
      <c r="C326" t="s">
        <v>424</v>
      </c>
      <c r="D326" t="s">
        <v>402</v>
      </c>
      <c r="E326" t="s">
        <v>409</v>
      </c>
      <c r="F326">
        <v>10626</v>
      </c>
      <c r="G326">
        <v>1</v>
      </c>
      <c r="H326" t="s">
        <v>16</v>
      </c>
      <c r="I326" s="1">
        <v>-1293100</v>
      </c>
      <c r="J326" s="1">
        <v>-4693800</v>
      </c>
      <c r="K326">
        <v>682</v>
      </c>
      <c r="L326">
        <v>5786</v>
      </c>
      <c r="M326" t="s">
        <v>16</v>
      </c>
    </row>
    <row r="327" spans="1:13" x14ac:dyDescent="0.35">
      <c r="A327">
        <v>170255</v>
      </c>
      <c r="B327">
        <v>9059</v>
      </c>
      <c r="C327" t="s">
        <v>425</v>
      </c>
      <c r="D327" t="s">
        <v>402</v>
      </c>
      <c r="E327" t="s">
        <v>405</v>
      </c>
      <c r="F327">
        <v>14800</v>
      </c>
      <c r="G327">
        <v>1</v>
      </c>
      <c r="H327" t="s">
        <v>16</v>
      </c>
      <c r="I327" s="1">
        <v>-546600</v>
      </c>
      <c r="J327" s="1">
        <v>-4788800</v>
      </c>
      <c r="K327">
        <v>145</v>
      </c>
      <c r="L327">
        <v>414</v>
      </c>
      <c r="M327" t="s">
        <v>16</v>
      </c>
    </row>
    <row r="328" spans="1:13" x14ac:dyDescent="0.35">
      <c r="A328">
        <v>170270</v>
      </c>
      <c r="B328">
        <v>42870</v>
      </c>
      <c r="C328" t="s">
        <v>426</v>
      </c>
      <c r="D328" t="s">
        <v>402</v>
      </c>
      <c r="E328" t="s">
        <v>409</v>
      </c>
      <c r="F328">
        <v>3385</v>
      </c>
      <c r="G328">
        <v>1</v>
      </c>
      <c r="H328" t="s">
        <v>16</v>
      </c>
      <c r="I328" s="1">
        <v>-1271300</v>
      </c>
      <c r="J328" s="1">
        <v>-4640800</v>
      </c>
      <c r="K328">
        <v>468</v>
      </c>
      <c r="L328">
        <v>752</v>
      </c>
      <c r="M328" t="s">
        <v>16</v>
      </c>
    </row>
    <row r="329" spans="1:13" x14ac:dyDescent="0.35">
      <c r="A329">
        <v>170290</v>
      </c>
      <c r="B329">
        <v>42897</v>
      </c>
      <c r="C329" t="s">
        <v>427</v>
      </c>
      <c r="D329" t="s">
        <v>402</v>
      </c>
      <c r="E329" t="s">
        <v>405</v>
      </c>
      <c r="F329">
        <v>8917</v>
      </c>
      <c r="G329">
        <v>1</v>
      </c>
      <c r="H329" t="s">
        <v>16</v>
      </c>
      <c r="I329" s="1">
        <v>-561700</v>
      </c>
      <c r="J329" s="1">
        <v>-4776900</v>
      </c>
      <c r="K329">
        <v>210</v>
      </c>
      <c r="L329">
        <v>150</v>
      </c>
      <c r="M329" t="s">
        <v>16</v>
      </c>
    </row>
    <row r="330" spans="1:13" x14ac:dyDescent="0.35">
      <c r="A330">
        <v>170300</v>
      </c>
      <c r="B330">
        <v>42900</v>
      </c>
      <c r="C330" t="s">
        <v>428</v>
      </c>
      <c r="D330" t="s">
        <v>402</v>
      </c>
      <c r="E330" t="s">
        <v>416</v>
      </c>
      <c r="F330">
        <v>10372</v>
      </c>
      <c r="G330">
        <v>1</v>
      </c>
      <c r="H330" t="s">
        <v>16</v>
      </c>
      <c r="I330" s="1">
        <v>-720500</v>
      </c>
      <c r="J330" s="1">
        <v>-4775700</v>
      </c>
      <c r="K330">
        <v>178</v>
      </c>
      <c r="L330">
        <v>1788</v>
      </c>
      <c r="M330" t="s">
        <v>16</v>
      </c>
    </row>
    <row r="331" spans="1:13" x14ac:dyDescent="0.35">
      <c r="A331">
        <v>170305</v>
      </c>
      <c r="B331">
        <v>57061</v>
      </c>
      <c r="C331" t="s">
        <v>429</v>
      </c>
      <c r="D331" t="s">
        <v>402</v>
      </c>
      <c r="E331" t="s">
        <v>416</v>
      </c>
      <c r="F331">
        <v>2711</v>
      </c>
      <c r="G331">
        <v>1</v>
      </c>
      <c r="H331" t="s">
        <v>16</v>
      </c>
      <c r="I331" s="1">
        <v>-775600</v>
      </c>
      <c r="J331" s="1">
        <v>-4858400</v>
      </c>
      <c r="K331">
        <v>288</v>
      </c>
      <c r="L331">
        <v>1672</v>
      </c>
      <c r="M331" t="s">
        <v>16</v>
      </c>
    </row>
    <row r="332" spans="1:13" x14ac:dyDescent="0.35">
      <c r="A332">
        <v>170307</v>
      </c>
      <c r="B332">
        <v>56677</v>
      </c>
      <c r="C332" t="s">
        <v>430</v>
      </c>
      <c r="D332" t="s">
        <v>402</v>
      </c>
      <c r="E332" t="s">
        <v>431</v>
      </c>
      <c r="F332">
        <v>3581</v>
      </c>
      <c r="G332">
        <v>1</v>
      </c>
      <c r="H332" t="s">
        <v>16</v>
      </c>
      <c r="I332" s="1">
        <v>-768900</v>
      </c>
      <c r="J332" s="1">
        <v>-4768300</v>
      </c>
      <c r="K332">
        <v>161</v>
      </c>
      <c r="L332">
        <v>1106</v>
      </c>
      <c r="M332" t="s">
        <v>16</v>
      </c>
    </row>
    <row r="333" spans="1:13" x14ac:dyDescent="0.35">
      <c r="A333">
        <v>170310</v>
      </c>
      <c r="B333">
        <v>47961</v>
      </c>
      <c r="C333" t="s">
        <v>432</v>
      </c>
      <c r="D333" t="s">
        <v>402</v>
      </c>
      <c r="E333" t="s">
        <v>403</v>
      </c>
      <c r="F333">
        <v>5155</v>
      </c>
      <c r="G333">
        <v>1</v>
      </c>
      <c r="H333" t="s">
        <v>16</v>
      </c>
      <c r="I333" s="1">
        <v>-983600</v>
      </c>
      <c r="J333" s="1">
        <v>-4872500</v>
      </c>
      <c r="K333">
        <v>361</v>
      </c>
      <c r="L333">
        <v>713</v>
      </c>
      <c r="M333" t="s">
        <v>16</v>
      </c>
    </row>
    <row r="334" spans="1:13" x14ac:dyDescent="0.35">
      <c r="A334">
        <v>170320</v>
      </c>
      <c r="B334">
        <v>47970</v>
      </c>
      <c r="C334" t="s">
        <v>433</v>
      </c>
      <c r="D334" t="s">
        <v>402</v>
      </c>
      <c r="E334" t="s">
        <v>403</v>
      </c>
      <c r="F334">
        <v>4518</v>
      </c>
      <c r="G334">
        <v>1</v>
      </c>
      <c r="H334" t="s">
        <v>16</v>
      </c>
      <c r="I334" s="1">
        <v>-787400</v>
      </c>
      <c r="J334" s="1">
        <v>-4888800</v>
      </c>
      <c r="K334">
        <v>149</v>
      </c>
      <c r="L334">
        <v>926</v>
      </c>
      <c r="M334" t="s">
        <v>16</v>
      </c>
    </row>
    <row r="335" spans="1:13" x14ac:dyDescent="0.35">
      <c r="A335">
        <v>170330</v>
      </c>
      <c r="B335">
        <v>49611</v>
      </c>
      <c r="C335" t="s">
        <v>227</v>
      </c>
      <c r="D335" t="s">
        <v>402</v>
      </c>
      <c r="E335" t="s">
        <v>414</v>
      </c>
      <c r="F335">
        <v>2710</v>
      </c>
      <c r="G335">
        <v>1</v>
      </c>
      <c r="H335" t="s">
        <v>16</v>
      </c>
      <c r="I335" s="1">
        <v>-896500</v>
      </c>
      <c r="J335" s="1">
        <v>-4816600</v>
      </c>
      <c r="K335">
        <v>204</v>
      </c>
      <c r="L335">
        <v>1332</v>
      </c>
      <c r="M335" t="s">
        <v>16</v>
      </c>
    </row>
    <row r="336" spans="1:13" x14ac:dyDescent="0.35">
      <c r="A336">
        <v>170360</v>
      </c>
      <c r="B336">
        <v>49620</v>
      </c>
      <c r="C336" t="s">
        <v>434</v>
      </c>
      <c r="D336" t="s">
        <v>402</v>
      </c>
      <c r="E336" t="s">
        <v>403</v>
      </c>
      <c r="F336">
        <v>2119</v>
      </c>
      <c r="G336">
        <v>1</v>
      </c>
      <c r="H336" t="s">
        <v>16</v>
      </c>
      <c r="I336" s="1">
        <v>-838800</v>
      </c>
      <c r="J336" s="1">
        <v>-4848100</v>
      </c>
      <c r="K336">
        <v>224</v>
      </c>
      <c r="L336">
        <v>641</v>
      </c>
      <c r="M336" t="s">
        <v>16</v>
      </c>
    </row>
    <row r="337" spans="1:13" x14ac:dyDescent="0.35">
      <c r="A337">
        <v>170370</v>
      </c>
      <c r="B337">
        <v>42978</v>
      </c>
      <c r="C337" t="s">
        <v>435</v>
      </c>
      <c r="D337" t="s">
        <v>402</v>
      </c>
      <c r="E337" t="s">
        <v>407</v>
      </c>
      <c r="F337">
        <v>5295</v>
      </c>
      <c r="G337">
        <v>1</v>
      </c>
      <c r="H337" t="s">
        <v>16</v>
      </c>
      <c r="I337" s="1">
        <v>-1100000</v>
      </c>
      <c r="J337" s="1">
        <v>-4856600</v>
      </c>
      <c r="K337">
        <v>247</v>
      </c>
      <c r="L337">
        <v>1724</v>
      </c>
      <c r="M337" t="s">
        <v>16</v>
      </c>
    </row>
    <row r="338" spans="1:13" x14ac:dyDescent="0.35">
      <c r="A338">
        <v>170380</v>
      </c>
      <c r="B338">
        <v>47988</v>
      </c>
      <c r="C338" t="s">
        <v>436</v>
      </c>
      <c r="D338" t="s">
        <v>402</v>
      </c>
      <c r="E338" t="s">
        <v>405</v>
      </c>
      <c r="F338">
        <v>8164</v>
      </c>
      <c r="G338">
        <v>1</v>
      </c>
      <c r="H338" t="s">
        <v>16</v>
      </c>
      <c r="I338" s="1">
        <v>-531600</v>
      </c>
      <c r="J338" s="1">
        <v>-4822900</v>
      </c>
      <c r="K338">
        <v>198</v>
      </c>
      <c r="L338">
        <v>249</v>
      </c>
      <c r="M338" t="s">
        <v>16</v>
      </c>
    </row>
    <row r="339" spans="1:13" x14ac:dyDescent="0.35">
      <c r="A339">
        <v>170382</v>
      </c>
      <c r="B339">
        <v>49638</v>
      </c>
      <c r="C339" t="s">
        <v>437</v>
      </c>
      <c r="D339" t="s">
        <v>402</v>
      </c>
      <c r="E339" t="s">
        <v>405</v>
      </c>
      <c r="F339">
        <v>2171</v>
      </c>
      <c r="G339">
        <v>1</v>
      </c>
      <c r="H339" t="s">
        <v>16</v>
      </c>
      <c r="I339" s="1">
        <v>-612200</v>
      </c>
      <c r="J339" s="1">
        <v>-4792200</v>
      </c>
      <c r="K339">
        <v>190</v>
      </c>
      <c r="L339">
        <v>352</v>
      </c>
      <c r="M339" t="s">
        <v>16</v>
      </c>
    </row>
    <row r="340" spans="1:13" x14ac:dyDescent="0.35">
      <c r="A340">
        <v>170384</v>
      </c>
      <c r="B340">
        <v>49646</v>
      </c>
      <c r="C340" t="s">
        <v>438</v>
      </c>
      <c r="D340" t="s">
        <v>402</v>
      </c>
      <c r="E340" t="s">
        <v>431</v>
      </c>
      <c r="F340">
        <v>7615</v>
      </c>
      <c r="G340">
        <v>1</v>
      </c>
      <c r="H340" t="s">
        <v>16</v>
      </c>
      <c r="I340" s="1">
        <v>-799400</v>
      </c>
      <c r="J340" s="1">
        <v>-4686800</v>
      </c>
      <c r="K340">
        <v>0</v>
      </c>
      <c r="L340">
        <v>3240</v>
      </c>
      <c r="M340" t="s">
        <v>16</v>
      </c>
    </row>
    <row r="341" spans="1:13" x14ac:dyDescent="0.35">
      <c r="A341">
        <v>170386</v>
      </c>
      <c r="B341">
        <v>49654</v>
      </c>
      <c r="C341" t="s">
        <v>439</v>
      </c>
      <c r="D341" t="s">
        <v>402</v>
      </c>
      <c r="E341" t="s">
        <v>407</v>
      </c>
      <c r="F341">
        <v>3562</v>
      </c>
      <c r="G341">
        <v>1</v>
      </c>
      <c r="H341" t="s">
        <v>16</v>
      </c>
      <c r="I341" s="1">
        <v>-1189100</v>
      </c>
      <c r="J341" s="1">
        <v>-4916100</v>
      </c>
      <c r="K341">
        <v>295</v>
      </c>
      <c r="L341">
        <v>1128</v>
      </c>
      <c r="M341" t="s">
        <v>16</v>
      </c>
    </row>
    <row r="342" spans="1:13" x14ac:dyDescent="0.35">
      <c r="A342">
        <v>170388</v>
      </c>
      <c r="B342">
        <v>49662</v>
      </c>
      <c r="C342" t="s">
        <v>440</v>
      </c>
      <c r="D342" t="s">
        <v>402</v>
      </c>
      <c r="E342" t="s">
        <v>416</v>
      </c>
      <c r="F342">
        <v>2313</v>
      </c>
      <c r="G342">
        <v>1</v>
      </c>
      <c r="H342" t="s">
        <v>16</v>
      </c>
      <c r="I342" s="1">
        <v>-703300</v>
      </c>
      <c r="J342" s="1">
        <v>-4839600</v>
      </c>
      <c r="K342">
        <v>0</v>
      </c>
      <c r="L342">
        <v>339</v>
      </c>
      <c r="M342" t="s">
        <v>16</v>
      </c>
    </row>
    <row r="343" spans="1:13" x14ac:dyDescent="0.35">
      <c r="A343">
        <v>170389</v>
      </c>
      <c r="B343">
        <v>49670</v>
      </c>
      <c r="C343" t="s">
        <v>441</v>
      </c>
      <c r="D343" t="s">
        <v>402</v>
      </c>
      <c r="E343" t="s">
        <v>405</v>
      </c>
      <c r="F343">
        <v>3314</v>
      </c>
      <c r="G343">
        <v>1</v>
      </c>
      <c r="H343" t="s">
        <v>16</v>
      </c>
      <c r="I343" s="1">
        <v>-532200</v>
      </c>
      <c r="J343" s="1">
        <v>-4803500</v>
      </c>
      <c r="K343">
        <v>285</v>
      </c>
      <c r="L343">
        <v>195</v>
      </c>
      <c r="M343" t="s">
        <v>16</v>
      </c>
    </row>
    <row r="344" spans="1:13" x14ac:dyDescent="0.35">
      <c r="A344">
        <v>170390</v>
      </c>
      <c r="B344">
        <v>47996</v>
      </c>
      <c r="C344" t="s">
        <v>442</v>
      </c>
      <c r="D344" t="s">
        <v>402</v>
      </c>
      <c r="E344" t="s">
        <v>403</v>
      </c>
      <c r="F344">
        <v>4667</v>
      </c>
      <c r="G344">
        <v>1</v>
      </c>
      <c r="H344" t="s">
        <v>16</v>
      </c>
      <c r="I344" s="1">
        <v>-927800</v>
      </c>
      <c r="J344" s="1">
        <v>-4995600</v>
      </c>
      <c r="K344">
        <v>174</v>
      </c>
      <c r="L344">
        <v>1691</v>
      </c>
      <c r="M344" t="s">
        <v>16</v>
      </c>
    </row>
    <row r="345" spans="1:13" x14ac:dyDescent="0.35">
      <c r="A345">
        <v>170410</v>
      </c>
      <c r="B345">
        <v>49689</v>
      </c>
      <c r="C345" t="s">
        <v>443</v>
      </c>
      <c r="D345" t="s">
        <v>402</v>
      </c>
      <c r="E345" t="s">
        <v>431</v>
      </c>
      <c r="F345">
        <v>2386</v>
      </c>
      <c r="G345">
        <v>1</v>
      </c>
      <c r="H345" t="s">
        <v>16</v>
      </c>
      <c r="I345" s="1">
        <v>-895100</v>
      </c>
      <c r="J345" s="1">
        <v>-4733600</v>
      </c>
      <c r="K345">
        <v>0</v>
      </c>
      <c r="L345">
        <v>1954</v>
      </c>
      <c r="M345" t="s">
        <v>16</v>
      </c>
    </row>
    <row r="346" spans="1:13" x14ac:dyDescent="0.35">
      <c r="A346">
        <v>170460</v>
      </c>
      <c r="B346">
        <v>57070</v>
      </c>
      <c r="C346" t="s">
        <v>444</v>
      </c>
      <c r="D346" t="s">
        <v>402</v>
      </c>
      <c r="E346" t="s">
        <v>419</v>
      </c>
      <c r="F346">
        <v>1239</v>
      </c>
      <c r="G346">
        <v>1</v>
      </c>
      <c r="H346" t="s">
        <v>16</v>
      </c>
      <c r="I346" s="1">
        <v>-1014400</v>
      </c>
      <c r="J346" s="1">
        <v>-4914000</v>
      </c>
      <c r="K346">
        <v>240</v>
      </c>
      <c r="L346">
        <v>659</v>
      </c>
      <c r="M346" t="s">
        <v>16</v>
      </c>
    </row>
    <row r="347" spans="1:13" x14ac:dyDescent="0.35">
      <c r="A347">
        <v>170510</v>
      </c>
      <c r="B347">
        <v>56715</v>
      </c>
      <c r="C347" t="s">
        <v>445</v>
      </c>
      <c r="D347" t="s">
        <v>402</v>
      </c>
      <c r="E347" t="s">
        <v>409</v>
      </c>
      <c r="F347">
        <v>3680</v>
      </c>
      <c r="G347">
        <v>1</v>
      </c>
      <c r="H347" t="s">
        <v>16</v>
      </c>
      <c r="I347" s="1">
        <v>-1161700</v>
      </c>
      <c r="J347" s="1">
        <v>-4775100</v>
      </c>
      <c r="K347">
        <v>365</v>
      </c>
      <c r="L347">
        <v>1671</v>
      </c>
      <c r="M347" t="s">
        <v>16</v>
      </c>
    </row>
    <row r="348" spans="1:13" x14ac:dyDescent="0.35">
      <c r="A348">
        <v>170550</v>
      </c>
      <c r="B348">
        <v>43168</v>
      </c>
      <c r="C348" t="s">
        <v>446</v>
      </c>
      <c r="D348" t="s">
        <v>402</v>
      </c>
      <c r="E348" t="s">
        <v>416</v>
      </c>
      <c r="F348">
        <v>29298</v>
      </c>
      <c r="G348">
        <v>1</v>
      </c>
      <c r="H348" t="s">
        <v>16</v>
      </c>
      <c r="I348" s="1">
        <v>-805900</v>
      </c>
      <c r="J348" s="1">
        <v>-4847500</v>
      </c>
      <c r="K348">
        <v>227</v>
      </c>
      <c r="L348">
        <v>843</v>
      </c>
      <c r="M348" t="s">
        <v>16</v>
      </c>
    </row>
    <row r="349" spans="1:13" x14ac:dyDescent="0.35">
      <c r="A349">
        <v>170555</v>
      </c>
      <c r="B349">
        <v>48003</v>
      </c>
      <c r="C349" t="s">
        <v>447</v>
      </c>
      <c r="D349" t="s">
        <v>402</v>
      </c>
      <c r="E349" t="s">
        <v>409</v>
      </c>
      <c r="F349">
        <v>4878</v>
      </c>
      <c r="G349">
        <v>1</v>
      </c>
      <c r="H349" t="s">
        <v>16</v>
      </c>
      <c r="I349" s="1">
        <v>-1279200</v>
      </c>
      <c r="J349" s="1">
        <v>-4653900</v>
      </c>
      <c r="K349">
        <v>383</v>
      </c>
      <c r="L349">
        <v>209</v>
      </c>
      <c r="M349" t="s">
        <v>16</v>
      </c>
    </row>
    <row r="350" spans="1:13" x14ac:dyDescent="0.35">
      <c r="A350">
        <v>170560</v>
      </c>
      <c r="B350">
        <v>43176</v>
      </c>
      <c r="C350" t="s">
        <v>448</v>
      </c>
      <c r="D350" t="s">
        <v>402</v>
      </c>
      <c r="E350" t="s">
        <v>409</v>
      </c>
      <c r="F350">
        <v>4402</v>
      </c>
      <c r="G350">
        <v>1</v>
      </c>
      <c r="H350" t="s">
        <v>16</v>
      </c>
      <c r="I350" s="1">
        <v>-1221900</v>
      </c>
      <c r="J350" s="1">
        <v>-4729800</v>
      </c>
      <c r="K350">
        <v>400</v>
      </c>
      <c r="L350">
        <v>2500</v>
      </c>
      <c r="M350" t="s">
        <v>16</v>
      </c>
    </row>
    <row r="351" spans="1:13" x14ac:dyDescent="0.35">
      <c r="A351">
        <v>170600</v>
      </c>
      <c r="B351">
        <v>43214</v>
      </c>
      <c r="C351" t="s">
        <v>449</v>
      </c>
      <c r="D351" t="s">
        <v>402</v>
      </c>
      <c r="E351" t="s">
        <v>403</v>
      </c>
      <c r="F351">
        <v>4887</v>
      </c>
      <c r="G351">
        <v>1</v>
      </c>
      <c r="H351" t="s">
        <v>16</v>
      </c>
      <c r="I351" s="1">
        <v>-828400</v>
      </c>
      <c r="J351" s="1">
        <v>-4924700</v>
      </c>
      <c r="K351">
        <v>150</v>
      </c>
      <c r="L351">
        <v>1585</v>
      </c>
      <c r="M351" t="s">
        <v>16</v>
      </c>
    </row>
    <row r="352" spans="1:13" x14ac:dyDescent="0.35">
      <c r="A352">
        <v>170610</v>
      </c>
      <c r="B352">
        <v>43222</v>
      </c>
      <c r="C352" t="s">
        <v>450</v>
      </c>
      <c r="D352" t="s">
        <v>402</v>
      </c>
      <c r="E352" t="s">
        <v>419</v>
      </c>
      <c r="F352">
        <v>6520</v>
      </c>
      <c r="G352">
        <v>1</v>
      </c>
      <c r="H352" t="s">
        <v>16</v>
      </c>
      <c r="I352" s="1">
        <v>-1060000</v>
      </c>
      <c r="J352" s="1">
        <v>-4919300</v>
      </c>
      <c r="K352">
        <v>286</v>
      </c>
      <c r="L352">
        <v>1848</v>
      </c>
      <c r="M352" t="s">
        <v>16</v>
      </c>
    </row>
    <row r="353" spans="1:13" x14ac:dyDescent="0.35">
      <c r="A353">
        <v>170625</v>
      </c>
      <c r="B353">
        <v>57088</v>
      </c>
      <c r="C353" t="s">
        <v>451</v>
      </c>
      <c r="D353" t="s">
        <v>402</v>
      </c>
      <c r="E353" t="s">
        <v>407</v>
      </c>
      <c r="F353">
        <v>1264</v>
      </c>
      <c r="G353">
        <v>1</v>
      </c>
      <c r="H353" t="s">
        <v>16</v>
      </c>
      <c r="I353" s="1">
        <v>-1110000</v>
      </c>
      <c r="J353" s="1">
        <v>-4891900</v>
      </c>
      <c r="K353">
        <v>250</v>
      </c>
      <c r="L353">
        <v>986</v>
      </c>
      <c r="M353" t="s">
        <v>16</v>
      </c>
    </row>
    <row r="354" spans="1:13" x14ac:dyDescent="0.35">
      <c r="A354">
        <v>170650</v>
      </c>
      <c r="B354">
        <v>49697</v>
      </c>
      <c r="C354" t="s">
        <v>452</v>
      </c>
      <c r="D354" t="s">
        <v>402</v>
      </c>
      <c r="E354" t="s">
        <v>405</v>
      </c>
      <c r="F354">
        <v>5130</v>
      </c>
      <c r="G354">
        <v>1</v>
      </c>
      <c r="H354" t="s">
        <v>16</v>
      </c>
      <c r="I354" s="1">
        <v>-671300</v>
      </c>
      <c r="J354" s="1">
        <v>-4776000</v>
      </c>
      <c r="K354">
        <v>0</v>
      </c>
      <c r="L354">
        <v>1548</v>
      </c>
      <c r="M354" t="s">
        <v>16</v>
      </c>
    </row>
    <row r="355" spans="1:13" x14ac:dyDescent="0.35">
      <c r="A355">
        <v>170700</v>
      </c>
      <c r="B355">
        <v>43311</v>
      </c>
      <c r="C355" t="s">
        <v>453</v>
      </c>
      <c r="D355" t="s">
        <v>402</v>
      </c>
      <c r="E355" t="s">
        <v>409</v>
      </c>
      <c r="F355">
        <v>18584</v>
      </c>
      <c r="G355">
        <v>1</v>
      </c>
      <c r="H355" t="s">
        <v>16</v>
      </c>
      <c r="I355" s="1">
        <v>-1162800</v>
      </c>
      <c r="J355" s="1">
        <v>-4682100</v>
      </c>
      <c r="K355">
        <v>693</v>
      </c>
      <c r="L355">
        <v>3217</v>
      </c>
      <c r="M355" t="s">
        <v>16</v>
      </c>
    </row>
    <row r="356" spans="1:13" x14ac:dyDescent="0.35">
      <c r="A356">
        <v>170710</v>
      </c>
      <c r="B356">
        <v>48011</v>
      </c>
      <c r="C356" t="s">
        <v>454</v>
      </c>
      <c r="D356" t="s">
        <v>402</v>
      </c>
      <c r="E356" t="s">
        <v>403</v>
      </c>
      <c r="F356">
        <v>6359</v>
      </c>
      <c r="G356">
        <v>1</v>
      </c>
      <c r="H356" t="s">
        <v>16</v>
      </c>
      <c r="I356" s="1">
        <v>-980000</v>
      </c>
      <c r="J356" s="1">
        <v>-4921400</v>
      </c>
      <c r="K356">
        <v>270</v>
      </c>
      <c r="L356">
        <v>2347</v>
      </c>
      <c r="M356" t="s">
        <v>16</v>
      </c>
    </row>
    <row r="357" spans="1:13" x14ac:dyDescent="0.35">
      <c r="A357">
        <v>170720</v>
      </c>
      <c r="B357">
        <v>43338</v>
      </c>
      <c r="C357" t="s">
        <v>455</v>
      </c>
      <c r="D357" t="s">
        <v>402</v>
      </c>
      <c r="E357" t="s">
        <v>403</v>
      </c>
      <c r="F357">
        <v>7060</v>
      </c>
      <c r="G357">
        <v>1</v>
      </c>
      <c r="H357" t="s">
        <v>16</v>
      </c>
      <c r="I357" s="1">
        <v>-925800</v>
      </c>
      <c r="J357" s="1">
        <v>-4906400</v>
      </c>
      <c r="K357">
        <v>241</v>
      </c>
      <c r="L357">
        <v>3757</v>
      </c>
      <c r="M357" t="s">
        <v>16</v>
      </c>
    </row>
    <row r="358" spans="1:13" x14ac:dyDescent="0.35">
      <c r="A358">
        <v>170730</v>
      </c>
      <c r="B358">
        <v>43346</v>
      </c>
      <c r="C358" t="s">
        <v>456</v>
      </c>
      <c r="D358" t="s">
        <v>402</v>
      </c>
      <c r="E358" t="s">
        <v>419</v>
      </c>
      <c r="F358">
        <v>4489</v>
      </c>
      <c r="G358">
        <v>1</v>
      </c>
      <c r="H358" t="s">
        <v>16</v>
      </c>
      <c r="I358" s="1">
        <v>-1134400</v>
      </c>
      <c r="J358" s="1">
        <v>-4927100</v>
      </c>
      <c r="K358">
        <v>235</v>
      </c>
      <c r="L358">
        <v>3424</v>
      </c>
      <c r="M358" t="s">
        <v>16</v>
      </c>
    </row>
    <row r="359" spans="1:13" x14ac:dyDescent="0.35">
      <c r="A359">
        <v>170740</v>
      </c>
      <c r="B359">
        <v>49700</v>
      </c>
      <c r="C359" t="s">
        <v>457</v>
      </c>
      <c r="D359" t="s">
        <v>402</v>
      </c>
      <c r="E359" t="s">
        <v>405</v>
      </c>
      <c r="F359">
        <v>8134</v>
      </c>
      <c r="G359">
        <v>1</v>
      </c>
      <c r="H359" t="s">
        <v>16</v>
      </c>
      <c r="I359" s="1">
        <v>-534300</v>
      </c>
      <c r="J359" s="1">
        <v>-4851100</v>
      </c>
      <c r="K359">
        <v>0</v>
      </c>
      <c r="L359">
        <v>504</v>
      </c>
      <c r="M359" t="s">
        <v>16</v>
      </c>
    </row>
    <row r="360" spans="1:13" x14ac:dyDescent="0.35">
      <c r="A360">
        <v>170755</v>
      </c>
      <c r="B360">
        <v>9091</v>
      </c>
      <c r="C360" t="s">
        <v>458</v>
      </c>
      <c r="D360" t="s">
        <v>402</v>
      </c>
      <c r="E360" t="s">
        <v>419</v>
      </c>
      <c r="F360">
        <v>3984</v>
      </c>
      <c r="G360">
        <v>1</v>
      </c>
      <c r="H360" t="s">
        <v>16</v>
      </c>
      <c r="I360" s="1">
        <v>-1076100</v>
      </c>
      <c r="J360" s="1">
        <v>-4890700</v>
      </c>
      <c r="K360">
        <v>342</v>
      </c>
      <c r="L360">
        <v>382</v>
      </c>
      <c r="M360" t="s">
        <v>16</v>
      </c>
    </row>
    <row r="361" spans="1:13" x14ac:dyDescent="0.35">
      <c r="A361">
        <v>170765</v>
      </c>
      <c r="B361">
        <v>44849</v>
      </c>
      <c r="C361" t="s">
        <v>459</v>
      </c>
      <c r="D361" t="s">
        <v>402</v>
      </c>
      <c r="E361" t="s">
        <v>407</v>
      </c>
      <c r="F361">
        <v>4820</v>
      </c>
      <c r="G361">
        <v>1</v>
      </c>
      <c r="H361" t="s">
        <v>16</v>
      </c>
      <c r="I361" s="1">
        <v>-1213100</v>
      </c>
      <c r="J361" s="1">
        <v>-4917400</v>
      </c>
      <c r="K361">
        <v>291</v>
      </c>
      <c r="L361">
        <v>1930</v>
      </c>
      <c r="M361" t="s">
        <v>16</v>
      </c>
    </row>
    <row r="362" spans="1:13" x14ac:dyDescent="0.35">
      <c r="A362">
        <v>170770</v>
      </c>
      <c r="B362">
        <v>43389</v>
      </c>
      <c r="C362" t="s">
        <v>460</v>
      </c>
      <c r="D362" t="s">
        <v>402</v>
      </c>
      <c r="E362" t="s">
        <v>416</v>
      </c>
      <c r="F362">
        <v>7787</v>
      </c>
      <c r="G362">
        <v>1</v>
      </c>
      <c r="H362" t="s">
        <v>16</v>
      </c>
      <c r="I362" s="1">
        <v>-733600</v>
      </c>
      <c r="J362" s="1">
        <v>-4749000</v>
      </c>
      <c r="K362">
        <v>169</v>
      </c>
      <c r="L362">
        <v>1988</v>
      </c>
      <c r="M362" t="s">
        <v>16</v>
      </c>
    </row>
    <row r="363" spans="1:13" x14ac:dyDescent="0.35">
      <c r="A363">
        <v>170820</v>
      </c>
      <c r="B363">
        <v>43435</v>
      </c>
      <c r="C363" t="s">
        <v>461</v>
      </c>
      <c r="D363" t="s">
        <v>402</v>
      </c>
      <c r="E363" t="s">
        <v>419</v>
      </c>
      <c r="F363">
        <v>18225</v>
      </c>
      <c r="G363">
        <v>1</v>
      </c>
      <c r="H363" t="s">
        <v>16</v>
      </c>
      <c r="I363" s="1">
        <v>-1179700</v>
      </c>
      <c r="J363" s="1">
        <v>-4952900</v>
      </c>
      <c r="K363">
        <v>240</v>
      </c>
      <c r="L363">
        <v>13423</v>
      </c>
      <c r="M363" t="s">
        <v>16</v>
      </c>
    </row>
    <row r="364" spans="1:13" x14ac:dyDescent="0.35">
      <c r="A364">
        <v>170825</v>
      </c>
      <c r="B364">
        <v>49719</v>
      </c>
      <c r="C364" t="s">
        <v>462</v>
      </c>
      <c r="D364" t="s">
        <v>402</v>
      </c>
      <c r="E364" t="s">
        <v>403</v>
      </c>
      <c r="F364">
        <v>2101</v>
      </c>
      <c r="G364">
        <v>1</v>
      </c>
      <c r="H364" t="s">
        <v>16</v>
      </c>
      <c r="I364" s="1">
        <v>-905700</v>
      </c>
      <c r="J364" s="1">
        <v>-4851900</v>
      </c>
      <c r="K364">
        <v>0</v>
      </c>
      <c r="L364">
        <v>621</v>
      </c>
      <c r="M364" t="s">
        <v>16</v>
      </c>
    </row>
    <row r="365" spans="1:13" x14ac:dyDescent="0.35">
      <c r="A365">
        <v>170830</v>
      </c>
      <c r="B365">
        <v>48020</v>
      </c>
      <c r="C365" t="s">
        <v>463</v>
      </c>
      <c r="D365" t="s">
        <v>402</v>
      </c>
      <c r="E365" t="s">
        <v>403</v>
      </c>
      <c r="F365">
        <v>5221</v>
      </c>
      <c r="G365">
        <v>1</v>
      </c>
      <c r="H365" t="s">
        <v>16</v>
      </c>
      <c r="I365" s="1">
        <v>-877600</v>
      </c>
      <c r="J365" s="1">
        <v>-4893200</v>
      </c>
      <c r="K365">
        <v>256</v>
      </c>
      <c r="L365">
        <v>1800</v>
      </c>
      <c r="M365" t="s">
        <v>16</v>
      </c>
    </row>
    <row r="366" spans="1:13" x14ac:dyDescent="0.35">
      <c r="A366">
        <v>170900</v>
      </c>
      <c r="B366">
        <v>43494</v>
      </c>
      <c r="C366" t="s">
        <v>464</v>
      </c>
      <c r="D366" t="s">
        <v>402</v>
      </c>
      <c r="E366" t="s">
        <v>431</v>
      </c>
      <c r="F366">
        <v>11639</v>
      </c>
      <c r="G366">
        <v>1</v>
      </c>
      <c r="H366" t="s">
        <v>16</v>
      </c>
      <c r="I366" s="1">
        <v>-771000</v>
      </c>
      <c r="J366" s="1">
        <v>-4731400</v>
      </c>
      <c r="K366">
        <v>192</v>
      </c>
      <c r="L366">
        <v>6408</v>
      </c>
      <c r="M366" t="s">
        <v>16</v>
      </c>
    </row>
    <row r="367" spans="1:13" x14ac:dyDescent="0.35">
      <c r="A367">
        <v>170930</v>
      </c>
      <c r="B367">
        <v>43524</v>
      </c>
      <c r="C367" t="s">
        <v>465</v>
      </c>
      <c r="D367" t="s">
        <v>402</v>
      </c>
      <c r="E367" t="s">
        <v>403</v>
      </c>
      <c r="F367">
        <v>21669</v>
      </c>
      <c r="G367">
        <v>1</v>
      </c>
      <c r="H367" t="s">
        <v>16</v>
      </c>
      <c r="I367" s="1">
        <v>-883400</v>
      </c>
      <c r="J367" s="1">
        <v>-4851000</v>
      </c>
      <c r="K367">
        <v>259</v>
      </c>
      <c r="L367">
        <v>2268</v>
      </c>
      <c r="M367" t="s">
        <v>16</v>
      </c>
    </row>
    <row r="368" spans="1:13" x14ac:dyDescent="0.35">
      <c r="A368">
        <v>170950</v>
      </c>
      <c r="B368">
        <v>43540</v>
      </c>
      <c r="C368" t="s">
        <v>407</v>
      </c>
      <c r="D368" t="s">
        <v>402</v>
      </c>
      <c r="E368" t="s">
        <v>407</v>
      </c>
      <c r="F368">
        <v>71413</v>
      </c>
      <c r="G368">
        <v>2</v>
      </c>
      <c r="H368" t="s">
        <v>16</v>
      </c>
      <c r="I368" s="1">
        <v>-1172900</v>
      </c>
      <c r="J368" s="1">
        <v>-4906900</v>
      </c>
      <c r="K368">
        <v>287</v>
      </c>
      <c r="L368">
        <v>1836</v>
      </c>
      <c r="M368" t="s">
        <v>16</v>
      </c>
    </row>
    <row r="369" spans="1:13" x14ac:dyDescent="0.35">
      <c r="A369">
        <v>170980</v>
      </c>
      <c r="B369">
        <v>57096</v>
      </c>
      <c r="C369" t="s">
        <v>466</v>
      </c>
      <c r="D369" t="s">
        <v>402</v>
      </c>
      <c r="E369" t="s">
        <v>414</v>
      </c>
      <c r="F369">
        <v>1698</v>
      </c>
      <c r="G369">
        <v>1</v>
      </c>
      <c r="H369" t="s">
        <v>16</v>
      </c>
      <c r="I369" s="1">
        <v>-1123900</v>
      </c>
      <c r="J369" s="1">
        <v>-4846300</v>
      </c>
      <c r="K369">
        <v>237</v>
      </c>
      <c r="L369">
        <v>815</v>
      </c>
      <c r="M369" t="s">
        <v>16</v>
      </c>
    </row>
    <row r="370" spans="1:13" x14ac:dyDescent="0.35">
      <c r="A370">
        <v>171050</v>
      </c>
      <c r="B370">
        <v>43648</v>
      </c>
      <c r="C370" t="s">
        <v>467</v>
      </c>
      <c r="D370" t="s">
        <v>402</v>
      </c>
      <c r="E370" t="s">
        <v>431</v>
      </c>
      <c r="F370">
        <v>6386</v>
      </c>
      <c r="G370">
        <v>1</v>
      </c>
      <c r="H370" t="s">
        <v>16</v>
      </c>
      <c r="I370" s="1">
        <v>-839200</v>
      </c>
      <c r="J370" s="1">
        <v>-4776800</v>
      </c>
      <c r="K370">
        <v>196</v>
      </c>
      <c r="L370">
        <v>3051</v>
      </c>
      <c r="M370" t="s">
        <v>16</v>
      </c>
    </row>
    <row r="371" spans="1:13" x14ac:dyDescent="0.35">
      <c r="A371">
        <v>171070</v>
      </c>
      <c r="B371">
        <v>43664</v>
      </c>
      <c r="C371" t="s">
        <v>468</v>
      </c>
      <c r="D371" t="s">
        <v>402</v>
      </c>
      <c r="E371" t="s">
        <v>405</v>
      </c>
      <c r="F371">
        <v>6074</v>
      </c>
      <c r="G371">
        <v>1</v>
      </c>
      <c r="H371" t="s">
        <v>16</v>
      </c>
      <c r="I371" s="1">
        <v>-576800</v>
      </c>
      <c r="J371" s="1">
        <v>-4748100</v>
      </c>
      <c r="K371">
        <v>130</v>
      </c>
      <c r="L371">
        <v>739</v>
      </c>
      <c r="M371" t="s">
        <v>16</v>
      </c>
    </row>
    <row r="372" spans="1:13" x14ac:dyDescent="0.35">
      <c r="A372">
        <v>171090</v>
      </c>
      <c r="B372">
        <v>49727</v>
      </c>
      <c r="C372" t="s">
        <v>469</v>
      </c>
      <c r="D372" t="s">
        <v>402</v>
      </c>
      <c r="E372" t="s">
        <v>431</v>
      </c>
      <c r="F372">
        <v>3421</v>
      </c>
      <c r="G372">
        <v>1</v>
      </c>
      <c r="H372" t="s">
        <v>16</v>
      </c>
      <c r="I372" s="1">
        <v>-838400</v>
      </c>
      <c r="J372" s="1">
        <v>-4811100</v>
      </c>
      <c r="K372">
        <v>160</v>
      </c>
      <c r="L372">
        <v>1243</v>
      </c>
      <c r="M372" t="s">
        <v>16</v>
      </c>
    </row>
    <row r="373" spans="1:13" x14ac:dyDescent="0.35">
      <c r="A373">
        <v>171110</v>
      </c>
      <c r="B373">
        <v>43702</v>
      </c>
      <c r="C373" t="s">
        <v>470</v>
      </c>
      <c r="D373" t="s">
        <v>402</v>
      </c>
      <c r="E373" t="s">
        <v>403</v>
      </c>
      <c r="F373">
        <v>2989</v>
      </c>
      <c r="G373">
        <v>1</v>
      </c>
      <c r="H373" t="s">
        <v>16</v>
      </c>
      <c r="I373" s="1">
        <v>-857100</v>
      </c>
      <c r="J373" s="1">
        <v>-4868900</v>
      </c>
      <c r="K373">
        <v>350</v>
      </c>
      <c r="L373">
        <v>918</v>
      </c>
      <c r="M373" t="s">
        <v>16</v>
      </c>
    </row>
    <row r="374" spans="1:13" x14ac:dyDescent="0.35">
      <c r="A374">
        <v>171150</v>
      </c>
      <c r="B374">
        <v>49735</v>
      </c>
      <c r="C374" t="s">
        <v>471</v>
      </c>
      <c r="D374" t="s">
        <v>402</v>
      </c>
      <c r="E374" t="s">
        <v>407</v>
      </c>
      <c r="F374">
        <v>3789</v>
      </c>
      <c r="G374">
        <v>1</v>
      </c>
      <c r="H374" t="s">
        <v>16</v>
      </c>
      <c r="I374" s="1">
        <v>-1265400</v>
      </c>
      <c r="J374" s="1">
        <v>-4859400</v>
      </c>
      <c r="K374">
        <v>365</v>
      </c>
      <c r="L374">
        <v>2173</v>
      </c>
      <c r="M374" t="s">
        <v>16</v>
      </c>
    </row>
    <row r="375" spans="1:13" x14ac:dyDescent="0.35">
      <c r="A375">
        <v>171180</v>
      </c>
      <c r="B375">
        <v>49743</v>
      </c>
      <c r="C375" t="s">
        <v>472</v>
      </c>
      <c r="D375" t="s">
        <v>402</v>
      </c>
      <c r="E375" t="s">
        <v>403</v>
      </c>
      <c r="F375">
        <v>2141</v>
      </c>
      <c r="G375">
        <v>1</v>
      </c>
      <c r="H375" t="s">
        <v>16</v>
      </c>
      <c r="I375" s="1">
        <v>-811900</v>
      </c>
      <c r="J375" s="1">
        <v>-4906500</v>
      </c>
      <c r="K375">
        <v>180</v>
      </c>
      <c r="L375">
        <v>481</v>
      </c>
      <c r="M375" t="s">
        <v>16</v>
      </c>
    </row>
    <row r="376" spans="1:13" x14ac:dyDescent="0.35">
      <c r="A376">
        <v>171190</v>
      </c>
      <c r="B376">
        <v>49751</v>
      </c>
      <c r="C376" t="s">
        <v>473</v>
      </c>
      <c r="D376" t="s">
        <v>402</v>
      </c>
      <c r="E376" t="s">
        <v>419</v>
      </c>
      <c r="F376">
        <v>8220</v>
      </c>
      <c r="G376">
        <v>1</v>
      </c>
      <c r="H376" t="s">
        <v>16</v>
      </c>
      <c r="I376" s="1">
        <v>-1079400</v>
      </c>
      <c r="J376" s="1">
        <v>-4962400</v>
      </c>
      <c r="K376">
        <v>0</v>
      </c>
      <c r="L376">
        <v>10564</v>
      </c>
      <c r="M376" t="s">
        <v>16</v>
      </c>
    </row>
    <row r="377" spans="1:13" x14ac:dyDescent="0.35">
      <c r="A377">
        <v>171195</v>
      </c>
      <c r="B377">
        <v>49760</v>
      </c>
      <c r="C377" t="s">
        <v>474</v>
      </c>
      <c r="D377" t="s">
        <v>402</v>
      </c>
      <c r="E377" t="s">
        <v>431</v>
      </c>
      <c r="F377">
        <v>3179</v>
      </c>
      <c r="G377">
        <v>1</v>
      </c>
      <c r="H377" t="s">
        <v>16</v>
      </c>
      <c r="I377" s="1">
        <v>-1037800</v>
      </c>
      <c r="J377" s="1">
        <v>-4755100</v>
      </c>
      <c r="K377">
        <v>0</v>
      </c>
      <c r="L377">
        <v>911</v>
      </c>
      <c r="M377" t="s">
        <v>16</v>
      </c>
    </row>
    <row r="378" spans="1:13" x14ac:dyDescent="0.35">
      <c r="A378">
        <v>171200</v>
      </c>
      <c r="B378">
        <v>49778</v>
      </c>
      <c r="C378" t="s">
        <v>475</v>
      </c>
      <c r="D378" t="s">
        <v>402</v>
      </c>
      <c r="E378" t="s">
        <v>414</v>
      </c>
      <c r="F378">
        <v>2159</v>
      </c>
      <c r="G378">
        <v>1</v>
      </c>
      <c r="H378" t="s">
        <v>16</v>
      </c>
      <c r="I378" s="1">
        <v>-975100</v>
      </c>
      <c r="J378" s="1">
        <v>-4835800</v>
      </c>
      <c r="K378">
        <v>202</v>
      </c>
      <c r="L378">
        <v>322</v>
      </c>
      <c r="M378" t="s">
        <v>16</v>
      </c>
    </row>
    <row r="379" spans="1:13" x14ac:dyDescent="0.35">
      <c r="A379">
        <v>171215</v>
      </c>
      <c r="B379">
        <v>56723</v>
      </c>
      <c r="C379" t="s">
        <v>476</v>
      </c>
      <c r="D379" t="s">
        <v>402</v>
      </c>
      <c r="E379" t="s">
        <v>409</v>
      </c>
      <c r="F379">
        <v>1590</v>
      </c>
      <c r="G379">
        <v>1</v>
      </c>
      <c r="H379" t="s">
        <v>16</v>
      </c>
      <c r="I379" s="1">
        <v>-1278900</v>
      </c>
      <c r="J379" s="1">
        <v>-4650600</v>
      </c>
      <c r="K379">
        <v>330</v>
      </c>
      <c r="L379">
        <v>519</v>
      </c>
      <c r="M379" t="s">
        <v>16</v>
      </c>
    </row>
    <row r="380" spans="1:13" x14ac:dyDescent="0.35">
      <c r="A380">
        <v>171240</v>
      </c>
      <c r="B380">
        <v>44458</v>
      </c>
      <c r="C380" t="s">
        <v>477</v>
      </c>
      <c r="D380" t="s">
        <v>402</v>
      </c>
      <c r="E380" t="s">
        <v>431</v>
      </c>
      <c r="F380">
        <v>3634</v>
      </c>
      <c r="G380">
        <v>1</v>
      </c>
      <c r="H380" t="s">
        <v>16</v>
      </c>
      <c r="I380" s="1">
        <v>-959400</v>
      </c>
      <c r="J380" s="1">
        <v>-4667300</v>
      </c>
      <c r="K380">
        <v>423</v>
      </c>
      <c r="L380">
        <v>5723</v>
      </c>
      <c r="M380" t="s">
        <v>16</v>
      </c>
    </row>
    <row r="381" spans="1:13" x14ac:dyDescent="0.35">
      <c r="A381">
        <v>171245</v>
      </c>
      <c r="B381">
        <v>57100</v>
      </c>
      <c r="C381" t="s">
        <v>478</v>
      </c>
      <c r="D381" t="s">
        <v>402</v>
      </c>
      <c r="E381" t="s">
        <v>405</v>
      </c>
      <c r="F381">
        <v>2784</v>
      </c>
      <c r="G381">
        <v>1</v>
      </c>
      <c r="H381" t="s">
        <v>16</v>
      </c>
      <c r="I381" s="1">
        <v>-618200</v>
      </c>
      <c r="J381" s="1">
        <v>-4785600</v>
      </c>
      <c r="K381">
        <v>250</v>
      </c>
      <c r="L381">
        <v>279</v>
      </c>
      <c r="M381" t="s">
        <v>16</v>
      </c>
    </row>
    <row r="382" spans="1:13" x14ac:dyDescent="0.35">
      <c r="A382">
        <v>171250</v>
      </c>
      <c r="B382">
        <v>48038</v>
      </c>
      <c r="C382" t="s">
        <v>479</v>
      </c>
      <c r="D382" t="s">
        <v>402</v>
      </c>
      <c r="E382" t="s">
        <v>403</v>
      </c>
      <c r="F382">
        <v>4473</v>
      </c>
      <c r="G382">
        <v>1</v>
      </c>
      <c r="H382" t="s">
        <v>16</v>
      </c>
      <c r="I382" s="1">
        <v>-979600</v>
      </c>
      <c r="J382" s="1">
        <v>-4965400</v>
      </c>
      <c r="K382">
        <v>146</v>
      </c>
      <c r="L382">
        <v>2091</v>
      </c>
      <c r="M382" t="s">
        <v>16</v>
      </c>
    </row>
    <row r="383" spans="1:13" x14ac:dyDescent="0.35">
      <c r="A383">
        <v>171270</v>
      </c>
      <c r="B383">
        <v>49786</v>
      </c>
      <c r="C383" t="s">
        <v>480</v>
      </c>
      <c r="D383" t="s">
        <v>402</v>
      </c>
      <c r="E383" t="s">
        <v>431</v>
      </c>
      <c r="F383">
        <v>1737</v>
      </c>
      <c r="G383">
        <v>1</v>
      </c>
      <c r="H383" t="s">
        <v>16</v>
      </c>
      <c r="I383" s="1">
        <v>-1054800</v>
      </c>
      <c r="J383" s="1">
        <v>-4642100</v>
      </c>
      <c r="K383">
        <v>493</v>
      </c>
      <c r="L383">
        <v>9591</v>
      </c>
      <c r="M383" t="s">
        <v>16</v>
      </c>
    </row>
    <row r="384" spans="1:13" x14ac:dyDescent="0.35">
      <c r="A384">
        <v>171280</v>
      </c>
      <c r="B384">
        <v>49794</v>
      </c>
      <c r="C384" t="s">
        <v>481</v>
      </c>
      <c r="D384" t="s">
        <v>402</v>
      </c>
      <c r="E384" t="s">
        <v>405</v>
      </c>
      <c r="F384">
        <v>3185</v>
      </c>
      <c r="G384">
        <v>1</v>
      </c>
      <c r="H384" t="s">
        <v>16</v>
      </c>
      <c r="I384" s="1">
        <v>-595300</v>
      </c>
      <c r="J384" s="1">
        <v>-4750600</v>
      </c>
      <c r="K384">
        <v>0</v>
      </c>
      <c r="L384">
        <v>738</v>
      </c>
      <c r="M384" t="s">
        <v>16</v>
      </c>
    </row>
    <row r="385" spans="1:13" x14ac:dyDescent="0.35">
      <c r="A385">
        <v>171320</v>
      </c>
      <c r="B385">
        <v>43907</v>
      </c>
      <c r="C385" t="s">
        <v>403</v>
      </c>
      <c r="D385" t="s">
        <v>402</v>
      </c>
      <c r="E385" t="s">
        <v>403</v>
      </c>
      <c r="F385">
        <v>19683</v>
      </c>
      <c r="G385">
        <v>1</v>
      </c>
      <c r="H385" t="s">
        <v>16</v>
      </c>
      <c r="I385" s="1">
        <v>-956700</v>
      </c>
      <c r="J385" s="1">
        <v>-4839200</v>
      </c>
      <c r="K385">
        <v>197</v>
      </c>
      <c r="L385">
        <v>2656</v>
      </c>
      <c r="M385" t="s">
        <v>16</v>
      </c>
    </row>
    <row r="386" spans="1:13" x14ac:dyDescent="0.35">
      <c r="A386">
        <v>171330</v>
      </c>
      <c r="B386">
        <v>43915</v>
      </c>
      <c r="C386" t="s">
        <v>482</v>
      </c>
      <c r="D386" t="s">
        <v>402</v>
      </c>
      <c r="E386" t="s">
        <v>403</v>
      </c>
      <c r="F386">
        <v>11858</v>
      </c>
      <c r="G386">
        <v>1</v>
      </c>
      <c r="H386" t="s">
        <v>16</v>
      </c>
      <c r="I386" s="1">
        <v>-952900</v>
      </c>
      <c r="J386" s="1">
        <v>-4859000</v>
      </c>
      <c r="K386">
        <v>222</v>
      </c>
      <c r="L386">
        <v>1031</v>
      </c>
      <c r="M386" t="s">
        <v>16</v>
      </c>
    </row>
    <row r="387" spans="1:13" x14ac:dyDescent="0.35">
      <c r="A387">
        <v>171360</v>
      </c>
      <c r="B387">
        <v>43940</v>
      </c>
      <c r="C387" t="s">
        <v>483</v>
      </c>
      <c r="D387" t="s">
        <v>402</v>
      </c>
      <c r="E387" t="s">
        <v>414</v>
      </c>
      <c r="F387">
        <v>6387</v>
      </c>
      <c r="G387">
        <v>1</v>
      </c>
      <c r="H387" t="s">
        <v>16</v>
      </c>
      <c r="I387" s="1">
        <v>-1076300</v>
      </c>
      <c r="J387" s="1">
        <v>-4810900</v>
      </c>
      <c r="K387">
        <v>295</v>
      </c>
      <c r="L387">
        <v>3616</v>
      </c>
      <c r="M387" t="s">
        <v>16</v>
      </c>
    </row>
    <row r="388" spans="1:13" x14ac:dyDescent="0.35">
      <c r="A388">
        <v>171370</v>
      </c>
      <c r="B388">
        <v>57118</v>
      </c>
      <c r="C388" t="s">
        <v>484</v>
      </c>
      <c r="D388" t="s">
        <v>402</v>
      </c>
      <c r="E388" t="s">
        <v>403</v>
      </c>
      <c r="F388">
        <v>1858</v>
      </c>
      <c r="G388">
        <v>1</v>
      </c>
      <c r="H388" t="s">
        <v>16</v>
      </c>
      <c r="I388" s="1">
        <v>-1000400</v>
      </c>
      <c r="J388" s="1">
        <v>-4899500</v>
      </c>
      <c r="K388">
        <v>280</v>
      </c>
      <c r="L388">
        <v>1091</v>
      </c>
      <c r="M388" t="s">
        <v>16</v>
      </c>
    </row>
    <row r="389" spans="1:13" x14ac:dyDescent="0.35">
      <c r="A389">
        <v>171380</v>
      </c>
      <c r="B389">
        <v>49808</v>
      </c>
      <c r="C389" t="s">
        <v>485</v>
      </c>
      <c r="D389" t="s">
        <v>402</v>
      </c>
      <c r="E389" t="s">
        <v>405</v>
      </c>
      <c r="F389">
        <v>4542</v>
      </c>
      <c r="G389">
        <v>1</v>
      </c>
      <c r="H389" t="s">
        <v>16</v>
      </c>
      <c r="I389" s="1">
        <v>-661300</v>
      </c>
      <c r="J389" s="1">
        <v>-4754600</v>
      </c>
      <c r="K389">
        <v>0</v>
      </c>
      <c r="L389">
        <v>747</v>
      </c>
      <c r="M389" t="s">
        <v>16</v>
      </c>
    </row>
    <row r="390" spans="1:13" x14ac:dyDescent="0.35">
      <c r="A390">
        <v>171395</v>
      </c>
      <c r="B390">
        <v>49816</v>
      </c>
      <c r="C390" t="s">
        <v>486</v>
      </c>
      <c r="D390" t="s">
        <v>402</v>
      </c>
      <c r="E390" t="s">
        <v>416</v>
      </c>
      <c r="F390">
        <v>2850</v>
      </c>
      <c r="G390">
        <v>1</v>
      </c>
      <c r="H390" t="s">
        <v>16</v>
      </c>
      <c r="I390" s="1">
        <v>-714700</v>
      </c>
      <c r="J390" s="1">
        <v>-4861100</v>
      </c>
      <c r="K390">
        <v>190</v>
      </c>
      <c r="L390">
        <v>1187</v>
      </c>
      <c r="M390" t="s">
        <v>16</v>
      </c>
    </row>
    <row r="391" spans="1:13" x14ac:dyDescent="0.35">
      <c r="A391">
        <v>171420</v>
      </c>
      <c r="B391">
        <v>44008</v>
      </c>
      <c r="C391" t="s">
        <v>487</v>
      </c>
      <c r="D391" t="s">
        <v>402</v>
      </c>
      <c r="E391" t="s">
        <v>409</v>
      </c>
      <c r="F391">
        <v>9090</v>
      </c>
      <c r="G391">
        <v>1</v>
      </c>
      <c r="H391" t="s">
        <v>16</v>
      </c>
      <c r="I391" s="1">
        <v>-1171000</v>
      </c>
      <c r="J391" s="1">
        <v>-4772300</v>
      </c>
      <c r="K391">
        <v>323</v>
      </c>
      <c r="L391">
        <v>3215</v>
      </c>
      <c r="M391" t="s">
        <v>16</v>
      </c>
    </row>
    <row r="392" spans="1:13" x14ac:dyDescent="0.35">
      <c r="A392">
        <v>171430</v>
      </c>
      <c r="B392">
        <v>44016</v>
      </c>
      <c r="C392" t="s">
        <v>488</v>
      </c>
      <c r="D392" t="s">
        <v>402</v>
      </c>
      <c r="E392" t="s">
        <v>405</v>
      </c>
      <c r="F392">
        <v>4528</v>
      </c>
      <c r="G392">
        <v>1</v>
      </c>
      <c r="H392" t="s">
        <v>16</v>
      </c>
      <c r="I392" s="1">
        <v>-637200</v>
      </c>
      <c r="J392" s="1">
        <v>-4766400</v>
      </c>
      <c r="K392">
        <v>240</v>
      </c>
      <c r="L392">
        <v>395</v>
      </c>
      <c r="M392" t="s">
        <v>16</v>
      </c>
    </row>
    <row r="393" spans="1:13" x14ac:dyDescent="0.35">
      <c r="A393">
        <v>171488</v>
      </c>
      <c r="B393">
        <v>44881</v>
      </c>
      <c r="C393" t="s">
        <v>489</v>
      </c>
      <c r="D393" t="s">
        <v>402</v>
      </c>
      <c r="E393" t="s">
        <v>416</v>
      </c>
      <c r="F393">
        <v>10518</v>
      </c>
      <c r="G393">
        <v>1</v>
      </c>
      <c r="H393" t="s">
        <v>16</v>
      </c>
      <c r="I393" s="1">
        <v>-763200</v>
      </c>
      <c r="J393" s="1">
        <v>-4842300</v>
      </c>
      <c r="K393">
        <v>257</v>
      </c>
      <c r="L393">
        <v>1566</v>
      </c>
      <c r="M393" t="s">
        <v>16</v>
      </c>
    </row>
    <row r="394" spans="1:13" x14ac:dyDescent="0.35">
      <c r="A394">
        <v>171500</v>
      </c>
      <c r="B394">
        <v>48046</v>
      </c>
      <c r="C394" t="s">
        <v>490</v>
      </c>
      <c r="D394" t="s">
        <v>402</v>
      </c>
      <c r="E394" t="s">
        <v>419</v>
      </c>
      <c r="F394">
        <v>3772</v>
      </c>
      <c r="G394">
        <v>1</v>
      </c>
      <c r="H394" t="s">
        <v>16</v>
      </c>
      <c r="I394" s="1">
        <v>-1056700</v>
      </c>
      <c r="J394" s="1">
        <v>-4891400</v>
      </c>
      <c r="K394">
        <v>255</v>
      </c>
      <c r="L394">
        <v>488</v>
      </c>
      <c r="M394" t="s">
        <v>16</v>
      </c>
    </row>
    <row r="395" spans="1:13" x14ac:dyDescent="0.35">
      <c r="A395">
        <v>171510</v>
      </c>
      <c r="B395">
        <v>44091</v>
      </c>
      <c r="C395" t="s">
        <v>491</v>
      </c>
      <c r="D395" t="s">
        <v>402</v>
      </c>
      <c r="E395" t="s">
        <v>431</v>
      </c>
      <c r="F395">
        <v>3754</v>
      </c>
      <c r="G395">
        <v>1</v>
      </c>
      <c r="H395" t="s">
        <v>16</v>
      </c>
      <c r="I395" s="1">
        <v>-996300</v>
      </c>
      <c r="J395" s="1">
        <v>-4767700</v>
      </c>
      <c r="K395">
        <v>205</v>
      </c>
      <c r="L395">
        <v>2671</v>
      </c>
      <c r="M395" t="s">
        <v>16</v>
      </c>
    </row>
    <row r="396" spans="1:13" x14ac:dyDescent="0.35">
      <c r="A396">
        <v>171515</v>
      </c>
      <c r="B396">
        <v>49824</v>
      </c>
      <c r="C396" t="s">
        <v>492</v>
      </c>
      <c r="D396" t="s">
        <v>402</v>
      </c>
      <c r="E396" t="s">
        <v>409</v>
      </c>
      <c r="F396">
        <v>1801</v>
      </c>
      <c r="G396">
        <v>1</v>
      </c>
      <c r="H396" t="s">
        <v>16</v>
      </c>
      <c r="I396" s="1">
        <v>-1293100</v>
      </c>
      <c r="J396" s="1">
        <v>-4657400</v>
      </c>
      <c r="K396">
        <v>539</v>
      </c>
      <c r="L396">
        <v>200</v>
      </c>
      <c r="M396" t="s">
        <v>16</v>
      </c>
    </row>
    <row r="397" spans="1:13" x14ac:dyDescent="0.35">
      <c r="A397">
        <v>171525</v>
      </c>
      <c r="B397">
        <v>49832</v>
      </c>
      <c r="C397" t="s">
        <v>493</v>
      </c>
      <c r="D397" t="s">
        <v>402</v>
      </c>
      <c r="E397" t="s">
        <v>409</v>
      </c>
      <c r="F397">
        <v>2419</v>
      </c>
      <c r="G397">
        <v>1</v>
      </c>
      <c r="H397" t="s">
        <v>16</v>
      </c>
      <c r="I397" s="1">
        <v>-1182400</v>
      </c>
      <c r="J397" s="1">
        <v>-4662800</v>
      </c>
      <c r="K397">
        <v>0</v>
      </c>
      <c r="L397">
        <v>1309</v>
      </c>
      <c r="M397" t="s">
        <v>16</v>
      </c>
    </row>
    <row r="398" spans="1:13" x14ac:dyDescent="0.35">
      <c r="A398">
        <v>171550</v>
      </c>
      <c r="B398">
        <v>56731</v>
      </c>
      <c r="C398" t="s">
        <v>494</v>
      </c>
      <c r="D398" t="s">
        <v>402</v>
      </c>
      <c r="E398" t="s">
        <v>419</v>
      </c>
      <c r="F398">
        <v>1081</v>
      </c>
      <c r="G398">
        <v>1</v>
      </c>
      <c r="H398" t="s">
        <v>16</v>
      </c>
      <c r="I398" s="1">
        <v>-1070800</v>
      </c>
      <c r="J398" s="1">
        <v>-4890700</v>
      </c>
      <c r="K398">
        <v>302</v>
      </c>
      <c r="L398">
        <v>205</v>
      </c>
      <c r="M398" t="s">
        <v>16</v>
      </c>
    </row>
    <row r="399" spans="1:13" x14ac:dyDescent="0.35">
      <c r="A399">
        <v>171570</v>
      </c>
      <c r="B399">
        <v>49840</v>
      </c>
      <c r="C399" t="s">
        <v>495</v>
      </c>
      <c r="D399" t="s">
        <v>402</v>
      </c>
      <c r="E399" t="s">
        <v>416</v>
      </c>
      <c r="F399">
        <v>4689</v>
      </c>
      <c r="G399">
        <v>1</v>
      </c>
      <c r="H399" t="s">
        <v>16</v>
      </c>
      <c r="I399" s="1">
        <v>-786000</v>
      </c>
      <c r="J399" s="1">
        <v>-4792600</v>
      </c>
      <c r="K399">
        <v>140</v>
      </c>
      <c r="L399">
        <v>2640</v>
      </c>
      <c r="M399" t="s">
        <v>16</v>
      </c>
    </row>
    <row r="400" spans="1:13" x14ac:dyDescent="0.35">
      <c r="A400">
        <v>171575</v>
      </c>
      <c r="B400">
        <v>44890</v>
      </c>
      <c r="C400" t="s">
        <v>496</v>
      </c>
      <c r="D400" t="s">
        <v>402</v>
      </c>
      <c r="E400" t="s">
        <v>407</v>
      </c>
      <c r="F400">
        <v>8120</v>
      </c>
      <c r="G400">
        <v>1</v>
      </c>
      <c r="H400" t="s">
        <v>16</v>
      </c>
      <c r="I400" s="1">
        <v>-1304400</v>
      </c>
      <c r="J400" s="1">
        <v>-4840200</v>
      </c>
      <c r="K400">
        <v>438</v>
      </c>
      <c r="L400">
        <v>1703</v>
      </c>
      <c r="M400" t="s">
        <v>16</v>
      </c>
    </row>
    <row r="401" spans="1:13" x14ac:dyDescent="0.35">
      <c r="A401">
        <v>171610</v>
      </c>
      <c r="B401">
        <v>44199</v>
      </c>
      <c r="C401" t="s">
        <v>497</v>
      </c>
      <c r="D401" t="s">
        <v>402</v>
      </c>
      <c r="E401" t="s">
        <v>419</v>
      </c>
      <c r="F401">
        <v>40290</v>
      </c>
      <c r="G401">
        <v>1</v>
      </c>
      <c r="H401" t="s">
        <v>16</v>
      </c>
      <c r="I401" s="1">
        <v>-1017600</v>
      </c>
      <c r="J401" s="1">
        <v>-4886700</v>
      </c>
      <c r="K401">
        <v>387</v>
      </c>
      <c r="L401">
        <v>1297</v>
      </c>
      <c r="M401" t="s">
        <v>16</v>
      </c>
    </row>
    <row r="402" spans="1:13" x14ac:dyDescent="0.35">
      <c r="A402">
        <v>171620</v>
      </c>
      <c r="B402">
        <v>44202</v>
      </c>
      <c r="C402" t="s">
        <v>498</v>
      </c>
      <c r="D402" t="s">
        <v>402</v>
      </c>
      <c r="E402" t="s">
        <v>409</v>
      </c>
      <c r="F402">
        <v>10491</v>
      </c>
      <c r="G402">
        <v>1</v>
      </c>
      <c r="H402" t="s">
        <v>16</v>
      </c>
      <c r="I402" s="1">
        <v>-1261500</v>
      </c>
      <c r="J402" s="1">
        <v>-4788300</v>
      </c>
      <c r="K402">
        <v>274</v>
      </c>
      <c r="L402">
        <v>11260</v>
      </c>
      <c r="M402" t="s">
        <v>16</v>
      </c>
    </row>
    <row r="403" spans="1:13" x14ac:dyDescent="0.35">
      <c r="A403">
        <v>171630</v>
      </c>
      <c r="B403">
        <v>49859</v>
      </c>
      <c r="C403" t="s">
        <v>304</v>
      </c>
      <c r="D403" t="s">
        <v>402</v>
      </c>
      <c r="E403" t="s">
        <v>416</v>
      </c>
      <c r="F403">
        <v>4767</v>
      </c>
      <c r="G403">
        <v>1</v>
      </c>
      <c r="H403" t="s">
        <v>16</v>
      </c>
      <c r="I403" s="1">
        <v>-754000</v>
      </c>
      <c r="J403" s="1">
        <v>-4937200</v>
      </c>
      <c r="K403">
        <v>0</v>
      </c>
      <c r="L403">
        <v>1300</v>
      </c>
      <c r="M403" t="s">
        <v>16</v>
      </c>
    </row>
    <row r="404" spans="1:13" x14ac:dyDescent="0.35">
      <c r="A404">
        <v>171650</v>
      </c>
      <c r="B404">
        <v>44237</v>
      </c>
      <c r="C404" t="s">
        <v>499</v>
      </c>
      <c r="D404" t="s">
        <v>402</v>
      </c>
      <c r="E404" t="s">
        <v>414</v>
      </c>
      <c r="F404">
        <v>10294</v>
      </c>
      <c r="G404">
        <v>1</v>
      </c>
      <c r="H404" t="s">
        <v>16</v>
      </c>
      <c r="I404" s="1">
        <v>-896800</v>
      </c>
      <c r="J404" s="1">
        <v>-4817500</v>
      </c>
      <c r="K404">
        <v>201</v>
      </c>
      <c r="L404">
        <v>2010</v>
      </c>
      <c r="M404" t="s">
        <v>16</v>
      </c>
    </row>
    <row r="405" spans="1:13" x14ac:dyDescent="0.35">
      <c r="A405">
        <v>171660</v>
      </c>
      <c r="B405">
        <v>44245</v>
      </c>
      <c r="C405" t="s">
        <v>500</v>
      </c>
      <c r="D405" t="s">
        <v>402</v>
      </c>
      <c r="E405" t="s">
        <v>407</v>
      </c>
      <c r="F405">
        <v>8750</v>
      </c>
      <c r="G405">
        <v>1</v>
      </c>
      <c r="H405" t="s">
        <v>16</v>
      </c>
      <c r="I405" s="1">
        <v>-1202500</v>
      </c>
      <c r="J405" s="1">
        <v>-4853900</v>
      </c>
      <c r="K405">
        <v>240</v>
      </c>
      <c r="L405">
        <v>5291</v>
      </c>
      <c r="M405" t="s">
        <v>16</v>
      </c>
    </row>
    <row r="406" spans="1:13" x14ac:dyDescent="0.35">
      <c r="A406">
        <v>171665</v>
      </c>
      <c r="B406">
        <v>48062</v>
      </c>
      <c r="C406" t="s">
        <v>501</v>
      </c>
      <c r="D406" t="s">
        <v>402</v>
      </c>
      <c r="E406" t="s">
        <v>403</v>
      </c>
      <c r="F406">
        <v>4799</v>
      </c>
      <c r="G406">
        <v>1</v>
      </c>
      <c r="H406" t="s">
        <v>16</v>
      </c>
      <c r="I406" s="1">
        <v>-859500</v>
      </c>
      <c r="J406" s="1">
        <v>-4893400</v>
      </c>
      <c r="K406">
        <v>283</v>
      </c>
      <c r="L406">
        <v>1209</v>
      </c>
      <c r="M406" t="s">
        <v>16</v>
      </c>
    </row>
    <row r="407" spans="1:13" x14ac:dyDescent="0.35">
      <c r="A407">
        <v>171670</v>
      </c>
      <c r="B407">
        <v>44253</v>
      </c>
      <c r="C407" t="s">
        <v>502</v>
      </c>
      <c r="D407" t="s">
        <v>402</v>
      </c>
      <c r="E407" t="s">
        <v>403</v>
      </c>
      <c r="F407">
        <v>8759</v>
      </c>
      <c r="G407">
        <v>1</v>
      </c>
      <c r="H407" t="s">
        <v>16</v>
      </c>
      <c r="I407" s="1">
        <v>-872900</v>
      </c>
      <c r="J407" s="1">
        <v>-4876500</v>
      </c>
      <c r="K407">
        <v>362</v>
      </c>
      <c r="L407">
        <v>990</v>
      </c>
      <c r="M407" t="s">
        <v>16</v>
      </c>
    </row>
    <row r="408" spans="1:13" x14ac:dyDescent="0.35">
      <c r="A408">
        <v>171700</v>
      </c>
      <c r="B408">
        <v>44288</v>
      </c>
      <c r="C408" t="s">
        <v>503</v>
      </c>
      <c r="D408" t="s">
        <v>402</v>
      </c>
      <c r="E408" t="s">
        <v>409</v>
      </c>
      <c r="F408">
        <v>4397</v>
      </c>
      <c r="G408">
        <v>1</v>
      </c>
      <c r="H408" t="s">
        <v>16</v>
      </c>
      <c r="I408" s="1">
        <v>-1113900</v>
      </c>
      <c r="J408" s="1">
        <v>-4757900</v>
      </c>
      <c r="K408">
        <v>429</v>
      </c>
      <c r="L408">
        <v>1559</v>
      </c>
      <c r="M408" t="s">
        <v>16</v>
      </c>
    </row>
    <row r="409" spans="1:13" x14ac:dyDescent="0.35">
      <c r="A409">
        <v>171720</v>
      </c>
      <c r="B409">
        <v>49867</v>
      </c>
      <c r="C409" t="s">
        <v>504</v>
      </c>
      <c r="D409" t="s">
        <v>402</v>
      </c>
      <c r="E409" t="s">
        <v>416</v>
      </c>
      <c r="F409">
        <v>3014</v>
      </c>
      <c r="G409">
        <v>1</v>
      </c>
      <c r="H409" t="s">
        <v>16</v>
      </c>
      <c r="I409" s="1">
        <v>-677400</v>
      </c>
      <c r="J409" s="1">
        <v>-4829700</v>
      </c>
      <c r="K409">
        <v>186</v>
      </c>
      <c r="L409">
        <v>921</v>
      </c>
      <c r="M409" t="s">
        <v>16</v>
      </c>
    </row>
    <row r="410" spans="1:13" x14ac:dyDescent="0.35">
      <c r="A410">
        <v>171750</v>
      </c>
      <c r="B410">
        <v>44334</v>
      </c>
      <c r="C410" t="s">
        <v>505</v>
      </c>
      <c r="D410" t="s">
        <v>402</v>
      </c>
      <c r="E410" t="s">
        <v>419</v>
      </c>
      <c r="F410">
        <v>6403</v>
      </c>
      <c r="G410">
        <v>1</v>
      </c>
      <c r="H410" t="s">
        <v>16</v>
      </c>
      <c r="I410" s="1">
        <v>-1044300</v>
      </c>
      <c r="J410" s="1">
        <v>-4918200</v>
      </c>
      <c r="K410">
        <v>249</v>
      </c>
      <c r="L410">
        <v>10012</v>
      </c>
      <c r="M410" t="s">
        <v>16</v>
      </c>
    </row>
    <row r="411" spans="1:13" x14ac:dyDescent="0.35">
      <c r="A411">
        <v>171780</v>
      </c>
      <c r="B411">
        <v>44369</v>
      </c>
      <c r="C411" t="s">
        <v>506</v>
      </c>
      <c r="D411" t="s">
        <v>402</v>
      </c>
      <c r="E411" t="s">
        <v>409</v>
      </c>
      <c r="F411">
        <v>4529</v>
      </c>
      <c r="G411">
        <v>1</v>
      </c>
      <c r="H411" t="s">
        <v>16</v>
      </c>
      <c r="I411" s="1">
        <v>-1209100</v>
      </c>
      <c r="J411" s="1">
        <v>-4647900</v>
      </c>
      <c r="K411">
        <v>512</v>
      </c>
      <c r="L411">
        <v>1806</v>
      </c>
      <c r="M411" t="s">
        <v>16</v>
      </c>
    </row>
    <row r="412" spans="1:13" x14ac:dyDescent="0.35">
      <c r="A412">
        <v>171790</v>
      </c>
      <c r="B412">
        <v>44377</v>
      </c>
      <c r="C412" t="s">
        <v>507</v>
      </c>
      <c r="D412" t="s">
        <v>402</v>
      </c>
      <c r="E412" t="s">
        <v>431</v>
      </c>
      <c r="F412">
        <v>6569</v>
      </c>
      <c r="G412">
        <v>1</v>
      </c>
      <c r="H412" t="s">
        <v>16</v>
      </c>
      <c r="I412" s="1">
        <v>-1074400</v>
      </c>
      <c r="J412" s="1">
        <v>-4753600</v>
      </c>
      <c r="K412">
        <v>294</v>
      </c>
      <c r="L412">
        <v>6491</v>
      </c>
      <c r="M412" t="s">
        <v>16</v>
      </c>
    </row>
    <row r="413" spans="1:13" x14ac:dyDescent="0.35">
      <c r="A413">
        <v>171800</v>
      </c>
      <c r="B413">
        <v>48070</v>
      </c>
      <c r="C413" t="s">
        <v>508</v>
      </c>
      <c r="D413" t="s">
        <v>402</v>
      </c>
      <c r="E413" t="s">
        <v>409</v>
      </c>
      <c r="F413">
        <v>2830</v>
      </c>
      <c r="G413">
        <v>1</v>
      </c>
      <c r="H413" t="s">
        <v>16</v>
      </c>
      <c r="I413" s="1">
        <v>-1160900</v>
      </c>
      <c r="J413" s="1">
        <v>-4704900</v>
      </c>
      <c r="K413">
        <v>387</v>
      </c>
      <c r="L413">
        <v>501</v>
      </c>
      <c r="M413" t="s">
        <v>16</v>
      </c>
    </row>
    <row r="414" spans="1:13" x14ac:dyDescent="0.35">
      <c r="A414">
        <v>171820</v>
      </c>
      <c r="B414">
        <v>44407</v>
      </c>
      <c r="C414" t="s">
        <v>414</v>
      </c>
      <c r="D414" t="s">
        <v>402</v>
      </c>
      <c r="E414" t="s">
        <v>414</v>
      </c>
      <c r="F414">
        <v>45289</v>
      </c>
      <c r="G414">
        <v>1</v>
      </c>
      <c r="H414" t="s">
        <v>16</v>
      </c>
      <c r="I414" s="1">
        <v>-1070800</v>
      </c>
      <c r="J414" s="1">
        <v>-4841700</v>
      </c>
      <c r="K414">
        <v>212</v>
      </c>
      <c r="L414">
        <v>4449</v>
      </c>
      <c r="M414" t="s">
        <v>16</v>
      </c>
    </row>
    <row r="415" spans="1:13" x14ac:dyDescent="0.35">
      <c r="A415">
        <v>171830</v>
      </c>
      <c r="B415">
        <v>48089</v>
      </c>
      <c r="C415" t="s">
        <v>509</v>
      </c>
      <c r="D415" t="s">
        <v>402</v>
      </c>
      <c r="E415" t="s">
        <v>405</v>
      </c>
      <c r="F415">
        <v>7060</v>
      </c>
      <c r="G415">
        <v>1</v>
      </c>
      <c r="H415" t="s">
        <v>16</v>
      </c>
      <c r="I415" s="1">
        <v>-539300</v>
      </c>
      <c r="J415" s="1">
        <v>-4781100</v>
      </c>
      <c r="K415">
        <v>122</v>
      </c>
      <c r="L415">
        <v>289</v>
      </c>
      <c r="M415" t="s">
        <v>16</v>
      </c>
    </row>
    <row r="416" spans="1:13" x14ac:dyDescent="0.35">
      <c r="A416">
        <v>171840</v>
      </c>
      <c r="B416">
        <v>44733</v>
      </c>
      <c r="C416" t="s">
        <v>510</v>
      </c>
      <c r="D416" t="s">
        <v>402</v>
      </c>
      <c r="E416" t="s">
        <v>403</v>
      </c>
      <c r="F416">
        <v>3680</v>
      </c>
      <c r="G416">
        <v>1</v>
      </c>
      <c r="H416" t="s">
        <v>16</v>
      </c>
      <c r="I416" s="1">
        <v>-853900</v>
      </c>
      <c r="J416" s="1">
        <v>-4850600</v>
      </c>
      <c r="K416">
        <v>247</v>
      </c>
      <c r="L416">
        <v>770</v>
      </c>
      <c r="M416" t="s">
        <v>16</v>
      </c>
    </row>
    <row r="417" spans="1:13" x14ac:dyDescent="0.35">
      <c r="A417">
        <v>171845</v>
      </c>
      <c r="B417">
        <v>57126</v>
      </c>
      <c r="C417" t="s">
        <v>511</v>
      </c>
      <c r="D417" t="s">
        <v>402</v>
      </c>
      <c r="E417" t="s">
        <v>419</v>
      </c>
      <c r="F417">
        <v>2165</v>
      </c>
      <c r="G417">
        <v>1</v>
      </c>
      <c r="H417" t="s">
        <v>16</v>
      </c>
      <c r="I417" s="1">
        <v>-1042400</v>
      </c>
      <c r="J417" s="1">
        <v>-4889400</v>
      </c>
      <c r="K417">
        <v>340</v>
      </c>
      <c r="L417">
        <v>401</v>
      </c>
      <c r="M417" t="s">
        <v>16</v>
      </c>
    </row>
    <row r="418" spans="1:13" x14ac:dyDescent="0.35">
      <c r="A418">
        <v>171850</v>
      </c>
      <c r="B418">
        <v>49875</v>
      </c>
      <c r="C418" t="s">
        <v>512</v>
      </c>
      <c r="D418" t="s">
        <v>402</v>
      </c>
      <c r="E418" t="s">
        <v>431</v>
      </c>
      <c r="F418">
        <v>3665</v>
      </c>
      <c r="G418">
        <v>1</v>
      </c>
      <c r="H418" t="s">
        <v>16</v>
      </c>
      <c r="I418" s="1">
        <v>-873700</v>
      </c>
      <c r="J418" s="1">
        <v>-4724700</v>
      </c>
      <c r="K418">
        <v>0</v>
      </c>
      <c r="L418">
        <v>2216</v>
      </c>
      <c r="M418" t="s">
        <v>16</v>
      </c>
    </row>
    <row r="419" spans="1:13" x14ac:dyDescent="0.35">
      <c r="A419">
        <v>171855</v>
      </c>
      <c r="B419">
        <v>49883</v>
      </c>
      <c r="C419" t="s">
        <v>513</v>
      </c>
      <c r="D419" t="s">
        <v>402</v>
      </c>
      <c r="E419" t="s">
        <v>405</v>
      </c>
      <c r="F419">
        <v>3691</v>
      </c>
      <c r="G419">
        <v>1</v>
      </c>
      <c r="H419" t="s">
        <v>16</v>
      </c>
      <c r="I419" s="1">
        <v>-643800</v>
      </c>
      <c r="J419" s="1">
        <v>-4813700</v>
      </c>
      <c r="K419">
        <v>160</v>
      </c>
      <c r="L419">
        <v>610</v>
      </c>
      <c r="M419" t="s">
        <v>16</v>
      </c>
    </row>
    <row r="420" spans="1:13" x14ac:dyDescent="0.35">
      <c r="A420">
        <v>171865</v>
      </c>
      <c r="B420">
        <v>49891</v>
      </c>
      <c r="C420" t="s">
        <v>514</v>
      </c>
      <c r="D420" t="s">
        <v>402</v>
      </c>
      <c r="E420" t="s">
        <v>409</v>
      </c>
      <c r="F420">
        <v>1454</v>
      </c>
      <c r="G420">
        <v>1</v>
      </c>
      <c r="H420" t="s">
        <v>16</v>
      </c>
      <c r="I420" s="1">
        <v>-1140000</v>
      </c>
      <c r="J420" s="1">
        <v>-4688300</v>
      </c>
      <c r="K420">
        <v>496</v>
      </c>
      <c r="L420">
        <v>771</v>
      </c>
      <c r="M420" t="s">
        <v>16</v>
      </c>
    </row>
    <row r="421" spans="1:13" x14ac:dyDescent="0.35">
      <c r="A421">
        <v>171870</v>
      </c>
      <c r="B421">
        <v>49905</v>
      </c>
      <c r="C421" t="s">
        <v>515</v>
      </c>
      <c r="D421" t="s">
        <v>402</v>
      </c>
      <c r="E421" t="s">
        <v>403</v>
      </c>
      <c r="F421">
        <v>2092</v>
      </c>
      <c r="G421">
        <v>1</v>
      </c>
      <c r="H421" t="s">
        <v>16</v>
      </c>
      <c r="I421" s="1">
        <v>-929300</v>
      </c>
      <c r="J421" s="1">
        <v>-4846600</v>
      </c>
      <c r="K421">
        <v>230</v>
      </c>
      <c r="L421">
        <v>845</v>
      </c>
      <c r="M421" t="s">
        <v>16</v>
      </c>
    </row>
    <row r="422" spans="1:13" x14ac:dyDescent="0.35">
      <c r="A422">
        <v>171875</v>
      </c>
      <c r="B422">
        <v>10626</v>
      </c>
      <c r="C422" t="s">
        <v>516</v>
      </c>
      <c r="D422" t="s">
        <v>402</v>
      </c>
      <c r="E422" t="s">
        <v>431</v>
      </c>
      <c r="F422">
        <v>6167</v>
      </c>
      <c r="G422">
        <v>1</v>
      </c>
      <c r="H422" t="s">
        <v>16</v>
      </c>
      <c r="I422" s="1">
        <v>-934400</v>
      </c>
      <c r="J422" s="1">
        <v>-4790200</v>
      </c>
      <c r="K422">
        <v>196</v>
      </c>
      <c r="L422">
        <v>6357</v>
      </c>
      <c r="M422" t="s">
        <v>16</v>
      </c>
    </row>
    <row r="423" spans="1:13" x14ac:dyDescent="0.35">
      <c r="A423">
        <v>171880</v>
      </c>
      <c r="B423">
        <v>48097</v>
      </c>
      <c r="C423" t="s">
        <v>517</v>
      </c>
      <c r="D423" t="s">
        <v>402</v>
      </c>
      <c r="E423" t="s">
        <v>405</v>
      </c>
      <c r="F423">
        <v>3672</v>
      </c>
      <c r="G423">
        <v>1</v>
      </c>
      <c r="H423" t="s">
        <v>16</v>
      </c>
      <c r="I423" s="1">
        <v>-534800</v>
      </c>
      <c r="J423" s="1">
        <v>-4787300</v>
      </c>
      <c r="K423">
        <v>115</v>
      </c>
      <c r="L423">
        <v>200</v>
      </c>
      <c r="M423" t="s">
        <v>16</v>
      </c>
    </row>
    <row r="424" spans="1:13" x14ac:dyDescent="0.35">
      <c r="A424">
        <v>171884</v>
      </c>
      <c r="B424">
        <v>49913</v>
      </c>
      <c r="C424" t="s">
        <v>518</v>
      </c>
      <c r="D424" t="s">
        <v>402</v>
      </c>
      <c r="E424" t="s">
        <v>419</v>
      </c>
      <c r="F424">
        <v>3443</v>
      </c>
      <c r="G424">
        <v>1</v>
      </c>
      <c r="H424" t="s">
        <v>16</v>
      </c>
      <c r="I424" s="1">
        <v>-1253700</v>
      </c>
      <c r="J424" s="1">
        <v>-4992500</v>
      </c>
      <c r="K424">
        <v>0</v>
      </c>
      <c r="L424">
        <v>3528</v>
      </c>
      <c r="M424" t="s">
        <v>16</v>
      </c>
    </row>
    <row r="425" spans="1:13" x14ac:dyDescent="0.35">
      <c r="A425">
        <v>171886</v>
      </c>
      <c r="B425">
        <v>49921</v>
      </c>
      <c r="C425" t="s">
        <v>519</v>
      </c>
      <c r="D425" t="s">
        <v>402</v>
      </c>
      <c r="E425" t="s">
        <v>416</v>
      </c>
      <c r="F425">
        <v>5610</v>
      </c>
      <c r="G425">
        <v>1</v>
      </c>
      <c r="H425" t="s">
        <v>16</v>
      </c>
      <c r="I425" s="1">
        <v>-715700</v>
      </c>
      <c r="J425" s="1">
        <v>-4872100</v>
      </c>
      <c r="K425">
        <v>190</v>
      </c>
      <c r="L425">
        <v>1676</v>
      </c>
      <c r="M425" t="s">
        <v>16</v>
      </c>
    </row>
    <row r="426" spans="1:13" x14ac:dyDescent="0.35">
      <c r="A426">
        <v>171888</v>
      </c>
      <c r="B426">
        <v>49930</v>
      </c>
      <c r="C426" t="s">
        <v>520</v>
      </c>
      <c r="D426" t="s">
        <v>402</v>
      </c>
      <c r="E426" t="s">
        <v>414</v>
      </c>
      <c r="F426">
        <v>2673</v>
      </c>
      <c r="G426">
        <v>1</v>
      </c>
      <c r="H426" t="s">
        <v>16</v>
      </c>
      <c r="I426" s="1">
        <v>-879700</v>
      </c>
      <c r="J426" s="1">
        <v>-4779500</v>
      </c>
      <c r="K426">
        <v>310</v>
      </c>
      <c r="L426">
        <v>1410</v>
      </c>
      <c r="M426" t="s">
        <v>16</v>
      </c>
    </row>
    <row r="427" spans="1:13" x14ac:dyDescent="0.35">
      <c r="A427">
        <v>171889</v>
      </c>
      <c r="B427">
        <v>56707</v>
      </c>
      <c r="C427" t="s">
        <v>521</v>
      </c>
      <c r="D427" t="s">
        <v>402</v>
      </c>
      <c r="E427" t="s">
        <v>407</v>
      </c>
      <c r="F427">
        <v>2260</v>
      </c>
      <c r="G427">
        <v>1</v>
      </c>
      <c r="H427" t="s">
        <v>16</v>
      </c>
      <c r="I427" s="1">
        <v>-1086100</v>
      </c>
      <c r="J427" s="1">
        <v>-4891400</v>
      </c>
      <c r="K427">
        <v>280</v>
      </c>
      <c r="L427">
        <v>3274</v>
      </c>
      <c r="M427" t="s">
        <v>16</v>
      </c>
    </row>
    <row r="428" spans="1:13" x14ac:dyDescent="0.35">
      <c r="A428">
        <v>171890</v>
      </c>
      <c r="B428">
        <v>48100</v>
      </c>
      <c r="C428" t="s">
        <v>522</v>
      </c>
      <c r="D428" t="s">
        <v>402</v>
      </c>
      <c r="E428" t="s">
        <v>409</v>
      </c>
      <c r="F428">
        <v>4417</v>
      </c>
      <c r="G428">
        <v>1</v>
      </c>
      <c r="H428" t="s">
        <v>16</v>
      </c>
      <c r="I428" s="1">
        <v>-1144900</v>
      </c>
      <c r="J428" s="1">
        <v>-4812100</v>
      </c>
      <c r="K428">
        <v>310</v>
      </c>
      <c r="L428">
        <v>1796</v>
      </c>
      <c r="M428" t="s">
        <v>16</v>
      </c>
    </row>
    <row r="429" spans="1:13" x14ac:dyDescent="0.35">
      <c r="A429">
        <v>171900</v>
      </c>
      <c r="B429">
        <v>48119</v>
      </c>
      <c r="C429" t="s">
        <v>523</v>
      </c>
      <c r="D429" t="s">
        <v>402</v>
      </c>
      <c r="E429" t="s">
        <v>431</v>
      </c>
      <c r="F429">
        <v>2297</v>
      </c>
      <c r="G429">
        <v>1</v>
      </c>
      <c r="H429" t="s">
        <v>16</v>
      </c>
      <c r="I429" s="1">
        <v>-1028200</v>
      </c>
      <c r="J429" s="1">
        <v>-4780800</v>
      </c>
      <c r="K429">
        <v>263</v>
      </c>
      <c r="L429">
        <v>539</v>
      </c>
      <c r="M429" t="s">
        <v>16</v>
      </c>
    </row>
    <row r="430" spans="1:13" x14ac:dyDescent="0.35">
      <c r="A430">
        <v>172000</v>
      </c>
      <c r="B430">
        <v>57134</v>
      </c>
      <c r="C430" t="s">
        <v>524</v>
      </c>
      <c r="D430" t="s">
        <v>402</v>
      </c>
      <c r="E430" t="s">
        <v>405</v>
      </c>
      <c r="F430">
        <v>2291</v>
      </c>
      <c r="G430">
        <v>1</v>
      </c>
      <c r="H430" t="s">
        <v>16</v>
      </c>
      <c r="I430" s="1">
        <v>-643400</v>
      </c>
      <c r="J430" s="1">
        <v>-4767300</v>
      </c>
      <c r="K430">
        <v>250</v>
      </c>
      <c r="L430">
        <v>269</v>
      </c>
      <c r="M430" t="s">
        <v>16</v>
      </c>
    </row>
    <row r="431" spans="1:13" x14ac:dyDescent="0.35">
      <c r="A431">
        <v>172010</v>
      </c>
      <c r="B431">
        <v>49948</v>
      </c>
      <c r="C431" t="s">
        <v>525</v>
      </c>
      <c r="D431" t="s">
        <v>402</v>
      </c>
      <c r="E431" t="s">
        <v>405</v>
      </c>
      <c r="F431">
        <v>4447</v>
      </c>
      <c r="G431">
        <v>1</v>
      </c>
      <c r="H431" t="s">
        <v>16</v>
      </c>
      <c r="I431" s="1">
        <v>-591500</v>
      </c>
      <c r="J431" s="1">
        <v>-4806000</v>
      </c>
      <c r="K431">
        <v>230</v>
      </c>
      <c r="L431">
        <v>1105</v>
      </c>
      <c r="M431" t="s">
        <v>16</v>
      </c>
    </row>
    <row r="432" spans="1:13" x14ac:dyDescent="0.35">
      <c r="A432">
        <v>172015</v>
      </c>
      <c r="B432">
        <v>49964</v>
      </c>
      <c r="C432" t="s">
        <v>526</v>
      </c>
      <c r="D432" t="s">
        <v>402</v>
      </c>
      <c r="E432" t="s">
        <v>431</v>
      </c>
      <c r="F432">
        <v>1409</v>
      </c>
      <c r="G432">
        <v>1</v>
      </c>
      <c r="H432" t="s">
        <v>16</v>
      </c>
      <c r="I432" s="1">
        <v>-1016800</v>
      </c>
      <c r="J432" s="1">
        <v>-4665900</v>
      </c>
      <c r="K432">
        <v>0</v>
      </c>
      <c r="L432">
        <v>1908</v>
      </c>
      <c r="M432" t="s">
        <v>16</v>
      </c>
    </row>
    <row r="433" spans="1:13" x14ac:dyDescent="0.35">
      <c r="A433">
        <v>172020</v>
      </c>
      <c r="B433">
        <v>49972</v>
      </c>
      <c r="C433" t="s">
        <v>527</v>
      </c>
      <c r="D433" t="s">
        <v>402</v>
      </c>
      <c r="E433" t="s">
        <v>405</v>
      </c>
      <c r="F433">
        <v>10221</v>
      </c>
      <c r="G433">
        <v>1</v>
      </c>
      <c r="H433" t="s">
        <v>16</v>
      </c>
      <c r="I433" s="1">
        <v>-555500</v>
      </c>
      <c r="J433" s="1">
        <v>-4757500</v>
      </c>
      <c r="K433">
        <v>160</v>
      </c>
      <c r="L433">
        <v>398</v>
      </c>
      <c r="M433" t="s">
        <v>16</v>
      </c>
    </row>
    <row r="434" spans="1:13" x14ac:dyDescent="0.35">
      <c r="A434">
        <v>172025</v>
      </c>
      <c r="B434">
        <v>49980</v>
      </c>
      <c r="C434" t="s">
        <v>528</v>
      </c>
      <c r="D434" t="s">
        <v>402</v>
      </c>
      <c r="E434" t="s">
        <v>407</v>
      </c>
      <c r="F434">
        <v>3012</v>
      </c>
      <c r="G434">
        <v>1</v>
      </c>
      <c r="H434" t="s">
        <v>16</v>
      </c>
      <c r="I434" s="1">
        <v>-1274400</v>
      </c>
      <c r="J434" s="1">
        <v>-4823600</v>
      </c>
      <c r="K434">
        <v>120</v>
      </c>
      <c r="L434">
        <v>1422</v>
      </c>
      <c r="M434" t="s">
        <v>16</v>
      </c>
    </row>
    <row r="435" spans="1:13" x14ac:dyDescent="0.35">
      <c r="A435">
        <v>172030</v>
      </c>
      <c r="B435">
        <v>44610</v>
      </c>
      <c r="C435" t="s">
        <v>529</v>
      </c>
      <c r="D435" t="s">
        <v>402</v>
      </c>
      <c r="E435" t="s">
        <v>405</v>
      </c>
      <c r="F435">
        <v>4244</v>
      </c>
      <c r="G435">
        <v>1</v>
      </c>
      <c r="H435" t="s">
        <v>16</v>
      </c>
      <c r="I435" s="1">
        <v>-525700</v>
      </c>
      <c r="J435" s="1">
        <v>-4820000</v>
      </c>
      <c r="K435">
        <v>105</v>
      </c>
      <c r="L435">
        <v>287</v>
      </c>
      <c r="M435" t="s">
        <v>16</v>
      </c>
    </row>
    <row r="436" spans="1:13" x14ac:dyDescent="0.35">
      <c r="A436">
        <v>172049</v>
      </c>
      <c r="B436">
        <v>48054</v>
      </c>
      <c r="C436" t="s">
        <v>530</v>
      </c>
      <c r="D436" t="s">
        <v>402</v>
      </c>
      <c r="E436" t="s">
        <v>409</v>
      </c>
      <c r="F436">
        <v>4885</v>
      </c>
      <c r="G436">
        <v>1</v>
      </c>
      <c r="H436" t="s">
        <v>16</v>
      </c>
      <c r="I436" s="1">
        <v>-1197500</v>
      </c>
      <c r="J436" s="1">
        <v>-4823400</v>
      </c>
      <c r="K436">
        <v>360</v>
      </c>
      <c r="L436">
        <v>2519</v>
      </c>
      <c r="M436" t="s">
        <v>16</v>
      </c>
    </row>
    <row r="437" spans="1:13" x14ac:dyDescent="0.35">
      <c r="A437">
        <v>172065</v>
      </c>
      <c r="B437">
        <v>44903</v>
      </c>
      <c r="C437" t="s">
        <v>531</v>
      </c>
      <c r="D437" t="s">
        <v>402</v>
      </c>
      <c r="E437" t="s">
        <v>414</v>
      </c>
      <c r="F437">
        <v>5098</v>
      </c>
      <c r="G437">
        <v>1</v>
      </c>
      <c r="H437" t="s">
        <v>16</v>
      </c>
      <c r="I437" s="1">
        <v>-1114700</v>
      </c>
      <c r="J437" s="1">
        <v>-4816900</v>
      </c>
      <c r="K437">
        <v>269</v>
      </c>
      <c r="L437">
        <v>1258</v>
      </c>
      <c r="M437" t="s">
        <v>16</v>
      </c>
    </row>
    <row r="438" spans="1:13" x14ac:dyDescent="0.35">
      <c r="A438">
        <v>172080</v>
      </c>
      <c r="B438">
        <v>44660</v>
      </c>
      <c r="C438" t="s">
        <v>532</v>
      </c>
      <c r="D438" t="s">
        <v>402</v>
      </c>
      <c r="E438" t="s">
        <v>405</v>
      </c>
      <c r="F438">
        <v>9302</v>
      </c>
      <c r="G438">
        <v>1</v>
      </c>
      <c r="H438" t="s">
        <v>16</v>
      </c>
      <c r="I438" s="1">
        <v>-560100</v>
      </c>
      <c r="J438" s="1">
        <v>-4763800</v>
      </c>
      <c r="K438">
        <v>200</v>
      </c>
      <c r="L438">
        <v>324</v>
      </c>
      <c r="M438" t="s">
        <v>16</v>
      </c>
    </row>
    <row r="439" spans="1:13" x14ac:dyDescent="0.35">
      <c r="A439">
        <v>172085</v>
      </c>
      <c r="B439">
        <v>49956</v>
      </c>
      <c r="C439" t="s">
        <v>533</v>
      </c>
      <c r="D439" t="s">
        <v>402</v>
      </c>
      <c r="E439" t="s">
        <v>407</v>
      </c>
      <c r="F439">
        <v>1667</v>
      </c>
      <c r="G439">
        <v>1</v>
      </c>
      <c r="H439" t="s">
        <v>16</v>
      </c>
      <c r="I439" s="1">
        <v>-1199300</v>
      </c>
      <c r="J439" s="1">
        <v>-4897100</v>
      </c>
      <c r="K439">
        <v>250</v>
      </c>
      <c r="L439">
        <v>1025</v>
      </c>
      <c r="M439" t="s">
        <v>16</v>
      </c>
    </row>
    <row r="440" spans="1:13" x14ac:dyDescent="0.35">
      <c r="A440">
        <v>172090</v>
      </c>
      <c r="B440">
        <v>44679</v>
      </c>
      <c r="C440" t="s">
        <v>534</v>
      </c>
      <c r="D440" t="s">
        <v>402</v>
      </c>
      <c r="E440" t="s">
        <v>409</v>
      </c>
      <c r="F440">
        <v>14110</v>
      </c>
      <c r="G440">
        <v>1</v>
      </c>
      <c r="H440" t="s">
        <v>16</v>
      </c>
      <c r="I440" s="1">
        <v>-1240400</v>
      </c>
      <c r="J440" s="1">
        <v>-4643600</v>
      </c>
      <c r="K440">
        <v>599</v>
      </c>
      <c r="L440">
        <v>2437</v>
      </c>
      <c r="M440" t="s">
        <v>16</v>
      </c>
    </row>
    <row r="441" spans="1:13" x14ac:dyDescent="0.35">
      <c r="A441">
        <v>172093</v>
      </c>
      <c r="B441">
        <v>49999</v>
      </c>
      <c r="C441" t="s">
        <v>535</v>
      </c>
      <c r="D441" t="s">
        <v>402</v>
      </c>
      <c r="E441" t="s">
        <v>409</v>
      </c>
      <c r="F441">
        <v>1916</v>
      </c>
      <c r="G441">
        <v>1</v>
      </c>
      <c r="H441" t="s">
        <v>16</v>
      </c>
      <c r="I441" s="1">
        <v>-1218800</v>
      </c>
      <c r="J441" s="1">
        <v>-4698900</v>
      </c>
      <c r="K441">
        <v>407</v>
      </c>
      <c r="L441">
        <v>1116</v>
      </c>
      <c r="M441" t="s">
        <v>16</v>
      </c>
    </row>
    <row r="442" spans="1:13" x14ac:dyDescent="0.35">
      <c r="A442">
        <v>172097</v>
      </c>
      <c r="B442">
        <v>56740</v>
      </c>
      <c r="C442" t="s">
        <v>536</v>
      </c>
      <c r="D442" t="s">
        <v>402</v>
      </c>
      <c r="E442" t="s">
        <v>407</v>
      </c>
      <c r="F442">
        <v>2555</v>
      </c>
      <c r="G442">
        <v>1</v>
      </c>
      <c r="H442" t="s">
        <v>16</v>
      </c>
      <c r="I442" s="1">
        <v>-1279500</v>
      </c>
      <c r="J442" s="1">
        <v>-4909300</v>
      </c>
      <c r="K442">
        <v>270</v>
      </c>
      <c r="L442">
        <v>2156</v>
      </c>
      <c r="M442" t="s">
        <v>16</v>
      </c>
    </row>
    <row r="443" spans="1:13" x14ac:dyDescent="0.35">
      <c r="A443">
        <v>172100</v>
      </c>
      <c r="B443">
        <v>48127</v>
      </c>
      <c r="C443" t="s">
        <v>537</v>
      </c>
      <c r="D443" t="s">
        <v>402</v>
      </c>
      <c r="E443" t="s">
        <v>414</v>
      </c>
      <c r="F443">
        <v>178386</v>
      </c>
      <c r="G443">
        <v>5</v>
      </c>
      <c r="H443" t="s">
        <v>16</v>
      </c>
      <c r="I443" s="1">
        <v>-1016700</v>
      </c>
      <c r="J443" s="1">
        <v>-4833300</v>
      </c>
      <c r="K443">
        <v>230</v>
      </c>
      <c r="L443">
        <v>2218</v>
      </c>
      <c r="M443" t="s">
        <v>16</v>
      </c>
    </row>
    <row r="444" spans="1:13" x14ac:dyDescent="0.35">
      <c r="A444">
        <v>172110</v>
      </c>
      <c r="B444">
        <v>44695</v>
      </c>
      <c r="C444" t="s">
        <v>538</v>
      </c>
      <c r="D444" t="s">
        <v>402</v>
      </c>
      <c r="E444" t="s">
        <v>414</v>
      </c>
      <c r="F444">
        <v>6663</v>
      </c>
      <c r="G444">
        <v>1</v>
      </c>
      <c r="H444" t="s">
        <v>16</v>
      </c>
      <c r="I444" s="1">
        <v>-956400</v>
      </c>
      <c r="J444" s="1">
        <v>-4837700</v>
      </c>
      <c r="K444">
        <v>202</v>
      </c>
      <c r="L444">
        <v>2601</v>
      </c>
      <c r="M444" t="s">
        <v>16</v>
      </c>
    </row>
    <row r="445" spans="1:13" x14ac:dyDescent="0.35">
      <c r="A445">
        <v>172120</v>
      </c>
      <c r="B445">
        <v>44709</v>
      </c>
      <c r="C445" t="s">
        <v>539</v>
      </c>
      <c r="D445" t="s">
        <v>402</v>
      </c>
      <c r="E445" t="s">
        <v>405</v>
      </c>
      <c r="F445">
        <v>21334</v>
      </c>
      <c r="G445">
        <v>1</v>
      </c>
      <c r="H445" t="s">
        <v>16</v>
      </c>
      <c r="I445" s="1">
        <v>-632900</v>
      </c>
      <c r="J445" s="1">
        <v>-4741600</v>
      </c>
      <c r="K445">
        <v>134</v>
      </c>
      <c r="L445">
        <v>1077</v>
      </c>
      <c r="M445" t="s">
        <v>16</v>
      </c>
    </row>
    <row r="446" spans="1:13" x14ac:dyDescent="0.35">
      <c r="A446">
        <v>172125</v>
      </c>
      <c r="B446">
        <v>57142</v>
      </c>
      <c r="C446" t="s">
        <v>540</v>
      </c>
      <c r="D446" t="s">
        <v>402</v>
      </c>
      <c r="E446" t="s">
        <v>403</v>
      </c>
      <c r="F446">
        <v>1405</v>
      </c>
      <c r="G446">
        <v>1</v>
      </c>
      <c r="H446" t="s">
        <v>16</v>
      </c>
      <c r="I446" s="1">
        <v>-897300</v>
      </c>
      <c r="J446" s="1">
        <v>-4818800</v>
      </c>
      <c r="K446">
        <v>202</v>
      </c>
      <c r="L446">
        <v>712</v>
      </c>
      <c r="M446" t="s">
        <v>16</v>
      </c>
    </row>
    <row r="447" spans="1:13" x14ac:dyDescent="0.35">
      <c r="A447">
        <v>172130</v>
      </c>
      <c r="B447">
        <v>50008</v>
      </c>
      <c r="C447" t="s">
        <v>541</v>
      </c>
      <c r="D447" t="s">
        <v>402</v>
      </c>
      <c r="E447" t="s">
        <v>403</v>
      </c>
      <c r="F447">
        <v>2007</v>
      </c>
      <c r="G447">
        <v>1</v>
      </c>
      <c r="H447" t="s">
        <v>16</v>
      </c>
      <c r="I447" s="1">
        <v>-839400</v>
      </c>
      <c r="J447" s="1">
        <v>-4811600</v>
      </c>
      <c r="K447">
        <v>160</v>
      </c>
      <c r="L447">
        <v>895</v>
      </c>
      <c r="M447" t="s">
        <v>16</v>
      </c>
    </row>
    <row r="448" spans="1:13" x14ac:dyDescent="0.35">
      <c r="A448">
        <v>172208</v>
      </c>
      <c r="B448">
        <v>44911</v>
      </c>
      <c r="C448" t="s">
        <v>542</v>
      </c>
      <c r="D448" t="s">
        <v>402</v>
      </c>
      <c r="E448" t="s">
        <v>416</v>
      </c>
      <c r="F448">
        <v>9317</v>
      </c>
      <c r="G448">
        <v>1</v>
      </c>
      <c r="H448" t="s">
        <v>16</v>
      </c>
      <c r="I448" s="1">
        <v>-684900</v>
      </c>
      <c r="J448" s="1">
        <v>-4796300</v>
      </c>
      <c r="K448">
        <v>257</v>
      </c>
      <c r="L448">
        <v>1373</v>
      </c>
      <c r="M448" t="s">
        <v>16</v>
      </c>
    </row>
    <row r="449" spans="1:13" x14ac:dyDescent="0.35">
      <c r="A449">
        <v>172210</v>
      </c>
      <c r="B449">
        <v>44806</v>
      </c>
      <c r="C449" t="s">
        <v>543</v>
      </c>
      <c r="D449" t="s">
        <v>402</v>
      </c>
      <c r="E449" t="s">
        <v>416</v>
      </c>
      <c r="F449">
        <v>10856</v>
      </c>
      <c r="G449">
        <v>1</v>
      </c>
      <c r="H449" t="s">
        <v>16</v>
      </c>
      <c r="I449" s="1">
        <v>-641100</v>
      </c>
      <c r="J449" s="1">
        <v>-4853600</v>
      </c>
      <c r="K449">
        <v>141</v>
      </c>
      <c r="L449">
        <v>1633</v>
      </c>
      <c r="M449" t="s">
        <v>16</v>
      </c>
    </row>
    <row r="450" spans="1:13" x14ac:dyDescent="0.35">
      <c r="A450">
        <v>210005</v>
      </c>
      <c r="B450">
        <v>6300</v>
      </c>
      <c r="C450" t="s">
        <v>544</v>
      </c>
      <c r="D450" t="s">
        <v>545</v>
      </c>
      <c r="E450" t="s">
        <v>546</v>
      </c>
      <c r="F450">
        <v>97034</v>
      </c>
      <c r="G450">
        <v>2</v>
      </c>
      <c r="H450" t="s">
        <v>16</v>
      </c>
      <c r="I450" s="1">
        <v>-494700</v>
      </c>
      <c r="J450" s="1">
        <v>-4750500</v>
      </c>
      <c r="K450">
        <v>240</v>
      </c>
      <c r="L450">
        <v>5806</v>
      </c>
      <c r="M450" t="s">
        <v>16</v>
      </c>
    </row>
    <row r="451" spans="1:13" x14ac:dyDescent="0.35">
      <c r="A451">
        <v>210010</v>
      </c>
      <c r="B451">
        <v>5010</v>
      </c>
      <c r="C451" t="s">
        <v>547</v>
      </c>
      <c r="D451" t="s">
        <v>545</v>
      </c>
      <c r="E451" t="s">
        <v>548</v>
      </c>
      <c r="F451">
        <v>5651</v>
      </c>
      <c r="G451">
        <v>1</v>
      </c>
      <c r="H451" t="s">
        <v>16</v>
      </c>
      <c r="I451" s="1">
        <v>-413300</v>
      </c>
      <c r="J451" s="1">
        <v>-4332400</v>
      </c>
      <c r="K451">
        <v>76</v>
      </c>
      <c r="L451">
        <v>371</v>
      </c>
      <c r="M451" t="s">
        <v>16</v>
      </c>
    </row>
    <row r="452" spans="1:13" x14ac:dyDescent="0.35">
      <c r="A452">
        <v>210015</v>
      </c>
      <c r="B452">
        <v>57150</v>
      </c>
      <c r="C452" t="s">
        <v>549</v>
      </c>
      <c r="D452" t="s">
        <v>545</v>
      </c>
      <c r="E452" t="s">
        <v>550</v>
      </c>
      <c r="F452">
        <v>11829</v>
      </c>
      <c r="G452">
        <v>1</v>
      </c>
      <c r="H452" t="s">
        <v>16</v>
      </c>
      <c r="I452" s="1">
        <v>-284100</v>
      </c>
      <c r="J452" s="1">
        <v>-4211200</v>
      </c>
      <c r="K452">
        <v>21</v>
      </c>
      <c r="L452">
        <v>442</v>
      </c>
      <c r="M452" t="s">
        <v>16</v>
      </c>
    </row>
    <row r="453" spans="1:13" x14ac:dyDescent="0.35">
      <c r="A453">
        <v>210020</v>
      </c>
      <c r="B453">
        <v>5029</v>
      </c>
      <c r="C453" t="s">
        <v>551</v>
      </c>
      <c r="D453" t="s">
        <v>545</v>
      </c>
      <c r="E453" t="s">
        <v>552</v>
      </c>
      <c r="F453">
        <v>21349</v>
      </c>
      <c r="G453">
        <v>4</v>
      </c>
      <c r="H453" t="s">
        <v>553</v>
      </c>
      <c r="I453" s="1">
        <v>-240900</v>
      </c>
      <c r="J453" s="1">
        <v>-4441500</v>
      </c>
      <c r="K453">
        <v>32</v>
      </c>
      <c r="L453">
        <v>1483</v>
      </c>
      <c r="M453" t="s">
        <v>16</v>
      </c>
    </row>
    <row r="454" spans="1:13" x14ac:dyDescent="0.35">
      <c r="A454">
        <v>210030</v>
      </c>
      <c r="B454">
        <v>5037</v>
      </c>
      <c r="C454" t="s">
        <v>554</v>
      </c>
      <c r="D454" t="s">
        <v>545</v>
      </c>
      <c r="E454" t="s">
        <v>548</v>
      </c>
      <c r="F454">
        <v>21645</v>
      </c>
      <c r="G454">
        <v>1</v>
      </c>
      <c r="H454" t="s">
        <v>16</v>
      </c>
      <c r="I454" s="1">
        <v>-462800</v>
      </c>
      <c r="J454" s="1">
        <v>-4347100</v>
      </c>
      <c r="K454">
        <v>94</v>
      </c>
      <c r="L454">
        <v>1942</v>
      </c>
      <c r="M454" t="s">
        <v>16</v>
      </c>
    </row>
    <row r="455" spans="1:13" x14ac:dyDescent="0.35">
      <c r="A455">
        <v>210040</v>
      </c>
      <c r="B455">
        <v>5045</v>
      </c>
      <c r="C455" t="s">
        <v>555</v>
      </c>
      <c r="D455" t="s">
        <v>545</v>
      </c>
      <c r="E455" t="s">
        <v>556</v>
      </c>
      <c r="F455">
        <v>7365</v>
      </c>
      <c r="G455">
        <v>1</v>
      </c>
      <c r="H455" t="s">
        <v>16</v>
      </c>
      <c r="I455" s="1">
        <v>-416500</v>
      </c>
      <c r="J455" s="1">
        <v>-4547000</v>
      </c>
      <c r="K455">
        <v>0</v>
      </c>
      <c r="L455">
        <v>668</v>
      </c>
      <c r="M455" t="s">
        <v>16</v>
      </c>
    </row>
    <row r="456" spans="1:13" x14ac:dyDescent="0.35">
      <c r="A456">
        <v>210043</v>
      </c>
      <c r="B456">
        <v>57169</v>
      </c>
      <c r="C456" t="s">
        <v>557</v>
      </c>
      <c r="D456" t="s">
        <v>545</v>
      </c>
      <c r="E456" t="s">
        <v>558</v>
      </c>
      <c r="F456">
        <v>22002</v>
      </c>
      <c r="G456">
        <v>1</v>
      </c>
      <c r="H456" t="s">
        <v>16</v>
      </c>
      <c r="I456" s="1">
        <v>-421300</v>
      </c>
      <c r="J456" s="1">
        <v>-4444600</v>
      </c>
      <c r="K456">
        <v>50</v>
      </c>
      <c r="L456">
        <v>420</v>
      </c>
      <c r="M456" t="s">
        <v>16</v>
      </c>
    </row>
    <row r="457" spans="1:13" x14ac:dyDescent="0.35">
      <c r="A457">
        <v>210047</v>
      </c>
      <c r="B457">
        <v>57177</v>
      </c>
      <c r="C457" t="s">
        <v>559</v>
      </c>
      <c r="D457" t="s">
        <v>545</v>
      </c>
      <c r="E457" t="s">
        <v>556</v>
      </c>
      <c r="F457">
        <v>31992</v>
      </c>
      <c r="G457">
        <v>1</v>
      </c>
      <c r="H457" t="s">
        <v>16</v>
      </c>
      <c r="I457" s="1">
        <v>-369000</v>
      </c>
      <c r="J457" s="1">
        <v>-4590300</v>
      </c>
      <c r="K457">
        <v>0</v>
      </c>
      <c r="L457">
        <v>1932</v>
      </c>
      <c r="M457" t="s">
        <v>16</v>
      </c>
    </row>
    <row r="458" spans="1:13" x14ac:dyDescent="0.35">
      <c r="A458">
        <v>210050</v>
      </c>
      <c r="B458">
        <v>5053</v>
      </c>
      <c r="C458" t="s">
        <v>560</v>
      </c>
      <c r="D458" t="s">
        <v>545</v>
      </c>
      <c r="E458" t="s">
        <v>561</v>
      </c>
      <c r="F458">
        <v>10304</v>
      </c>
      <c r="G458">
        <v>1</v>
      </c>
      <c r="H458" t="s">
        <v>16</v>
      </c>
      <c r="I458" s="1">
        <v>-911100</v>
      </c>
      <c r="J458" s="1">
        <v>-4593000</v>
      </c>
      <c r="K458">
        <v>282</v>
      </c>
      <c r="L458">
        <v>11132</v>
      </c>
      <c r="M458" t="s">
        <v>16</v>
      </c>
    </row>
    <row r="459" spans="1:13" x14ac:dyDescent="0.35">
      <c r="A459">
        <v>210055</v>
      </c>
      <c r="B459">
        <v>57185</v>
      </c>
      <c r="C459" t="s">
        <v>562</v>
      </c>
      <c r="D459" t="s">
        <v>545</v>
      </c>
      <c r="E459" t="s">
        <v>407</v>
      </c>
      <c r="F459">
        <v>6168</v>
      </c>
      <c r="G459">
        <v>1</v>
      </c>
      <c r="H459" t="s">
        <v>16</v>
      </c>
      <c r="I459" s="1">
        <v>-167500</v>
      </c>
      <c r="J459" s="1">
        <v>-4600200</v>
      </c>
      <c r="K459">
        <v>0</v>
      </c>
      <c r="L459">
        <v>442</v>
      </c>
      <c r="M459" t="s">
        <v>16</v>
      </c>
    </row>
    <row r="460" spans="1:13" x14ac:dyDescent="0.35">
      <c r="A460">
        <v>210060</v>
      </c>
      <c r="B460">
        <v>5061</v>
      </c>
      <c r="C460" t="s">
        <v>563</v>
      </c>
      <c r="D460" t="s">
        <v>545</v>
      </c>
      <c r="E460" t="s">
        <v>546</v>
      </c>
      <c r="F460">
        <v>35727</v>
      </c>
      <c r="G460">
        <v>1</v>
      </c>
      <c r="H460" t="s">
        <v>16</v>
      </c>
      <c r="I460" s="1">
        <v>-556700</v>
      </c>
      <c r="J460" s="1">
        <v>-4674200</v>
      </c>
      <c r="K460">
        <v>249</v>
      </c>
      <c r="L460">
        <v>7669</v>
      </c>
      <c r="M460" t="s">
        <v>16</v>
      </c>
    </row>
    <row r="461" spans="1:13" x14ac:dyDescent="0.35">
      <c r="A461">
        <v>210070</v>
      </c>
      <c r="B461">
        <v>5070</v>
      </c>
      <c r="C461" t="s">
        <v>564</v>
      </c>
      <c r="D461" t="s">
        <v>545</v>
      </c>
      <c r="E461" t="s">
        <v>565</v>
      </c>
      <c r="F461">
        <v>23941</v>
      </c>
      <c r="G461">
        <v>1</v>
      </c>
      <c r="H461" t="s">
        <v>16</v>
      </c>
      <c r="I461" s="1">
        <v>-326400</v>
      </c>
      <c r="J461" s="1">
        <v>-4462000</v>
      </c>
      <c r="K461">
        <v>9</v>
      </c>
      <c r="L461">
        <v>1116</v>
      </c>
      <c r="M461" t="s">
        <v>16</v>
      </c>
    </row>
    <row r="462" spans="1:13" x14ac:dyDescent="0.35">
      <c r="A462">
        <v>210080</v>
      </c>
      <c r="B462">
        <v>5088</v>
      </c>
      <c r="C462" t="s">
        <v>566</v>
      </c>
      <c r="D462" t="s">
        <v>545</v>
      </c>
      <c r="E462" t="s">
        <v>567</v>
      </c>
      <c r="F462">
        <v>12580</v>
      </c>
      <c r="G462">
        <v>1</v>
      </c>
      <c r="H462" t="s">
        <v>16</v>
      </c>
      <c r="I462" s="1">
        <v>-367200</v>
      </c>
      <c r="J462" s="1">
        <v>-4311600</v>
      </c>
      <c r="K462">
        <v>82</v>
      </c>
      <c r="L462">
        <v>608</v>
      </c>
      <c r="M462" t="s">
        <v>16</v>
      </c>
    </row>
    <row r="463" spans="1:13" x14ac:dyDescent="0.35">
      <c r="A463">
        <v>210083</v>
      </c>
      <c r="B463">
        <v>57193</v>
      </c>
      <c r="C463" t="s">
        <v>568</v>
      </c>
      <c r="D463" t="s">
        <v>545</v>
      </c>
      <c r="E463" t="s">
        <v>552</v>
      </c>
      <c r="F463">
        <v>13216</v>
      </c>
      <c r="G463">
        <v>1</v>
      </c>
      <c r="H463" t="s">
        <v>16</v>
      </c>
      <c r="I463" s="1">
        <v>-146100</v>
      </c>
      <c r="J463" s="1">
        <v>-4510300</v>
      </c>
      <c r="K463">
        <v>0</v>
      </c>
      <c r="L463">
        <v>651</v>
      </c>
      <c r="M463" t="s">
        <v>16</v>
      </c>
    </row>
    <row r="464" spans="1:13" x14ac:dyDescent="0.35">
      <c r="A464">
        <v>210087</v>
      </c>
      <c r="B464">
        <v>57207</v>
      </c>
      <c r="C464" t="s">
        <v>421</v>
      </c>
      <c r="D464" t="s">
        <v>545</v>
      </c>
      <c r="E464" t="s">
        <v>556</v>
      </c>
      <c r="F464">
        <v>9918</v>
      </c>
      <c r="G464">
        <v>1</v>
      </c>
      <c r="H464" t="s">
        <v>16</v>
      </c>
      <c r="I464" s="1">
        <v>-295300</v>
      </c>
      <c r="J464" s="1">
        <v>-4566500</v>
      </c>
      <c r="K464">
        <v>0</v>
      </c>
      <c r="L464">
        <v>804</v>
      </c>
      <c r="M464" t="s">
        <v>16</v>
      </c>
    </row>
    <row r="465" spans="1:13" x14ac:dyDescent="0.35">
      <c r="A465">
        <v>210090</v>
      </c>
      <c r="B465">
        <v>5096</v>
      </c>
      <c r="C465" t="s">
        <v>569</v>
      </c>
      <c r="D465" t="s">
        <v>545</v>
      </c>
      <c r="E465" t="s">
        <v>550</v>
      </c>
      <c r="F465">
        <v>37655</v>
      </c>
      <c r="G465">
        <v>1</v>
      </c>
      <c r="H465" t="s">
        <v>16</v>
      </c>
      <c r="I465" s="1">
        <v>-289000</v>
      </c>
      <c r="J465" s="1">
        <v>-4190300</v>
      </c>
      <c r="K465">
        <v>6</v>
      </c>
      <c r="L465">
        <v>1782</v>
      </c>
      <c r="M465" t="s">
        <v>16</v>
      </c>
    </row>
    <row r="466" spans="1:13" x14ac:dyDescent="0.35">
      <c r="A466">
        <v>210095</v>
      </c>
      <c r="B466">
        <v>28304</v>
      </c>
      <c r="C466" t="s">
        <v>570</v>
      </c>
      <c r="D466" t="s">
        <v>545</v>
      </c>
      <c r="E466" t="s">
        <v>571</v>
      </c>
      <c r="F466">
        <v>27229</v>
      </c>
      <c r="G466">
        <v>1</v>
      </c>
      <c r="H466" t="s">
        <v>16</v>
      </c>
      <c r="I466" s="1">
        <v>-473300</v>
      </c>
      <c r="J466" s="1">
        <v>-4590800</v>
      </c>
      <c r="K466">
        <v>10</v>
      </c>
      <c r="L466">
        <v>3044</v>
      </c>
      <c r="M466" t="s">
        <v>16</v>
      </c>
    </row>
    <row r="467" spans="1:13" x14ac:dyDescent="0.35">
      <c r="A467">
        <v>210100</v>
      </c>
      <c r="B467">
        <v>5100</v>
      </c>
      <c r="C467" t="s">
        <v>240</v>
      </c>
      <c r="D467" t="s">
        <v>545</v>
      </c>
      <c r="E467" t="s">
        <v>565</v>
      </c>
      <c r="F467">
        <v>27753</v>
      </c>
      <c r="G467">
        <v>1</v>
      </c>
      <c r="H467" t="s">
        <v>16</v>
      </c>
      <c r="I467" s="1">
        <v>-345400</v>
      </c>
      <c r="J467" s="1">
        <v>-4478000</v>
      </c>
      <c r="K467">
        <v>7</v>
      </c>
      <c r="L467">
        <v>1100</v>
      </c>
      <c r="M467" t="s">
        <v>16</v>
      </c>
    </row>
    <row r="468" spans="1:13" x14ac:dyDescent="0.35">
      <c r="A468">
        <v>210110</v>
      </c>
      <c r="B468">
        <v>5118</v>
      </c>
      <c r="C468" t="s">
        <v>572</v>
      </c>
      <c r="D468" t="s">
        <v>545</v>
      </c>
      <c r="E468" t="s">
        <v>573</v>
      </c>
      <c r="F468">
        <v>14249</v>
      </c>
      <c r="G468">
        <v>1</v>
      </c>
      <c r="H468" t="s">
        <v>16</v>
      </c>
      <c r="I468" s="1">
        <v>-283700</v>
      </c>
      <c r="J468" s="1">
        <v>-4405300</v>
      </c>
      <c r="K468">
        <v>27</v>
      </c>
      <c r="L468">
        <v>203</v>
      </c>
      <c r="M468" t="s">
        <v>16</v>
      </c>
    </row>
    <row r="469" spans="1:13" x14ac:dyDescent="0.35">
      <c r="A469">
        <v>210120</v>
      </c>
      <c r="B469">
        <v>5126</v>
      </c>
      <c r="C469" t="s">
        <v>574</v>
      </c>
      <c r="D469" t="s">
        <v>545</v>
      </c>
      <c r="E469" t="s">
        <v>575</v>
      </c>
      <c r="F469">
        <v>95124</v>
      </c>
      <c r="G469">
        <v>2</v>
      </c>
      <c r="H469" t="s">
        <v>16</v>
      </c>
      <c r="I469" s="1">
        <v>-422500</v>
      </c>
      <c r="J469" s="1">
        <v>-4478000</v>
      </c>
      <c r="K469">
        <v>21</v>
      </c>
      <c r="L469">
        <v>1682</v>
      </c>
      <c r="M469" t="s">
        <v>16</v>
      </c>
    </row>
    <row r="470" spans="1:13" x14ac:dyDescent="0.35">
      <c r="A470">
        <v>210125</v>
      </c>
      <c r="B470">
        <v>57215</v>
      </c>
      <c r="C470" t="s">
        <v>576</v>
      </c>
      <c r="D470" t="s">
        <v>545</v>
      </c>
      <c r="E470" t="s">
        <v>573</v>
      </c>
      <c r="F470">
        <v>50000</v>
      </c>
      <c r="G470">
        <v>2</v>
      </c>
      <c r="H470" t="s">
        <v>16</v>
      </c>
      <c r="I470" s="1">
        <v>-297100</v>
      </c>
      <c r="J470" s="1">
        <v>-4431600</v>
      </c>
      <c r="K470">
        <v>44</v>
      </c>
      <c r="L470">
        <v>615</v>
      </c>
      <c r="M470" t="s">
        <v>16</v>
      </c>
    </row>
    <row r="471" spans="1:13" x14ac:dyDescent="0.35">
      <c r="A471">
        <v>210130</v>
      </c>
      <c r="B471">
        <v>5134</v>
      </c>
      <c r="C471" t="s">
        <v>577</v>
      </c>
      <c r="D471" t="s">
        <v>545</v>
      </c>
      <c r="E471" t="s">
        <v>552</v>
      </c>
      <c r="F471">
        <v>16026</v>
      </c>
      <c r="G471">
        <v>1</v>
      </c>
      <c r="H471" t="s">
        <v>16</v>
      </c>
      <c r="I471" s="1">
        <v>-170300</v>
      </c>
      <c r="J471" s="1">
        <v>-4513400</v>
      </c>
      <c r="K471">
        <v>15</v>
      </c>
      <c r="L471">
        <v>788</v>
      </c>
      <c r="M471" t="s">
        <v>16</v>
      </c>
    </row>
    <row r="472" spans="1:13" x14ac:dyDescent="0.35">
      <c r="A472">
        <v>210135</v>
      </c>
      <c r="B472">
        <v>57223</v>
      </c>
      <c r="C472" t="s">
        <v>578</v>
      </c>
      <c r="D472" t="s">
        <v>545</v>
      </c>
      <c r="E472" t="s">
        <v>552</v>
      </c>
      <c r="F472">
        <v>5425</v>
      </c>
      <c r="G472">
        <v>1</v>
      </c>
      <c r="H472" t="s">
        <v>16</v>
      </c>
      <c r="I472" s="1">
        <v>-270600</v>
      </c>
      <c r="J472" s="1">
        <v>-4473800</v>
      </c>
      <c r="K472">
        <v>15</v>
      </c>
      <c r="L472">
        <v>674</v>
      </c>
      <c r="M472" t="s">
        <v>16</v>
      </c>
    </row>
    <row r="473" spans="1:13" x14ac:dyDescent="0.35">
      <c r="A473">
        <v>210140</v>
      </c>
      <c r="B473">
        <v>5142</v>
      </c>
      <c r="C473" t="s">
        <v>579</v>
      </c>
      <c r="D473" t="s">
        <v>545</v>
      </c>
      <c r="E473" t="s">
        <v>561</v>
      </c>
      <c r="F473">
        <v>78845</v>
      </c>
      <c r="G473">
        <v>2</v>
      </c>
      <c r="H473" t="s">
        <v>16</v>
      </c>
      <c r="I473" s="1">
        <v>-753300</v>
      </c>
      <c r="J473" s="1">
        <v>-4603600</v>
      </c>
      <c r="K473">
        <v>247</v>
      </c>
      <c r="L473">
        <v>13141</v>
      </c>
      <c r="M473" t="s">
        <v>16</v>
      </c>
    </row>
    <row r="474" spans="1:13" x14ac:dyDescent="0.35">
      <c r="A474">
        <v>210150</v>
      </c>
      <c r="B474">
        <v>5150</v>
      </c>
      <c r="C474" t="s">
        <v>580</v>
      </c>
      <c r="D474" t="s">
        <v>545</v>
      </c>
      <c r="E474" t="s">
        <v>581</v>
      </c>
      <c r="F474">
        <v>16565</v>
      </c>
      <c r="G474">
        <v>1</v>
      </c>
      <c r="H474" t="s">
        <v>16</v>
      </c>
      <c r="I474" s="1">
        <v>-675600</v>
      </c>
      <c r="J474" s="1">
        <v>-4302400</v>
      </c>
      <c r="K474">
        <v>108</v>
      </c>
      <c r="L474">
        <v>2247</v>
      </c>
      <c r="M474" t="s">
        <v>16</v>
      </c>
    </row>
    <row r="475" spans="1:13" x14ac:dyDescent="0.35">
      <c r="A475">
        <v>210160</v>
      </c>
      <c r="B475">
        <v>5169</v>
      </c>
      <c r="C475" t="s">
        <v>582</v>
      </c>
      <c r="D475" t="s">
        <v>545</v>
      </c>
      <c r="E475" t="s">
        <v>571</v>
      </c>
      <c r="F475">
        <v>78718</v>
      </c>
      <c r="G475">
        <v>2</v>
      </c>
      <c r="H475" t="s">
        <v>16</v>
      </c>
      <c r="I475" s="1">
        <v>-550600</v>
      </c>
      <c r="J475" s="1">
        <v>-4524300</v>
      </c>
      <c r="K475">
        <v>83</v>
      </c>
      <c r="L475">
        <v>7962</v>
      </c>
      <c r="M475" t="s">
        <v>16</v>
      </c>
    </row>
    <row r="476" spans="1:13" x14ac:dyDescent="0.35">
      <c r="A476">
        <v>210170</v>
      </c>
      <c r="B476">
        <v>5177</v>
      </c>
      <c r="C476" t="s">
        <v>583</v>
      </c>
      <c r="D476" t="s">
        <v>545</v>
      </c>
      <c r="E476" t="s">
        <v>584</v>
      </c>
      <c r="F476">
        <v>47850</v>
      </c>
      <c r="G476">
        <v>1</v>
      </c>
      <c r="H476" t="s">
        <v>16</v>
      </c>
      <c r="I476" s="1">
        <v>-274700</v>
      </c>
      <c r="J476" s="1">
        <v>-4282600</v>
      </c>
      <c r="K476">
        <v>4</v>
      </c>
      <c r="L476">
        <v>3111</v>
      </c>
      <c r="M476" t="s">
        <v>16</v>
      </c>
    </row>
    <row r="477" spans="1:13" x14ac:dyDescent="0.35">
      <c r="A477">
        <v>210173</v>
      </c>
      <c r="B477">
        <v>57231</v>
      </c>
      <c r="C477" t="s">
        <v>585</v>
      </c>
      <c r="D477" t="s">
        <v>545</v>
      </c>
      <c r="E477" t="s">
        <v>567</v>
      </c>
      <c r="F477">
        <v>5717</v>
      </c>
      <c r="G477">
        <v>1</v>
      </c>
      <c r="H477" t="s">
        <v>16</v>
      </c>
      <c r="I477" s="1">
        <v>-315500</v>
      </c>
      <c r="J477" s="1">
        <v>-4351000</v>
      </c>
      <c r="K477">
        <v>92</v>
      </c>
      <c r="L477">
        <v>499</v>
      </c>
      <c r="M477" t="s">
        <v>16</v>
      </c>
    </row>
    <row r="478" spans="1:13" x14ac:dyDescent="0.35">
      <c r="A478">
        <v>210177</v>
      </c>
      <c r="B478">
        <v>57240</v>
      </c>
      <c r="C478" t="s">
        <v>586</v>
      </c>
      <c r="D478" t="s">
        <v>545</v>
      </c>
      <c r="E478" t="s">
        <v>565</v>
      </c>
      <c r="F478">
        <v>8603</v>
      </c>
      <c r="G478">
        <v>1</v>
      </c>
      <c r="H478" t="s">
        <v>16</v>
      </c>
      <c r="I478" s="1">
        <v>-373100</v>
      </c>
      <c r="J478" s="1">
        <v>-4531500</v>
      </c>
      <c r="K478">
        <v>0</v>
      </c>
      <c r="L478">
        <v>252</v>
      </c>
      <c r="M478" t="s">
        <v>16</v>
      </c>
    </row>
    <row r="479" spans="1:13" x14ac:dyDescent="0.35">
      <c r="A479">
        <v>210180</v>
      </c>
      <c r="B479">
        <v>5185</v>
      </c>
      <c r="C479" t="s">
        <v>587</v>
      </c>
      <c r="D479" t="s">
        <v>545</v>
      </c>
      <c r="E479" t="s">
        <v>588</v>
      </c>
      <c r="F479">
        <v>5387</v>
      </c>
      <c r="G479">
        <v>1</v>
      </c>
      <c r="H479" t="s">
        <v>16</v>
      </c>
      <c r="I479" s="1">
        <v>-722300</v>
      </c>
      <c r="J479" s="1">
        <v>-4455800</v>
      </c>
      <c r="K479">
        <v>173</v>
      </c>
      <c r="L479">
        <v>1781</v>
      </c>
      <c r="M479" t="s">
        <v>16</v>
      </c>
    </row>
    <row r="480" spans="1:13" x14ac:dyDescent="0.35">
      <c r="A480">
        <v>210190</v>
      </c>
      <c r="B480">
        <v>5193</v>
      </c>
      <c r="C480" t="s">
        <v>589</v>
      </c>
      <c r="D480" t="s">
        <v>545</v>
      </c>
      <c r="E480" t="s">
        <v>552</v>
      </c>
      <c r="F480">
        <v>20735</v>
      </c>
      <c r="G480">
        <v>1</v>
      </c>
      <c r="H480" t="s">
        <v>16</v>
      </c>
      <c r="I480" s="1">
        <v>-244900</v>
      </c>
      <c r="J480" s="1">
        <v>-4478300</v>
      </c>
      <c r="K480">
        <v>17</v>
      </c>
      <c r="L480">
        <v>768</v>
      </c>
      <c r="M480" t="s">
        <v>16</v>
      </c>
    </row>
    <row r="481" spans="1:13" x14ac:dyDescent="0.35">
      <c r="A481">
        <v>210193</v>
      </c>
      <c r="B481">
        <v>57258</v>
      </c>
      <c r="C481" t="s">
        <v>590</v>
      </c>
      <c r="D481" t="s">
        <v>545</v>
      </c>
      <c r="E481" t="s">
        <v>575</v>
      </c>
      <c r="F481">
        <v>5972</v>
      </c>
      <c r="G481">
        <v>1</v>
      </c>
      <c r="H481" t="s">
        <v>16</v>
      </c>
      <c r="I481" s="1">
        <v>-458400</v>
      </c>
      <c r="J481" s="1">
        <v>-4476400</v>
      </c>
      <c r="K481">
        <v>0</v>
      </c>
      <c r="L481">
        <v>261</v>
      </c>
      <c r="M481" t="s">
        <v>16</v>
      </c>
    </row>
    <row r="482" spans="1:13" x14ac:dyDescent="0.35">
      <c r="A482">
        <v>210197</v>
      </c>
      <c r="B482">
        <v>57266</v>
      </c>
      <c r="C482" t="s">
        <v>591</v>
      </c>
      <c r="D482" t="s">
        <v>545</v>
      </c>
      <c r="E482" t="s">
        <v>407</v>
      </c>
      <c r="F482">
        <v>7385</v>
      </c>
      <c r="G482">
        <v>1</v>
      </c>
      <c r="H482" t="s">
        <v>16</v>
      </c>
      <c r="I482" s="1">
        <v>-178800</v>
      </c>
      <c r="J482" s="1">
        <v>-4630300</v>
      </c>
      <c r="K482">
        <v>0</v>
      </c>
      <c r="L482">
        <v>401</v>
      </c>
      <c r="M482" t="s">
        <v>16</v>
      </c>
    </row>
    <row r="483" spans="1:13" x14ac:dyDescent="0.35">
      <c r="A483">
        <v>210200</v>
      </c>
      <c r="B483">
        <v>5207</v>
      </c>
      <c r="C483" t="s">
        <v>592</v>
      </c>
      <c r="D483" t="s">
        <v>545</v>
      </c>
      <c r="E483" t="s">
        <v>556</v>
      </c>
      <c r="F483">
        <v>37659</v>
      </c>
      <c r="G483">
        <v>1</v>
      </c>
      <c r="H483" t="s">
        <v>16</v>
      </c>
      <c r="I483" s="1">
        <v>-356500</v>
      </c>
      <c r="J483" s="1">
        <v>-4599400</v>
      </c>
      <c r="K483">
        <v>40</v>
      </c>
      <c r="L483">
        <v>6590</v>
      </c>
      <c r="M483" t="s">
        <v>16</v>
      </c>
    </row>
    <row r="484" spans="1:13" x14ac:dyDescent="0.35">
      <c r="A484">
        <v>210203</v>
      </c>
      <c r="B484">
        <v>57274</v>
      </c>
      <c r="C484" t="s">
        <v>593</v>
      </c>
      <c r="D484" t="s">
        <v>545</v>
      </c>
      <c r="E484" t="s">
        <v>556</v>
      </c>
      <c r="F484">
        <v>23827</v>
      </c>
      <c r="G484">
        <v>1</v>
      </c>
      <c r="H484" t="s">
        <v>16</v>
      </c>
      <c r="I484" s="1">
        <v>-442000</v>
      </c>
      <c r="J484" s="1">
        <v>-4676500</v>
      </c>
      <c r="K484">
        <v>0</v>
      </c>
      <c r="L484">
        <v>2679</v>
      </c>
      <c r="M484" t="s">
        <v>16</v>
      </c>
    </row>
    <row r="485" spans="1:13" x14ac:dyDescent="0.35">
      <c r="A485">
        <v>210207</v>
      </c>
      <c r="B485">
        <v>57282</v>
      </c>
      <c r="C485" t="s">
        <v>594</v>
      </c>
      <c r="D485" t="s">
        <v>545</v>
      </c>
      <c r="E485" t="s">
        <v>575</v>
      </c>
      <c r="F485">
        <v>12825</v>
      </c>
      <c r="G485">
        <v>1</v>
      </c>
      <c r="H485" t="s">
        <v>16</v>
      </c>
      <c r="I485" s="1">
        <v>-422000</v>
      </c>
      <c r="J485" s="1">
        <v>-4503900</v>
      </c>
      <c r="K485">
        <v>0</v>
      </c>
      <c r="L485">
        <v>446</v>
      </c>
      <c r="M485" t="s">
        <v>16</v>
      </c>
    </row>
    <row r="486" spans="1:13" x14ac:dyDescent="0.35">
      <c r="A486">
        <v>210210</v>
      </c>
      <c r="B486">
        <v>5215</v>
      </c>
      <c r="C486" t="s">
        <v>595</v>
      </c>
      <c r="D486" t="s">
        <v>545</v>
      </c>
      <c r="E486" t="s">
        <v>567</v>
      </c>
      <c r="F486">
        <v>31049</v>
      </c>
      <c r="G486">
        <v>1</v>
      </c>
      <c r="H486" t="s">
        <v>16</v>
      </c>
      <c r="I486" s="1">
        <v>-368400</v>
      </c>
      <c r="J486" s="1">
        <v>-4275000</v>
      </c>
      <c r="K486">
        <v>55</v>
      </c>
      <c r="L486">
        <v>1074</v>
      </c>
      <c r="M486" t="s">
        <v>16</v>
      </c>
    </row>
    <row r="487" spans="1:13" x14ac:dyDescent="0.35">
      <c r="A487">
        <v>210215</v>
      </c>
      <c r="B487">
        <v>57290</v>
      </c>
      <c r="C487" t="s">
        <v>596</v>
      </c>
      <c r="D487" t="s">
        <v>545</v>
      </c>
      <c r="E487" t="s">
        <v>556</v>
      </c>
      <c r="F487">
        <v>5803</v>
      </c>
      <c r="G487">
        <v>1</v>
      </c>
      <c r="H487" t="s">
        <v>16</v>
      </c>
      <c r="I487" s="1">
        <v>-433400</v>
      </c>
      <c r="J487" s="1">
        <v>-4558100</v>
      </c>
      <c r="K487">
        <v>0</v>
      </c>
      <c r="L487">
        <v>482</v>
      </c>
      <c r="M487" t="s">
        <v>16</v>
      </c>
    </row>
    <row r="488" spans="1:13" x14ac:dyDescent="0.35">
      <c r="A488">
        <v>210220</v>
      </c>
      <c r="B488">
        <v>5223</v>
      </c>
      <c r="C488" t="s">
        <v>597</v>
      </c>
      <c r="D488" t="s">
        <v>545</v>
      </c>
      <c r="E488" t="s">
        <v>567</v>
      </c>
      <c r="F488">
        <v>25274</v>
      </c>
      <c r="G488">
        <v>1</v>
      </c>
      <c r="H488" t="s">
        <v>16</v>
      </c>
      <c r="I488" s="1">
        <v>-394200</v>
      </c>
      <c r="J488" s="1">
        <v>-4292500</v>
      </c>
      <c r="K488">
        <v>227</v>
      </c>
      <c r="L488">
        <v>1474</v>
      </c>
      <c r="M488" t="s">
        <v>16</v>
      </c>
    </row>
    <row r="489" spans="1:13" x14ac:dyDescent="0.35">
      <c r="A489">
        <v>210230</v>
      </c>
      <c r="B489">
        <v>5231</v>
      </c>
      <c r="C489" t="s">
        <v>598</v>
      </c>
      <c r="D489" t="s">
        <v>545</v>
      </c>
      <c r="E489" t="s">
        <v>599</v>
      </c>
      <c r="F489">
        <v>22279</v>
      </c>
      <c r="G489">
        <v>1</v>
      </c>
      <c r="H489" t="s">
        <v>16</v>
      </c>
      <c r="I489" s="1">
        <v>-583700</v>
      </c>
      <c r="J489" s="1">
        <v>-4383400</v>
      </c>
      <c r="K489">
        <v>227</v>
      </c>
      <c r="L489">
        <v>1582</v>
      </c>
      <c r="M489" t="s">
        <v>16</v>
      </c>
    </row>
    <row r="490" spans="1:13" x14ac:dyDescent="0.35">
      <c r="A490">
        <v>210232</v>
      </c>
      <c r="B490">
        <v>57304</v>
      </c>
      <c r="C490" t="s">
        <v>600</v>
      </c>
      <c r="D490" t="s">
        <v>545</v>
      </c>
      <c r="E490" t="s">
        <v>556</v>
      </c>
      <c r="F490">
        <v>61480</v>
      </c>
      <c r="G490">
        <v>2</v>
      </c>
      <c r="H490" t="s">
        <v>16</v>
      </c>
      <c r="I490" s="1">
        <v>-434600</v>
      </c>
      <c r="J490" s="1">
        <v>-4640100</v>
      </c>
      <c r="K490">
        <v>0</v>
      </c>
      <c r="L490">
        <v>2544</v>
      </c>
      <c r="M490" t="s">
        <v>16</v>
      </c>
    </row>
    <row r="491" spans="1:13" x14ac:dyDescent="0.35">
      <c r="A491">
        <v>210235</v>
      </c>
      <c r="B491">
        <v>57312</v>
      </c>
      <c r="C491" t="s">
        <v>601</v>
      </c>
      <c r="D491" t="s">
        <v>545</v>
      </c>
      <c r="E491" t="s">
        <v>546</v>
      </c>
      <c r="F491">
        <v>12596</v>
      </c>
      <c r="G491">
        <v>4</v>
      </c>
      <c r="H491" t="s">
        <v>602</v>
      </c>
      <c r="I491" s="1">
        <v>-559300</v>
      </c>
      <c r="J491" s="1">
        <v>-4701800</v>
      </c>
      <c r="K491">
        <v>250</v>
      </c>
      <c r="L491">
        <v>818</v>
      </c>
      <c r="M491" t="s">
        <v>16</v>
      </c>
    </row>
    <row r="492" spans="1:13" x14ac:dyDescent="0.35">
      <c r="A492">
        <v>210237</v>
      </c>
      <c r="B492">
        <v>57320</v>
      </c>
      <c r="C492" t="s">
        <v>603</v>
      </c>
      <c r="D492" t="s">
        <v>545</v>
      </c>
      <c r="E492" t="s">
        <v>573</v>
      </c>
      <c r="F492">
        <v>8831</v>
      </c>
      <c r="G492">
        <v>1</v>
      </c>
      <c r="H492" t="s">
        <v>16</v>
      </c>
      <c r="I492" s="1">
        <v>-292700</v>
      </c>
      <c r="J492" s="1">
        <v>-4405800</v>
      </c>
      <c r="K492">
        <v>48</v>
      </c>
      <c r="L492">
        <v>705</v>
      </c>
      <c r="M492" t="s">
        <v>16</v>
      </c>
    </row>
    <row r="493" spans="1:13" x14ac:dyDescent="0.35">
      <c r="A493">
        <v>210240</v>
      </c>
      <c r="B493">
        <v>5240</v>
      </c>
      <c r="C493" t="s">
        <v>604</v>
      </c>
      <c r="D493" t="s">
        <v>545</v>
      </c>
      <c r="E493" t="s">
        <v>552</v>
      </c>
      <c r="F493">
        <v>9982</v>
      </c>
      <c r="G493">
        <v>1</v>
      </c>
      <c r="H493" t="s">
        <v>16</v>
      </c>
      <c r="I493" s="1">
        <v>-288100</v>
      </c>
      <c r="J493" s="1">
        <v>-4467500</v>
      </c>
      <c r="K493">
        <v>18</v>
      </c>
      <c r="L493">
        <v>908</v>
      </c>
      <c r="M493" t="s">
        <v>16</v>
      </c>
    </row>
    <row r="494" spans="1:13" x14ac:dyDescent="0.35">
      <c r="A494">
        <v>210250</v>
      </c>
      <c r="B494">
        <v>5258</v>
      </c>
      <c r="C494" t="s">
        <v>605</v>
      </c>
      <c r="D494" t="s">
        <v>545</v>
      </c>
      <c r="E494" t="s">
        <v>565</v>
      </c>
      <c r="F494">
        <v>12842</v>
      </c>
      <c r="G494">
        <v>1</v>
      </c>
      <c r="H494" t="s">
        <v>16</v>
      </c>
      <c r="I494" s="1">
        <v>-332100</v>
      </c>
      <c r="J494" s="1">
        <v>-4501100</v>
      </c>
      <c r="K494">
        <v>13</v>
      </c>
      <c r="L494">
        <v>544</v>
      </c>
      <c r="M494" t="s">
        <v>16</v>
      </c>
    </row>
    <row r="495" spans="1:13" x14ac:dyDescent="0.35">
      <c r="A495">
        <v>210255</v>
      </c>
      <c r="B495">
        <v>57339</v>
      </c>
      <c r="C495" t="s">
        <v>606</v>
      </c>
      <c r="D495" t="s">
        <v>545</v>
      </c>
      <c r="E495" t="s">
        <v>607</v>
      </c>
      <c r="F495">
        <v>12246</v>
      </c>
      <c r="G495">
        <v>1</v>
      </c>
      <c r="H495" t="s">
        <v>16</v>
      </c>
      <c r="I495" s="1">
        <v>-617200</v>
      </c>
      <c r="J495" s="1">
        <v>-4736400</v>
      </c>
      <c r="K495">
        <v>100</v>
      </c>
      <c r="L495">
        <v>615</v>
      </c>
      <c r="M495" t="s">
        <v>16</v>
      </c>
    </row>
    <row r="496" spans="1:13" x14ac:dyDescent="0.35">
      <c r="A496">
        <v>210260</v>
      </c>
      <c r="B496">
        <v>5266</v>
      </c>
      <c r="C496" t="s">
        <v>608</v>
      </c>
      <c r="D496" t="s">
        <v>545</v>
      </c>
      <c r="E496" t="s">
        <v>407</v>
      </c>
      <c r="F496">
        <v>18820</v>
      </c>
      <c r="G496">
        <v>1</v>
      </c>
      <c r="H496" t="s">
        <v>16</v>
      </c>
      <c r="I496" s="1">
        <v>-144700</v>
      </c>
      <c r="J496" s="1">
        <v>-4571700</v>
      </c>
      <c r="K496">
        <v>10</v>
      </c>
      <c r="L496">
        <v>1731</v>
      </c>
      <c r="M496" t="s">
        <v>16</v>
      </c>
    </row>
    <row r="497" spans="1:13" x14ac:dyDescent="0.35">
      <c r="A497">
        <v>210270</v>
      </c>
      <c r="B497">
        <v>5274</v>
      </c>
      <c r="C497" t="s">
        <v>609</v>
      </c>
      <c r="D497" t="s">
        <v>545</v>
      </c>
      <c r="E497" t="s">
        <v>610</v>
      </c>
      <c r="F497">
        <v>18827</v>
      </c>
      <c r="G497">
        <v>1</v>
      </c>
      <c r="H497" t="s">
        <v>16</v>
      </c>
      <c r="I497" s="1">
        <v>-363300</v>
      </c>
      <c r="J497" s="1">
        <v>-4437700</v>
      </c>
      <c r="K497">
        <v>25</v>
      </c>
      <c r="L497">
        <v>797</v>
      </c>
      <c r="M497" t="s">
        <v>16</v>
      </c>
    </row>
    <row r="498" spans="1:13" x14ac:dyDescent="0.35">
      <c r="A498">
        <v>210275</v>
      </c>
      <c r="B498">
        <v>57347</v>
      </c>
      <c r="C498" t="s">
        <v>611</v>
      </c>
      <c r="D498" t="s">
        <v>545</v>
      </c>
      <c r="E498" t="s">
        <v>558</v>
      </c>
      <c r="F498">
        <v>10385</v>
      </c>
      <c r="G498">
        <v>1</v>
      </c>
      <c r="H498" t="s">
        <v>16</v>
      </c>
      <c r="I498" s="1">
        <v>-472800</v>
      </c>
      <c r="J498" s="1">
        <v>-4432700</v>
      </c>
      <c r="K498">
        <v>132</v>
      </c>
      <c r="L498">
        <v>626</v>
      </c>
      <c r="M498" t="s">
        <v>16</v>
      </c>
    </row>
    <row r="499" spans="1:13" x14ac:dyDescent="0.35">
      <c r="A499">
        <v>210280</v>
      </c>
      <c r="B499">
        <v>5282</v>
      </c>
      <c r="C499" t="s">
        <v>612</v>
      </c>
      <c r="D499" t="s">
        <v>545</v>
      </c>
      <c r="E499" t="s">
        <v>607</v>
      </c>
      <c r="F499">
        <v>24442</v>
      </c>
      <c r="G499">
        <v>1</v>
      </c>
      <c r="H499" t="s">
        <v>16</v>
      </c>
      <c r="I499" s="1">
        <v>-733300</v>
      </c>
      <c r="J499" s="1">
        <v>-4746900</v>
      </c>
      <c r="K499">
        <v>167</v>
      </c>
      <c r="L499">
        <v>6441</v>
      </c>
      <c r="M499" t="s">
        <v>16</v>
      </c>
    </row>
    <row r="500" spans="1:13" x14ac:dyDescent="0.35">
      <c r="A500">
        <v>210290</v>
      </c>
      <c r="B500">
        <v>5290</v>
      </c>
      <c r="C500" t="s">
        <v>613</v>
      </c>
      <c r="D500" t="s">
        <v>545</v>
      </c>
      <c r="E500" t="s">
        <v>407</v>
      </c>
      <c r="F500">
        <v>20285</v>
      </c>
      <c r="G500">
        <v>1</v>
      </c>
      <c r="H500" t="s">
        <v>16</v>
      </c>
      <c r="I500" s="1">
        <v>-119500</v>
      </c>
      <c r="J500" s="1">
        <v>-4602000</v>
      </c>
      <c r="K500">
        <v>26</v>
      </c>
      <c r="L500">
        <v>1255</v>
      </c>
      <c r="M500" t="s">
        <v>16</v>
      </c>
    </row>
    <row r="501" spans="1:13" x14ac:dyDescent="0.35">
      <c r="A501">
        <v>210300</v>
      </c>
      <c r="B501">
        <v>5304</v>
      </c>
      <c r="C501" t="s">
        <v>599</v>
      </c>
      <c r="D501" t="s">
        <v>545</v>
      </c>
      <c r="E501" t="s">
        <v>599</v>
      </c>
      <c r="F501">
        <v>143197</v>
      </c>
      <c r="G501">
        <v>3</v>
      </c>
      <c r="H501" t="s">
        <v>16</v>
      </c>
      <c r="I501" s="1">
        <v>-485900</v>
      </c>
      <c r="J501" s="1">
        <v>-4335600</v>
      </c>
      <c r="K501">
        <v>66</v>
      </c>
      <c r="L501">
        <v>5223</v>
      </c>
      <c r="M501" t="s">
        <v>16</v>
      </c>
    </row>
    <row r="502" spans="1:13" x14ac:dyDescent="0.35">
      <c r="A502">
        <v>210310</v>
      </c>
      <c r="B502">
        <v>5312</v>
      </c>
      <c r="C502" t="s">
        <v>614</v>
      </c>
      <c r="D502" t="s">
        <v>545</v>
      </c>
      <c r="E502" t="s">
        <v>552</v>
      </c>
      <c r="F502">
        <v>9841</v>
      </c>
      <c r="G502">
        <v>1</v>
      </c>
      <c r="H502" t="s">
        <v>16</v>
      </c>
      <c r="I502" s="1">
        <v>-200000</v>
      </c>
      <c r="J502" s="1">
        <v>-4453600</v>
      </c>
      <c r="K502">
        <v>30</v>
      </c>
      <c r="L502">
        <v>262</v>
      </c>
      <c r="M502" t="s">
        <v>16</v>
      </c>
    </row>
    <row r="503" spans="1:13" x14ac:dyDescent="0.35">
      <c r="A503">
        <v>210312</v>
      </c>
      <c r="B503">
        <v>57355</v>
      </c>
      <c r="C503" t="s">
        <v>615</v>
      </c>
      <c r="D503" t="s">
        <v>545</v>
      </c>
      <c r="E503" t="s">
        <v>552</v>
      </c>
      <c r="F503">
        <v>8776</v>
      </c>
      <c r="G503">
        <v>1</v>
      </c>
      <c r="H503" t="s">
        <v>16</v>
      </c>
      <c r="I503" s="1">
        <v>-219900</v>
      </c>
      <c r="J503" s="1">
        <v>-4482600</v>
      </c>
      <c r="K503">
        <v>45</v>
      </c>
      <c r="L503">
        <v>366</v>
      </c>
      <c r="M503" t="s">
        <v>16</v>
      </c>
    </row>
    <row r="504" spans="1:13" x14ac:dyDescent="0.35">
      <c r="A504">
        <v>210315</v>
      </c>
      <c r="B504">
        <v>57363</v>
      </c>
      <c r="C504" t="s">
        <v>616</v>
      </c>
      <c r="D504" t="s">
        <v>545</v>
      </c>
      <c r="E504" t="s">
        <v>407</v>
      </c>
      <c r="F504">
        <v>7094</v>
      </c>
      <c r="G504">
        <v>1</v>
      </c>
      <c r="H504" t="s">
        <v>16</v>
      </c>
      <c r="I504" s="1">
        <v>-236900</v>
      </c>
      <c r="J504" s="1">
        <v>-4600200</v>
      </c>
      <c r="K504">
        <v>0</v>
      </c>
      <c r="L504">
        <v>1074</v>
      </c>
      <c r="M504" t="s">
        <v>16</v>
      </c>
    </row>
    <row r="505" spans="1:13" x14ac:dyDescent="0.35">
      <c r="A505">
        <v>210317</v>
      </c>
      <c r="B505">
        <v>57371</v>
      </c>
      <c r="C505" t="s">
        <v>617</v>
      </c>
      <c r="D505" t="s">
        <v>545</v>
      </c>
      <c r="E505" t="s">
        <v>407</v>
      </c>
      <c r="F505">
        <v>15127</v>
      </c>
      <c r="G505">
        <v>1</v>
      </c>
      <c r="H505" t="s">
        <v>16</v>
      </c>
      <c r="I505" s="1">
        <v>-210700</v>
      </c>
      <c r="J505" s="1">
        <v>-4612800</v>
      </c>
      <c r="K505">
        <v>0</v>
      </c>
      <c r="L505">
        <v>8294</v>
      </c>
      <c r="M505" t="s">
        <v>16</v>
      </c>
    </row>
    <row r="506" spans="1:13" x14ac:dyDescent="0.35">
      <c r="A506">
        <v>210320</v>
      </c>
      <c r="B506">
        <v>5320</v>
      </c>
      <c r="C506" t="s">
        <v>567</v>
      </c>
      <c r="D506" t="s">
        <v>545</v>
      </c>
      <c r="E506" t="s">
        <v>567</v>
      </c>
      <c r="F506">
        <v>67649</v>
      </c>
      <c r="G506">
        <v>2</v>
      </c>
      <c r="H506" t="s">
        <v>16</v>
      </c>
      <c r="I506" s="1">
        <v>-374200</v>
      </c>
      <c r="J506" s="1">
        <v>-4336000</v>
      </c>
      <c r="K506">
        <v>105</v>
      </c>
      <c r="L506">
        <v>3247</v>
      </c>
      <c r="M506" t="s">
        <v>16</v>
      </c>
    </row>
    <row r="507" spans="1:13" x14ac:dyDescent="0.35">
      <c r="A507">
        <v>210325</v>
      </c>
      <c r="B507">
        <v>56324</v>
      </c>
      <c r="C507" t="s">
        <v>618</v>
      </c>
      <c r="D507" t="s">
        <v>545</v>
      </c>
      <c r="E507" t="s">
        <v>546</v>
      </c>
      <c r="F507">
        <v>12407</v>
      </c>
      <c r="G507">
        <v>1</v>
      </c>
      <c r="H507" t="s">
        <v>16</v>
      </c>
      <c r="I507" s="1">
        <v>-517400</v>
      </c>
      <c r="J507" s="1">
        <v>-4778200</v>
      </c>
      <c r="K507">
        <v>241</v>
      </c>
      <c r="L507">
        <v>1464</v>
      </c>
      <c r="M507" t="s">
        <v>16</v>
      </c>
    </row>
    <row r="508" spans="1:13" x14ac:dyDescent="0.35">
      <c r="A508">
        <v>210330</v>
      </c>
      <c r="B508">
        <v>5339</v>
      </c>
      <c r="C508" t="s">
        <v>619</v>
      </c>
      <c r="D508" t="s">
        <v>545</v>
      </c>
      <c r="E508" t="s">
        <v>558</v>
      </c>
      <c r="F508">
        <v>110574</v>
      </c>
      <c r="G508">
        <v>3</v>
      </c>
      <c r="H508" t="s">
        <v>16</v>
      </c>
      <c r="I508" s="1">
        <v>-445500</v>
      </c>
      <c r="J508" s="1">
        <v>-4388600</v>
      </c>
      <c r="K508">
        <v>47</v>
      </c>
      <c r="L508">
        <v>4364</v>
      </c>
      <c r="M508" t="s">
        <v>16</v>
      </c>
    </row>
    <row r="509" spans="1:13" x14ac:dyDescent="0.35">
      <c r="A509">
        <v>210340</v>
      </c>
      <c r="B509">
        <v>5347</v>
      </c>
      <c r="C509" t="s">
        <v>548</v>
      </c>
      <c r="D509" t="s">
        <v>545</v>
      </c>
      <c r="E509" t="s">
        <v>548</v>
      </c>
      <c r="F509">
        <v>44031</v>
      </c>
      <c r="G509">
        <v>1</v>
      </c>
      <c r="H509" t="s">
        <v>16</v>
      </c>
      <c r="I509" s="1">
        <v>-425700</v>
      </c>
      <c r="J509" s="1">
        <v>-4301300</v>
      </c>
      <c r="K509">
        <v>81</v>
      </c>
      <c r="L509">
        <v>975</v>
      </c>
      <c r="M509" t="s">
        <v>16</v>
      </c>
    </row>
    <row r="510" spans="1:13" x14ac:dyDescent="0.35">
      <c r="A510">
        <v>210350</v>
      </c>
      <c r="B510">
        <v>5355</v>
      </c>
      <c r="C510" t="s">
        <v>620</v>
      </c>
      <c r="D510" t="s">
        <v>545</v>
      </c>
      <c r="E510" t="s">
        <v>581</v>
      </c>
      <c r="F510">
        <v>35692</v>
      </c>
      <c r="G510">
        <v>1</v>
      </c>
      <c r="H510" t="s">
        <v>16</v>
      </c>
      <c r="I510" s="1">
        <v>-602600</v>
      </c>
      <c r="J510" s="1">
        <v>-4424900</v>
      </c>
      <c r="K510">
        <v>141</v>
      </c>
      <c r="L510">
        <v>2033</v>
      </c>
      <c r="M510" t="s">
        <v>16</v>
      </c>
    </row>
    <row r="511" spans="1:13" x14ac:dyDescent="0.35">
      <c r="A511">
        <v>210355</v>
      </c>
      <c r="B511">
        <v>57380</v>
      </c>
      <c r="C511" t="s">
        <v>621</v>
      </c>
      <c r="D511" t="s">
        <v>545</v>
      </c>
      <c r="E511" t="s">
        <v>565</v>
      </c>
      <c r="F511">
        <v>14063</v>
      </c>
      <c r="G511">
        <v>1</v>
      </c>
      <c r="H511" t="s">
        <v>16</v>
      </c>
      <c r="I511" s="1">
        <v>-383400</v>
      </c>
      <c r="J511" s="1">
        <v>-4489300</v>
      </c>
      <c r="K511">
        <v>21</v>
      </c>
      <c r="L511">
        <v>827</v>
      </c>
      <c r="M511" t="s">
        <v>16</v>
      </c>
    </row>
    <row r="512" spans="1:13" x14ac:dyDescent="0.35">
      <c r="A512">
        <v>210360</v>
      </c>
      <c r="B512">
        <v>5363</v>
      </c>
      <c r="C512" t="s">
        <v>622</v>
      </c>
      <c r="D512" t="s">
        <v>545</v>
      </c>
      <c r="E512" t="s">
        <v>558</v>
      </c>
      <c r="F512">
        <v>60589</v>
      </c>
      <c r="G512">
        <v>2</v>
      </c>
      <c r="H512" t="s">
        <v>16</v>
      </c>
      <c r="I512" s="1">
        <v>-413000</v>
      </c>
      <c r="J512" s="1">
        <v>-4412400</v>
      </c>
      <c r="K512">
        <v>35</v>
      </c>
      <c r="L512">
        <v>2263</v>
      </c>
      <c r="M512" t="s">
        <v>16</v>
      </c>
    </row>
    <row r="513" spans="1:13" x14ac:dyDescent="0.35">
      <c r="A513">
        <v>210370</v>
      </c>
      <c r="B513">
        <v>5371</v>
      </c>
      <c r="C513" t="s">
        <v>623</v>
      </c>
      <c r="D513" t="s">
        <v>545</v>
      </c>
      <c r="E513" t="s">
        <v>552</v>
      </c>
      <c r="F513">
        <v>34018</v>
      </c>
      <c r="G513">
        <v>1</v>
      </c>
      <c r="H513" t="s">
        <v>16</v>
      </c>
      <c r="I513" s="1">
        <v>-182800</v>
      </c>
      <c r="J513" s="1">
        <v>-4486800</v>
      </c>
      <c r="K513">
        <v>12</v>
      </c>
      <c r="L513">
        <v>935</v>
      </c>
      <c r="M513" t="s">
        <v>16</v>
      </c>
    </row>
    <row r="514" spans="1:13" x14ac:dyDescent="0.35">
      <c r="A514">
        <v>210375</v>
      </c>
      <c r="B514">
        <v>56367</v>
      </c>
      <c r="C514" t="s">
        <v>624</v>
      </c>
      <c r="D514" t="s">
        <v>545</v>
      </c>
      <c r="E514" t="s">
        <v>546</v>
      </c>
      <c r="F514">
        <v>11786</v>
      </c>
      <c r="G514">
        <v>4</v>
      </c>
      <c r="H514" t="s">
        <v>602</v>
      </c>
      <c r="I514" s="1">
        <v>-555800</v>
      </c>
      <c r="J514" s="1">
        <v>-4742600</v>
      </c>
      <c r="K514">
        <v>180</v>
      </c>
      <c r="L514">
        <v>337</v>
      </c>
      <c r="M514" t="s">
        <v>16</v>
      </c>
    </row>
    <row r="515" spans="1:13" x14ac:dyDescent="0.35">
      <c r="A515">
        <v>210380</v>
      </c>
      <c r="B515">
        <v>5380</v>
      </c>
      <c r="C515" t="s">
        <v>625</v>
      </c>
      <c r="D515" t="s">
        <v>545</v>
      </c>
      <c r="E515" t="s">
        <v>626</v>
      </c>
      <c r="F515">
        <v>21479</v>
      </c>
      <c r="G515">
        <v>1</v>
      </c>
      <c r="H515" t="s">
        <v>16</v>
      </c>
      <c r="I515" s="1">
        <v>-503300</v>
      </c>
      <c r="J515" s="1">
        <v>-4443600</v>
      </c>
      <c r="K515">
        <v>142</v>
      </c>
      <c r="L515">
        <v>369</v>
      </c>
      <c r="M515" t="s">
        <v>16</v>
      </c>
    </row>
    <row r="516" spans="1:13" x14ac:dyDescent="0.35">
      <c r="A516">
        <v>210390</v>
      </c>
      <c r="B516">
        <v>5398</v>
      </c>
      <c r="C516" t="s">
        <v>627</v>
      </c>
      <c r="D516" t="s">
        <v>545</v>
      </c>
      <c r="E516" t="s">
        <v>548</v>
      </c>
      <c r="F516">
        <v>10384</v>
      </c>
      <c r="G516">
        <v>1</v>
      </c>
      <c r="H516" t="s">
        <v>16</v>
      </c>
      <c r="I516" s="1">
        <v>-415600</v>
      </c>
      <c r="J516" s="1">
        <v>-4294400</v>
      </c>
      <c r="K516">
        <v>74</v>
      </c>
      <c r="L516">
        <v>317</v>
      </c>
      <c r="M516" t="s">
        <v>16</v>
      </c>
    </row>
    <row r="517" spans="1:13" x14ac:dyDescent="0.35">
      <c r="A517">
        <v>210400</v>
      </c>
      <c r="B517">
        <v>5401</v>
      </c>
      <c r="C517" t="s">
        <v>628</v>
      </c>
      <c r="D517" t="s">
        <v>545</v>
      </c>
      <c r="E517" t="s">
        <v>575</v>
      </c>
      <c r="F517">
        <v>18569</v>
      </c>
      <c r="G517">
        <v>1</v>
      </c>
      <c r="H517" t="s">
        <v>16</v>
      </c>
      <c r="I517" s="1">
        <v>-488300</v>
      </c>
      <c r="J517" s="1">
        <v>-4468800</v>
      </c>
      <c r="K517">
        <v>90</v>
      </c>
      <c r="L517">
        <v>480</v>
      </c>
      <c r="M517" t="s">
        <v>16</v>
      </c>
    </row>
    <row r="518" spans="1:13" x14ac:dyDescent="0.35">
      <c r="A518">
        <v>210405</v>
      </c>
      <c r="B518">
        <v>6327</v>
      </c>
      <c r="C518" t="s">
        <v>629</v>
      </c>
      <c r="D518" t="s">
        <v>545</v>
      </c>
      <c r="E518" t="s">
        <v>607</v>
      </c>
      <c r="F518">
        <v>26490</v>
      </c>
      <c r="G518">
        <v>1</v>
      </c>
      <c r="H518" t="s">
        <v>16</v>
      </c>
      <c r="I518" s="1">
        <v>-656100</v>
      </c>
      <c r="J518" s="1">
        <v>-4745100</v>
      </c>
      <c r="K518">
        <v>153</v>
      </c>
      <c r="L518">
        <v>2718</v>
      </c>
      <c r="M518" t="s">
        <v>16</v>
      </c>
    </row>
    <row r="519" spans="1:13" x14ac:dyDescent="0.35">
      <c r="A519">
        <v>210407</v>
      </c>
      <c r="B519">
        <v>57398</v>
      </c>
      <c r="C519" t="s">
        <v>630</v>
      </c>
      <c r="D519" t="s">
        <v>545</v>
      </c>
      <c r="E519" t="s">
        <v>561</v>
      </c>
      <c r="F519">
        <v>7648</v>
      </c>
      <c r="G519">
        <v>1</v>
      </c>
      <c r="H519" t="s">
        <v>16</v>
      </c>
      <c r="I519" s="1">
        <v>-696000</v>
      </c>
      <c r="J519" s="1">
        <v>-4668600</v>
      </c>
      <c r="K519">
        <v>331</v>
      </c>
      <c r="L519">
        <v>1473</v>
      </c>
      <c r="M519" t="s">
        <v>16</v>
      </c>
    </row>
    <row r="520" spans="1:13" x14ac:dyDescent="0.35">
      <c r="A520">
        <v>210408</v>
      </c>
      <c r="B520">
        <v>57401</v>
      </c>
      <c r="C520" t="s">
        <v>631</v>
      </c>
      <c r="D520" t="s">
        <v>545</v>
      </c>
      <c r="E520" t="s">
        <v>571</v>
      </c>
      <c r="F520">
        <v>8105</v>
      </c>
      <c r="G520">
        <v>1</v>
      </c>
      <c r="H520" t="s">
        <v>16</v>
      </c>
      <c r="I520" s="1">
        <v>-615200</v>
      </c>
      <c r="J520" s="1">
        <v>-4489300</v>
      </c>
      <c r="K520">
        <v>210</v>
      </c>
      <c r="L520">
        <v>3506</v>
      </c>
      <c r="M520" t="s">
        <v>16</v>
      </c>
    </row>
    <row r="521" spans="1:13" x14ac:dyDescent="0.35">
      <c r="A521">
        <v>210409</v>
      </c>
      <c r="B521">
        <v>57410</v>
      </c>
      <c r="C521" t="s">
        <v>632</v>
      </c>
      <c r="D521" t="s">
        <v>545</v>
      </c>
      <c r="E521" t="s">
        <v>571</v>
      </c>
      <c r="F521">
        <v>16882</v>
      </c>
      <c r="G521">
        <v>1</v>
      </c>
      <c r="H521" t="s">
        <v>16</v>
      </c>
      <c r="I521" s="1">
        <v>-643500</v>
      </c>
      <c r="J521" s="1">
        <v>-4619100</v>
      </c>
      <c r="K521">
        <v>288</v>
      </c>
      <c r="L521">
        <v>3941</v>
      </c>
      <c r="M521" t="s">
        <v>16</v>
      </c>
    </row>
    <row r="522" spans="1:13" x14ac:dyDescent="0.35">
      <c r="A522">
        <v>210410</v>
      </c>
      <c r="B522">
        <v>5410</v>
      </c>
      <c r="C522" t="s">
        <v>633</v>
      </c>
      <c r="D522" t="s">
        <v>545</v>
      </c>
      <c r="E522" t="s">
        <v>588</v>
      </c>
      <c r="F522">
        <v>11578</v>
      </c>
      <c r="G522">
        <v>1</v>
      </c>
      <c r="H522" t="s">
        <v>16</v>
      </c>
      <c r="I522" s="1">
        <v>-696400</v>
      </c>
      <c r="J522" s="1">
        <v>-4617700</v>
      </c>
      <c r="K522">
        <v>430</v>
      </c>
      <c r="L522">
        <v>1664</v>
      </c>
      <c r="M522" t="s">
        <v>16</v>
      </c>
    </row>
    <row r="523" spans="1:13" x14ac:dyDescent="0.35">
      <c r="A523">
        <v>210420</v>
      </c>
      <c r="B523">
        <v>5428</v>
      </c>
      <c r="C523" t="s">
        <v>634</v>
      </c>
      <c r="D523" t="s">
        <v>545</v>
      </c>
      <c r="E523" t="s">
        <v>626</v>
      </c>
      <c r="F523">
        <v>14486</v>
      </c>
      <c r="G523">
        <v>1</v>
      </c>
      <c r="H523" t="s">
        <v>16</v>
      </c>
      <c r="I523" s="1">
        <v>-573300</v>
      </c>
      <c r="J523" s="1">
        <v>-4415800</v>
      </c>
      <c r="K523">
        <v>215</v>
      </c>
      <c r="L523">
        <v>694</v>
      </c>
      <c r="M523" t="s">
        <v>16</v>
      </c>
    </row>
    <row r="524" spans="1:13" x14ac:dyDescent="0.35">
      <c r="A524">
        <v>210430</v>
      </c>
      <c r="B524">
        <v>5436</v>
      </c>
      <c r="C524" t="s">
        <v>635</v>
      </c>
      <c r="D524" t="s">
        <v>545</v>
      </c>
      <c r="E524" t="s">
        <v>407</v>
      </c>
      <c r="F524">
        <v>10452</v>
      </c>
      <c r="G524">
        <v>1</v>
      </c>
      <c r="H524" t="s">
        <v>16</v>
      </c>
      <c r="I524" s="1">
        <v>-140300</v>
      </c>
      <c r="J524" s="1">
        <v>-4578000</v>
      </c>
      <c r="K524">
        <v>10</v>
      </c>
      <c r="L524">
        <v>640</v>
      </c>
      <c r="M524" t="s">
        <v>16</v>
      </c>
    </row>
    <row r="525" spans="1:13" x14ac:dyDescent="0.35">
      <c r="A525">
        <v>210440</v>
      </c>
      <c r="B525">
        <v>5444</v>
      </c>
      <c r="C525" t="s">
        <v>636</v>
      </c>
      <c r="D525" t="s">
        <v>545</v>
      </c>
      <c r="E525" t="s">
        <v>626</v>
      </c>
      <c r="F525">
        <v>16444</v>
      </c>
      <c r="G525">
        <v>1</v>
      </c>
      <c r="H525" t="s">
        <v>16</v>
      </c>
      <c r="I525" s="1">
        <v>-515100</v>
      </c>
      <c r="J525" s="1">
        <v>-4429900</v>
      </c>
      <c r="K525">
        <v>140</v>
      </c>
      <c r="L525">
        <v>875</v>
      </c>
      <c r="M525" t="s">
        <v>16</v>
      </c>
    </row>
    <row r="526" spans="1:13" x14ac:dyDescent="0.35">
      <c r="A526">
        <v>210450</v>
      </c>
      <c r="B526">
        <v>5452</v>
      </c>
      <c r="C526" t="s">
        <v>637</v>
      </c>
      <c r="D526" t="s">
        <v>545</v>
      </c>
      <c r="E526" t="s">
        <v>626</v>
      </c>
      <c r="F526">
        <v>9920</v>
      </c>
      <c r="G526">
        <v>1</v>
      </c>
      <c r="H526" t="s">
        <v>16</v>
      </c>
      <c r="I526" s="1">
        <v>-502200</v>
      </c>
      <c r="J526" s="1">
        <v>-4427100</v>
      </c>
      <c r="K526">
        <v>145</v>
      </c>
      <c r="L526">
        <v>435</v>
      </c>
      <c r="M526" t="s">
        <v>16</v>
      </c>
    </row>
    <row r="527" spans="1:13" x14ac:dyDescent="0.35">
      <c r="A527">
        <v>210455</v>
      </c>
      <c r="B527">
        <v>56642</v>
      </c>
      <c r="C527" t="s">
        <v>638</v>
      </c>
      <c r="D527" t="s">
        <v>545</v>
      </c>
      <c r="E527" t="s">
        <v>546</v>
      </c>
      <c r="F527">
        <v>14086</v>
      </c>
      <c r="G527">
        <v>4</v>
      </c>
      <c r="H527" t="s">
        <v>602</v>
      </c>
      <c r="I527" s="1">
        <v>-574900</v>
      </c>
      <c r="J527" s="1">
        <v>-4736100</v>
      </c>
      <c r="K527">
        <v>208</v>
      </c>
      <c r="L527">
        <v>615</v>
      </c>
      <c r="M527" t="s">
        <v>16</v>
      </c>
    </row>
    <row r="528" spans="1:13" x14ac:dyDescent="0.35">
      <c r="A528">
        <v>210460</v>
      </c>
      <c r="B528">
        <v>5460</v>
      </c>
      <c r="C528" t="s">
        <v>639</v>
      </c>
      <c r="D528" t="s">
        <v>545</v>
      </c>
      <c r="E528" t="s">
        <v>626</v>
      </c>
      <c r="F528">
        <v>15857</v>
      </c>
      <c r="G528">
        <v>1</v>
      </c>
      <c r="H528" t="s">
        <v>16</v>
      </c>
      <c r="I528" s="1">
        <v>-532300</v>
      </c>
      <c r="J528" s="1">
        <v>-4424700</v>
      </c>
      <c r="K528">
        <v>145</v>
      </c>
      <c r="L528">
        <v>816</v>
      </c>
      <c r="M528" t="s">
        <v>16</v>
      </c>
    </row>
    <row r="529" spans="1:13" x14ac:dyDescent="0.35">
      <c r="A529">
        <v>210462</v>
      </c>
      <c r="B529">
        <v>57428</v>
      </c>
      <c r="C529" t="s">
        <v>640</v>
      </c>
      <c r="D529" t="s">
        <v>545</v>
      </c>
      <c r="E529" t="s">
        <v>626</v>
      </c>
      <c r="F529">
        <v>6884</v>
      </c>
      <c r="G529">
        <v>1</v>
      </c>
      <c r="H529" t="s">
        <v>16</v>
      </c>
      <c r="I529" s="1">
        <v>-546900</v>
      </c>
      <c r="J529" s="1">
        <v>-4407400</v>
      </c>
      <c r="K529">
        <v>119</v>
      </c>
      <c r="L529">
        <v>372</v>
      </c>
      <c r="M529" t="s">
        <v>16</v>
      </c>
    </row>
    <row r="530" spans="1:13" x14ac:dyDescent="0.35">
      <c r="A530">
        <v>210465</v>
      </c>
      <c r="B530">
        <v>57436</v>
      </c>
      <c r="C530" t="s">
        <v>641</v>
      </c>
      <c r="D530" t="s">
        <v>545</v>
      </c>
      <c r="E530" t="s">
        <v>556</v>
      </c>
      <c r="F530">
        <v>11346</v>
      </c>
      <c r="G530">
        <v>1</v>
      </c>
      <c r="H530" t="s">
        <v>16</v>
      </c>
      <c r="I530" s="1">
        <v>-342600</v>
      </c>
      <c r="J530" s="1">
        <v>-4567600</v>
      </c>
      <c r="K530">
        <v>0</v>
      </c>
      <c r="L530">
        <v>1160</v>
      </c>
      <c r="M530" t="s">
        <v>16</v>
      </c>
    </row>
    <row r="531" spans="1:13" x14ac:dyDescent="0.35">
      <c r="A531">
        <v>210467</v>
      </c>
      <c r="B531">
        <v>56588</v>
      </c>
      <c r="C531" t="s">
        <v>642</v>
      </c>
      <c r="D531" t="s">
        <v>545</v>
      </c>
      <c r="E531" t="s">
        <v>407</v>
      </c>
      <c r="F531">
        <v>24012</v>
      </c>
      <c r="G531">
        <v>1</v>
      </c>
      <c r="H531" t="s">
        <v>16</v>
      </c>
      <c r="I531" s="1">
        <v>-212600</v>
      </c>
      <c r="J531" s="1">
        <v>-4588500</v>
      </c>
      <c r="K531">
        <v>0</v>
      </c>
      <c r="L531">
        <v>1037</v>
      </c>
      <c r="M531" t="s">
        <v>16</v>
      </c>
    </row>
    <row r="532" spans="1:13" x14ac:dyDescent="0.35">
      <c r="A532">
        <v>210470</v>
      </c>
      <c r="B532">
        <v>5479</v>
      </c>
      <c r="C532" t="s">
        <v>643</v>
      </c>
      <c r="D532" t="s">
        <v>545</v>
      </c>
      <c r="E532" t="s">
        <v>626</v>
      </c>
      <c r="F532">
        <v>6254</v>
      </c>
      <c r="G532">
        <v>1</v>
      </c>
      <c r="H532" t="s">
        <v>16</v>
      </c>
      <c r="I532" s="1">
        <v>-541000</v>
      </c>
      <c r="J532" s="1">
        <v>-4433400</v>
      </c>
      <c r="K532">
        <v>192</v>
      </c>
      <c r="L532">
        <v>271</v>
      </c>
      <c r="M532" t="s">
        <v>16</v>
      </c>
    </row>
    <row r="533" spans="1:13" x14ac:dyDescent="0.35">
      <c r="A533">
        <v>210480</v>
      </c>
      <c r="B533">
        <v>5487</v>
      </c>
      <c r="C533" t="s">
        <v>644</v>
      </c>
      <c r="D533" t="s">
        <v>545</v>
      </c>
      <c r="E533" t="s">
        <v>571</v>
      </c>
      <c r="F533">
        <v>54135</v>
      </c>
      <c r="G533">
        <v>2</v>
      </c>
      <c r="H533" t="s">
        <v>16</v>
      </c>
      <c r="I533" s="1">
        <v>-581900</v>
      </c>
      <c r="J533" s="1">
        <v>-4613900</v>
      </c>
      <c r="K533">
        <v>172</v>
      </c>
      <c r="L533">
        <v>7407</v>
      </c>
      <c r="M533" t="s">
        <v>16</v>
      </c>
    </row>
    <row r="534" spans="1:13" x14ac:dyDescent="0.35">
      <c r="A534">
        <v>210490</v>
      </c>
      <c r="B534">
        <v>5495</v>
      </c>
      <c r="C534" t="s">
        <v>645</v>
      </c>
      <c r="D534" t="s">
        <v>545</v>
      </c>
      <c r="E534" t="s">
        <v>552</v>
      </c>
      <c r="F534">
        <v>12387</v>
      </c>
      <c r="G534">
        <v>1</v>
      </c>
      <c r="H534" t="s">
        <v>16</v>
      </c>
      <c r="I534" s="1">
        <v>-213300</v>
      </c>
      <c r="J534" s="1">
        <v>-4460100</v>
      </c>
      <c r="K534">
        <v>41</v>
      </c>
      <c r="L534">
        <v>598</v>
      </c>
      <c r="M534" t="s">
        <v>16</v>
      </c>
    </row>
    <row r="535" spans="1:13" x14ac:dyDescent="0.35">
      <c r="A535">
        <v>210500</v>
      </c>
      <c r="B535">
        <v>5509</v>
      </c>
      <c r="C535" t="s">
        <v>646</v>
      </c>
      <c r="D535" t="s">
        <v>545</v>
      </c>
      <c r="E535" t="s">
        <v>584</v>
      </c>
      <c r="F535">
        <v>24275</v>
      </c>
      <c r="G535">
        <v>1</v>
      </c>
      <c r="H535" t="s">
        <v>16</v>
      </c>
      <c r="I535" s="1">
        <v>-259800</v>
      </c>
      <c r="J535" s="1">
        <v>-4346100</v>
      </c>
      <c r="K535">
        <v>17</v>
      </c>
      <c r="L535">
        <v>2131</v>
      </c>
      <c r="M535" t="s">
        <v>16</v>
      </c>
    </row>
    <row r="536" spans="1:13" x14ac:dyDescent="0.35">
      <c r="A536">
        <v>210510</v>
      </c>
      <c r="B536">
        <v>5517</v>
      </c>
      <c r="C536" t="s">
        <v>647</v>
      </c>
      <c r="D536" t="s">
        <v>545</v>
      </c>
      <c r="E536" t="s">
        <v>573</v>
      </c>
      <c r="F536">
        <v>24432</v>
      </c>
      <c r="G536">
        <v>1</v>
      </c>
      <c r="H536" t="s">
        <v>16</v>
      </c>
      <c r="I536" s="1">
        <v>-277600</v>
      </c>
      <c r="J536" s="1">
        <v>-4406600</v>
      </c>
      <c r="K536">
        <v>12</v>
      </c>
      <c r="L536">
        <v>1448</v>
      </c>
      <c r="M536" t="s">
        <v>16</v>
      </c>
    </row>
    <row r="537" spans="1:13" x14ac:dyDescent="0.35">
      <c r="A537">
        <v>210515</v>
      </c>
      <c r="B537">
        <v>57444</v>
      </c>
      <c r="C537" t="s">
        <v>648</v>
      </c>
      <c r="D537" t="s">
        <v>545</v>
      </c>
      <c r="E537" t="s">
        <v>565</v>
      </c>
      <c r="F537">
        <v>11697</v>
      </c>
      <c r="G537">
        <v>1</v>
      </c>
      <c r="H537" t="s">
        <v>16</v>
      </c>
      <c r="I537" s="1">
        <v>-366100</v>
      </c>
      <c r="J537" s="1">
        <v>-4522700</v>
      </c>
      <c r="K537">
        <v>0</v>
      </c>
      <c r="L537">
        <v>392</v>
      </c>
      <c r="M537" t="s">
        <v>16</v>
      </c>
    </row>
    <row r="538" spans="1:13" x14ac:dyDescent="0.35">
      <c r="A538">
        <v>210520</v>
      </c>
      <c r="B538">
        <v>5525</v>
      </c>
      <c r="C538" t="s">
        <v>649</v>
      </c>
      <c r="D538" t="s">
        <v>545</v>
      </c>
      <c r="E538" t="s">
        <v>575</v>
      </c>
      <c r="F538">
        <v>10676</v>
      </c>
      <c r="G538">
        <v>1</v>
      </c>
      <c r="H538" t="s">
        <v>16</v>
      </c>
      <c r="I538" s="1">
        <v>-458500</v>
      </c>
      <c r="J538" s="1">
        <v>-4485300</v>
      </c>
      <c r="K538">
        <v>80</v>
      </c>
      <c r="L538">
        <v>374</v>
      </c>
      <c r="M538" t="s">
        <v>16</v>
      </c>
    </row>
    <row r="539" spans="1:13" x14ac:dyDescent="0.35">
      <c r="A539">
        <v>210530</v>
      </c>
      <c r="B539">
        <v>5533</v>
      </c>
      <c r="C539" t="s">
        <v>546</v>
      </c>
      <c r="D539" t="s">
        <v>545</v>
      </c>
      <c r="E539" t="s">
        <v>546</v>
      </c>
      <c r="F539">
        <v>229671</v>
      </c>
      <c r="G539">
        <v>4</v>
      </c>
      <c r="H539" t="s">
        <v>602</v>
      </c>
      <c r="I539" s="1">
        <v>-552600</v>
      </c>
      <c r="J539" s="1">
        <v>-4747600</v>
      </c>
      <c r="K539">
        <v>116</v>
      </c>
      <c r="L539">
        <v>1367</v>
      </c>
      <c r="M539" t="s">
        <v>16</v>
      </c>
    </row>
    <row r="540" spans="1:13" x14ac:dyDescent="0.35">
      <c r="A540">
        <v>210535</v>
      </c>
      <c r="B540">
        <v>57452</v>
      </c>
      <c r="C540" t="s">
        <v>650</v>
      </c>
      <c r="D540" t="s">
        <v>545</v>
      </c>
      <c r="E540" t="s">
        <v>571</v>
      </c>
      <c r="F540">
        <v>13197</v>
      </c>
      <c r="G540">
        <v>1</v>
      </c>
      <c r="H540" t="s">
        <v>16</v>
      </c>
      <c r="I540" s="1">
        <v>-514500</v>
      </c>
      <c r="J540" s="1">
        <v>-4579100</v>
      </c>
      <c r="K540">
        <v>110</v>
      </c>
      <c r="L540">
        <v>1540</v>
      </c>
      <c r="M540" t="s">
        <v>16</v>
      </c>
    </row>
    <row r="541" spans="1:13" x14ac:dyDescent="0.35">
      <c r="A541">
        <v>210540</v>
      </c>
      <c r="B541">
        <v>5550</v>
      </c>
      <c r="C541" t="s">
        <v>610</v>
      </c>
      <c r="D541" t="s">
        <v>545</v>
      </c>
      <c r="E541" t="s">
        <v>610</v>
      </c>
      <c r="F541">
        <v>54573</v>
      </c>
      <c r="G541">
        <v>2</v>
      </c>
      <c r="H541" t="s">
        <v>16</v>
      </c>
      <c r="I541" s="1">
        <v>-339300</v>
      </c>
      <c r="J541" s="1">
        <v>-4435900</v>
      </c>
      <c r="K541">
        <v>20</v>
      </c>
      <c r="L541">
        <v>1165</v>
      </c>
      <c r="M541" t="s">
        <v>16</v>
      </c>
    </row>
    <row r="542" spans="1:13" x14ac:dyDescent="0.35">
      <c r="A542">
        <v>210542</v>
      </c>
      <c r="B542">
        <v>56332</v>
      </c>
      <c r="C542" t="s">
        <v>651</v>
      </c>
      <c r="D542" t="s">
        <v>545</v>
      </c>
      <c r="E542" t="s">
        <v>546</v>
      </c>
      <c r="F542">
        <v>25100</v>
      </c>
      <c r="G542">
        <v>1</v>
      </c>
      <c r="H542" t="s">
        <v>16</v>
      </c>
      <c r="I542" s="1">
        <v>-445000</v>
      </c>
      <c r="J542" s="1">
        <v>-4752600</v>
      </c>
      <c r="K542">
        <v>200</v>
      </c>
      <c r="L542">
        <v>3590</v>
      </c>
      <c r="M542" t="s">
        <v>16</v>
      </c>
    </row>
    <row r="543" spans="1:13" x14ac:dyDescent="0.35">
      <c r="A543">
        <v>210545</v>
      </c>
      <c r="B543">
        <v>57460</v>
      </c>
      <c r="C543" t="s">
        <v>652</v>
      </c>
      <c r="D543" t="s">
        <v>545</v>
      </c>
      <c r="E543" t="s">
        <v>581</v>
      </c>
      <c r="F543">
        <v>8255</v>
      </c>
      <c r="G543">
        <v>1</v>
      </c>
      <c r="H543" t="s">
        <v>16</v>
      </c>
      <c r="I543" s="1">
        <v>-581700</v>
      </c>
      <c r="J543" s="1">
        <v>-4422300</v>
      </c>
      <c r="K543">
        <v>190</v>
      </c>
      <c r="L543">
        <v>387</v>
      </c>
      <c r="M543" t="s">
        <v>16</v>
      </c>
    </row>
    <row r="544" spans="1:13" x14ac:dyDescent="0.35">
      <c r="A544">
        <v>210547</v>
      </c>
      <c r="B544">
        <v>57479</v>
      </c>
      <c r="C544" t="s">
        <v>653</v>
      </c>
      <c r="D544" t="s">
        <v>545</v>
      </c>
      <c r="E544" t="s">
        <v>571</v>
      </c>
      <c r="F544">
        <v>14815</v>
      </c>
      <c r="G544">
        <v>1</v>
      </c>
      <c r="H544" t="s">
        <v>16</v>
      </c>
      <c r="I544" s="1">
        <v>-537100</v>
      </c>
      <c r="J544" s="1">
        <v>-4563600</v>
      </c>
      <c r="K544">
        <v>150</v>
      </c>
      <c r="L544">
        <v>1507</v>
      </c>
      <c r="M544" t="s">
        <v>16</v>
      </c>
    </row>
    <row r="545" spans="1:13" x14ac:dyDescent="0.35">
      <c r="A545">
        <v>210550</v>
      </c>
      <c r="B545">
        <v>5568</v>
      </c>
      <c r="C545" t="s">
        <v>654</v>
      </c>
      <c r="D545" t="s">
        <v>545</v>
      </c>
      <c r="E545" t="s">
        <v>546</v>
      </c>
      <c r="F545">
        <v>19928</v>
      </c>
      <c r="G545">
        <v>4</v>
      </c>
      <c r="H545" t="s">
        <v>602</v>
      </c>
      <c r="I545" s="1">
        <v>-544800</v>
      </c>
      <c r="J545" s="1">
        <v>-4740100</v>
      </c>
      <c r="K545">
        <v>291</v>
      </c>
      <c r="L545">
        <v>1126</v>
      </c>
      <c r="M545" t="s">
        <v>16</v>
      </c>
    </row>
    <row r="546" spans="1:13" x14ac:dyDescent="0.35">
      <c r="A546">
        <v>210560</v>
      </c>
      <c r="B546">
        <v>5576</v>
      </c>
      <c r="C546" t="s">
        <v>655</v>
      </c>
      <c r="D546" t="s">
        <v>545</v>
      </c>
      <c r="E546" t="s">
        <v>571</v>
      </c>
      <c r="F546">
        <v>15583</v>
      </c>
      <c r="G546">
        <v>1</v>
      </c>
      <c r="H546" t="s">
        <v>16</v>
      </c>
      <c r="I546" s="1">
        <v>-496700</v>
      </c>
      <c r="J546" s="1">
        <v>-4470000</v>
      </c>
      <c r="K546">
        <v>60</v>
      </c>
      <c r="L546">
        <v>681</v>
      </c>
      <c r="M546" t="s">
        <v>16</v>
      </c>
    </row>
    <row r="547" spans="1:13" x14ac:dyDescent="0.35">
      <c r="A547">
        <v>210565</v>
      </c>
      <c r="B547">
        <v>57487</v>
      </c>
      <c r="C547" t="s">
        <v>656</v>
      </c>
      <c r="D547" t="s">
        <v>545</v>
      </c>
      <c r="E547" t="s">
        <v>407</v>
      </c>
      <c r="F547">
        <v>4014</v>
      </c>
      <c r="G547">
        <v>1</v>
      </c>
      <c r="H547" t="s">
        <v>16</v>
      </c>
      <c r="I547" s="1">
        <v>-184400</v>
      </c>
      <c r="J547" s="1">
        <v>-4609200</v>
      </c>
      <c r="K547">
        <v>0</v>
      </c>
      <c r="L547">
        <v>539</v>
      </c>
      <c r="M547" t="s">
        <v>16</v>
      </c>
    </row>
    <row r="548" spans="1:13" x14ac:dyDescent="0.35">
      <c r="A548">
        <v>210570</v>
      </c>
      <c r="B548">
        <v>5584</v>
      </c>
      <c r="C548" t="s">
        <v>657</v>
      </c>
      <c r="D548" t="s">
        <v>545</v>
      </c>
      <c r="E548" t="s">
        <v>556</v>
      </c>
      <c r="F548">
        <v>42666</v>
      </c>
      <c r="G548">
        <v>1</v>
      </c>
      <c r="H548" t="s">
        <v>16</v>
      </c>
      <c r="I548" s="1">
        <v>-457000</v>
      </c>
      <c r="J548" s="1">
        <v>-4513200</v>
      </c>
      <c r="K548">
        <v>95</v>
      </c>
      <c r="L548">
        <v>1636</v>
      </c>
      <c r="M548" t="s">
        <v>16</v>
      </c>
    </row>
    <row r="549" spans="1:13" x14ac:dyDescent="0.35">
      <c r="A549">
        <v>210580</v>
      </c>
      <c r="B549">
        <v>5592</v>
      </c>
      <c r="C549" t="s">
        <v>658</v>
      </c>
      <c r="D549" t="s">
        <v>545</v>
      </c>
      <c r="E549" t="s">
        <v>575</v>
      </c>
      <c r="F549">
        <v>9616</v>
      </c>
      <c r="G549">
        <v>1</v>
      </c>
      <c r="H549" t="s">
        <v>16</v>
      </c>
      <c r="I549" s="1">
        <v>-460900</v>
      </c>
      <c r="J549" s="1">
        <v>-4504900</v>
      </c>
      <c r="K549">
        <v>90</v>
      </c>
      <c r="L549">
        <v>308</v>
      </c>
      <c r="M549" t="s">
        <v>16</v>
      </c>
    </row>
    <row r="550" spans="1:13" x14ac:dyDescent="0.35">
      <c r="A550">
        <v>210590</v>
      </c>
      <c r="B550">
        <v>5606</v>
      </c>
      <c r="C550" t="s">
        <v>659</v>
      </c>
      <c r="D550" t="s">
        <v>545</v>
      </c>
      <c r="E550" t="s">
        <v>575</v>
      </c>
      <c r="F550">
        <v>14580</v>
      </c>
      <c r="G550">
        <v>1</v>
      </c>
      <c r="H550" t="s">
        <v>16</v>
      </c>
      <c r="I550" s="1">
        <v>-395700</v>
      </c>
      <c r="J550" s="1">
        <v>-4482200</v>
      </c>
      <c r="K550">
        <v>16</v>
      </c>
      <c r="L550">
        <v>460</v>
      </c>
      <c r="M550" t="s">
        <v>16</v>
      </c>
    </row>
    <row r="551" spans="1:13" x14ac:dyDescent="0.35">
      <c r="A551">
        <v>210592</v>
      </c>
      <c r="B551">
        <v>57495</v>
      </c>
      <c r="C551" t="s">
        <v>660</v>
      </c>
      <c r="D551" t="s">
        <v>545</v>
      </c>
      <c r="E551" t="s">
        <v>581</v>
      </c>
      <c r="F551">
        <v>10225</v>
      </c>
      <c r="G551">
        <v>1</v>
      </c>
      <c r="H551" t="s">
        <v>16</v>
      </c>
      <c r="I551" s="1">
        <v>-604700</v>
      </c>
      <c r="J551" s="1">
        <v>-4352600</v>
      </c>
      <c r="K551">
        <v>200</v>
      </c>
      <c r="L551">
        <v>1288</v>
      </c>
      <c r="M551" t="s">
        <v>16</v>
      </c>
    </row>
    <row r="552" spans="1:13" x14ac:dyDescent="0.35">
      <c r="A552">
        <v>210594</v>
      </c>
      <c r="B552">
        <v>57509</v>
      </c>
      <c r="C552" t="s">
        <v>661</v>
      </c>
      <c r="D552" t="s">
        <v>545</v>
      </c>
      <c r="E552" t="s">
        <v>575</v>
      </c>
      <c r="F552">
        <v>7780</v>
      </c>
      <c r="G552">
        <v>1</v>
      </c>
      <c r="H552" t="s">
        <v>16</v>
      </c>
      <c r="I552" s="1">
        <v>-460900</v>
      </c>
      <c r="J552" s="1">
        <v>-4498000</v>
      </c>
      <c r="K552">
        <v>0</v>
      </c>
      <c r="L552">
        <v>195</v>
      </c>
      <c r="M552" t="s">
        <v>16</v>
      </c>
    </row>
    <row r="553" spans="1:13" x14ac:dyDescent="0.35">
      <c r="A553">
        <v>210596</v>
      </c>
      <c r="B553">
        <v>57517</v>
      </c>
      <c r="C553" t="s">
        <v>662</v>
      </c>
      <c r="D553" t="s">
        <v>545</v>
      </c>
      <c r="E553" t="s">
        <v>556</v>
      </c>
      <c r="F553">
        <v>9015</v>
      </c>
      <c r="G553">
        <v>1</v>
      </c>
      <c r="H553" t="s">
        <v>16</v>
      </c>
      <c r="I553" s="1">
        <v>-481300</v>
      </c>
      <c r="J553" s="1">
        <v>-4533000</v>
      </c>
      <c r="K553">
        <v>0</v>
      </c>
      <c r="L553">
        <v>733</v>
      </c>
      <c r="M553" t="s">
        <v>16</v>
      </c>
    </row>
    <row r="554" spans="1:13" x14ac:dyDescent="0.35">
      <c r="A554">
        <v>210598</v>
      </c>
      <c r="B554">
        <v>57525</v>
      </c>
      <c r="C554" t="s">
        <v>663</v>
      </c>
      <c r="D554" t="s">
        <v>545</v>
      </c>
      <c r="E554" t="s">
        <v>546</v>
      </c>
      <c r="F554">
        <v>6620</v>
      </c>
      <c r="G554">
        <v>1</v>
      </c>
      <c r="H554" t="s">
        <v>16</v>
      </c>
      <c r="I554" s="1">
        <v>-618900</v>
      </c>
      <c r="J554" s="1">
        <v>-4703500</v>
      </c>
      <c r="K554">
        <v>100</v>
      </c>
      <c r="L554">
        <v>1047</v>
      </c>
      <c r="M554" t="s">
        <v>16</v>
      </c>
    </row>
    <row r="555" spans="1:13" x14ac:dyDescent="0.35">
      <c r="A555">
        <v>210600</v>
      </c>
      <c r="B555">
        <v>5614</v>
      </c>
      <c r="C555" t="s">
        <v>664</v>
      </c>
      <c r="D555" t="s">
        <v>545</v>
      </c>
      <c r="E555" t="s">
        <v>575</v>
      </c>
      <c r="F555">
        <v>11365</v>
      </c>
      <c r="G555">
        <v>1</v>
      </c>
      <c r="H555" t="s">
        <v>16</v>
      </c>
      <c r="I555" s="1">
        <v>-452000</v>
      </c>
      <c r="J555" s="1">
        <v>-4446700</v>
      </c>
      <c r="K555">
        <v>82</v>
      </c>
      <c r="L555">
        <v>321</v>
      </c>
      <c r="M555" t="s">
        <v>16</v>
      </c>
    </row>
    <row r="556" spans="1:13" x14ac:dyDescent="0.35">
      <c r="A556">
        <v>210610</v>
      </c>
      <c r="B556">
        <v>5622</v>
      </c>
      <c r="C556" t="s">
        <v>665</v>
      </c>
      <c r="D556" t="s">
        <v>545</v>
      </c>
      <c r="E556" t="s">
        <v>588</v>
      </c>
      <c r="F556">
        <v>10340</v>
      </c>
      <c r="G556">
        <v>1</v>
      </c>
      <c r="H556" t="s">
        <v>16</v>
      </c>
      <c r="I556" s="1">
        <v>-708400</v>
      </c>
      <c r="J556" s="1">
        <v>-4514100</v>
      </c>
      <c r="K556">
        <v>193</v>
      </c>
      <c r="L556">
        <v>3596</v>
      </c>
      <c r="M556" t="s">
        <v>16</v>
      </c>
    </row>
    <row r="557" spans="1:13" x14ac:dyDescent="0.35">
      <c r="A557">
        <v>210620</v>
      </c>
      <c r="B557">
        <v>5630</v>
      </c>
      <c r="C557" t="s">
        <v>666</v>
      </c>
      <c r="D557" t="s">
        <v>545</v>
      </c>
      <c r="E557" t="s">
        <v>407</v>
      </c>
      <c r="F557">
        <v>6672</v>
      </c>
      <c r="G557">
        <v>1</v>
      </c>
      <c r="H557" t="s">
        <v>16</v>
      </c>
      <c r="I557" s="1">
        <v>-126800</v>
      </c>
      <c r="J557" s="1">
        <v>-4587300</v>
      </c>
      <c r="K557">
        <v>5</v>
      </c>
      <c r="L557">
        <v>466</v>
      </c>
      <c r="M557" t="s">
        <v>16</v>
      </c>
    </row>
    <row r="558" spans="1:13" x14ac:dyDescent="0.35">
      <c r="A558">
        <v>210630</v>
      </c>
      <c r="B558">
        <v>5649</v>
      </c>
      <c r="C558" t="s">
        <v>667</v>
      </c>
      <c r="D558" t="s">
        <v>545</v>
      </c>
      <c r="E558" t="s">
        <v>550</v>
      </c>
      <c r="F558">
        <v>14217</v>
      </c>
      <c r="G558">
        <v>1</v>
      </c>
      <c r="H558" t="s">
        <v>16</v>
      </c>
      <c r="I558" s="1">
        <v>-339600</v>
      </c>
      <c r="J558" s="1">
        <v>-4220400</v>
      </c>
      <c r="K558">
        <v>36</v>
      </c>
      <c r="L558">
        <v>433</v>
      </c>
      <c r="M558" t="s">
        <v>16</v>
      </c>
    </row>
    <row r="559" spans="1:13" x14ac:dyDescent="0.35">
      <c r="A559">
        <v>210632</v>
      </c>
      <c r="B559">
        <v>57533</v>
      </c>
      <c r="C559" t="s">
        <v>668</v>
      </c>
      <c r="D559" t="s">
        <v>545</v>
      </c>
      <c r="E559" t="s">
        <v>407</v>
      </c>
      <c r="F559">
        <v>17537</v>
      </c>
      <c r="G559">
        <v>1</v>
      </c>
      <c r="H559" t="s">
        <v>16</v>
      </c>
      <c r="I559" s="1">
        <v>-204300</v>
      </c>
      <c r="J559" s="1">
        <v>-4595900</v>
      </c>
      <c r="K559">
        <v>0</v>
      </c>
      <c r="L559">
        <v>629</v>
      </c>
      <c r="M559" t="s">
        <v>16</v>
      </c>
    </row>
    <row r="560" spans="1:13" x14ac:dyDescent="0.35">
      <c r="A560">
        <v>210635</v>
      </c>
      <c r="B560">
        <v>57541</v>
      </c>
      <c r="C560" t="s">
        <v>669</v>
      </c>
      <c r="D560" t="s">
        <v>545</v>
      </c>
      <c r="E560" t="s">
        <v>556</v>
      </c>
      <c r="F560">
        <v>6790</v>
      </c>
      <c r="G560">
        <v>1</v>
      </c>
      <c r="H560" t="s">
        <v>16</v>
      </c>
      <c r="I560" s="1">
        <v>-459900</v>
      </c>
      <c r="J560" s="1">
        <v>-4557700</v>
      </c>
      <c r="K560">
        <v>0</v>
      </c>
      <c r="L560">
        <v>824</v>
      </c>
      <c r="M560" t="s">
        <v>16</v>
      </c>
    </row>
    <row r="561" spans="1:13" x14ac:dyDescent="0.35">
      <c r="A561">
        <v>210637</v>
      </c>
      <c r="B561">
        <v>56359</v>
      </c>
      <c r="C561" t="s">
        <v>670</v>
      </c>
      <c r="D561" t="s">
        <v>545</v>
      </c>
      <c r="E561" t="s">
        <v>407</v>
      </c>
      <c r="F561">
        <v>11887</v>
      </c>
      <c r="G561">
        <v>1</v>
      </c>
      <c r="H561" t="s">
        <v>16</v>
      </c>
      <c r="I561" s="1">
        <v>-224100</v>
      </c>
      <c r="J561" s="1">
        <v>-4585100</v>
      </c>
      <c r="K561">
        <v>0</v>
      </c>
      <c r="L561">
        <v>956</v>
      </c>
      <c r="M561" t="s">
        <v>16</v>
      </c>
    </row>
    <row r="562" spans="1:13" x14ac:dyDescent="0.35">
      <c r="A562">
        <v>210640</v>
      </c>
      <c r="B562">
        <v>5657</v>
      </c>
      <c r="C562" t="s">
        <v>671</v>
      </c>
      <c r="D562" t="s">
        <v>545</v>
      </c>
      <c r="E562" t="s">
        <v>567</v>
      </c>
      <c r="F562">
        <v>13812</v>
      </c>
      <c r="G562">
        <v>1</v>
      </c>
      <c r="H562" t="s">
        <v>16</v>
      </c>
      <c r="I562" s="1">
        <v>-362500</v>
      </c>
      <c r="J562" s="1">
        <v>-4311100</v>
      </c>
      <c r="K562">
        <v>80</v>
      </c>
      <c r="L562">
        <v>548</v>
      </c>
      <c r="M562" t="s">
        <v>16</v>
      </c>
    </row>
    <row r="563" spans="1:13" x14ac:dyDescent="0.35">
      <c r="A563">
        <v>210650</v>
      </c>
      <c r="B563">
        <v>5665</v>
      </c>
      <c r="C563" t="s">
        <v>672</v>
      </c>
      <c r="D563" t="s">
        <v>545</v>
      </c>
      <c r="E563" t="s">
        <v>565</v>
      </c>
      <c r="F563">
        <v>20422</v>
      </c>
      <c r="G563">
        <v>1</v>
      </c>
      <c r="H563" t="s">
        <v>16</v>
      </c>
      <c r="I563" s="1">
        <v>-310100</v>
      </c>
      <c r="J563" s="1">
        <v>-4503400</v>
      </c>
      <c r="K563">
        <v>39</v>
      </c>
      <c r="L563">
        <v>408</v>
      </c>
      <c r="M563" t="s">
        <v>16</v>
      </c>
    </row>
    <row r="564" spans="1:13" x14ac:dyDescent="0.35">
      <c r="A564">
        <v>210660</v>
      </c>
      <c r="B564">
        <v>5673</v>
      </c>
      <c r="C564" t="s">
        <v>673</v>
      </c>
      <c r="D564" t="s">
        <v>545</v>
      </c>
      <c r="E564" t="s">
        <v>599</v>
      </c>
      <c r="F564">
        <v>28278</v>
      </c>
      <c r="G564">
        <v>1</v>
      </c>
      <c r="H564" t="s">
        <v>16</v>
      </c>
      <c r="I564" s="1">
        <v>-551900</v>
      </c>
      <c r="J564" s="1">
        <v>-4319900</v>
      </c>
      <c r="K564">
        <v>38</v>
      </c>
      <c r="L564">
        <v>1858</v>
      </c>
      <c r="M564" t="s">
        <v>16</v>
      </c>
    </row>
    <row r="565" spans="1:13" x14ac:dyDescent="0.35">
      <c r="A565">
        <v>210663</v>
      </c>
      <c r="B565">
        <v>57550</v>
      </c>
      <c r="C565" t="s">
        <v>674</v>
      </c>
      <c r="D565" t="s">
        <v>545</v>
      </c>
      <c r="E565" t="s">
        <v>610</v>
      </c>
      <c r="F565">
        <v>10576</v>
      </c>
      <c r="G565">
        <v>1</v>
      </c>
      <c r="H565" t="s">
        <v>16</v>
      </c>
      <c r="I565" s="1">
        <v>-363200</v>
      </c>
      <c r="J565" s="1">
        <v>-4455600</v>
      </c>
      <c r="K565">
        <v>30</v>
      </c>
      <c r="L565">
        <v>781</v>
      </c>
      <c r="M565" t="s">
        <v>16</v>
      </c>
    </row>
    <row r="566" spans="1:13" x14ac:dyDescent="0.35">
      <c r="A566">
        <v>210667</v>
      </c>
      <c r="B566">
        <v>57568</v>
      </c>
      <c r="C566" t="s">
        <v>675</v>
      </c>
      <c r="D566" t="s">
        <v>545</v>
      </c>
      <c r="E566" t="s">
        <v>567</v>
      </c>
      <c r="F566">
        <v>7617</v>
      </c>
      <c r="G566">
        <v>1</v>
      </c>
      <c r="H566" t="s">
        <v>16</v>
      </c>
      <c r="I566" s="1">
        <v>-358100</v>
      </c>
      <c r="J566" s="1">
        <v>-4260900</v>
      </c>
      <c r="K566">
        <v>20</v>
      </c>
      <c r="L566">
        <v>439</v>
      </c>
      <c r="M566" t="s">
        <v>16</v>
      </c>
    </row>
    <row r="567" spans="1:13" x14ac:dyDescent="0.35">
      <c r="A567">
        <v>210670</v>
      </c>
      <c r="B567">
        <v>5681</v>
      </c>
      <c r="C567" t="s">
        <v>676</v>
      </c>
      <c r="D567" t="s">
        <v>545</v>
      </c>
      <c r="E567" t="s">
        <v>581</v>
      </c>
      <c r="F567">
        <v>19445</v>
      </c>
      <c r="G567">
        <v>1</v>
      </c>
      <c r="H567" t="s">
        <v>16</v>
      </c>
      <c r="I567" s="1">
        <v>-637100</v>
      </c>
      <c r="J567" s="1">
        <v>-4436300</v>
      </c>
      <c r="K567">
        <v>186</v>
      </c>
      <c r="L567">
        <v>8609</v>
      </c>
      <c r="M567" t="s">
        <v>16</v>
      </c>
    </row>
    <row r="568" spans="1:13" x14ac:dyDescent="0.35">
      <c r="A568">
        <v>210675</v>
      </c>
      <c r="B568">
        <v>28312</v>
      </c>
      <c r="C568" t="s">
        <v>677</v>
      </c>
      <c r="D568" t="s">
        <v>545</v>
      </c>
      <c r="E568" t="s">
        <v>610</v>
      </c>
      <c r="F568">
        <v>17742</v>
      </c>
      <c r="G568">
        <v>1</v>
      </c>
      <c r="H568" t="s">
        <v>16</v>
      </c>
      <c r="I568" s="1">
        <v>-356900</v>
      </c>
      <c r="J568" s="1">
        <v>-4458400</v>
      </c>
      <c r="K568">
        <v>62</v>
      </c>
      <c r="L568">
        <v>353</v>
      </c>
      <c r="M568" t="s">
        <v>16</v>
      </c>
    </row>
    <row r="569" spans="1:13" x14ac:dyDescent="0.35">
      <c r="A569">
        <v>210680</v>
      </c>
      <c r="B569">
        <v>5690</v>
      </c>
      <c r="C569" t="s">
        <v>678</v>
      </c>
      <c r="D569" t="s">
        <v>545</v>
      </c>
      <c r="E569" t="s">
        <v>552</v>
      </c>
      <c r="F569">
        <v>13786</v>
      </c>
      <c r="G569">
        <v>1</v>
      </c>
      <c r="H569" t="s">
        <v>16</v>
      </c>
      <c r="I569" s="1">
        <v>-206500</v>
      </c>
      <c r="J569" s="1">
        <v>-4478400</v>
      </c>
      <c r="K569">
        <v>31</v>
      </c>
      <c r="L569">
        <v>687</v>
      </c>
      <c r="M569" t="s">
        <v>16</v>
      </c>
    </row>
    <row r="570" spans="1:13" x14ac:dyDescent="0.35">
      <c r="A570">
        <v>210690</v>
      </c>
      <c r="B570">
        <v>5703</v>
      </c>
      <c r="C570" t="s">
        <v>679</v>
      </c>
      <c r="D570" t="s">
        <v>545</v>
      </c>
      <c r="E570" t="s">
        <v>565</v>
      </c>
      <c r="F570">
        <v>27558</v>
      </c>
      <c r="G570">
        <v>1</v>
      </c>
      <c r="H570" t="s">
        <v>16</v>
      </c>
      <c r="I570" s="1">
        <v>-349200</v>
      </c>
      <c r="J570" s="1">
        <v>-4525100</v>
      </c>
      <c r="K570">
        <v>14</v>
      </c>
      <c r="L570">
        <v>1345</v>
      </c>
      <c r="M570" t="s">
        <v>16</v>
      </c>
    </row>
    <row r="571" spans="1:13" x14ac:dyDescent="0.35">
      <c r="A571">
        <v>210700</v>
      </c>
      <c r="B571">
        <v>5711</v>
      </c>
      <c r="C571" t="s">
        <v>680</v>
      </c>
      <c r="D571" t="s">
        <v>545</v>
      </c>
      <c r="E571" t="s">
        <v>546</v>
      </c>
      <c r="F571">
        <v>8828</v>
      </c>
      <c r="G571">
        <v>4</v>
      </c>
      <c r="H571" t="s">
        <v>602</v>
      </c>
      <c r="I571" s="1">
        <v>-583100</v>
      </c>
      <c r="J571" s="1">
        <v>-4706700</v>
      </c>
      <c r="K571">
        <v>244</v>
      </c>
      <c r="L571">
        <v>1338</v>
      </c>
      <c r="M571" t="s">
        <v>16</v>
      </c>
    </row>
    <row r="572" spans="1:13" x14ac:dyDescent="0.35">
      <c r="A572">
        <v>210710</v>
      </c>
      <c r="B572">
        <v>5720</v>
      </c>
      <c r="C572" t="s">
        <v>681</v>
      </c>
      <c r="D572" t="s">
        <v>545</v>
      </c>
      <c r="E572" t="s">
        <v>573</v>
      </c>
      <c r="F572">
        <v>17077</v>
      </c>
      <c r="G572">
        <v>1</v>
      </c>
      <c r="H572" t="s">
        <v>16</v>
      </c>
      <c r="I572" s="1">
        <v>-286400</v>
      </c>
      <c r="J572" s="1">
        <v>-4403900</v>
      </c>
      <c r="K572">
        <v>38</v>
      </c>
      <c r="L572">
        <v>1715</v>
      </c>
      <c r="M572" t="s">
        <v>16</v>
      </c>
    </row>
    <row r="573" spans="1:13" x14ac:dyDescent="0.35">
      <c r="A573">
        <v>210720</v>
      </c>
      <c r="B573">
        <v>5738</v>
      </c>
      <c r="C573" t="s">
        <v>682</v>
      </c>
      <c r="D573" t="s">
        <v>545</v>
      </c>
      <c r="E573" t="s">
        <v>610</v>
      </c>
      <c r="F573">
        <v>10003</v>
      </c>
      <c r="G573">
        <v>1</v>
      </c>
      <c r="H573" t="s">
        <v>16</v>
      </c>
      <c r="I573" s="1">
        <v>-346600</v>
      </c>
      <c r="J573" s="1">
        <v>-4390500</v>
      </c>
      <c r="K573">
        <v>15</v>
      </c>
      <c r="L573">
        <v>572</v>
      </c>
      <c r="M573" t="s">
        <v>16</v>
      </c>
    </row>
    <row r="574" spans="1:13" x14ac:dyDescent="0.35">
      <c r="A574">
        <v>210725</v>
      </c>
      <c r="B574">
        <v>57576</v>
      </c>
      <c r="C574" t="s">
        <v>683</v>
      </c>
      <c r="D574" t="s">
        <v>545</v>
      </c>
      <c r="E574" t="s">
        <v>588</v>
      </c>
      <c r="F574">
        <v>4829</v>
      </c>
      <c r="G574">
        <v>1</v>
      </c>
      <c r="H574" t="s">
        <v>16</v>
      </c>
      <c r="I574" s="1">
        <v>-711600</v>
      </c>
      <c r="J574" s="1">
        <v>-4625700</v>
      </c>
      <c r="K574">
        <v>400</v>
      </c>
      <c r="L574">
        <v>743</v>
      </c>
      <c r="M574" t="s">
        <v>16</v>
      </c>
    </row>
    <row r="575" spans="1:13" x14ac:dyDescent="0.35">
      <c r="A575">
        <v>210730</v>
      </c>
      <c r="B575">
        <v>5746</v>
      </c>
      <c r="C575" t="s">
        <v>684</v>
      </c>
      <c r="D575" t="s">
        <v>545</v>
      </c>
      <c r="E575" t="s">
        <v>581</v>
      </c>
      <c r="F575">
        <v>4892</v>
      </c>
      <c r="G575">
        <v>1</v>
      </c>
      <c r="H575" t="s">
        <v>16</v>
      </c>
      <c r="I575" s="1">
        <v>-673400</v>
      </c>
      <c r="J575" s="1">
        <v>-4404400</v>
      </c>
      <c r="K575">
        <v>178</v>
      </c>
      <c r="L575">
        <v>976</v>
      </c>
      <c r="M575" t="s">
        <v>16</v>
      </c>
    </row>
    <row r="576" spans="1:13" x14ac:dyDescent="0.35">
      <c r="A576">
        <v>210735</v>
      </c>
      <c r="B576">
        <v>57584</v>
      </c>
      <c r="C576" t="s">
        <v>685</v>
      </c>
      <c r="D576" t="s">
        <v>545</v>
      </c>
      <c r="E576" t="s">
        <v>556</v>
      </c>
      <c r="F576">
        <v>17121</v>
      </c>
      <c r="G576">
        <v>1</v>
      </c>
      <c r="H576" t="s">
        <v>16</v>
      </c>
      <c r="I576" s="1">
        <v>-284700</v>
      </c>
      <c r="J576" s="1">
        <v>-4569500</v>
      </c>
      <c r="K576">
        <v>0</v>
      </c>
      <c r="L576">
        <v>2464</v>
      </c>
      <c r="M576" t="s">
        <v>16</v>
      </c>
    </row>
    <row r="577" spans="1:13" x14ac:dyDescent="0.35">
      <c r="A577">
        <v>210740</v>
      </c>
      <c r="B577">
        <v>5754</v>
      </c>
      <c r="C577" t="s">
        <v>686</v>
      </c>
      <c r="D577" t="s">
        <v>545</v>
      </c>
      <c r="E577" t="s">
        <v>575</v>
      </c>
      <c r="F577">
        <v>17361</v>
      </c>
      <c r="G577">
        <v>1</v>
      </c>
      <c r="H577" t="s">
        <v>16</v>
      </c>
      <c r="I577" s="1">
        <v>-413900</v>
      </c>
      <c r="J577" s="1">
        <v>-4512000</v>
      </c>
      <c r="K577">
        <v>30</v>
      </c>
      <c r="L577">
        <v>552</v>
      </c>
      <c r="M577" t="s">
        <v>16</v>
      </c>
    </row>
    <row r="578" spans="1:13" x14ac:dyDescent="0.35">
      <c r="A578">
        <v>210745</v>
      </c>
      <c r="B578">
        <v>56340</v>
      </c>
      <c r="C578" t="s">
        <v>687</v>
      </c>
      <c r="D578" t="s">
        <v>545</v>
      </c>
      <c r="E578" t="s">
        <v>565</v>
      </c>
      <c r="F578">
        <v>12068</v>
      </c>
      <c r="G578">
        <v>1</v>
      </c>
      <c r="H578" t="s">
        <v>16</v>
      </c>
      <c r="I578" s="1">
        <v>-299800</v>
      </c>
      <c r="J578" s="1">
        <v>-4499700</v>
      </c>
      <c r="K578">
        <v>28</v>
      </c>
      <c r="L578">
        <v>197</v>
      </c>
      <c r="M578" t="s">
        <v>16</v>
      </c>
    </row>
    <row r="579" spans="1:13" x14ac:dyDescent="0.35">
      <c r="A579">
        <v>210750</v>
      </c>
      <c r="B579">
        <v>5762</v>
      </c>
      <c r="C579" t="s">
        <v>688</v>
      </c>
      <c r="D579" t="s">
        <v>545</v>
      </c>
      <c r="E579" t="s">
        <v>689</v>
      </c>
      <c r="F579">
        <v>98175</v>
      </c>
      <c r="G579">
        <v>4</v>
      </c>
      <c r="H579" t="s">
        <v>553</v>
      </c>
      <c r="I579" s="1">
        <v>-253200</v>
      </c>
      <c r="J579" s="1">
        <v>-4410800</v>
      </c>
      <c r="K579">
        <v>16</v>
      </c>
      <c r="L579">
        <v>132</v>
      </c>
      <c r="M579" t="s">
        <v>16</v>
      </c>
    </row>
    <row r="580" spans="1:13" x14ac:dyDescent="0.35">
      <c r="A580">
        <v>210760</v>
      </c>
      <c r="B580">
        <v>5770</v>
      </c>
      <c r="C580" t="s">
        <v>690</v>
      </c>
      <c r="D580" t="s">
        <v>545</v>
      </c>
      <c r="E580" t="s">
        <v>565</v>
      </c>
      <c r="F580">
        <v>18105</v>
      </c>
      <c r="G580">
        <v>1</v>
      </c>
      <c r="H580" t="s">
        <v>16</v>
      </c>
      <c r="I580" s="1">
        <v>-264500</v>
      </c>
      <c r="J580" s="1">
        <v>-4489500</v>
      </c>
      <c r="K580">
        <v>20</v>
      </c>
      <c r="L580">
        <v>525</v>
      </c>
      <c r="M580" t="s">
        <v>16</v>
      </c>
    </row>
    <row r="581" spans="1:13" x14ac:dyDescent="0.35">
      <c r="A581">
        <v>210770</v>
      </c>
      <c r="B581">
        <v>5789</v>
      </c>
      <c r="C581" t="s">
        <v>691</v>
      </c>
      <c r="D581" t="s">
        <v>545</v>
      </c>
      <c r="E581" t="s">
        <v>581</v>
      </c>
      <c r="F581">
        <v>19453</v>
      </c>
      <c r="G581">
        <v>1</v>
      </c>
      <c r="H581" t="s">
        <v>16</v>
      </c>
      <c r="I581" s="1">
        <v>-643300</v>
      </c>
      <c r="J581" s="1">
        <v>-4398400</v>
      </c>
      <c r="K581">
        <v>282</v>
      </c>
      <c r="L581">
        <v>530</v>
      </c>
      <c r="M581" t="s">
        <v>16</v>
      </c>
    </row>
    <row r="582" spans="1:13" x14ac:dyDescent="0.35">
      <c r="A582">
        <v>210780</v>
      </c>
      <c r="B582">
        <v>5797</v>
      </c>
      <c r="C582" t="s">
        <v>692</v>
      </c>
      <c r="D582" t="s">
        <v>545</v>
      </c>
      <c r="E582" t="s">
        <v>599</v>
      </c>
      <c r="F582">
        <v>34912</v>
      </c>
      <c r="G582">
        <v>1</v>
      </c>
      <c r="H582" t="s">
        <v>16</v>
      </c>
      <c r="I582" s="1">
        <v>-568200</v>
      </c>
      <c r="J582" s="1">
        <v>-4309300</v>
      </c>
      <c r="K582">
        <v>89</v>
      </c>
      <c r="L582">
        <v>3487</v>
      </c>
      <c r="M582" t="s">
        <v>16</v>
      </c>
    </row>
    <row r="583" spans="1:13" x14ac:dyDescent="0.35">
      <c r="A583">
        <v>210790</v>
      </c>
      <c r="B583">
        <v>5800</v>
      </c>
      <c r="C583" t="s">
        <v>693</v>
      </c>
      <c r="D583" t="s">
        <v>545</v>
      </c>
      <c r="E583" t="s">
        <v>581</v>
      </c>
      <c r="F583">
        <v>17085</v>
      </c>
      <c r="G583">
        <v>1</v>
      </c>
      <c r="H583" t="s">
        <v>16</v>
      </c>
      <c r="I583" s="1">
        <v>-618000</v>
      </c>
      <c r="J583" s="1">
        <v>-4378400</v>
      </c>
      <c r="K583">
        <v>243</v>
      </c>
      <c r="L583">
        <v>1358</v>
      </c>
      <c r="M583" t="s">
        <v>16</v>
      </c>
    </row>
    <row r="584" spans="1:13" x14ac:dyDescent="0.35">
      <c r="A584">
        <v>210800</v>
      </c>
      <c r="B584">
        <v>5819</v>
      </c>
      <c r="C584" t="s">
        <v>694</v>
      </c>
      <c r="D584" t="s">
        <v>545</v>
      </c>
      <c r="E584" t="s">
        <v>581</v>
      </c>
      <c r="F584">
        <v>17507</v>
      </c>
      <c r="G584">
        <v>1</v>
      </c>
      <c r="H584" t="s">
        <v>16</v>
      </c>
      <c r="I584" s="1">
        <v>-660200</v>
      </c>
      <c r="J584" s="1">
        <v>-4407700</v>
      </c>
      <c r="K584">
        <v>309</v>
      </c>
      <c r="L584">
        <v>1620</v>
      </c>
      <c r="M584" t="s">
        <v>16</v>
      </c>
    </row>
    <row r="585" spans="1:13" x14ac:dyDescent="0.35">
      <c r="A585">
        <v>210805</v>
      </c>
      <c r="B585">
        <v>57592</v>
      </c>
      <c r="C585" t="s">
        <v>695</v>
      </c>
      <c r="D585" t="s">
        <v>545</v>
      </c>
      <c r="E585" t="s">
        <v>584</v>
      </c>
      <c r="F585">
        <v>12799</v>
      </c>
      <c r="G585">
        <v>1</v>
      </c>
      <c r="H585" t="s">
        <v>16</v>
      </c>
      <c r="I585" s="1">
        <v>-271900</v>
      </c>
      <c r="J585" s="1">
        <v>-4253300</v>
      </c>
      <c r="K585">
        <v>4</v>
      </c>
      <c r="L585">
        <v>979</v>
      </c>
      <c r="M585" t="s">
        <v>16</v>
      </c>
    </row>
    <row r="586" spans="1:13" x14ac:dyDescent="0.35">
      <c r="A586">
        <v>210810</v>
      </c>
      <c r="B586">
        <v>6297</v>
      </c>
      <c r="C586" t="s">
        <v>696</v>
      </c>
      <c r="D586" t="s">
        <v>545</v>
      </c>
      <c r="E586" t="s">
        <v>556</v>
      </c>
      <c r="F586">
        <v>16129</v>
      </c>
      <c r="G586">
        <v>1</v>
      </c>
      <c r="H586" t="s">
        <v>16</v>
      </c>
      <c r="I586" s="1">
        <v>-444500</v>
      </c>
      <c r="J586" s="1">
        <v>-4523900</v>
      </c>
      <c r="K586">
        <v>70</v>
      </c>
      <c r="L586">
        <v>927</v>
      </c>
      <c r="M586" t="s">
        <v>16</v>
      </c>
    </row>
    <row r="587" spans="1:13" x14ac:dyDescent="0.35">
      <c r="A587">
        <v>210820</v>
      </c>
      <c r="B587">
        <v>5827</v>
      </c>
      <c r="C587" t="s">
        <v>697</v>
      </c>
      <c r="D587" t="s">
        <v>545</v>
      </c>
      <c r="E587" t="s">
        <v>575</v>
      </c>
      <c r="F587">
        <v>37984</v>
      </c>
      <c r="G587">
        <v>1</v>
      </c>
      <c r="H587" t="s">
        <v>16</v>
      </c>
      <c r="I587" s="1">
        <v>-457400</v>
      </c>
      <c r="J587" s="1">
        <v>-4459700</v>
      </c>
      <c r="K587">
        <v>0</v>
      </c>
      <c r="L587">
        <v>288</v>
      </c>
      <c r="M587" t="s">
        <v>16</v>
      </c>
    </row>
    <row r="588" spans="1:13" x14ac:dyDescent="0.35">
      <c r="A588">
        <v>210825</v>
      </c>
      <c r="B588">
        <v>57606</v>
      </c>
      <c r="C588" t="s">
        <v>698</v>
      </c>
      <c r="D588" t="s">
        <v>545</v>
      </c>
      <c r="E588" t="s">
        <v>565</v>
      </c>
      <c r="F588">
        <v>21714</v>
      </c>
      <c r="G588">
        <v>1</v>
      </c>
      <c r="H588" t="s">
        <v>16</v>
      </c>
      <c r="I588" s="1">
        <v>-297300</v>
      </c>
      <c r="J588" s="1">
        <v>-4534900</v>
      </c>
      <c r="K588">
        <v>38</v>
      </c>
      <c r="L588">
        <v>1749</v>
      </c>
      <c r="M588" t="s">
        <v>16</v>
      </c>
    </row>
    <row r="589" spans="1:13" x14ac:dyDescent="0.35">
      <c r="A589">
        <v>210830</v>
      </c>
      <c r="B589">
        <v>5835</v>
      </c>
      <c r="C589" t="s">
        <v>699</v>
      </c>
      <c r="D589" t="s">
        <v>545</v>
      </c>
      <c r="E589" t="s">
        <v>565</v>
      </c>
      <c r="F589">
        <v>33473</v>
      </c>
      <c r="G589">
        <v>1</v>
      </c>
      <c r="H589" t="s">
        <v>16</v>
      </c>
      <c r="I589" s="1">
        <v>-329400</v>
      </c>
      <c r="J589" s="1">
        <v>-4517400</v>
      </c>
      <c r="K589">
        <v>17</v>
      </c>
      <c r="L589">
        <v>785</v>
      </c>
      <c r="M589" t="s">
        <v>16</v>
      </c>
    </row>
    <row r="590" spans="1:13" x14ac:dyDescent="0.35">
      <c r="A590">
        <v>210840</v>
      </c>
      <c r="B590">
        <v>5843</v>
      </c>
      <c r="C590" t="s">
        <v>700</v>
      </c>
      <c r="D590" t="s">
        <v>545</v>
      </c>
      <c r="E590" t="s">
        <v>565</v>
      </c>
      <c r="F590">
        <v>12219</v>
      </c>
      <c r="G590">
        <v>1</v>
      </c>
      <c r="H590" t="s">
        <v>16</v>
      </c>
      <c r="I590" s="1">
        <v>-257800</v>
      </c>
      <c r="J590" s="1">
        <v>-4485400</v>
      </c>
      <c r="K590">
        <v>11</v>
      </c>
      <c r="L590">
        <v>405</v>
      </c>
      <c r="M590" t="s">
        <v>16</v>
      </c>
    </row>
    <row r="591" spans="1:13" x14ac:dyDescent="0.35">
      <c r="A591">
        <v>210845</v>
      </c>
      <c r="B591">
        <v>57614</v>
      </c>
      <c r="C591" t="s">
        <v>701</v>
      </c>
      <c r="D591" t="s">
        <v>545</v>
      </c>
      <c r="E591" t="s">
        <v>558</v>
      </c>
      <c r="F591">
        <v>19017</v>
      </c>
      <c r="G591">
        <v>1</v>
      </c>
      <c r="H591" t="s">
        <v>16</v>
      </c>
      <c r="I591" s="1">
        <v>-438300</v>
      </c>
      <c r="J591" s="1">
        <v>-4433300</v>
      </c>
      <c r="K591">
        <v>53</v>
      </c>
      <c r="L591">
        <v>747</v>
      </c>
      <c r="M591" t="s">
        <v>16</v>
      </c>
    </row>
    <row r="592" spans="1:13" x14ac:dyDescent="0.35">
      <c r="A592">
        <v>210850</v>
      </c>
      <c r="B592">
        <v>5851</v>
      </c>
      <c r="C592" t="s">
        <v>702</v>
      </c>
      <c r="D592" t="s">
        <v>545</v>
      </c>
      <c r="E592" t="s">
        <v>556</v>
      </c>
      <c r="F592">
        <v>30927</v>
      </c>
      <c r="G592">
        <v>1</v>
      </c>
      <c r="H592" t="s">
        <v>16</v>
      </c>
      <c r="I592" s="1">
        <v>-360800</v>
      </c>
      <c r="J592" s="1">
        <v>-4534300</v>
      </c>
      <c r="K592">
        <v>19</v>
      </c>
      <c r="L592">
        <v>238</v>
      </c>
      <c r="M592" t="s">
        <v>16</v>
      </c>
    </row>
    <row r="593" spans="1:13" x14ac:dyDescent="0.35">
      <c r="A593">
        <v>210860</v>
      </c>
      <c r="B593">
        <v>5860</v>
      </c>
      <c r="C593" t="s">
        <v>703</v>
      </c>
      <c r="D593" t="s">
        <v>545</v>
      </c>
      <c r="E593" t="s">
        <v>565</v>
      </c>
      <c r="F593">
        <v>74123</v>
      </c>
      <c r="G593">
        <v>2</v>
      </c>
      <c r="H593" t="s">
        <v>16</v>
      </c>
      <c r="I593" s="1">
        <v>-252100</v>
      </c>
      <c r="J593" s="1">
        <v>-4508300</v>
      </c>
      <c r="K593">
        <v>15</v>
      </c>
      <c r="L593">
        <v>1465</v>
      </c>
      <c r="M593" t="s">
        <v>16</v>
      </c>
    </row>
    <row r="594" spans="1:13" x14ac:dyDescent="0.35">
      <c r="A594">
        <v>210870</v>
      </c>
      <c r="B594">
        <v>5878</v>
      </c>
      <c r="C594" t="s">
        <v>704</v>
      </c>
      <c r="D594" t="s">
        <v>545</v>
      </c>
      <c r="E594" t="s">
        <v>575</v>
      </c>
      <c r="F594">
        <v>21821</v>
      </c>
      <c r="G594">
        <v>1</v>
      </c>
      <c r="H594" t="s">
        <v>16</v>
      </c>
      <c r="I594" s="1">
        <v>-389400</v>
      </c>
      <c r="J594" s="1">
        <v>-4517000</v>
      </c>
      <c r="K594">
        <v>0</v>
      </c>
      <c r="L594">
        <v>817</v>
      </c>
      <c r="M594" t="s">
        <v>16</v>
      </c>
    </row>
    <row r="595" spans="1:13" x14ac:dyDescent="0.35">
      <c r="A595">
        <v>210880</v>
      </c>
      <c r="B595">
        <v>5886</v>
      </c>
      <c r="C595" t="s">
        <v>705</v>
      </c>
      <c r="D595" t="s">
        <v>545</v>
      </c>
      <c r="E595" t="s">
        <v>610</v>
      </c>
      <c r="F595">
        <v>15043</v>
      </c>
      <c r="G595">
        <v>1</v>
      </c>
      <c r="H595" t="s">
        <v>16</v>
      </c>
      <c r="I595" s="1">
        <v>-372700</v>
      </c>
      <c r="J595" s="1">
        <v>-4422300</v>
      </c>
      <c r="K595">
        <v>39</v>
      </c>
      <c r="L595">
        <v>688</v>
      </c>
      <c r="M595" t="s">
        <v>16</v>
      </c>
    </row>
    <row r="596" spans="1:13" x14ac:dyDescent="0.35">
      <c r="A596">
        <v>210890</v>
      </c>
      <c r="B596">
        <v>5894</v>
      </c>
      <c r="C596" t="s">
        <v>706</v>
      </c>
      <c r="D596" t="s">
        <v>545</v>
      </c>
      <c r="E596" t="s">
        <v>575</v>
      </c>
      <c r="F596">
        <v>15853</v>
      </c>
      <c r="G596">
        <v>1</v>
      </c>
      <c r="H596" t="s">
        <v>16</v>
      </c>
      <c r="I596" s="1">
        <v>-474600</v>
      </c>
      <c r="J596" s="1">
        <v>-4494300</v>
      </c>
      <c r="K596">
        <v>90</v>
      </c>
      <c r="L596">
        <v>655</v>
      </c>
      <c r="M596" t="s">
        <v>16</v>
      </c>
    </row>
    <row r="597" spans="1:13" x14ac:dyDescent="0.35">
      <c r="A597">
        <v>210900</v>
      </c>
      <c r="B597">
        <v>5908</v>
      </c>
      <c r="C597" t="s">
        <v>607</v>
      </c>
      <c r="D597" t="s">
        <v>545</v>
      </c>
      <c r="E597" t="s">
        <v>607</v>
      </c>
      <c r="F597">
        <v>18692</v>
      </c>
      <c r="G597">
        <v>1</v>
      </c>
      <c r="H597" t="s">
        <v>16</v>
      </c>
      <c r="I597" s="1">
        <v>-633800</v>
      </c>
      <c r="J597" s="1">
        <v>-4739900</v>
      </c>
      <c r="K597">
        <v>162</v>
      </c>
      <c r="L597">
        <v>1417</v>
      </c>
      <c r="M597" t="s">
        <v>16</v>
      </c>
    </row>
    <row r="598" spans="1:13" x14ac:dyDescent="0.35">
      <c r="A598">
        <v>210905</v>
      </c>
      <c r="B598">
        <v>57622</v>
      </c>
      <c r="C598" t="s">
        <v>707</v>
      </c>
      <c r="D598" t="s">
        <v>545</v>
      </c>
      <c r="E598" t="s">
        <v>552</v>
      </c>
      <c r="F598">
        <v>6900</v>
      </c>
      <c r="G598">
        <v>1</v>
      </c>
      <c r="H598" t="s">
        <v>16</v>
      </c>
      <c r="I598" s="1">
        <v>-189300</v>
      </c>
      <c r="J598" s="1">
        <v>-4460500</v>
      </c>
      <c r="K598">
        <v>0</v>
      </c>
      <c r="L598">
        <v>224</v>
      </c>
      <c r="M598" t="s">
        <v>16</v>
      </c>
    </row>
    <row r="599" spans="1:13" x14ac:dyDescent="0.35">
      <c r="A599">
        <v>210910</v>
      </c>
      <c r="B599">
        <v>5916</v>
      </c>
      <c r="C599" t="s">
        <v>626</v>
      </c>
      <c r="D599" t="s">
        <v>545</v>
      </c>
      <c r="E599" t="s">
        <v>626</v>
      </c>
      <c r="F599">
        <v>40004</v>
      </c>
      <c r="G599">
        <v>1</v>
      </c>
      <c r="H599" t="s">
        <v>16</v>
      </c>
      <c r="I599" s="1">
        <v>-529000</v>
      </c>
      <c r="J599" s="1">
        <v>-4449000</v>
      </c>
      <c r="K599">
        <v>112</v>
      </c>
      <c r="L599">
        <v>793</v>
      </c>
      <c r="M599" t="s">
        <v>16</v>
      </c>
    </row>
    <row r="600" spans="1:13" x14ac:dyDescent="0.35">
      <c r="A600">
        <v>210920</v>
      </c>
      <c r="B600">
        <v>5924</v>
      </c>
      <c r="C600" t="s">
        <v>708</v>
      </c>
      <c r="D600" t="s">
        <v>545</v>
      </c>
      <c r="E600" t="s">
        <v>573</v>
      </c>
      <c r="F600">
        <v>11705</v>
      </c>
      <c r="G600">
        <v>1</v>
      </c>
      <c r="H600" t="s">
        <v>16</v>
      </c>
      <c r="I600" s="1">
        <v>-292800</v>
      </c>
      <c r="J600" s="1">
        <v>-4406500</v>
      </c>
      <c r="K600">
        <v>15</v>
      </c>
      <c r="L600">
        <v>442</v>
      </c>
      <c r="M600" t="s">
        <v>16</v>
      </c>
    </row>
    <row r="601" spans="1:13" x14ac:dyDescent="0.35">
      <c r="A601">
        <v>210923</v>
      </c>
      <c r="B601">
        <v>57630</v>
      </c>
      <c r="C601" t="s">
        <v>36</v>
      </c>
      <c r="D601" t="s">
        <v>545</v>
      </c>
      <c r="E601" t="s">
        <v>556</v>
      </c>
      <c r="F601">
        <v>6058</v>
      </c>
      <c r="G601">
        <v>1</v>
      </c>
      <c r="H601" t="s">
        <v>16</v>
      </c>
      <c r="I601" s="1">
        <v>-238700</v>
      </c>
      <c r="J601" s="1">
        <v>-4582000</v>
      </c>
      <c r="K601">
        <v>0</v>
      </c>
      <c r="L601">
        <v>437</v>
      </c>
      <c r="M601" t="s">
        <v>16</v>
      </c>
    </row>
    <row r="602" spans="1:13" x14ac:dyDescent="0.35">
      <c r="A602">
        <v>210927</v>
      </c>
      <c r="B602">
        <v>57649</v>
      </c>
      <c r="C602" t="s">
        <v>709</v>
      </c>
      <c r="D602" t="s">
        <v>545</v>
      </c>
      <c r="E602" t="s">
        <v>565</v>
      </c>
      <c r="F602">
        <v>15606</v>
      </c>
      <c r="G602">
        <v>1</v>
      </c>
      <c r="H602" t="s">
        <v>16</v>
      </c>
      <c r="I602" s="1">
        <v>-259100</v>
      </c>
      <c r="J602" s="1">
        <v>-4536400</v>
      </c>
      <c r="K602">
        <v>29</v>
      </c>
      <c r="L602">
        <v>724</v>
      </c>
      <c r="M602" t="s">
        <v>16</v>
      </c>
    </row>
    <row r="603" spans="1:13" x14ac:dyDescent="0.35">
      <c r="A603">
        <v>210930</v>
      </c>
      <c r="B603">
        <v>5932</v>
      </c>
      <c r="C603" t="s">
        <v>710</v>
      </c>
      <c r="D603" t="s">
        <v>545</v>
      </c>
      <c r="E603" t="s">
        <v>610</v>
      </c>
      <c r="F603">
        <v>9798</v>
      </c>
      <c r="G603">
        <v>1</v>
      </c>
      <c r="H603" t="s">
        <v>16</v>
      </c>
      <c r="I603" s="1">
        <v>-340700</v>
      </c>
      <c r="J603" s="1">
        <v>-4402400</v>
      </c>
      <c r="K603">
        <v>58</v>
      </c>
      <c r="L603">
        <v>467</v>
      </c>
      <c r="M603" t="s">
        <v>16</v>
      </c>
    </row>
    <row r="604" spans="1:13" x14ac:dyDescent="0.35">
      <c r="A604">
        <v>210940</v>
      </c>
      <c r="B604">
        <v>5940</v>
      </c>
      <c r="C604" t="s">
        <v>711</v>
      </c>
      <c r="D604" t="s">
        <v>545</v>
      </c>
      <c r="E604" t="s">
        <v>584</v>
      </c>
      <c r="F604">
        <v>11999</v>
      </c>
      <c r="G604">
        <v>1</v>
      </c>
      <c r="H604" t="s">
        <v>16</v>
      </c>
      <c r="I604" s="1">
        <v>-251000</v>
      </c>
      <c r="J604" s="1">
        <v>-4343800</v>
      </c>
      <c r="K604">
        <v>16</v>
      </c>
      <c r="L604">
        <v>1367</v>
      </c>
      <c r="M604" t="s">
        <v>16</v>
      </c>
    </row>
    <row r="605" spans="1:13" x14ac:dyDescent="0.35">
      <c r="A605">
        <v>210945</v>
      </c>
      <c r="B605">
        <v>57657</v>
      </c>
      <c r="C605" t="s">
        <v>712</v>
      </c>
      <c r="D605" t="s">
        <v>545</v>
      </c>
      <c r="E605" t="s">
        <v>689</v>
      </c>
      <c r="F605">
        <v>24201</v>
      </c>
      <c r="G605">
        <v>4</v>
      </c>
      <c r="H605" t="s">
        <v>553</v>
      </c>
      <c r="I605" s="1">
        <v>-242300</v>
      </c>
      <c r="J605" s="1">
        <v>-4410300</v>
      </c>
      <c r="K605">
        <v>3</v>
      </c>
      <c r="L605">
        <v>64</v>
      </c>
      <c r="M605" t="s">
        <v>16</v>
      </c>
    </row>
    <row r="606" spans="1:13" x14ac:dyDescent="0.35">
      <c r="A606">
        <v>210950</v>
      </c>
      <c r="B606">
        <v>5959</v>
      </c>
      <c r="C606" t="s">
        <v>713</v>
      </c>
      <c r="D606" t="s">
        <v>545</v>
      </c>
      <c r="E606" t="s">
        <v>561</v>
      </c>
      <c r="F606">
        <v>21016</v>
      </c>
      <c r="G606">
        <v>1</v>
      </c>
      <c r="H606" t="s">
        <v>16</v>
      </c>
      <c r="I606" s="1">
        <v>-736200</v>
      </c>
      <c r="J606" s="1">
        <v>-4661700</v>
      </c>
      <c r="K606">
        <v>383</v>
      </c>
      <c r="L606">
        <v>6373</v>
      </c>
      <c r="M606" t="s">
        <v>16</v>
      </c>
    </row>
    <row r="607" spans="1:13" x14ac:dyDescent="0.35">
      <c r="A607">
        <v>210955</v>
      </c>
      <c r="B607">
        <v>57665</v>
      </c>
      <c r="C607" t="s">
        <v>714</v>
      </c>
      <c r="D607" t="s">
        <v>545</v>
      </c>
      <c r="E607" t="s">
        <v>546</v>
      </c>
      <c r="F607">
        <v>7170</v>
      </c>
      <c r="G607">
        <v>4</v>
      </c>
      <c r="H607" t="s">
        <v>602</v>
      </c>
      <c r="I607" s="1">
        <v>-593000</v>
      </c>
      <c r="J607" s="1">
        <v>-4738400</v>
      </c>
      <c r="K607">
        <v>156</v>
      </c>
      <c r="L607">
        <v>900</v>
      </c>
      <c r="M607" t="s">
        <v>16</v>
      </c>
    </row>
    <row r="608" spans="1:13" x14ac:dyDescent="0.35">
      <c r="A608">
        <v>210960</v>
      </c>
      <c r="B608">
        <v>5975</v>
      </c>
      <c r="C608" t="s">
        <v>715</v>
      </c>
      <c r="D608" t="s">
        <v>545</v>
      </c>
      <c r="E608" t="s">
        <v>573</v>
      </c>
      <c r="F608">
        <v>50000</v>
      </c>
      <c r="G608">
        <v>2</v>
      </c>
      <c r="H608" t="s">
        <v>16</v>
      </c>
      <c r="I608" s="1">
        <v>-293400</v>
      </c>
      <c r="J608" s="1">
        <v>-4423500</v>
      </c>
      <c r="K608">
        <v>14</v>
      </c>
      <c r="L608">
        <v>685</v>
      </c>
      <c r="M608" t="s">
        <v>16</v>
      </c>
    </row>
    <row r="609" spans="1:13" x14ac:dyDescent="0.35">
      <c r="A609">
        <v>210970</v>
      </c>
      <c r="B609">
        <v>5983</v>
      </c>
      <c r="C609" t="s">
        <v>716</v>
      </c>
      <c r="D609" t="s">
        <v>545</v>
      </c>
      <c r="E609" t="s">
        <v>588</v>
      </c>
      <c r="F609">
        <v>5792</v>
      </c>
      <c r="G609">
        <v>1</v>
      </c>
      <c r="H609" t="s">
        <v>16</v>
      </c>
      <c r="I609" s="1">
        <v>-714000</v>
      </c>
      <c r="J609" s="1">
        <v>-4534600</v>
      </c>
      <c r="K609">
        <v>212</v>
      </c>
      <c r="L609">
        <v>2478</v>
      </c>
      <c r="M609" t="s">
        <v>16</v>
      </c>
    </row>
    <row r="610" spans="1:13" x14ac:dyDescent="0.35">
      <c r="A610">
        <v>210975</v>
      </c>
      <c r="B610">
        <v>57673</v>
      </c>
      <c r="C610" t="s">
        <v>717</v>
      </c>
      <c r="D610" t="s">
        <v>545</v>
      </c>
      <c r="E610" t="s">
        <v>571</v>
      </c>
      <c r="F610">
        <v>5526</v>
      </c>
      <c r="G610">
        <v>1</v>
      </c>
      <c r="H610" t="s">
        <v>16</v>
      </c>
      <c r="I610" s="1">
        <v>-550100</v>
      </c>
      <c r="J610" s="1">
        <v>-4456100</v>
      </c>
      <c r="K610">
        <v>180</v>
      </c>
      <c r="L610">
        <v>403</v>
      </c>
      <c r="M610" t="s">
        <v>16</v>
      </c>
    </row>
    <row r="611" spans="1:13" x14ac:dyDescent="0.35">
      <c r="A611">
        <v>210980</v>
      </c>
      <c r="B611">
        <v>5991</v>
      </c>
      <c r="C611" t="s">
        <v>718</v>
      </c>
      <c r="D611" t="s">
        <v>545</v>
      </c>
      <c r="E611" t="s">
        <v>565</v>
      </c>
      <c r="F611">
        <v>34022</v>
      </c>
      <c r="G611">
        <v>1</v>
      </c>
      <c r="H611" t="s">
        <v>16</v>
      </c>
      <c r="I611" s="1">
        <v>-223100</v>
      </c>
      <c r="J611" s="1">
        <v>-4530000</v>
      </c>
      <c r="K611">
        <v>29</v>
      </c>
      <c r="L611">
        <v>2308</v>
      </c>
      <c r="M611" t="s">
        <v>16</v>
      </c>
    </row>
    <row r="612" spans="1:13" x14ac:dyDescent="0.35">
      <c r="A612">
        <v>210990</v>
      </c>
      <c r="B612">
        <v>6009</v>
      </c>
      <c r="C612" t="s">
        <v>719</v>
      </c>
      <c r="D612" t="s">
        <v>545</v>
      </c>
      <c r="E612" t="s">
        <v>556</v>
      </c>
      <c r="F612">
        <v>82026</v>
      </c>
      <c r="G612">
        <v>2</v>
      </c>
      <c r="H612" t="s">
        <v>16</v>
      </c>
      <c r="I612" s="1">
        <v>-366700</v>
      </c>
      <c r="J612" s="1">
        <v>-4538000</v>
      </c>
      <c r="K612">
        <v>24</v>
      </c>
      <c r="L612">
        <v>407</v>
      </c>
      <c r="M612" t="s">
        <v>16</v>
      </c>
    </row>
    <row r="613" spans="1:13" x14ac:dyDescent="0.35">
      <c r="A613">
        <v>211000</v>
      </c>
      <c r="B613">
        <v>6017</v>
      </c>
      <c r="C613" t="s">
        <v>720</v>
      </c>
      <c r="D613" t="s">
        <v>545</v>
      </c>
      <c r="E613" t="s">
        <v>556</v>
      </c>
      <c r="F613">
        <v>69306</v>
      </c>
      <c r="G613">
        <v>2</v>
      </c>
      <c r="H613" t="s">
        <v>16</v>
      </c>
      <c r="I613" s="1">
        <v>-406900</v>
      </c>
      <c r="J613" s="1">
        <v>-4569000</v>
      </c>
      <c r="K613">
        <v>60</v>
      </c>
      <c r="L613">
        <v>6133</v>
      </c>
      <c r="M613" t="s">
        <v>16</v>
      </c>
    </row>
    <row r="614" spans="1:13" x14ac:dyDescent="0.35">
      <c r="A614">
        <v>211003</v>
      </c>
      <c r="B614">
        <v>28320</v>
      </c>
      <c r="C614" t="s">
        <v>721</v>
      </c>
      <c r="D614" t="s">
        <v>545</v>
      </c>
      <c r="E614" t="s">
        <v>556</v>
      </c>
      <c r="F614">
        <v>19633</v>
      </c>
      <c r="G614">
        <v>1</v>
      </c>
      <c r="H614" t="s">
        <v>16</v>
      </c>
      <c r="I614" s="1">
        <v>-262900</v>
      </c>
      <c r="J614" s="1">
        <v>-4577300</v>
      </c>
      <c r="K614">
        <v>0</v>
      </c>
      <c r="L614">
        <v>904</v>
      </c>
      <c r="M614" t="s">
        <v>16</v>
      </c>
    </row>
    <row r="615" spans="1:13" x14ac:dyDescent="0.35">
      <c r="A615">
        <v>211010</v>
      </c>
      <c r="B615">
        <v>6025</v>
      </c>
      <c r="C615" t="s">
        <v>722</v>
      </c>
      <c r="D615" t="s">
        <v>545</v>
      </c>
      <c r="E615" t="s">
        <v>550</v>
      </c>
      <c r="F615">
        <v>28341</v>
      </c>
      <c r="G615">
        <v>1</v>
      </c>
      <c r="H615" t="s">
        <v>16</v>
      </c>
      <c r="I615" s="1">
        <v>-351600</v>
      </c>
      <c r="J615" s="1">
        <v>-4254700</v>
      </c>
      <c r="K615">
        <v>36</v>
      </c>
      <c r="L615">
        <v>2112</v>
      </c>
      <c r="M615" t="s">
        <v>16</v>
      </c>
    </row>
    <row r="616" spans="1:13" x14ac:dyDescent="0.35">
      <c r="A616">
        <v>211020</v>
      </c>
      <c r="B616">
        <v>6033</v>
      </c>
      <c r="C616" t="s">
        <v>723</v>
      </c>
      <c r="D616" t="s">
        <v>545</v>
      </c>
      <c r="E616" t="s">
        <v>573</v>
      </c>
      <c r="F616">
        <v>50000</v>
      </c>
      <c r="G616">
        <v>2</v>
      </c>
      <c r="H616" t="s">
        <v>16</v>
      </c>
      <c r="I616" s="1">
        <v>-314400</v>
      </c>
      <c r="J616" s="1">
        <v>-4432600</v>
      </c>
      <c r="K616">
        <v>28</v>
      </c>
      <c r="L616">
        <v>786</v>
      </c>
      <c r="M616" t="s">
        <v>16</v>
      </c>
    </row>
    <row r="617" spans="1:13" x14ac:dyDescent="0.35">
      <c r="A617">
        <v>211023</v>
      </c>
      <c r="B617">
        <v>57681</v>
      </c>
      <c r="C617" t="s">
        <v>724</v>
      </c>
      <c r="D617" t="s">
        <v>545</v>
      </c>
      <c r="E617" t="s">
        <v>550</v>
      </c>
      <c r="F617">
        <v>10537</v>
      </c>
      <c r="G617">
        <v>1</v>
      </c>
      <c r="H617" t="s">
        <v>16</v>
      </c>
      <c r="I617" s="1">
        <v>-311600</v>
      </c>
      <c r="J617" s="1">
        <v>-4241200</v>
      </c>
      <c r="K617">
        <v>33</v>
      </c>
      <c r="L617">
        <v>1094</v>
      </c>
      <c r="M617" t="s">
        <v>16</v>
      </c>
    </row>
    <row r="618" spans="1:13" x14ac:dyDescent="0.35">
      <c r="A618">
        <v>211027</v>
      </c>
      <c r="B618">
        <v>57690</v>
      </c>
      <c r="C618" t="s">
        <v>725</v>
      </c>
      <c r="D618" t="s">
        <v>545</v>
      </c>
      <c r="E618" t="s">
        <v>584</v>
      </c>
      <c r="F618">
        <v>11155</v>
      </c>
      <c r="G618">
        <v>1</v>
      </c>
      <c r="H618" t="s">
        <v>16</v>
      </c>
      <c r="I618" s="1">
        <v>-250000</v>
      </c>
      <c r="J618" s="1">
        <v>-4325400</v>
      </c>
      <c r="K618">
        <v>10</v>
      </c>
      <c r="L618">
        <v>1601</v>
      </c>
      <c r="M618" t="s">
        <v>16</v>
      </c>
    </row>
    <row r="619" spans="1:13" x14ac:dyDescent="0.35">
      <c r="A619">
        <v>211030</v>
      </c>
      <c r="B619">
        <v>6041</v>
      </c>
      <c r="C619" t="s">
        <v>726</v>
      </c>
      <c r="D619" t="s">
        <v>545</v>
      </c>
      <c r="E619" t="s">
        <v>575</v>
      </c>
      <c r="F619">
        <v>14225</v>
      </c>
      <c r="G619">
        <v>1</v>
      </c>
      <c r="H619" t="s">
        <v>16</v>
      </c>
      <c r="I619" s="1">
        <v>-486900</v>
      </c>
      <c r="J619" s="1">
        <v>-4436000</v>
      </c>
      <c r="K619">
        <v>129</v>
      </c>
      <c r="L619">
        <v>770</v>
      </c>
      <c r="M619" t="s">
        <v>16</v>
      </c>
    </row>
    <row r="620" spans="1:13" x14ac:dyDescent="0.35">
      <c r="A620">
        <v>211040</v>
      </c>
      <c r="B620">
        <v>6050</v>
      </c>
      <c r="C620" t="s">
        <v>727</v>
      </c>
      <c r="D620" t="s">
        <v>545</v>
      </c>
      <c r="E620" t="s">
        <v>567</v>
      </c>
      <c r="F620">
        <v>17191</v>
      </c>
      <c r="G620">
        <v>1</v>
      </c>
      <c r="H620" t="s">
        <v>16</v>
      </c>
      <c r="I620" s="1">
        <v>-333400</v>
      </c>
      <c r="J620" s="1">
        <v>-4352800</v>
      </c>
      <c r="K620">
        <v>34</v>
      </c>
      <c r="L620">
        <v>931</v>
      </c>
      <c r="M620" t="s">
        <v>16</v>
      </c>
    </row>
    <row r="621" spans="1:13" x14ac:dyDescent="0.35">
      <c r="A621">
        <v>211050</v>
      </c>
      <c r="B621">
        <v>6068</v>
      </c>
      <c r="C621" t="s">
        <v>728</v>
      </c>
      <c r="D621" t="s">
        <v>545</v>
      </c>
      <c r="E621" t="s">
        <v>565</v>
      </c>
      <c r="F621">
        <v>37449</v>
      </c>
      <c r="G621">
        <v>1</v>
      </c>
      <c r="H621" t="s">
        <v>16</v>
      </c>
      <c r="I621" s="1">
        <v>-269600</v>
      </c>
      <c r="J621" s="1">
        <v>-4482100</v>
      </c>
      <c r="K621">
        <v>2</v>
      </c>
      <c r="L621">
        <v>459</v>
      </c>
      <c r="M621" t="s">
        <v>16</v>
      </c>
    </row>
    <row r="622" spans="1:13" x14ac:dyDescent="0.35">
      <c r="A622">
        <v>211060</v>
      </c>
      <c r="B622">
        <v>6076</v>
      </c>
      <c r="C622" t="s">
        <v>729</v>
      </c>
      <c r="D622" t="s">
        <v>545</v>
      </c>
      <c r="E622" t="s">
        <v>550</v>
      </c>
      <c r="F622">
        <v>25480</v>
      </c>
      <c r="G622">
        <v>1</v>
      </c>
      <c r="H622" t="s">
        <v>16</v>
      </c>
      <c r="I622" s="1">
        <v>-336100</v>
      </c>
      <c r="J622" s="1">
        <v>-4241800</v>
      </c>
      <c r="K622">
        <v>43</v>
      </c>
      <c r="L622">
        <v>1006</v>
      </c>
      <c r="M622" t="s">
        <v>16</v>
      </c>
    </row>
    <row r="623" spans="1:13" x14ac:dyDescent="0.35">
      <c r="A623">
        <v>211065</v>
      </c>
      <c r="B623">
        <v>57703</v>
      </c>
      <c r="C623" t="s">
        <v>730</v>
      </c>
      <c r="D623" t="s">
        <v>545</v>
      </c>
      <c r="E623" t="s">
        <v>588</v>
      </c>
      <c r="F623">
        <v>6953</v>
      </c>
      <c r="G623">
        <v>1</v>
      </c>
      <c r="H623" t="s">
        <v>16</v>
      </c>
      <c r="I623" s="1">
        <v>-681000</v>
      </c>
      <c r="J623" s="1">
        <v>-4464500</v>
      </c>
      <c r="K623">
        <v>308</v>
      </c>
      <c r="L623">
        <v>1058</v>
      </c>
      <c r="M623" t="s">
        <v>16</v>
      </c>
    </row>
    <row r="624" spans="1:13" x14ac:dyDescent="0.35">
      <c r="A624">
        <v>211070</v>
      </c>
      <c r="B624">
        <v>6084</v>
      </c>
      <c r="C624" t="s">
        <v>731</v>
      </c>
      <c r="D624" t="s">
        <v>545</v>
      </c>
      <c r="E624" t="s">
        <v>626</v>
      </c>
      <c r="F624">
        <v>32557</v>
      </c>
      <c r="G624">
        <v>1</v>
      </c>
      <c r="H624" t="s">
        <v>16</v>
      </c>
      <c r="I624" s="1">
        <v>-557600</v>
      </c>
      <c r="J624" s="1">
        <v>-4438500</v>
      </c>
      <c r="K624">
        <v>191</v>
      </c>
      <c r="L624">
        <v>1303</v>
      </c>
      <c r="M624" t="s">
        <v>16</v>
      </c>
    </row>
    <row r="625" spans="1:13" x14ac:dyDescent="0.35">
      <c r="A625">
        <v>211080</v>
      </c>
      <c r="B625">
        <v>6092</v>
      </c>
      <c r="C625" t="s">
        <v>732</v>
      </c>
      <c r="D625" t="s">
        <v>545</v>
      </c>
      <c r="E625" t="s">
        <v>588</v>
      </c>
      <c r="F625">
        <v>4398</v>
      </c>
      <c r="G625">
        <v>1</v>
      </c>
      <c r="H625" t="s">
        <v>16</v>
      </c>
      <c r="I625" s="1">
        <v>-708300</v>
      </c>
      <c r="J625" s="1">
        <v>-4481300</v>
      </c>
      <c r="K625">
        <v>188</v>
      </c>
      <c r="L625">
        <v>2032</v>
      </c>
      <c r="M625" t="s">
        <v>16</v>
      </c>
    </row>
    <row r="626" spans="1:13" x14ac:dyDescent="0.35">
      <c r="A626">
        <v>211085</v>
      </c>
      <c r="B626">
        <v>57711</v>
      </c>
      <c r="C626" t="s">
        <v>733</v>
      </c>
      <c r="D626" t="s">
        <v>545</v>
      </c>
      <c r="E626" t="s">
        <v>546</v>
      </c>
      <c r="F626">
        <v>8431</v>
      </c>
      <c r="G626">
        <v>1</v>
      </c>
      <c r="H626" t="s">
        <v>16</v>
      </c>
      <c r="I626" s="1">
        <v>-512300</v>
      </c>
      <c r="J626" s="1">
        <v>-4738600</v>
      </c>
      <c r="K626">
        <v>255</v>
      </c>
      <c r="L626">
        <v>745</v>
      </c>
      <c r="M626" t="s">
        <v>16</v>
      </c>
    </row>
    <row r="627" spans="1:13" x14ac:dyDescent="0.35">
      <c r="A627">
        <v>211090</v>
      </c>
      <c r="B627">
        <v>6106</v>
      </c>
      <c r="C627" t="s">
        <v>734</v>
      </c>
      <c r="D627" t="s">
        <v>545</v>
      </c>
      <c r="E627" t="s">
        <v>581</v>
      </c>
      <c r="F627">
        <v>14194</v>
      </c>
      <c r="G627">
        <v>1</v>
      </c>
      <c r="H627" t="s">
        <v>16</v>
      </c>
      <c r="I627" s="1">
        <v>-625100</v>
      </c>
      <c r="J627" s="1">
        <v>-4285700</v>
      </c>
      <c r="K627">
        <v>76</v>
      </c>
      <c r="L627">
        <v>2745</v>
      </c>
      <c r="M627" t="s">
        <v>16</v>
      </c>
    </row>
    <row r="628" spans="1:13" x14ac:dyDescent="0.35">
      <c r="A628">
        <v>211100</v>
      </c>
      <c r="B628">
        <v>6114</v>
      </c>
      <c r="C628" t="s">
        <v>735</v>
      </c>
      <c r="D628" t="s">
        <v>545</v>
      </c>
      <c r="E628" t="s">
        <v>565</v>
      </c>
      <c r="F628">
        <v>18108</v>
      </c>
      <c r="G628">
        <v>1</v>
      </c>
      <c r="H628" t="s">
        <v>16</v>
      </c>
      <c r="I628" s="1">
        <v>-295500</v>
      </c>
      <c r="J628" s="1">
        <v>-4480700</v>
      </c>
      <c r="K628">
        <v>29</v>
      </c>
      <c r="L628">
        <v>690</v>
      </c>
      <c r="M628" t="s">
        <v>16</v>
      </c>
    </row>
    <row r="629" spans="1:13" x14ac:dyDescent="0.35">
      <c r="A629">
        <v>211102</v>
      </c>
      <c r="B629">
        <v>57720</v>
      </c>
      <c r="C629" t="s">
        <v>736</v>
      </c>
      <c r="D629" t="s">
        <v>545</v>
      </c>
      <c r="E629" t="s">
        <v>556</v>
      </c>
      <c r="F629">
        <v>12281</v>
      </c>
      <c r="G629">
        <v>1</v>
      </c>
      <c r="H629" t="s">
        <v>16</v>
      </c>
      <c r="I629" s="1">
        <v>-355400</v>
      </c>
      <c r="J629" s="1">
        <v>-4625600</v>
      </c>
      <c r="K629">
        <v>50</v>
      </c>
      <c r="L629">
        <v>615</v>
      </c>
      <c r="M629" t="s">
        <v>16</v>
      </c>
    </row>
    <row r="630" spans="1:13" x14ac:dyDescent="0.35">
      <c r="A630">
        <v>211105</v>
      </c>
      <c r="B630">
        <v>57738</v>
      </c>
      <c r="C630" t="s">
        <v>737</v>
      </c>
      <c r="D630" t="s">
        <v>545</v>
      </c>
      <c r="E630" t="s">
        <v>607</v>
      </c>
      <c r="F630">
        <v>11267</v>
      </c>
      <c r="G630">
        <v>1</v>
      </c>
      <c r="H630" t="s">
        <v>16</v>
      </c>
      <c r="I630" s="1">
        <v>-646100</v>
      </c>
      <c r="J630" s="1">
        <v>-4705800</v>
      </c>
      <c r="K630">
        <v>230</v>
      </c>
      <c r="L630">
        <v>2053</v>
      </c>
      <c r="M630" t="s">
        <v>16</v>
      </c>
    </row>
    <row r="631" spans="1:13" x14ac:dyDescent="0.35">
      <c r="A631">
        <v>211107</v>
      </c>
      <c r="B631">
        <v>57746</v>
      </c>
      <c r="C631" t="s">
        <v>738</v>
      </c>
      <c r="D631" t="s">
        <v>545</v>
      </c>
      <c r="E631" t="s">
        <v>599</v>
      </c>
      <c r="F631">
        <v>16592</v>
      </c>
      <c r="G631">
        <v>1</v>
      </c>
      <c r="H631" t="s">
        <v>16</v>
      </c>
      <c r="I631" s="1">
        <v>-511400</v>
      </c>
      <c r="J631" s="1">
        <v>-4381000</v>
      </c>
      <c r="K631">
        <v>153</v>
      </c>
      <c r="L631">
        <v>1438</v>
      </c>
      <c r="M631" t="s">
        <v>16</v>
      </c>
    </row>
    <row r="632" spans="1:13" x14ac:dyDescent="0.35">
      <c r="A632">
        <v>211110</v>
      </c>
      <c r="B632">
        <v>6122</v>
      </c>
      <c r="C632" t="s">
        <v>739</v>
      </c>
      <c r="D632" t="s">
        <v>545</v>
      </c>
      <c r="E632" t="s">
        <v>581</v>
      </c>
      <c r="F632">
        <v>23576</v>
      </c>
      <c r="G632">
        <v>1</v>
      </c>
      <c r="H632" t="s">
        <v>16</v>
      </c>
      <c r="I632" s="1">
        <v>-649500</v>
      </c>
      <c r="J632" s="1">
        <v>-4370200</v>
      </c>
      <c r="K632">
        <v>328</v>
      </c>
      <c r="L632">
        <v>1500</v>
      </c>
      <c r="M632" t="s">
        <v>16</v>
      </c>
    </row>
    <row r="633" spans="1:13" x14ac:dyDescent="0.35">
      <c r="A633">
        <v>211120</v>
      </c>
      <c r="B633">
        <v>5967</v>
      </c>
      <c r="C633" t="s">
        <v>740</v>
      </c>
      <c r="D633" t="s">
        <v>545</v>
      </c>
      <c r="E633" t="s">
        <v>689</v>
      </c>
      <c r="F633">
        <v>131379</v>
      </c>
      <c r="G633">
        <v>4</v>
      </c>
      <c r="H633" t="s">
        <v>553</v>
      </c>
      <c r="I633" s="1">
        <v>-256200</v>
      </c>
      <c r="J633" s="1">
        <v>-4405400</v>
      </c>
      <c r="K633">
        <v>20</v>
      </c>
      <c r="L633">
        <v>386</v>
      </c>
      <c r="M633" t="s">
        <v>16</v>
      </c>
    </row>
    <row r="634" spans="1:13" x14ac:dyDescent="0.35">
      <c r="A634">
        <v>211125</v>
      </c>
      <c r="B634">
        <v>57754</v>
      </c>
      <c r="C634" t="s">
        <v>741</v>
      </c>
      <c r="D634" t="s">
        <v>545</v>
      </c>
      <c r="E634" t="s">
        <v>626</v>
      </c>
      <c r="F634">
        <v>7282</v>
      </c>
      <c r="G634">
        <v>1</v>
      </c>
      <c r="H634" t="s">
        <v>16</v>
      </c>
      <c r="I634" s="1">
        <v>-505100</v>
      </c>
      <c r="J634" s="1">
        <v>-4458400</v>
      </c>
      <c r="K634">
        <v>80</v>
      </c>
      <c r="L634">
        <v>362</v>
      </c>
      <c r="M634" t="s">
        <v>16</v>
      </c>
    </row>
    <row r="635" spans="1:13" x14ac:dyDescent="0.35">
      <c r="A635">
        <v>211130</v>
      </c>
      <c r="B635">
        <v>5002</v>
      </c>
      <c r="C635" t="s">
        <v>742</v>
      </c>
      <c r="D635" t="s">
        <v>545</v>
      </c>
      <c r="E635" t="s">
        <v>689</v>
      </c>
      <c r="F635">
        <v>957515</v>
      </c>
      <c r="G635">
        <v>5</v>
      </c>
      <c r="H635" t="s">
        <v>553</v>
      </c>
      <c r="I635" s="1">
        <v>-253000</v>
      </c>
      <c r="J635" s="1">
        <v>-4430300</v>
      </c>
      <c r="K635">
        <v>24</v>
      </c>
      <c r="L635">
        <v>827</v>
      </c>
      <c r="M635" t="s">
        <v>16</v>
      </c>
    </row>
    <row r="636" spans="1:13" x14ac:dyDescent="0.35">
      <c r="A636">
        <v>211140</v>
      </c>
      <c r="B636">
        <v>5541</v>
      </c>
      <c r="C636" t="s">
        <v>743</v>
      </c>
      <c r="D636" t="s">
        <v>545</v>
      </c>
      <c r="E636" t="s">
        <v>575</v>
      </c>
      <c r="F636">
        <v>19655</v>
      </c>
      <c r="G636">
        <v>1</v>
      </c>
      <c r="H636" t="s">
        <v>16</v>
      </c>
      <c r="I636" s="1">
        <v>-438000</v>
      </c>
      <c r="J636" s="1">
        <v>-4467000</v>
      </c>
      <c r="K636">
        <v>44</v>
      </c>
      <c r="L636">
        <v>968</v>
      </c>
      <c r="M636" t="s">
        <v>16</v>
      </c>
    </row>
    <row r="637" spans="1:13" x14ac:dyDescent="0.35">
      <c r="A637">
        <v>211150</v>
      </c>
      <c r="B637">
        <v>6130</v>
      </c>
      <c r="C637" t="s">
        <v>744</v>
      </c>
      <c r="D637" t="s">
        <v>545</v>
      </c>
      <c r="E637" t="s">
        <v>575</v>
      </c>
      <c r="F637">
        <v>38045</v>
      </c>
      <c r="G637">
        <v>1</v>
      </c>
      <c r="H637" t="s">
        <v>16</v>
      </c>
      <c r="I637" s="1">
        <v>-404000</v>
      </c>
      <c r="J637" s="1">
        <v>-4447000</v>
      </c>
      <c r="K637">
        <v>44</v>
      </c>
      <c r="L637">
        <v>783</v>
      </c>
      <c r="M637" t="s">
        <v>16</v>
      </c>
    </row>
    <row r="638" spans="1:13" x14ac:dyDescent="0.35">
      <c r="A638">
        <v>211153</v>
      </c>
      <c r="B638">
        <v>57762</v>
      </c>
      <c r="C638" t="s">
        <v>745</v>
      </c>
      <c r="D638" t="s">
        <v>545</v>
      </c>
      <c r="E638" t="s">
        <v>546</v>
      </c>
      <c r="F638">
        <v>11113</v>
      </c>
      <c r="G638">
        <v>1</v>
      </c>
      <c r="H638" t="s">
        <v>16</v>
      </c>
      <c r="I638" s="1">
        <v>-508500</v>
      </c>
      <c r="J638" s="1">
        <v>-4842900</v>
      </c>
      <c r="K638">
        <v>171</v>
      </c>
      <c r="L638">
        <v>720</v>
      </c>
      <c r="M638" t="s">
        <v>16</v>
      </c>
    </row>
    <row r="639" spans="1:13" x14ac:dyDescent="0.35">
      <c r="A639">
        <v>211157</v>
      </c>
      <c r="B639">
        <v>57770</v>
      </c>
      <c r="C639" t="s">
        <v>746</v>
      </c>
      <c r="D639" t="s">
        <v>545</v>
      </c>
      <c r="E639" t="s">
        <v>607</v>
      </c>
      <c r="F639">
        <v>4020</v>
      </c>
      <c r="G639">
        <v>1</v>
      </c>
      <c r="H639" t="s">
        <v>16</v>
      </c>
      <c r="I639" s="1">
        <v>-682600</v>
      </c>
      <c r="J639" s="1">
        <v>-4653200</v>
      </c>
      <c r="K639">
        <v>342</v>
      </c>
      <c r="L639">
        <v>979</v>
      </c>
      <c r="M639" t="s">
        <v>16</v>
      </c>
    </row>
    <row r="640" spans="1:13" x14ac:dyDescent="0.35">
      <c r="A640">
        <v>211160</v>
      </c>
      <c r="B640">
        <v>6149</v>
      </c>
      <c r="C640" t="s">
        <v>747</v>
      </c>
      <c r="D640" t="s">
        <v>545</v>
      </c>
      <c r="E640" t="s">
        <v>588</v>
      </c>
      <c r="F640">
        <v>15962</v>
      </c>
      <c r="G640">
        <v>1</v>
      </c>
      <c r="H640" t="s">
        <v>16</v>
      </c>
      <c r="I640" s="1">
        <v>-702200</v>
      </c>
      <c r="J640" s="1">
        <v>-4548100</v>
      </c>
      <c r="K640">
        <v>225</v>
      </c>
      <c r="L640">
        <v>3521</v>
      </c>
      <c r="M640" t="s">
        <v>16</v>
      </c>
    </row>
    <row r="641" spans="1:13" x14ac:dyDescent="0.35">
      <c r="A641">
        <v>211163</v>
      </c>
      <c r="B641">
        <v>57789</v>
      </c>
      <c r="C641" t="s">
        <v>748</v>
      </c>
      <c r="D641" t="s">
        <v>545</v>
      </c>
      <c r="E641" t="s">
        <v>575</v>
      </c>
      <c r="F641">
        <v>4502</v>
      </c>
      <c r="G641">
        <v>1</v>
      </c>
      <c r="H641" t="s">
        <v>16</v>
      </c>
      <c r="I641" s="1">
        <v>-510500</v>
      </c>
      <c r="J641" s="1">
        <v>-4507700</v>
      </c>
      <c r="K641">
        <v>180</v>
      </c>
      <c r="L641">
        <v>281</v>
      </c>
      <c r="M641" t="s">
        <v>16</v>
      </c>
    </row>
    <row r="642" spans="1:13" x14ac:dyDescent="0.35">
      <c r="A642">
        <v>211167</v>
      </c>
      <c r="B642">
        <v>57797</v>
      </c>
      <c r="C642" t="s">
        <v>749</v>
      </c>
      <c r="D642" t="s">
        <v>545</v>
      </c>
      <c r="E642" t="s">
        <v>575</v>
      </c>
      <c r="F642">
        <v>4989</v>
      </c>
      <c r="G642">
        <v>1</v>
      </c>
      <c r="H642" t="s">
        <v>16</v>
      </c>
      <c r="I642" s="1">
        <v>-502100</v>
      </c>
      <c r="J642" s="1">
        <v>-4499100</v>
      </c>
      <c r="K642">
        <v>100</v>
      </c>
      <c r="L642">
        <v>227</v>
      </c>
      <c r="M642" t="s">
        <v>16</v>
      </c>
    </row>
    <row r="643" spans="1:13" x14ac:dyDescent="0.35">
      <c r="A643">
        <v>211170</v>
      </c>
      <c r="B643">
        <v>6157</v>
      </c>
      <c r="C643" t="s">
        <v>750</v>
      </c>
      <c r="D643" t="s">
        <v>545</v>
      </c>
      <c r="E643" t="s">
        <v>565</v>
      </c>
      <c r="F643">
        <v>19692</v>
      </c>
      <c r="G643">
        <v>1</v>
      </c>
      <c r="H643" t="s">
        <v>16</v>
      </c>
      <c r="I643" s="1">
        <v>-289400</v>
      </c>
      <c r="J643" s="1">
        <v>-4488000</v>
      </c>
      <c r="K643">
        <v>16</v>
      </c>
      <c r="L643">
        <v>390</v>
      </c>
      <c r="M643" t="s">
        <v>16</v>
      </c>
    </row>
    <row r="644" spans="1:13" x14ac:dyDescent="0.35">
      <c r="A644">
        <v>211172</v>
      </c>
      <c r="B644">
        <v>57800</v>
      </c>
      <c r="C644" t="s">
        <v>751</v>
      </c>
      <c r="D644" t="s">
        <v>545</v>
      </c>
      <c r="E644" t="s">
        <v>575</v>
      </c>
      <c r="F644">
        <v>8399</v>
      </c>
      <c r="G644">
        <v>1</v>
      </c>
      <c r="H644" t="s">
        <v>16</v>
      </c>
      <c r="I644" s="1">
        <v>-403900</v>
      </c>
      <c r="J644" s="1">
        <v>-4523800</v>
      </c>
      <c r="K644">
        <v>0</v>
      </c>
      <c r="L644">
        <v>605</v>
      </c>
      <c r="M644" t="s">
        <v>16</v>
      </c>
    </row>
    <row r="645" spans="1:13" x14ac:dyDescent="0.35">
      <c r="A645">
        <v>211174</v>
      </c>
      <c r="B645">
        <v>57819</v>
      </c>
      <c r="C645" t="s">
        <v>752</v>
      </c>
      <c r="D645" t="s">
        <v>545</v>
      </c>
      <c r="E645" t="s">
        <v>626</v>
      </c>
      <c r="F645">
        <v>9071</v>
      </c>
      <c r="G645">
        <v>1</v>
      </c>
      <c r="H645" t="s">
        <v>16</v>
      </c>
      <c r="I645" s="1">
        <v>-525600</v>
      </c>
      <c r="J645" s="1">
        <v>-4405600</v>
      </c>
      <c r="K645">
        <v>149</v>
      </c>
      <c r="L645">
        <v>426</v>
      </c>
      <c r="M645" t="s">
        <v>16</v>
      </c>
    </row>
    <row r="646" spans="1:13" x14ac:dyDescent="0.35">
      <c r="A646">
        <v>211176</v>
      </c>
      <c r="B646">
        <v>57827</v>
      </c>
      <c r="C646" t="s">
        <v>753</v>
      </c>
      <c r="D646" t="s">
        <v>545</v>
      </c>
      <c r="E646" t="s">
        <v>546</v>
      </c>
      <c r="F646">
        <v>20793</v>
      </c>
      <c r="G646">
        <v>4</v>
      </c>
      <c r="H646" t="s">
        <v>602</v>
      </c>
      <c r="I646" s="1">
        <v>-544300</v>
      </c>
      <c r="J646" s="1">
        <v>-4729100</v>
      </c>
      <c r="K646">
        <v>180</v>
      </c>
      <c r="L646">
        <v>746</v>
      </c>
      <c r="M646" t="s">
        <v>16</v>
      </c>
    </row>
    <row r="647" spans="1:13" x14ac:dyDescent="0.35">
      <c r="A647">
        <v>211178</v>
      </c>
      <c r="B647">
        <v>57835</v>
      </c>
      <c r="C647" t="s">
        <v>754</v>
      </c>
      <c r="D647" t="s">
        <v>545</v>
      </c>
      <c r="E647" t="s">
        <v>552</v>
      </c>
      <c r="F647">
        <v>10576</v>
      </c>
      <c r="G647">
        <v>1</v>
      </c>
      <c r="H647" t="s">
        <v>16</v>
      </c>
      <c r="I647" s="1">
        <v>-185600</v>
      </c>
      <c r="J647" s="1">
        <v>-4512300</v>
      </c>
      <c r="K647">
        <v>0</v>
      </c>
      <c r="L647">
        <v>1207</v>
      </c>
      <c r="M647" t="s">
        <v>16</v>
      </c>
    </row>
    <row r="648" spans="1:13" x14ac:dyDescent="0.35">
      <c r="A648">
        <v>211180</v>
      </c>
      <c r="B648">
        <v>6165</v>
      </c>
      <c r="C648" t="s">
        <v>755</v>
      </c>
      <c r="D648" t="s">
        <v>545</v>
      </c>
      <c r="E648" t="s">
        <v>571</v>
      </c>
      <c r="F648">
        <v>15549</v>
      </c>
      <c r="G648">
        <v>1</v>
      </c>
      <c r="H648" t="s">
        <v>16</v>
      </c>
      <c r="I648" s="1">
        <v>-587800</v>
      </c>
      <c r="J648" s="1">
        <v>-4669900</v>
      </c>
      <c r="K648">
        <v>260</v>
      </c>
      <c r="L648">
        <v>3114</v>
      </c>
      <c r="M648" t="s">
        <v>16</v>
      </c>
    </row>
    <row r="649" spans="1:13" x14ac:dyDescent="0.35">
      <c r="A649">
        <v>211190</v>
      </c>
      <c r="B649">
        <v>6173</v>
      </c>
      <c r="C649" t="s">
        <v>756</v>
      </c>
      <c r="D649" t="s">
        <v>545</v>
      </c>
      <c r="E649" t="s">
        <v>581</v>
      </c>
      <c r="F649">
        <v>10235</v>
      </c>
      <c r="G649">
        <v>1</v>
      </c>
      <c r="H649" t="s">
        <v>16</v>
      </c>
      <c r="I649" s="1">
        <v>-647700</v>
      </c>
      <c r="J649" s="1">
        <v>-4419200</v>
      </c>
      <c r="K649">
        <v>485</v>
      </c>
      <c r="L649">
        <v>991</v>
      </c>
      <c r="M649" t="s">
        <v>16</v>
      </c>
    </row>
    <row r="650" spans="1:13" x14ac:dyDescent="0.35">
      <c r="A650">
        <v>211195</v>
      </c>
      <c r="B650">
        <v>57843</v>
      </c>
      <c r="C650" t="s">
        <v>757</v>
      </c>
      <c r="D650" t="s">
        <v>545</v>
      </c>
      <c r="E650" t="s">
        <v>581</v>
      </c>
      <c r="F650">
        <v>4675</v>
      </c>
      <c r="G650">
        <v>1</v>
      </c>
      <c r="H650" t="s">
        <v>16</v>
      </c>
      <c r="I650" s="1">
        <v>-641100</v>
      </c>
      <c r="J650" s="1">
        <v>-4354600</v>
      </c>
      <c r="K650">
        <v>290</v>
      </c>
      <c r="L650">
        <v>564</v>
      </c>
      <c r="M650" t="s">
        <v>16</v>
      </c>
    </row>
    <row r="651" spans="1:13" x14ac:dyDescent="0.35">
      <c r="A651">
        <v>211200</v>
      </c>
      <c r="B651">
        <v>6181</v>
      </c>
      <c r="C651" t="s">
        <v>758</v>
      </c>
      <c r="D651" t="s">
        <v>545</v>
      </c>
      <c r="E651" t="s">
        <v>561</v>
      </c>
      <c r="F651">
        <v>6652</v>
      </c>
      <c r="G651">
        <v>1</v>
      </c>
      <c r="H651" t="s">
        <v>16</v>
      </c>
      <c r="I651" s="1">
        <v>-847500</v>
      </c>
      <c r="J651" s="1">
        <v>-4574300</v>
      </c>
      <c r="K651">
        <v>242</v>
      </c>
      <c r="L651">
        <v>4382</v>
      </c>
      <c r="M651" t="s">
        <v>16</v>
      </c>
    </row>
    <row r="652" spans="1:13" x14ac:dyDescent="0.35">
      <c r="A652">
        <v>211210</v>
      </c>
      <c r="B652">
        <v>6190</v>
      </c>
      <c r="C652" t="s">
        <v>759</v>
      </c>
      <c r="D652" t="s">
        <v>545</v>
      </c>
      <c r="E652" t="s">
        <v>558</v>
      </c>
      <c r="F652">
        <v>26132</v>
      </c>
      <c r="G652">
        <v>1</v>
      </c>
      <c r="H652" t="s">
        <v>16</v>
      </c>
      <c r="I652" s="1">
        <v>-425500</v>
      </c>
      <c r="J652" s="1">
        <v>-4394100</v>
      </c>
      <c r="K652">
        <v>49</v>
      </c>
      <c r="L652">
        <v>1486</v>
      </c>
      <c r="M652" t="s">
        <v>16</v>
      </c>
    </row>
    <row r="653" spans="1:13" x14ac:dyDescent="0.35">
      <c r="A653">
        <v>211220</v>
      </c>
      <c r="B653">
        <v>6203</v>
      </c>
      <c r="C653" t="s">
        <v>760</v>
      </c>
      <c r="D653" t="s">
        <v>545</v>
      </c>
      <c r="E653" t="s">
        <v>599</v>
      </c>
      <c r="F653">
        <v>144333</v>
      </c>
      <c r="G653">
        <v>4</v>
      </c>
      <c r="H653" t="s">
        <v>761</v>
      </c>
      <c r="I653" s="1">
        <v>-509400</v>
      </c>
      <c r="J653" s="1">
        <v>-4283700</v>
      </c>
      <c r="K653">
        <v>69</v>
      </c>
      <c r="L653">
        <v>1740</v>
      </c>
      <c r="M653" t="s">
        <v>16</v>
      </c>
    </row>
    <row r="654" spans="1:13" x14ac:dyDescent="0.35">
      <c r="A654">
        <v>211223</v>
      </c>
      <c r="B654">
        <v>57851</v>
      </c>
      <c r="C654" t="s">
        <v>762</v>
      </c>
      <c r="D654" t="s">
        <v>545</v>
      </c>
      <c r="E654" t="s">
        <v>575</v>
      </c>
      <c r="F654">
        <v>18300</v>
      </c>
      <c r="G654">
        <v>1</v>
      </c>
      <c r="H654" t="s">
        <v>16</v>
      </c>
      <c r="I654" s="1">
        <v>-453800</v>
      </c>
      <c r="J654" s="1">
        <v>-4462800</v>
      </c>
      <c r="K654">
        <v>0</v>
      </c>
      <c r="L654">
        <v>223</v>
      </c>
      <c r="M654" t="s">
        <v>16</v>
      </c>
    </row>
    <row r="655" spans="1:13" x14ac:dyDescent="0.35">
      <c r="A655">
        <v>211227</v>
      </c>
      <c r="B655">
        <v>57860</v>
      </c>
      <c r="C655" t="s">
        <v>763</v>
      </c>
      <c r="D655" t="s">
        <v>545</v>
      </c>
      <c r="E655" t="s">
        <v>556</v>
      </c>
      <c r="F655">
        <v>5517</v>
      </c>
      <c r="G655">
        <v>1</v>
      </c>
      <c r="H655" t="s">
        <v>16</v>
      </c>
      <c r="I655" s="1">
        <v>-372900</v>
      </c>
      <c r="J655" s="1">
        <v>-4555400</v>
      </c>
      <c r="K655">
        <v>0</v>
      </c>
      <c r="L655">
        <v>276</v>
      </c>
      <c r="M655" t="s">
        <v>16</v>
      </c>
    </row>
    <row r="656" spans="1:13" x14ac:dyDescent="0.35">
      <c r="A656">
        <v>211230</v>
      </c>
      <c r="B656">
        <v>6211</v>
      </c>
      <c r="C656" t="s">
        <v>764</v>
      </c>
      <c r="D656" t="s">
        <v>545</v>
      </c>
      <c r="E656" t="s">
        <v>571</v>
      </c>
      <c r="F656">
        <v>37894</v>
      </c>
      <c r="G656">
        <v>1</v>
      </c>
      <c r="H656" t="s">
        <v>16</v>
      </c>
      <c r="I656" s="1">
        <v>-525800</v>
      </c>
      <c r="J656" s="1">
        <v>-4464900</v>
      </c>
      <c r="K656">
        <v>320</v>
      </c>
      <c r="L656">
        <v>3573</v>
      </c>
      <c r="M656" t="s">
        <v>16</v>
      </c>
    </row>
    <row r="657" spans="1:13" x14ac:dyDescent="0.35">
      <c r="A657">
        <v>211240</v>
      </c>
      <c r="B657">
        <v>6220</v>
      </c>
      <c r="C657" t="s">
        <v>765</v>
      </c>
      <c r="D657" t="s">
        <v>545</v>
      </c>
      <c r="E657" t="s">
        <v>407</v>
      </c>
      <c r="F657">
        <v>32491</v>
      </c>
      <c r="G657">
        <v>1</v>
      </c>
      <c r="H657" t="s">
        <v>16</v>
      </c>
      <c r="I657" s="1">
        <v>-166300</v>
      </c>
      <c r="J657" s="1">
        <v>-4537200</v>
      </c>
      <c r="K657">
        <v>5</v>
      </c>
      <c r="L657">
        <v>2577</v>
      </c>
      <c r="M657" t="s">
        <v>16</v>
      </c>
    </row>
    <row r="658" spans="1:13" x14ac:dyDescent="0.35">
      <c r="A658">
        <v>211245</v>
      </c>
      <c r="B658">
        <v>57878</v>
      </c>
      <c r="C658" t="s">
        <v>766</v>
      </c>
      <c r="D658" t="s">
        <v>545</v>
      </c>
      <c r="E658" t="s">
        <v>407</v>
      </c>
      <c r="F658">
        <v>20119</v>
      </c>
      <c r="G658">
        <v>1</v>
      </c>
      <c r="H658" t="s">
        <v>16</v>
      </c>
      <c r="I658" s="1">
        <v>-220100</v>
      </c>
      <c r="J658" s="1">
        <v>-4534300</v>
      </c>
      <c r="K658">
        <v>0</v>
      </c>
      <c r="L658">
        <v>1511</v>
      </c>
      <c r="M658" t="s">
        <v>16</v>
      </c>
    </row>
    <row r="659" spans="1:13" x14ac:dyDescent="0.35">
      <c r="A659">
        <v>211250</v>
      </c>
      <c r="B659">
        <v>6238</v>
      </c>
      <c r="C659" t="s">
        <v>767</v>
      </c>
      <c r="D659" t="s">
        <v>545</v>
      </c>
      <c r="E659" t="s">
        <v>584</v>
      </c>
      <c r="F659">
        <v>46280</v>
      </c>
      <c r="G659">
        <v>1</v>
      </c>
      <c r="H659" t="s">
        <v>16</v>
      </c>
      <c r="I659" s="1">
        <v>-276200</v>
      </c>
      <c r="J659" s="1">
        <v>-4227400</v>
      </c>
      <c r="K659">
        <v>20</v>
      </c>
      <c r="L659">
        <v>1489</v>
      </c>
      <c r="M659" t="s">
        <v>16</v>
      </c>
    </row>
    <row r="660" spans="1:13" x14ac:dyDescent="0.35">
      <c r="A660">
        <v>211260</v>
      </c>
      <c r="B660">
        <v>6246</v>
      </c>
      <c r="C660" t="s">
        <v>768</v>
      </c>
      <c r="D660" t="s">
        <v>545</v>
      </c>
      <c r="E660" t="s">
        <v>567</v>
      </c>
      <c r="F660">
        <v>21747</v>
      </c>
      <c r="G660">
        <v>1</v>
      </c>
      <c r="H660" t="s">
        <v>16</v>
      </c>
      <c r="I660" s="1">
        <v>-320800</v>
      </c>
      <c r="J660" s="1">
        <v>-4340400</v>
      </c>
      <c r="K660">
        <v>41</v>
      </c>
      <c r="L660">
        <v>1207</v>
      </c>
      <c r="M660" t="s">
        <v>16</v>
      </c>
    </row>
    <row r="661" spans="1:13" x14ac:dyDescent="0.35">
      <c r="A661">
        <v>211270</v>
      </c>
      <c r="B661">
        <v>6254</v>
      </c>
      <c r="C661" t="s">
        <v>769</v>
      </c>
      <c r="D661" t="s">
        <v>545</v>
      </c>
      <c r="E661" t="s">
        <v>610</v>
      </c>
      <c r="F661">
        <v>43228</v>
      </c>
      <c r="G661">
        <v>1</v>
      </c>
      <c r="H661" t="s">
        <v>16</v>
      </c>
      <c r="I661" s="1">
        <v>-354300</v>
      </c>
      <c r="J661" s="1">
        <v>-4391600</v>
      </c>
      <c r="K661">
        <v>43</v>
      </c>
      <c r="L661">
        <v>1957</v>
      </c>
      <c r="M661" t="s">
        <v>16</v>
      </c>
    </row>
    <row r="662" spans="1:13" x14ac:dyDescent="0.35">
      <c r="A662">
        <v>211280</v>
      </c>
      <c r="B662">
        <v>6262</v>
      </c>
      <c r="C662" t="s">
        <v>770</v>
      </c>
      <c r="D662" t="s">
        <v>545</v>
      </c>
      <c r="E662" t="s">
        <v>565</v>
      </c>
      <c r="F662">
        <v>47466</v>
      </c>
      <c r="G662">
        <v>1</v>
      </c>
      <c r="H662" t="s">
        <v>16</v>
      </c>
      <c r="I662" s="1">
        <v>-322000</v>
      </c>
      <c r="J662" s="1">
        <v>-4500400</v>
      </c>
      <c r="K662">
        <v>22</v>
      </c>
      <c r="L662">
        <v>1162</v>
      </c>
      <c r="M662" t="s">
        <v>16</v>
      </c>
    </row>
    <row r="663" spans="1:13" x14ac:dyDescent="0.35">
      <c r="A663">
        <v>211285</v>
      </c>
      <c r="B663">
        <v>57886</v>
      </c>
      <c r="C663" t="s">
        <v>771</v>
      </c>
      <c r="D663" t="s">
        <v>545</v>
      </c>
      <c r="E663" t="s">
        <v>546</v>
      </c>
      <c r="F663">
        <v>8671</v>
      </c>
      <c r="G663">
        <v>1</v>
      </c>
      <c r="H663" t="s">
        <v>16</v>
      </c>
      <c r="I663" s="1">
        <v>-518800</v>
      </c>
      <c r="J663" s="1">
        <v>-4813600</v>
      </c>
      <c r="K663">
        <v>307</v>
      </c>
      <c r="L663">
        <v>1188</v>
      </c>
      <c r="M663" t="s">
        <v>16</v>
      </c>
    </row>
    <row r="664" spans="1:13" x14ac:dyDescent="0.35">
      <c r="A664">
        <v>211290</v>
      </c>
      <c r="B664">
        <v>6270</v>
      </c>
      <c r="C664" t="s">
        <v>772</v>
      </c>
      <c r="D664" t="s">
        <v>545</v>
      </c>
      <c r="E664" t="s">
        <v>565</v>
      </c>
      <c r="F664">
        <v>30935</v>
      </c>
      <c r="G664">
        <v>1</v>
      </c>
      <c r="H664" t="s">
        <v>16</v>
      </c>
      <c r="I664" s="1">
        <v>-346200</v>
      </c>
      <c r="J664" s="1">
        <v>-4487100</v>
      </c>
      <c r="K664">
        <v>13</v>
      </c>
      <c r="L664">
        <v>726</v>
      </c>
      <c r="M664" t="s">
        <v>16</v>
      </c>
    </row>
    <row r="665" spans="1:13" x14ac:dyDescent="0.35">
      <c r="A665">
        <v>211300</v>
      </c>
      <c r="B665">
        <v>6289</v>
      </c>
      <c r="C665" t="s">
        <v>773</v>
      </c>
      <c r="D665" t="s">
        <v>545</v>
      </c>
      <c r="E665" t="s">
        <v>556</v>
      </c>
      <c r="F665">
        <v>30235</v>
      </c>
      <c r="G665">
        <v>1</v>
      </c>
      <c r="H665" t="s">
        <v>16</v>
      </c>
      <c r="I665" s="1">
        <v>-428200</v>
      </c>
      <c r="J665" s="1">
        <v>-4525100</v>
      </c>
      <c r="K665">
        <v>50</v>
      </c>
      <c r="L665">
        <v>1122</v>
      </c>
      <c r="M665" t="s">
        <v>16</v>
      </c>
    </row>
    <row r="666" spans="1:13" x14ac:dyDescent="0.35">
      <c r="A666">
        <v>211400</v>
      </c>
      <c r="B666">
        <v>28339</v>
      </c>
      <c r="C666" t="s">
        <v>774</v>
      </c>
      <c r="D666" t="s">
        <v>545</v>
      </c>
      <c r="E666" t="s">
        <v>556</v>
      </c>
      <c r="F666">
        <v>45008</v>
      </c>
      <c r="G666">
        <v>1</v>
      </c>
      <c r="H666" t="s">
        <v>16</v>
      </c>
      <c r="I666" s="1">
        <v>-324300</v>
      </c>
      <c r="J666" s="1">
        <v>-4582400</v>
      </c>
      <c r="K666">
        <v>0</v>
      </c>
      <c r="L666">
        <v>2413</v>
      </c>
      <c r="M666" t="s">
        <v>16</v>
      </c>
    </row>
    <row r="667" spans="1:13" x14ac:dyDescent="0.35">
      <c r="A667">
        <v>220005</v>
      </c>
      <c r="B667">
        <v>54445</v>
      </c>
      <c r="C667" t="s">
        <v>775</v>
      </c>
      <c r="D667" t="s">
        <v>776</v>
      </c>
      <c r="E667" t="s">
        <v>777</v>
      </c>
      <c r="F667">
        <v>6300</v>
      </c>
      <c r="G667">
        <v>1</v>
      </c>
      <c r="H667" t="s">
        <v>16</v>
      </c>
      <c r="I667" s="1">
        <v>-821500</v>
      </c>
      <c r="J667" s="1">
        <v>-4108200</v>
      </c>
      <c r="K667">
        <v>374</v>
      </c>
      <c r="L667">
        <v>1029</v>
      </c>
      <c r="M667" t="s">
        <v>16</v>
      </c>
    </row>
    <row r="668" spans="1:13" x14ac:dyDescent="0.35">
      <c r="A668">
        <v>220010</v>
      </c>
      <c r="B668">
        <v>6416</v>
      </c>
      <c r="C668" t="s">
        <v>778</v>
      </c>
      <c r="D668" t="s">
        <v>776</v>
      </c>
      <c r="E668" t="s">
        <v>779</v>
      </c>
      <c r="F668">
        <v>4980</v>
      </c>
      <c r="G668">
        <v>1</v>
      </c>
      <c r="H668" t="s">
        <v>16</v>
      </c>
      <c r="I668" s="1">
        <v>-579900</v>
      </c>
      <c r="J668" s="1">
        <v>-4266900</v>
      </c>
      <c r="K668">
        <v>230</v>
      </c>
      <c r="L668">
        <v>112</v>
      </c>
      <c r="M668" t="s">
        <v>16</v>
      </c>
    </row>
    <row r="669" spans="1:13" x14ac:dyDescent="0.35">
      <c r="A669">
        <v>220020</v>
      </c>
      <c r="B669">
        <v>6424</v>
      </c>
      <c r="C669" t="s">
        <v>780</v>
      </c>
      <c r="D669" t="s">
        <v>776</v>
      </c>
      <c r="E669" t="s">
        <v>779</v>
      </c>
      <c r="F669">
        <v>15887</v>
      </c>
      <c r="G669">
        <v>1</v>
      </c>
      <c r="H669" t="s">
        <v>16</v>
      </c>
      <c r="I669" s="1">
        <v>-589000</v>
      </c>
      <c r="J669" s="1">
        <v>-4263800</v>
      </c>
      <c r="K669">
        <v>240</v>
      </c>
      <c r="L669">
        <v>97</v>
      </c>
      <c r="M669" t="s">
        <v>16</v>
      </c>
    </row>
    <row r="670" spans="1:13" x14ac:dyDescent="0.35">
      <c r="A670">
        <v>220025</v>
      </c>
      <c r="B670">
        <v>45489</v>
      </c>
      <c r="C670" t="s">
        <v>781</v>
      </c>
      <c r="D670" t="s">
        <v>776</v>
      </c>
      <c r="E670" t="s">
        <v>782</v>
      </c>
      <c r="F670">
        <v>7447</v>
      </c>
      <c r="G670">
        <v>1</v>
      </c>
      <c r="H670" t="s">
        <v>16</v>
      </c>
      <c r="I670" s="1">
        <v>-700800</v>
      </c>
      <c r="J670" s="1">
        <v>-4093900</v>
      </c>
      <c r="K670">
        <v>375</v>
      </c>
      <c r="L670">
        <v>448</v>
      </c>
      <c r="M670" t="s">
        <v>16</v>
      </c>
    </row>
    <row r="671" spans="1:13" x14ac:dyDescent="0.35">
      <c r="A671">
        <v>220027</v>
      </c>
      <c r="B671">
        <v>50016</v>
      </c>
      <c r="C671" t="s">
        <v>783</v>
      </c>
      <c r="D671" t="s">
        <v>776</v>
      </c>
      <c r="E671" t="s">
        <v>782</v>
      </c>
      <c r="F671">
        <v>4482</v>
      </c>
      <c r="G671">
        <v>1</v>
      </c>
      <c r="H671" t="s">
        <v>16</v>
      </c>
      <c r="I671" s="1">
        <v>-724300</v>
      </c>
      <c r="J671" s="1">
        <v>-4085800</v>
      </c>
      <c r="K671">
        <v>0</v>
      </c>
      <c r="L671">
        <v>281</v>
      </c>
      <c r="M671" t="s">
        <v>16</v>
      </c>
    </row>
    <row r="672" spans="1:13" x14ac:dyDescent="0.35">
      <c r="A672">
        <v>220030</v>
      </c>
      <c r="B672">
        <v>6432</v>
      </c>
      <c r="C672" t="s">
        <v>784</v>
      </c>
      <c r="D672" t="s">
        <v>776</v>
      </c>
      <c r="E672" t="s">
        <v>785</v>
      </c>
      <c r="F672">
        <v>13612</v>
      </c>
      <c r="G672">
        <v>1</v>
      </c>
      <c r="H672" t="s">
        <v>16</v>
      </c>
      <c r="I672" s="1">
        <v>-525100</v>
      </c>
      <c r="J672" s="1">
        <v>-4221000</v>
      </c>
      <c r="K672">
        <v>170</v>
      </c>
      <c r="L672">
        <v>1621</v>
      </c>
      <c r="M672" t="s">
        <v>16</v>
      </c>
    </row>
    <row r="673" spans="1:13" x14ac:dyDescent="0.35">
      <c r="A673">
        <v>220040</v>
      </c>
      <c r="B673">
        <v>6440</v>
      </c>
      <c r="C673" t="s">
        <v>786</v>
      </c>
      <c r="D673" t="s">
        <v>776</v>
      </c>
      <c r="E673" t="s">
        <v>787</v>
      </c>
      <c r="F673">
        <v>38328</v>
      </c>
      <c r="G673">
        <v>4</v>
      </c>
      <c r="H673" t="s">
        <v>761</v>
      </c>
      <c r="I673" s="1">
        <v>-503900</v>
      </c>
      <c r="J673" s="1">
        <v>-4246100</v>
      </c>
      <c r="K673">
        <v>180</v>
      </c>
      <c r="L673">
        <v>957</v>
      </c>
      <c r="M673" t="s">
        <v>16</v>
      </c>
    </row>
    <row r="674" spans="1:13" x14ac:dyDescent="0.35">
      <c r="A674">
        <v>220045</v>
      </c>
      <c r="B674">
        <v>54453</v>
      </c>
      <c r="C674" t="s">
        <v>788</v>
      </c>
      <c r="D674" t="s">
        <v>776</v>
      </c>
      <c r="E674" t="s">
        <v>789</v>
      </c>
      <c r="F674">
        <v>4976</v>
      </c>
      <c r="G674">
        <v>1</v>
      </c>
      <c r="H674" t="s">
        <v>16</v>
      </c>
      <c r="I674" s="1">
        <v>-842400</v>
      </c>
      <c r="J674" s="1">
        <v>-4377700</v>
      </c>
      <c r="K674">
        <v>281</v>
      </c>
      <c r="L674">
        <v>2131</v>
      </c>
      <c r="M674" t="s">
        <v>16</v>
      </c>
    </row>
    <row r="675" spans="1:13" x14ac:dyDescent="0.35">
      <c r="A675">
        <v>220050</v>
      </c>
      <c r="B675">
        <v>6459</v>
      </c>
      <c r="C675" t="s">
        <v>790</v>
      </c>
      <c r="D675" t="s">
        <v>776</v>
      </c>
      <c r="E675" t="s">
        <v>779</v>
      </c>
      <c r="F675">
        <v>17316</v>
      </c>
      <c r="G675">
        <v>1</v>
      </c>
      <c r="H675" t="s">
        <v>16</v>
      </c>
      <c r="I675" s="1">
        <v>-624100</v>
      </c>
      <c r="J675" s="1">
        <v>-4285500</v>
      </c>
      <c r="K675">
        <v>104</v>
      </c>
      <c r="L675">
        <v>1304</v>
      </c>
      <c r="M675" t="s">
        <v>16</v>
      </c>
    </row>
    <row r="676" spans="1:13" x14ac:dyDescent="0.35">
      <c r="A676">
        <v>220060</v>
      </c>
      <c r="B676">
        <v>6467</v>
      </c>
      <c r="C676" t="s">
        <v>791</v>
      </c>
      <c r="D676" t="s">
        <v>776</v>
      </c>
      <c r="E676" t="s">
        <v>779</v>
      </c>
      <c r="F676">
        <v>6609</v>
      </c>
      <c r="G676">
        <v>1</v>
      </c>
      <c r="H676" t="s">
        <v>16</v>
      </c>
      <c r="I676" s="1">
        <v>-608600</v>
      </c>
      <c r="J676" s="1">
        <v>-4273900</v>
      </c>
      <c r="K676">
        <v>192</v>
      </c>
      <c r="L676">
        <v>201</v>
      </c>
      <c r="M676" t="s">
        <v>16</v>
      </c>
    </row>
    <row r="677" spans="1:13" x14ac:dyDescent="0.35">
      <c r="A677">
        <v>220070</v>
      </c>
      <c r="B677">
        <v>6475</v>
      </c>
      <c r="C677" t="s">
        <v>792</v>
      </c>
      <c r="D677" t="s">
        <v>776</v>
      </c>
      <c r="E677" t="s">
        <v>793</v>
      </c>
      <c r="F677">
        <v>8197</v>
      </c>
      <c r="G677">
        <v>1</v>
      </c>
      <c r="H677" t="s">
        <v>16</v>
      </c>
      <c r="I677" s="1">
        <v>-918900</v>
      </c>
      <c r="J677" s="1">
        <v>-4304600</v>
      </c>
      <c r="K677">
        <v>440</v>
      </c>
      <c r="L677">
        <v>326</v>
      </c>
      <c r="M677" t="s">
        <v>16</v>
      </c>
    </row>
    <row r="678" spans="1:13" x14ac:dyDescent="0.35">
      <c r="A678">
        <v>220080</v>
      </c>
      <c r="B678">
        <v>6483</v>
      </c>
      <c r="C678" t="s">
        <v>794</v>
      </c>
      <c r="D678" t="s">
        <v>776</v>
      </c>
      <c r="E678" t="s">
        <v>795</v>
      </c>
      <c r="F678">
        <v>3140</v>
      </c>
      <c r="G678">
        <v>1</v>
      </c>
      <c r="H678" t="s">
        <v>16</v>
      </c>
      <c r="I678" s="1">
        <v>-721900</v>
      </c>
      <c r="J678" s="1">
        <v>-4419800</v>
      </c>
      <c r="K678">
        <v>240</v>
      </c>
      <c r="L678">
        <v>652</v>
      </c>
      <c r="M678" t="s">
        <v>16</v>
      </c>
    </row>
    <row r="679" spans="1:13" x14ac:dyDescent="0.35">
      <c r="A679">
        <v>220090</v>
      </c>
      <c r="B679">
        <v>6491</v>
      </c>
      <c r="C679" t="s">
        <v>796</v>
      </c>
      <c r="D679" t="s">
        <v>776</v>
      </c>
      <c r="E679" t="s">
        <v>797</v>
      </c>
      <c r="F679">
        <v>5857</v>
      </c>
      <c r="G679">
        <v>1</v>
      </c>
      <c r="H679" t="s">
        <v>16</v>
      </c>
      <c r="I679" s="1">
        <v>-611900</v>
      </c>
      <c r="J679" s="1">
        <v>-4179300</v>
      </c>
      <c r="K679">
        <v>230</v>
      </c>
      <c r="L679">
        <v>816</v>
      </c>
      <c r="M679" t="s">
        <v>16</v>
      </c>
    </row>
    <row r="680" spans="1:13" x14ac:dyDescent="0.35">
      <c r="A680">
        <v>220095</v>
      </c>
      <c r="B680">
        <v>60135</v>
      </c>
      <c r="C680" t="s">
        <v>798</v>
      </c>
      <c r="D680" t="s">
        <v>776</v>
      </c>
      <c r="E680" t="s">
        <v>799</v>
      </c>
      <c r="F680">
        <v>2654</v>
      </c>
      <c r="G680">
        <v>1</v>
      </c>
      <c r="H680" t="s">
        <v>16</v>
      </c>
      <c r="I680" s="1">
        <v>-727600</v>
      </c>
      <c r="J680" s="1">
        <v>-4156400</v>
      </c>
      <c r="K680">
        <v>0</v>
      </c>
      <c r="L680">
        <v>0</v>
      </c>
      <c r="M680" t="s">
        <v>16</v>
      </c>
    </row>
    <row r="681" spans="1:13" x14ac:dyDescent="0.35">
      <c r="A681">
        <v>220100</v>
      </c>
      <c r="B681">
        <v>6505</v>
      </c>
      <c r="C681" t="s">
        <v>800</v>
      </c>
      <c r="D681" t="s">
        <v>776</v>
      </c>
      <c r="E681" t="s">
        <v>779</v>
      </c>
      <c r="F681">
        <v>5002</v>
      </c>
      <c r="G681">
        <v>1</v>
      </c>
      <c r="H681" t="s">
        <v>16</v>
      </c>
      <c r="I681" s="1">
        <v>-665500</v>
      </c>
      <c r="J681" s="1">
        <v>-4253200</v>
      </c>
      <c r="K681">
        <v>155</v>
      </c>
      <c r="L681">
        <v>635</v>
      </c>
      <c r="M681" t="s">
        <v>16</v>
      </c>
    </row>
    <row r="682" spans="1:13" x14ac:dyDescent="0.35">
      <c r="A682">
        <v>220105</v>
      </c>
      <c r="B682">
        <v>54461</v>
      </c>
      <c r="C682" t="s">
        <v>801</v>
      </c>
      <c r="D682" t="s">
        <v>776</v>
      </c>
      <c r="E682" t="s">
        <v>785</v>
      </c>
      <c r="F682">
        <v>8011</v>
      </c>
      <c r="G682">
        <v>1</v>
      </c>
      <c r="H682" t="s">
        <v>16</v>
      </c>
      <c r="I682" s="1">
        <v>-519800</v>
      </c>
      <c r="J682" s="1">
        <v>-4104400</v>
      </c>
      <c r="K682">
        <v>532</v>
      </c>
      <c r="L682">
        <v>1690</v>
      </c>
      <c r="M682" t="s">
        <v>16</v>
      </c>
    </row>
    <row r="683" spans="1:13" x14ac:dyDescent="0.35">
      <c r="A683">
        <v>220110</v>
      </c>
      <c r="B683">
        <v>6513</v>
      </c>
      <c r="C683" t="s">
        <v>802</v>
      </c>
      <c r="D683" t="s">
        <v>776</v>
      </c>
      <c r="E683" t="s">
        <v>803</v>
      </c>
      <c r="F683">
        <v>11507</v>
      </c>
      <c r="G683">
        <v>1</v>
      </c>
      <c r="H683" t="s">
        <v>16</v>
      </c>
      <c r="I683" s="1">
        <v>-1013700</v>
      </c>
      <c r="J683" s="1">
        <v>-4394900</v>
      </c>
      <c r="K683">
        <v>437</v>
      </c>
      <c r="L683">
        <v>1209</v>
      </c>
      <c r="M683" t="s">
        <v>16</v>
      </c>
    </row>
    <row r="684" spans="1:13" x14ac:dyDescent="0.35">
      <c r="A684">
        <v>220115</v>
      </c>
      <c r="B684">
        <v>50024</v>
      </c>
      <c r="C684" t="s">
        <v>804</v>
      </c>
      <c r="D684" t="s">
        <v>776</v>
      </c>
      <c r="E684" t="s">
        <v>805</v>
      </c>
      <c r="F684">
        <v>10232</v>
      </c>
      <c r="G684">
        <v>1</v>
      </c>
      <c r="H684" t="s">
        <v>16</v>
      </c>
      <c r="I684" s="1">
        <v>-785000</v>
      </c>
      <c r="J684" s="1">
        <v>-4521400</v>
      </c>
      <c r="K684">
        <v>325</v>
      </c>
      <c r="L684">
        <v>7808</v>
      </c>
      <c r="M684" t="s">
        <v>16</v>
      </c>
    </row>
    <row r="685" spans="1:13" x14ac:dyDescent="0.35">
      <c r="A685">
        <v>220117</v>
      </c>
      <c r="B685">
        <v>54470</v>
      </c>
      <c r="C685" t="s">
        <v>806</v>
      </c>
      <c r="D685" t="s">
        <v>776</v>
      </c>
      <c r="E685" t="s">
        <v>797</v>
      </c>
      <c r="F685">
        <v>3774</v>
      </c>
      <c r="G685">
        <v>1</v>
      </c>
      <c r="H685" t="s">
        <v>16</v>
      </c>
      <c r="I685" s="1">
        <v>-651700</v>
      </c>
      <c r="J685" s="1">
        <v>-4211400</v>
      </c>
      <c r="K685">
        <v>310</v>
      </c>
      <c r="L685">
        <v>351</v>
      </c>
      <c r="M685" t="s">
        <v>16</v>
      </c>
    </row>
    <row r="686" spans="1:13" x14ac:dyDescent="0.35">
      <c r="A686">
        <v>220120</v>
      </c>
      <c r="B686">
        <v>6521</v>
      </c>
      <c r="C686" t="s">
        <v>807</v>
      </c>
      <c r="D686" t="s">
        <v>776</v>
      </c>
      <c r="E686" t="s">
        <v>808</v>
      </c>
      <c r="F686">
        <v>50000</v>
      </c>
      <c r="G686">
        <v>1</v>
      </c>
      <c r="H686" t="s">
        <v>16</v>
      </c>
      <c r="I686" s="1">
        <v>-424700</v>
      </c>
      <c r="J686" s="1">
        <v>-4229600</v>
      </c>
      <c r="K686">
        <v>70</v>
      </c>
      <c r="L686">
        <v>1721</v>
      </c>
      <c r="M686" t="s">
        <v>16</v>
      </c>
    </row>
    <row r="687" spans="1:13" x14ac:dyDescent="0.35">
      <c r="A687">
        <v>220130</v>
      </c>
      <c r="B687">
        <v>6530</v>
      </c>
      <c r="C687" t="s">
        <v>809</v>
      </c>
      <c r="D687" t="s">
        <v>776</v>
      </c>
      <c r="E687" t="s">
        <v>789</v>
      </c>
      <c r="F687">
        <v>3355</v>
      </c>
      <c r="G687">
        <v>1</v>
      </c>
      <c r="H687" t="s">
        <v>16</v>
      </c>
      <c r="I687" s="1">
        <v>-992500</v>
      </c>
      <c r="J687" s="1">
        <v>-4547500</v>
      </c>
      <c r="K687">
        <v>400</v>
      </c>
      <c r="L687">
        <v>2028</v>
      </c>
      <c r="M687" t="s">
        <v>16</v>
      </c>
    </row>
    <row r="688" spans="1:13" x14ac:dyDescent="0.35">
      <c r="A688">
        <v>220140</v>
      </c>
      <c r="B688">
        <v>6548</v>
      </c>
      <c r="C688" t="s">
        <v>810</v>
      </c>
      <c r="D688" t="s">
        <v>776</v>
      </c>
      <c r="E688" t="s">
        <v>779</v>
      </c>
      <c r="F688">
        <v>6661</v>
      </c>
      <c r="G688">
        <v>1</v>
      </c>
      <c r="H688" t="s">
        <v>16</v>
      </c>
      <c r="I688" s="1">
        <v>-581800</v>
      </c>
      <c r="J688" s="1">
        <v>-4251300</v>
      </c>
      <c r="K688">
        <v>200</v>
      </c>
      <c r="L688">
        <v>131</v>
      </c>
      <c r="M688" t="s">
        <v>16</v>
      </c>
    </row>
    <row r="689" spans="1:13" x14ac:dyDescent="0.35">
      <c r="A689">
        <v>220150</v>
      </c>
      <c r="B689">
        <v>6556</v>
      </c>
      <c r="C689" t="s">
        <v>811</v>
      </c>
      <c r="D689" t="s">
        <v>776</v>
      </c>
      <c r="E689" t="s">
        <v>808</v>
      </c>
      <c r="F689">
        <v>25724</v>
      </c>
      <c r="G689">
        <v>1</v>
      </c>
      <c r="H689" t="s">
        <v>16</v>
      </c>
      <c r="I689" s="1">
        <v>-402400</v>
      </c>
      <c r="J689" s="1">
        <v>-4207800</v>
      </c>
      <c r="K689">
        <v>150</v>
      </c>
      <c r="L689">
        <v>1588</v>
      </c>
      <c r="M689" t="s">
        <v>16</v>
      </c>
    </row>
    <row r="690" spans="1:13" x14ac:dyDescent="0.35">
      <c r="A690">
        <v>220155</v>
      </c>
      <c r="B690">
        <v>54488</v>
      </c>
      <c r="C690" t="s">
        <v>812</v>
      </c>
      <c r="D690" t="s">
        <v>776</v>
      </c>
      <c r="E690" t="s">
        <v>777</v>
      </c>
      <c r="F690">
        <v>3344</v>
      </c>
      <c r="G690">
        <v>1</v>
      </c>
      <c r="H690" t="s">
        <v>16</v>
      </c>
      <c r="I690" s="1">
        <v>-798900</v>
      </c>
      <c r="J690" s="1">
        <v>-4186800</v>
      </c>
      <c r="K690">
        <v>330</v>
      </c>
      <c r="L690">
        <v>312</v>
      </c>
      <c r="M690" t="s">
        <v>16</v>
      </c>
    </row>
    <row r="691" spans="1:13" x14ac:dyDescent="0.35">
      <c r="A691">
        <v>220157</v>
      </c>
      <c r="B691">
        <v>54496</v>
      </c>
      <c r="C691" t="s">
        <v>813</v>
      </c>
      <c r="D691" t="s">
        <v>776</v>
      </c>
      <c r="E691" t="s">
        <v>777</v>
      </c>
      <c r="F691">
        <v>2788</v>
      </c>
      <c r="G691">
        <v>1</v>
      </c>
      <c r="H691" t="s">
        <v>16</v>
      </c>
      <c r="I691" s="1">
        <v>-737600</v>
      </c>
      <c r="J691" s="1">
        <v>-4097200</v>
      </c>
      <c r="K691">
        <v>340</v>
      </c>
      <c r="L691">
        <v>220</v>
      </c>
      <c r="M691" t="s">
        <v>16</v>
      </c>
    </row>
    <row r="692" spans="1:13" x14ac:dyDescent="0.35">
      <c r="A692">
        <v>220160</v>
      </c>
      <c r="B692">
        <v>6564</v>
      </c>
      <c r="C692" t="s">
        <v>814</v>
      </c>
      <c r="D692" t="s">
        <v>776</v>
      </c>
      <c r="E692" t="s">
        <v>787</v>
      </c>
      <c r="F692">
        <v>9560</v>
      </c>
      <c r="G692">
        <v>4</v>
      </c>
      <c r="H692" t="s">
        <v>761</v>
      </c>
      <c r="I692" s="1">
        <v>-545500</v>
      </c>
      <c r="J692" s="1">
        <v>-4236000</v>
      </c>
      <c r="K692">
        <v>150</v>
      </c>
      <c r="L692">
        <v>792</v>
      </c>
      <c r="M692" t="s">
        <v>16</v>
      </c>
    </row>
    <row r="693" spans="1:13" x14ac:dyDescent="0.35">
      <c r="A693">
        <v>220170</v>
      </c>
      <c r="B693">
        <v>6572</v>
      </c>
      <c r="C693" t="s">
        <v>815</v>
      </c>
      <c r="D693" t="s">
        <v>776</v>
      </c>
      <c r="E693" t="s">
        <v>795</v>
      </c>
      <c r="F693">
        <v>5302</v>
      </c>
      <c r="G693">
        <v>1</v>
      </c>
      <c r="H693" t="s">
        <v>16</v>
      </c>
      <c r="I693" s="1">
        <v>-764100</v>
      </c>
      <c r="J693" s="1">
        <v>-4395100</v>
      </c>
      <c r="K693">
        <v>271</v>
      </c>
      <c r="L693">
        <v>1225</v>
      </c>
      <c r="M693" t="s">
        <v>16</v>
      </c>
    </row>
    <row r="694" spans="1:13" x14ac:dyDescent="0.35">
      <c r="A694">
        <v>220173</v>
      </c>
      <c r="B694">
        <v>54500</v>
      </c>
      <c r="C694" t="s">
        <v>816</v>
      </c>
      <c r="D694" t="s">
        <v>776</v>
      </c>
      <c r="E694" t="s">
        <v>777</v>
      </c>
      <c r="F694">
        <v>9312</v>
      </c>
      <c r="G694">
        <v>1</v>
      </c>
      <c r="H694" t="s">
        <v>16</v>
      </c>
      <c r="I694" s="1">
        <v>-814800</v>
      </c>
      <c r="J694" s="1">
        <v>-4079600</v>
      </c>
      <c r="K694">
        <v>480</v>
      </c>
      <c r="L694">
        <v>1092</v>
      </c>
      <c r="M694" t="s">
        <v>16</v>
      </c>
    </row>
    <row r="695" spans="1:13" x14ac:dyDescent="0.35">
      <c r="A695">
        <v>220177</v>
      </c>
      <c r="B695">
        <v>54518</v>
      </c>
      <c r="C695" t="s">
        <v>817</v>
      </c>
      <c r="D695" t="s">
        <v>776</v>
      </c>
      <c r="E695" t="s">
        <v>808</v>
      </c>
      <c r="F695">
        <v>6086</v>
      </c>
      <c r="G695">
        <v>1</v>
      </c>
      <c r="H695" t="s">
        <v>16</v>
      </c>
      <c r="I695" s="1">
        <v>-441100</v>
      </c>
      <c r="J695" s="1">
        <v>-4208600</v>
      </c>
      <c r="K695">
        <v>121</v>
      </c>
      <c r="L695">
        <v>335</v>
      </c>
      <c r="M695" t="s">
        <v>16</v>
      </c>
    </row>
    <row r="696" spans="1:13" x14ac:dyDescent="0.35">
      <c r="A696">
        <v>220180</v>
      </c>
      <c r="B696">
        <v>6580</v>
      </c>
      <c r="C696" t="s">
        <v>818</v>
      </c>
      <c r="D696" t="s">
        <v>776</v>
      </c>
      <c r="E696" t="s">
        <v>799</v>
      </c>
      <c r="F696">
        <v>4039</v>
      </c>
      <c r="G696">
        <v>1</v>
      </c>
      <c r="H696" t="s">
        <v>16</v>
      </c>
      <c r="I696" s="1">
        <v>-694300</v>
      </c>
      <c r="J696" s="1">
        <v>-4132300</v>
      </c>
      <c r="K696">
        <v>235</v>
      </c>
      <c r="L696">
        <v>257</v>
      </c>
      <c r="M696" t="s">
        <v>16</v>
      </c>
    </row>
    <row r="697" spans="1:13" x14ac:dyDescent="0.35">
      <c r="A697">
        <v>220190</v>
      </c>
      <c r="B697">
        <v>6599</v>
      </c>
      <c r="C697" t="s">
        <v>819</v>
      </c>
      <c r="D697" t="s">
        <v>776</v>
      </c>
      <c r="E697" t="s">
        <v>789</v>
      </c>
      <c r="F697">
        <v>19532</v>
      </c>
      <c r="G697">
        <v>1</v>
      </c>
      <c r="H697" t="s">
        <v>16</v>
      </c>
      <c r="I697" s="1">
        <v>-907400</v>
      </c>
      <c r="J697" s="1">
        <v>-4435900</v>
      </c>
      <c r="K697">
        <v>277</v>
      </c>
      <c r="L697">
        <v>5469</v>
      </c>
      <c r="M697" t="s">
        <v>16</v>
      </c>
    </row>
    <row r="698" spans="1:13" x14ac:dyDescent="0.35">
      <c r="A698">
        <v>220191</v>
      </c>
      <c r="B698">
        <v>50032</v>
      </c>
      <c r="C698" t="s">
        <v>820</v>
      </c>
      <c r="D698" t="s">
        <v>776</v>
      </c>
      <c r="E698" t="s">
        <v>821</v>
      </c>
      <c r="F698">
        <v>5276</v>
      </c>
      <c r="G698">
        <v>1</v>
      </c>
      <c r="H698" t="s">
        <v>16</v>
      </c>
      <c r="I698" s="1">
        <v>-319100</v>
      </c>
      <c r="J698" s="1">
        <v>-4164500</v>
      </c>
      <c r="K698">
        <v>70</v>
      </c>
      <c r="L698">
        <v>521</v>
      </c>
      <c r="M698" t="s">
        <v>16</v>
      </c>
    </row>
    <row r="699" spans="1:13" x14ac:dyDescent="0.35">
      <c r="A699">
        <v>220192</v>
      </c>
      <c r="B699">
        <v>50040</v>
      </c>
      <c r="C699" t="s">
        <v>822</v>
      </c>
      <c r="D699" t="s">
        <v>776</v>
      </c>
      <c r="E699" t="s">
        <v>793</v>
      </c>
      <c r="F699">
        <v>5185</v>
      </c>
      <c r="G699">
        <v>1</v>
      </c>
      <c r="H699" t="s">
        <v>16</v>
      </c>
      <c r="I699" s="1">
        <v>-916600</v>
      </c>
      <c r="J699" s="1">
        <v>-4287400</v>
      </c>
      <c r="K699">
        <v>0</v>
      </c>
      <c r="L699">
        <v>293</v>
      </c>
      <c r="M699" t="s">
        <v>16</v>
      </c>
    </row>
    <row r="700" spans="1:13" x14ac:dyDescent="0.35">
      <c r="A700">
        <v>220194</v>
      </c>
      <c r="B700">
        <v>54526</v>
      </c>
      <c r="C700" t="s">
        <v>823</v>
      </c>
      <c r="D700" t="s">
        <v>776</v>
      </c>
      <c r="E700" t="s">
        <v>785</v>
      </c>
      <c r="F700">
        <v>6325</v>
      </c>
      <c r="G700">
        <v>1</v>
      </c>
      <c r="H700" t="s">
        <v>16</v>
      </c>
      <c r="I700" s="1">
        <v>-448700</v>
      </c>
      <c r="J700" s="1">
        <v>-4207400</v>
      </c>
      <c r="K700">
        <v>123</v>
      </c>
      <c r="L700">
        <v>281</v>
      </c>
      <c r="M700" t="s">
        <v>16</v>
      </c>
    </row>
    <row r="701" spans="1:13" x14ac:dyDescent="0.35">
      <c r="A701">
        <v>220196</v>
      </c>
      <c r="B701">
        <v>50059</v>
      </c>
      <c r="C701" t="s">
        <v>824</v>
      </c>
      <c r="D701" t="s">
        <v>776</v>
      </c>
      <c r="E701" t="s">
        <v>808</v>
      </c>
      <c r="F701">
        <v>50000</v>
      </c>
      <c r="G701">
        <v>1</v>
      </c>
      <c r="H701" t="s">
        <v>16</v>
      </c>
      <c r="I701" s="1">
        <v>-413100</v>
      </c>
      <c r="J701" s="1">
        <v>-4178200</v>
      </c>
      <c r="K701">
        <v>180</v>
      </c>
      <c r="L701">
        <v>880</v>
      </c>
      <c r="M701" t="s">
        <v>16</v>
      </c>
    </row>
    <row r="702" spans="1:13" x14ac:dyDescent="0.35">
      <c r="A702">
        <v>220198</v>
      </c>
      <c r="B702">
        <v>54534</v>
      </c>
      <c r="C702" t="s">
        <v>825</v>
      </c>
      <c r="D702" t="s">
        <v>776</v>
      </c>
      <c r="E702" t="s">
        <v>793</v>
      </c>
      <c r="F702">
        <v>3181</v>
      </c>
      <c r="G702">
        <v>1</v>
      </c>
      <c r="H702" t="s">
        <v>16</v>
      </c>
      <c r="I702" s="1">
        <v>-821400</v>
      </c>
      <c r="J702" s="1">
        <v>-4282600</v>
      </c>
      <c r="K702">
        <v>297</v>
      </c>
      <c r="L702">
        <v>2212</v>
      </c>
      <c r="M702" t="s">
        <v>16</v>
      </c>
    </row>
    <row r="703" spans="1:13" x14ac:dyDescent="0.35">
      <c r="A703">
        <v>220200</v>
      </c>
      <c r="B703">
        <v>6602</v>
      </c>
      <c r="C703" t="s">
        <v>826</v>
      </c>
      <c r="D703" t="s">
        <v>776</v>
      </c>
      <c r="E703" t="s">
        <v>821</v>
      </c>
      <c r="F703">
        <v>19150</v>
      </c>
      <c r="G703">
        <v>1</v>
      </c>
      <c r="H703" t="s">
        <v>16</v>
      </c>
      <c r="I703" s="1">
        <v>-317500</v>
      </c>
      <c r="J703" s="1">
        <v>-4186700</v>
      </c>
      <c r="K703">
        <v>50</v>
      </c>
      <c r="L703">
        <v>691</v>
      </c>
      <c r="M703" t="s">
        <v>16</v>
      </c>
    </row>
    <row r="704" spans="1:13" x14ac:dyDescent="0.35">
      <c r="A704">
        <v>220202</v>
      </c>
      <c r="B704">
        <v>50067</v>
      </c>
      <c r="C704" t="s">
        <v>827</v>
      </c>
      <c r="D704" t="s">
        <v>776</v>
      </c>
      <c r="E704" t="s">
        <v>785</v>
      </c>
      <c r="F704">
        <v>7820</v>
      </c>
      <c r="G704">
        <v>1</v>
      </c>
      <c r="H704" t="s">
        <v>16</v>
      </c>
      <c r="I704" s="1">
        <v>-531200</v>
      </c>
      <c r="J704" s="1">
        <v>-4109800</v>
      </c>
      <c r="K704">
        <v>500</v>
      </c>
      <c r="L704">
        <v>2652</v>
      </c>
      <c r="M704" t="s">
        <v>16</v>
      </c>
    </row>
    <row r="705" spans="1:13" x14ac:dyDescent="0.35">
      <c r="A705">
        <v>220205</v>
      </c>
      <c r="B705">
        <v>50075</v>
      </c>
      <c r="C705" t="s">
        <v>828</v>
      </c>
      <c r="D705" t="s">
        <v>776</v>
      </c>
      <c r="E705" t="s">
        <v>808</v>
      </c>
      <c r="F705">
        <v>9438</v>
      </c>
      <c r="G705">
        <v>1</v>
      </c>
      <c r="H705" t="s">
        <v>16</v>
      </c>
      <c r="I705" s="1">
        <v>-447600</v>
      </c>
      <c r="J705" s="1">
        <v>-4230900</v>
      </c>
      <c r="K705">
        <v>0</v>
      </c>
      <c r="L705">
        <v>608</v>
      </c>
      <c r="M705" t="s">
        <v>16</v>
      </c>
    </row>
    <row r="706" spans="1:13" x14ac:dyDescent="0.35">
      <c r="A706">
        <v>220207</v>
      </c>
      <c r="B706">
        <v>54542</v>
      </c>
      <c r="C706" t="s">
        <v>829</v>
      </c>
      <c r="D706" t="s">
        <v>776</v>
      </c>
      <c r="E706" t="s">
        <v>799</v>
      </c>
      <c r="F706">
        <v>3193</v>
      </c>
      <c r="G706">
        <v>1</v>
      </c>
      <c r="H706" t="s">
        <v>16</v>
      </c>
      <c r="I706" s="1">
        <v>-676600</v>
      </c>
      <c r="J706" s="1">
        <v>-4239200</v>
      </c>
      <c r="K706">
        <v>157</v>
      </c>
      <c r="L706">
        <v>555</v>
      </c>
      <c r="M706" t="s">
        <v>16</v>
      </c>
    </row>
    <row r="707" spans="1:13" x14ac:dyDescent="0.35">
      <c r="A707">
        <v>220208</v>
      </c>
      <c r="B707">
        <v>54550</v>
      </c>
      <c r="C707" t="s">
        <v>830</v>
      </c>
      <c r="D707" t="s">
        <v>776</v>
      </c>
      <c r="E707" t="s">
        <v>821</v>
      </c>
      <c r="F707">
        <v>6981</v>
      </c>
      <c r="G707">
        <v>1</v>
      </c>
      <c r="H707" t="s">
        <v>16</v>
      </c>
      <c r="I707" s="1">
        <v>-292800</v>
      </c>
      <c r="J707" s="1">
        <v>-4133600</v>
      </c>
      <c r="K707">
        <v>10</v>
      </c>
      <c r="L707">
        <v>271</v>
      </c>
      <c r="M707" t="s">
        <v>16</v>
      </c>
    </row>
    <row r="708" spans="1:13" x14ac:dyDescent="0.35">
      <c r="A708">
        <v>220209</v>
      </c>
      <c r="B708">
        <v>50083</v>
      </c>
      <c r="C708" t="s">
        <v>831</v>
      </c>
      <c r="D708" t="s">
        <v>776</v>
      </c>
      <c r="E708" t="s">
        <v>777</v>
      </c>
      <c r="F708">
        <v>5622</v>
      </c>
      <c r="G708">
        <v>1</v>
      </c>
      <c r="H708" t="s">
        <v>16</v>
      </c>
      <c r="I708" s="1">
        <v>-733200</v>
      </c>
      <c r="J708" s="1">
        <v>-4063700</v>
      </c>
      <c r="K708">
        <v>0</v>
      </c>
      <c r="L708">
        <v>514</v>
      </c>
      <c r="M708" t="s">
        <v>16</v>
      </c>
    </row>
    <row r="709" spans="1:13" x14ac:dyDescent="0.35">
      <c r="A709">
        <v>220210</v>
      </c>
      <c r="B709">
        <v>6610</v>
      </c>
      <c r="C709" t="s">
        <v>832</v>
      </c>
      <c r="D709" t="s">
        <v>776</v>
      </c>
      <c r="E709" t="s">
        <v>777</v>
      </c>
      <c r="F709">
        <v>5598</v>
      </c>
      <c r="G709">
        <v>1</v>
      </c>
      <c r="H709" t="s">
        <v>16</v>
      </c>
      <c r="I709" s="1">
        <v>-766000</v>
      </c>
      <c r="J709" s="1">
        <v>-4188200</v>
      </c>
      <c r="K709">
        <v>230</v>
      </c>
      <c r="L709">
        <v>796</v>
      </c>
      <c r="M709" t="s">
        <v>16</v>
      </c>
    </row>
    <row r="710" spans="1:13" x14ac:dyDescent="0.35">
      <c r="A710">
        <v>220211</v>
      </c>
      <c r="B710">
        <v>54569</v>
      </c>
      <c r="C710" t="s">
        <v>833</v>
      </c>
      <c r="D710" t="s">
        <v>776</v>
      </c>
      <c r="E710" t="s">
        <v>777</v>
      </c>
      <c r="F710">
        <v>4451</v>
      </c>
      <c r="G710">
        <v>1</v>
      </c>
      <c r="H710" t="s">
        <v>16</v>
      </c>
      <c r="I710" s="1">
        <v>-837600</v>
      </c>
      <c r="J710" s="1">
        <v>-4183600</v>
      </c>
      <c r="K710">
        <v>330</v>
      </c>
      <c r="L710">
        <v>755</v>
      </c>
      <c r="M710" t="s">
        <v>16</v>
      </c>
    </row>
    <row r="711" spans="1:13" x14ac:dyDescent="0.35">
      <c r="A711">
        <v>220213</v>
      </c>
      <c r="B711">
        <v>54577</v>
      </c>
      <c r="C711" t="s">
        <v>834</v>
      </c>
      <c r="D711" t="s">
        <v>776</v>
      </c>
      <c r="E711" t="s">
        <v>777</v>
      </c>
      <c r="F711">
        <v>5645</v>
      </c>
      <c r="G711">
        <v>1</v>
      </c>
      <c r="H711" t="s">
        <v>16</v>
      </c>
      <c r="I711" s="1">
        <v>-713200</v>
      </c>
      <c r="J711" s="1">
        <v>-4103600</v>
      </c>
      <c r="K711">
        <v>440</v>
      </c>
      <c r="L711">
        <v>291</v>
      </c>
      <c r="M711" t="s">
        <v>16</v>
      </c>
    </row>
    <row r="712" spans="1:13" x14ac:dyDescent="0.35">
      <c r="A712">
        <v>220217</v>
      </c>
      <c r="B712">
        <v>54585</v>
      </c>
      <c r="C712" t="s">
        <v>835</v>
      </c>
      <c r="D712" t="s">
        <v>776</v>
      </c>
      <c r="E712" t="s">
        <v>808</v>
      </c>
      <c r="F712">
        <v>6726</v>
      </c>
      <c r="G712">
        <v>1</v>
      </c>
      <c r="H712" t="s">
        <v>16</v>
      </c>
      <c r="I712" s="1">
        <v>-381200</v>
      </c>
      <c r="J712" s="1">
        <v>-4262900</v>
      </c>
      <c r="K712">
        <v>60</v>
      </c>
      <c r="L712">
        <v>477</v>
      </c>
      <c r="M712" t="s">
        <v>16</v>
      </c>
    </row>
    <row r="713" spans="1:13" x14ac:dyDescent="0.35">
      <c r="A713">
        <v>220220</v>
      </c>
      <c r="B713">
        <v>6629</v>
      </c>
      <c r="C713" t="s">
        <v>785</v>
      </c>
      <c r="D713" t="s">
        <v>776</v>
      </c>
      <c r="E713" t="s">
        <v>785</v>
      </c>
      <c r="F713">
        <v>50000</v>
      </c>
      <c r="G713">
        <v>1</v>
      </c>
      <c r="H713" t="s">
        <v>16</v>
      </c>
      <c r="I713" s="1">
        <v>-482800</v>
      </c>
      <c r="J713" s="1">
        <v>-4216900</v>
      </c>
      <c r="K713">
        <v>125</v>
      </c>
      <c r="L713">
        <v>1699</v>
      </c>
      <c r="M713" t="s">
        <v>16</v>
      </c>
    </row>
    <row r="714" spans="1:13" x14ac:dyDescent="0.35">
      <c r="A714">
        <v>220225</v>
      </c>
      <c r="B714">
        <v>50091</v>
      </c>
      <c r="C714" t="s">
        <v>836</v>
      </c>
      <c r="D714" t="s">
        <v>776</v>
      </c>
      <c r="E714" t="s">
        <v>837</v>
      </c>
      <c r="F714">
        <v>3984</v>
      </c>
      <c r="G714">
        <v>1</v>
      </c>
      <c r="H714" t="s">
        <v>16</v>
      </c>
      <c r="I714" s="1">
        <v>-768800</v>
      </c>
      <c r="J714" s="1">
        <v>-4372100</v>
      </c>
      <c r="K714">
        <v>180</v>
      </c>
      <c r="L714">
        <v>1803</v>
      </c>
      <c r="M714" t="s">
        <v>16</v>
      </c>
    </row>
    <row r="715" spans="1:13" x14ac:dyDescent="0.35">
      <c r="A715">
        <v>220230</v>
      </c>
      <c r="B715">
        <v>6637</v>
      </c>
      <c r="C715" t="s">
        <v>838</v>
      </c>
      <c r="D715" t="s">
        <v>776</v>
      </c>
      <c r="E715" t="s">
        <v>793</v>
      </c>
      <c r="F715">
        <v>20673</v>
      </c>
      <c r="G715">
        <v>1</v>
      </c>
      <c r="H715" t="s">
        <v>16</v>
      </c>
      <c r="I715" s="1">
        <v>-811000</v>
      </c>
      <c r="J715" s="1">
        <v>-4294400</v>
      </c>
      <c r="K715">
        <v>269</v>
      </c>
      <c r="L715">
        <v>4409</v>
      </c>
      <c r="M715" t="s">
        <v>16</v>
      </c>
    </row>
    <row r="716" spans="1:13" x14ac:dyDescent="0.35">
      <c r="A716">
        <v>220240</v>
      </c>
      <c r="B716">
        <v>6645</v>
      </c>
      <c r="C716" t="s">
        <v>839</v>
      </c>
      <c r="D716" t="s">
        <v>776</v>
      </c>
      <c r="E716" t="s">
        <v>785</v>
      </c>
      <c r="F716">
        <v>10830</v>
      </c>
      <c r="G716">
        <v>1</v>
      </c>
      <c r="H716" t="s">
        <v>16</v>
      </c>
      <c r="I716" s="1">
        <v>-445700</v>
      </c>
      <c r="J716" s="1">
        <v>-4194400</v>
      </c>
      <c r="K716">
        <v>130</v>
      </c>
      <c r="L716">
        <v>538</v>
      </c>
      <c r="M716" t="s">
        <v>16</v>
      </c>
    </row>
    <row r="717" spans="1:13" x14ac:dyDescent="0.35">
      <c r="A717">
        <v>220245</v>
      </c>
      <c r="B717">
        <v>54593</v>
      </c>
      <c r="C717" t="s">
        <v>840</v>
      </c>
      <c r="D717" t="s">
        <v>776</v>
      </c>
      <c r="E717" t="s">
        <v>777</v>
      </c>
      <c r="F717">
        <v>3865</v>
      </c>
      <c r="G717">
        <v>1</v>
      </c>
      <c r="H717" t="s">
        <v>16</v>
      </c>
      <c r="I717" s="1">
        <v>-849000</v>
      </c>
      <c r="J717" s="1">
        <v>-4182000</v>
      </c>
      <c r="K717">
        <v>400</v>
      </c>
      <c r="L717">
        <v>1114</v>
      </c>
      <c r="M717" t="s">
        <v>16</v>
      </c>
    </row>
    <row r="718" spans="1:13" x14ac:dyDescent="0.35">
      <c r="A718">
        <v>220250</v>
      </c>
      <c r="B718">
        <v>6653</v>
      </c>
      <c r="C718" t="s">
        <v>841</v>
      </c>
      <c r="D718" t="s">
        <v>776</v>
      </c>
      <c r="E718" t="s">
        <v>793</v>
      </c>
      <c r="F718">
        <v>10343</v>
      </c>
      <c r="G718">
        <v>1</v>
      </c>
      <c r="H718" t="s">
        <v>16</v>
      </c>
      <c r="I718" s="1">
        <v>-927900</v>
      </c>
      <c r="J718" s="1">
        <v>-4333000</v>
      </c>
      <c r="K718">
        <v>566</v>
      </c>
      <c r="L718">
        <v>449</v>
      </c>
      <c r="M718" t="s">
        <v>16</v>
      </c>
    </row>
    <row r="719" spans="1:13" x14ac:dyDescent="0.35">
      <c r="A719">
        <v>220253</v>
      </c>
      <c r="B719">
        <v>54607</v>
      </c>
      <c r="C719" t="s">
        <v>842</v>
      </c>
      <c r="D719" t="s">
        <v>776</v>
      </c>
      <c r="E719" t="s">
        <v>821</v>
      </c>
      <c r="F719">
        <v>5371</v>
      </c>
      <c r="G719">
        <v>1</v>
      </c>
      <c r="H719" t="s">
        <v>16</v>
      </c>
      <c r="I719" s="1">
        <v>-347600</v>
      </c>
      <c r="J719" s="1">
        <v>-4184300</v>
      </c>
      <c r="K719">
        <v>50</v>
      </c>
      <c r="L719">
        <v>471</v>
      </c>
      <c r="M719" t="s">
        <v>16</v>
      </c>
    </row>
    <row r="720" spans="1:13" x14ac:dyDescent="0.35">
      <c r="A720">
        <v>220255</v>
      </c>
      <c r="B720">
        <v>54615</v>
      </c>
      <c r="C720" t="s">
        <v>843</v>
      </c>
      <c r="D720" t="s">
        <v>776</v>
      </c>
      <c r="E720" t="s">
        <v>777</v>
      </c>
      <c r="F720">
        <v>4583</v>
      </c>
      <c r="G720">
        <v>1</v>
      </c>
      <c r="H720" t="s">
        <v>16</v>
      </c>
      <c r="I720" s="1">
        <v>-773300</v>
      </c>
      <c r="J720" s="1">
        <v>-4099000</v>
      </c>
      <c r="K720">
        <v>347</v>
      </c>
      <c r="L720">
        <v>423</v>
      </c>
      <c r="M720" t="s">
        <v>16</v>
      </c>
    </row>
    <row r="721" spans="1:13" x14ac:dyDescent="0.35">
      <c r="A721">
        <v>220260</v>
      </c>
      <c r="B721">
        <v>6661</v>
      </c>
      <c r="C721" t="s">
        <v>844</v>
      </c>
      <c r="D721" t="s">
        <v>776</v>
      </c>
      <c r="E721" t="s">
        <v>785</v>
      </c>
      <c r="F721">
        <v>18550</v>
      </c>
      <c r="G721">
        <v>1</v>
      </c>
      <c r="H721" t="s">
        <v>16</v>
      </c>
      <c r="I721" s="1">
        <v>-532200</v>
      </c>
      <c r="J721" s="1">
        <v>-4155300</v>
      </c>
      <c r="K721">
        <v>239</v>
      </c>
      <c r="L721">
        <v>2063</v>
      </c>
      <c r="M721" t="s">
        <v>16</v>
      </c>
    </row>
    <row r="722" spans="1:13" x14ac:dyDescent="0.35">
      <c r="A722">
        <v>220265</v>
      </c>
      <c r="B722">
        <v>54623</v>
      </c>
      <c r="C722" t="s">
        <v>845</v>
      </c>
      <c r="D722" t="s">
        <v>776</v>
      </c>
      <c r="E722" t="s">
        <v>821</v>
      </c>
      <c r="F722">
        <v>5023</v>
      </c>
      <c r="G722">
        <v>1</v>
      </c>
      <c r="H722" t="s">
        <v>16</v>
      </c>
      <c r="I722" s="1">
        <v>-341800</v>
      </c>
      <c r="J722" s="1">
        <v>-4189600</v>
      </c>
      <c r="K722">
        <v>13</v>
      </c>
      <c r="L722">
        <v>488</v>
      </c>
      <c r="M722" t="s">
        <v>16</v>
      </c>
    </row>
    <row r="723" spans="1:13" x14ac:dyDescent="0.35">
      <c r="A723">
        <v>220270</v>
      </c>
      <c r="B723">
        <v>6670</v>
      </c>
      <c r="C723" t="s">
        <v>846</v>
      </c>
      <c r="D723" t="s">
        <v>776</v>
      </c>
      <c r="E723" t="s">
        <v>821</v>
      </c>
      <c r="F723">
        <v>26201</v>
      </c>
      <c r="G723">
        <v>1</v>
      </c>
      <c r="H723" t="s">
        <v>16</v>
      </c>
      <c r="I723" s="1">
        <v>-347100</v>
      </c>
      <c r="J723" s="1">
        <v>-4155500</v>
      </c>
      <c r="K723">
        <v>160</v>
      </c>
      <c r="L723">
        <v>1269</v>
      </c>
      <c r="M723" t="s">
        <v>16</v>
      </c>
    </row>
    <row r="724" spans="1:13" x14ac:dyDescent="0.35">
      <c r="A724">
        <v>220271</v>
      </c>
      <c r="B724">
        <v>54631</v>
      </c>
      <c r="C724" t="s">
        <v>847</v>
      </c>
      <c r="D724" t="s">
        <v>776</v>
      </c>
      <c r="E724" t="s">
        <v>785</v>
      </c>
      <c r="F724">
        <v>4522</v>
      </c>
      <c r="G724">
        <v>1</v>
      </c>
      <c r="H724" t="s">
        <v>16</v>
      </c>
      <c r="I724" s="1">
        <v>-455900</v>
      </c>
      <c r="J724" s="1">
        <v>-4197200</v>
      </c>
      <c r="K724">
        <v>140</v>
      </c>
      <c r="L724">
        <v>322</v>
      </c>
      <c r="M724" t="s">
        <v>16</v>
      </c>
    </row>
    <row r="725" spans="1:13" x14ac:dyDescent="0.35">
      <c r="A725">
        <v>220272</v>
      </c>
      <c r="B725">
        <v>54640</v>
      </c>
      <c r="C725" t="s">
        <v>848</v>
      </c>
      <c r="D725" t="s">
        <v>776</v>
      </c>
      <c r="E725" t="s">
        <v>821</v>
      </c>
      <c r="F725">
        <v>5341</v>
      </c>
      <c r="G725">
        <v>1</v>
      </c>
      <c r="H725" t="s">
        <v>16</v>
      </c>
      <c r="I725" s="1">
        <v>-372900</v>
      </c>
      <c r="J725" s="1">
        <v>-4144900</v>
      </c>
      <c r="K725">
        <v>100</v>
      </c>
      <c r="L725">
        <v>358</v>
      </c>
      <c r="M725" t="s">
        <v>16</v>
      </c>
    </row>
    <row r="726" spans="1:13" x14ac:dyDescent="0.35">
      <c r="A726">
        <v>220273</v>
      </c>
      <c r="B726">
        <v>50105</v>
      </c>
      <c r="C726" t="s">
        <v>849</v>
      </c>
      <c r="D726" t="s">
        <v>776</v>
      </c>
      <c r="E726" t="s">
        <v>787</v>
      </c>
      <c r="F726">
        <v>3797</v>
      </c>
      <c r="G726">
        <v>4</v>
      </c>
      <c r="H726" t="s">
        <v>761</v>
      </c>
      <c r="I726" s="1">
        <v>-509400</v>
      </c>
      <c r="J726" s="1">
        <v>-4220700</v>
      </c>
      <c r="K726">
        <v>190</v>
      </c>
      <c r="L726">
        <v>506</v>
      </c>
      <c r="M726" t="s">
        <v>16</v>
      </c>
    </row>
    <row r="727" spans="1:13" x14ac:dyDescent="0.35">
      <c r="A727">
        <v>220275</v>
      </c>
      <c r="B727">
        <v>50113</v>
      </c>
      <c r="C727" t="s">
        <v>850</v>
      </c>
      <c r="D727" t="s">
        <v>776</v>
      </c>
      <c r="E727" t="s">
        <v>795</v>
      </c>
      <c r="F727">
        <v>5700</v>
      </c>
      <c r="G727">
        <v>1</v>
      </c>
      <c r="H727" t="s">
        <v>16</v>
      </c>
      <c r="I727" s="1">
        <v>-818200</v>
      </c>
      <c r="J727" s="1">
        <v>-4379200</v>
      </c>
      <c r="K727">
        <v>216</v>
      </c>
      <c r="L727">
        <v>430</v>
      </c>
      <c r="M727" t="s">
        <v>16</v>
      </c>
    </row>
    <row r="728" spans="1:13" x14ac:dyDescent="0.35">
      <c r="A728">
        <v>220277</v>
      </c>
      <c r="B728">
        <v>50121</v>
      </c>
      <c r="C728" t="s">
        <v>851</v>
      </c>
      <c r="D728" t="s">
        <v>776</v>
      </c>
      <c r="E728" t="s">
        <v>799</v>
      </c>
      <c r="F728">
        <v>7662</v>
      </c>
      <c r="G728">
        <v>1</v>
      </c>
      <c r="H728" t="s">
        <v>16</v>
      </c>
      <c r="I728" s="1">
        <v>-723100</v>
      </c>
      <c r="J728" s="1">
        <v>-4217800</v>
      </c>
      <c r="K728">
        <v>0</v>
      </c>
      <c r="L728">
        <v>947</v>
      </c>
      <c r="M728" t="s">
        <v>16</v>
      </c>
    </row>
    <row r="729" spans="1:13" x14ac:dyDescent="0.35">
      <c r="A729">
        <v>220280</v>
      </c>
      <c r="B729">
        <v>6688</v>
      </c>
      <c r="C729" t="s">
        <v>852</v>
      </c>
      <c r="D729" t="s">
        <v>776</v>
      </c>
      <c r="E729" t="s">
        <v>777</v>
      </c>
      <c r="F729">
        <v>4923</v>
      </c>
      <c r="G729">
        <v>1</v>
      </c>
      <c r="H729" t="s">
        <v>16</v>
      </c>
      <c r="I729" s="1">
        <v>-787800</v>
      </c>
      <c r="J729" s="1">
        <v>-4159700</v>
      </c>
      <c r="K729">
        <v>252</v>
      </c>
      <c r="L729">
        <v>903</v>
      </c>
      <c r="M729" t="s">
        <v>16</v>
      </c>
    </row>
    <row r="730" spans="1:13" x14ac:dyDescent="0.35">
      <c r="A730">
        <v>220285</v>
      </c>
      <c r="B730">
        <v>50130</v>
      </c>
      <c r="C730" t="s">
        <v>853</v>
      </c>
      <c r="D730" t="s">
        <v>776</v>
      </c>
      <c r="E730" t="s">
        <v>793</v>
      </c>
      <c r="F730">
        <v>4356</v>
      </c>
      <c r="G730">
        <v>1</v>
      </c>
      <c r="H730" t="s">
        <v>16</v>
      </c>
      <c r="I730" s="1">
        <v>-881600</v>
      </c>
      <c r="J730" s="1">
        <v>-4251300</v>
      </c>
      <c r="K730">
        <v>0</v>
      </c>
      <c r="L730">
        <v>1822</v>
      </c>
      <c r="M730" t="s">
        <v>16</v>
      </c>
    </row>
    <row r="731" spans="1:13" x14ac:dyDescent="0.35">
      <c r="A731">
        <v>220290</v>
      </c>
      <c r="B731">
        <v>6696</v>
      </c>
      <c r="C731" t="s">
        <v>854</v>
      </c>
      <c r="D731" t="s">
        <v>776</v>
      </c>
      <c r="E731" t="s">
        <v>803</v>
      </c>
      <c r="F731">
        <v>24518</v>
      </c>
      <c r="G731">
        <v>1</v>
      </c>
      <c r="H731" t="s">
        <v>16</v>
      </c>
      <c r="I731" s="1">
        <v>-1044300</v>
      </c>
      <c r="J731" s="1">
        <v>-4516200</v>
      </c>
      <c r="K731">
        <v>438</v>
      </c>
      <c r="L731">
        <v>3051</v>
      </c>
      <c r="M731" t="s">
        <v>16</v>
      </c>
    </row>
    <row r="732" spans="1:13" x14ac:dyDescent="0.35">
      <c r="A732">
        <v>220300</v>
      </c>
      <c r="B732">
        <v>6700</v>
      </c>
      <c r="C732" t="s">
        <v>855</v>
      </c>
      <c r="D732" t="s">
        <v>776</v>
      </c>
      <c r="E732" t="s">
        <v>803</v>
      </c>
      <c r="F732">
        <v>7800</v>
      </c>
      <c r="G732">
        <v>1</v>
      </c>
      <c r="H732" t="s">
        <v>16</v>
      </c>
      <c r="I732" s="1">
        <v>-1065300</v>
      </c>
      <c r="J732" s="1">
        <v>-4518500</v>
      </c>
      <c r="K732">
        <v>469</v>
      </c>
      <c r="L732">
        <v>1202</v>
      </c>
      <c r="M732" t="s">
        <v>16</v>
      </c>
    </row>
    <row r="733" spans="1:13" x14ac:dyDescent="0.35">
      <c r="A733">
        <v>220310</v>
      </c>
      <c r="B733">
        <v>6718</v>
      </c>
      <c r="C733" t="s">
        <v>856</v>
      </c>
      <c r="D733" t="s">
        <v>776</v>
      </c>
      <c r="E733" t="s">
        <v>789</v>
      </c>
      <c r="F733">
        <v>9518</v>
      </c>
      <c r="G733">
        <v>1</v>
      </c>
      <c r="H733" t="s">
        <v>16</v>
      </c>
      <c r="I733" s="1">
        <v>-881800</v>
      </c>
      <c r="J733" s="1">
        <v>-4422400</v>
      </c>
      <c r="K733">
        <v>239</v>
      </c>
      <c r="L733">
        <v>1848</v>
      </c>
      <c r="M733" t="s">
        <v>16</v>
      </c>
    </row>
    <row r="734" spans="1:13" x14ac:dyDescent="0.35">
      <c r="A734">
        <v>220320</v>
      </c>
      <c r="B734">
        <v>6726</v>
      </c>
      <c r="C734" t="s">
        <v>857</v>
      </c>
      <c r="D734" t="s">
        <v>776</v>
      </c>
      <c r="E734" t="s">
        <v>803</v>
      </c>
      <c r="F734">
        <v>10360</v>
      </c>
      <c r="G734">
        <v>1</v>
      </c>
      <c r="H734" t="s">
        <v>16</v>
      </c>
      <c r="I734" s="1">
        <v>-1003600</v>
      </c>
      <c r="J734" s="1">
        <v>-4430600</v>
      </c>
      <c r="K734">
        <v>328</v>
      </c>
      <c r="L734">
        <v>2360</v>
      </c>
      <c r="M734" t="s">
        <v>16</v>
      </c>
    </row>
    <row r="735" spans="1:13" x14ac:dyDescent="0.35">
      <c r="A735">
        <v>220323</v>
      </c>
      <c r="B735">
        <v>54658</v>
      </c>
      <c r="C735" t="s">
        <v>858</v>
      </c>
      <c r="D735" t="s">
        <v>776</v>
      </c>
      <c r="E735" t="s">
        <v>789</v>
      </c>
      <c r="F735">
        <v>4538</v>
      </c>
      <c r="G735">
        <v>1</v>
      </c>
      <c r="H735" t="s">
        <v>16</v>
      </c>
      <c r="I735" s="1">
        <v>-900700</v>
      </c>
      <c r="J735" s="1">
        <v>-4441100</v>
      </c>
      <c r="K735">
        <v>320</v>
      </c>
      <c r="L735">
        <v>3156</v>
      </c>
      <c r="M735" t="s">
        <v>16</v>
      </c>
    </row>
    <row r="736" spans="1:13" x14ac:dyDescent="0.35">
      <c r="A736">
        <v>220325</v>
      </c>
      <c r="B736">
        <v>54666</v>
      </c>
      <c r="C736" t="s">
        <v>255</v>
      </c>
      <c r="D736" t="s">
        <v>776</v>
      </c>
      <c r="E736" t="s">
        <v>787</v>
      </c>
      <c r="F736">
        <v>4072</v>
      </c>
      <c r="G736">
        <v>4</v>
      </c>
      <c r="H736" t="s">
        <v>761</v>
      </c>
      <c r="I736" s="1">
        <v>-558300</v>
      </c>
      <c r="J736" s="1">
        <v>-4277800</v>
      </c>
      <c r="K736">
        <v>126</v>
      </c>
      <c r="L736">
        <v>362</v>
      </c>
      <c r="M736" t="s">
        <v>16</v>
      </c>
    </row>
    <row r="737" spans="1:13" x14ac:dyDescent="0.35">
      <c r="A737">
        <v>220327</v>
      </c>
      <c r="B737">
        <v>54674</v>
      </c>
      <c r="C737" t="s">
        <v>859</v>
      </c>
      <c r="D737" t="s">
        <v>776</v>
      </c>
      <c r="E737" t="s">
        <v>777</v>
      </c>
      <c r="F737">
        <v>4898</v>
      </c>
      <c r="G737">
        <v>1</v>
      </c>
      <c r="H737" t="s">
        <v>16</v>
      </c>
      <c r="I737" s="1">
        <v>-783200</v>
      </c>
      <c r="J737" s="1">
        <v>-4090100</v>
      </c>
      <c r="K737">
        <v>370</v>
      </c>
      <c r="L737">
        <v>765</v>
      </c>
      <c r="M737" t="s">
        <v>16</v>
      </c>
    </row>
    <row r="738" spans="1:13" x14ac:dyDescent="0.35">
      <c r="A738">
        <v>220330</v>
      </c>
      <c r="B738">
        <v>6734</v>
      </c>
      <c r="C738" t="s">
        <v>860</v>
      </c>
      <c r="D738" t="s">
        <v>776</v>
      </c>
      <c r="E738" t="s">
        <v>787</v>
      </c>
      <c r="F738">
        <v>12806</v>
      </c>
      <c r="G738">
        <v>4</v>
      </c>
      <c r="H738" t="s">
        <v>761</v>
      </c>
      <c r="I738" s="1">
        <v>-535800</v>
      </c>
      <c r="J738" s="1">
        <v>-4267600</v>
      </c>
      <c r="K738">
        <v>112</v>
      </c>
      <c r="L738">
        <v>221</v>
      </c>
      <c r="M738" t="s">
        <v>16</v>
      </c>
    </row>
    <row r="739" spans="1:13" x14ac:dyDescent="0.35">
      <c r="A739">
        <v>220335</v>
      </c>
      <c r="B739">
        <v>7544</v>
      </c>
      <c r="C739" t="s">
        <v>861</v>
      </c>
      <c r="D739" t="s">
        <v>776</v>
      </c>
      <c r="E739" t="s">
        <v>793</v>
      </c>
      <c r="F739">
        <v>6721</v>
      </c>
      <c r="G739">
        <v>1</v>
      </c>
      <c r="H739" t="s">
        <v>16</v>
      </c>
      <c r="I739" s="1">
        <v>-933800</v>
      </c>
      <c r="J739" s="1">
        <v>-4242800</v>
      </c>
      <c r="K739">
        <v>740</v>
      </c>
      <c r="L739">
        <v>1005</v>
      </c>
      <c r="M739" t="s">
        <v>16</v>
      </c>
    </row>
    <row r="740" spans="1:13" x14ac:dyDescent="0.35">
      <c r="A740">
        <v>220340</v>
      </c>
      <c r="B740">
        <v>6742</v>
      </c>
      <c r="C740" t="s">
        <v>862</v>
      </c>
      <c r="D740" t="s">
        <v>776</v>
      </c>
      <c r="E740" t="s">
        <v>799</v>
      </c>
      <c r="F740">
        <v>6532</v>
      </c>
      <c r="G740">
        <v>1</v>
      </c>
      <c r="H740" t="s">
        <v>16</v>
      </c>
      <c r="I740" s="1">
        <v>-695900</v>
      </c>
      <c r="J740" s="1">
        <v>-4164100</v>
      </c>
      <c r="K740">
        <v>405</v>
      </c>
      <c r="L740">
        <v>219</v>
      </c>
      <c r="M740" t="s">
        <v>16</v>
      </c>
    </row>
    <row r="741" spans="1:13" x14ac:dyDescent="0.35">
      <c r="A741">
        <v>220342</v>
      </c>
      <c r="B741">
        <v>7110</v>
      </c>
      <c r="C741" t="s">
        <v>863</v>
      </c>
      <c r="D741" t="s">
        <v>776</v>
      </c>
      <c r="E741" t="s">
        <v>785</v>
      </c>
      <c r="F741">
        <v>50000</v>
      </c>
      <c r="G741">
        <v>1</v>
      </c>
      <c r="H741" t="s">
        <v>16</v>
      </c>
      <c r="I741" s="1">
        <v>-425400</v>
      </c>
      <c r="J741" s="1">
        <v>-4127000</v>
      </c>
      <c r="K741">
        <v>150</v>
      </c>
      <c r="L741">
        <v>846</v>
      </c>
      <c r="M741" t="s">
        <v>16</v>
      </c>
    </row>
    <row r="742" spans="1:13" x14ac:dyDescent="0.35">
      <c r="A742">
        <v>220345</v>
      </c>
      <c r="B742">
        <v>28347</v>
      </c>
      <c r="C742" t="s">
        <v>864</v>
      </c>
      <c r="D742" t="s">
        <v>776</v>
      </c>
      <c r="E742" t="s">
        <v>793</v>
      </c>
      <c r="F742">
        <v>10329</v>
      </c>
      <c r="G742">
        <v>1</v>
      </c>
      <c r="H742" t="s">
        <v>16</v>
      </c>
      <c r="I742" s="1">
        <v>-900200</v>
      </c>
      <c r="J742" s="1">
        <v>-4197400</v>
      </c>
      <c r="K742">
        <v>340</v>
      </c>
      <c r="L742">
        <v>4024</v>
      </c>
      <c r="M742" t="s">
        <v>16</v>
      </c>
    </row>
    <row r="743" spans="1:13" x14ac:dyDescent="0.35">
      <c r="A743">
        <v>220350</v>
      </c>
      <c r="B743">
        <v>6750</v>
      </c>
      <c r="C743" t="s">
        <v>865</v>
      </c>
      <c r="D743" t="s">
        <v>776</v>
      </c>
      <c r="E743" t="s">
        <v>797</v>
      </c>
      <c r="F743">
        <v>14174</v>
      </c>
      <c r="G743">
        <v>1</v>
      </c>
      <c r="H743" t="s">
        <v>16</v>
      </c>
      <c r="I743" s="1">
        <v>-620200</v>
      </c>
      <c r="J743" s="1">
        <v>-4214000</v>
      </c>
      <c r="K743">
        <v>203</v>
      </c>
      <c r="L743">
        <v>1285</v>
      </c>
      <c r="M743" t="s">
        <v>16</v>
      </c>
    </row>
    <row r="744" spans="1:13" x14ac:dyDescent="0.35">
      <c r="A744">
        <v>220360</v>
      </c>
      <c r="B744">
        <v>6769</v>
      </c>
      <c r="C744" t="s">
        <v>866</v>
      </c>
      <c r="D744" t="s">
        <v>776</v>
      </c>
      <c r="E744" t="s">
        <v>795</v>
      </c>
      <c r="F744">
        <v>4722</v>
      </c>
      <c r="G744">
        <v>1</v>
      </c>
      <c r="H744" t="s">
        <v>16</v>
      </c>
      <c r="I744" s="1">
        <v>-809700</v>
      </c>
      <c r="J744" s="1">
        <v>-4366400</v>
      </c>
      <c r="K744">
        <v>258</v>
      </c>
      <c r="L744">
        <v>1090</v>
      </c>
      <c r="M744" t="s">
        <v>16</v>
      </c>
    </row>
    <row r="745" spans="1:13" x14ac:dyDescent="0.35">
      <c r="A745">
        <v>220370</v>
      </c>
      <c r="B745">
        <v>6777</v>
      </c>
      <c r="C745" t="s">
        <v>457</v>
      </c>
      <c r="D745" t="s">
        <v>776</v>
      </c>
      <c r="E745" t="s">
        <v>808</v>
      </c>
      <c r="F745">
        <v>50000</v>
      </c>
      <c r="G745">
        <v>1</v>
      </c>
      <c r="H745" t="s">
        <v>16</v>
      </c>
      <c r="I745" s="1">
        <v>-390200</v>
      </c>
      <c r="J745" s="1">
        <v>-4223400</v>
      </c>
      <c r="K745">
        <v>59</v>
      </c>
      <c r="L745">
        <v>911</v>
      </c>
      <c r="M745" t="s">
        <v>16</v>
      </c>
    </row>
    <row r="746" spans="1:13" x14ac:dyDescent="0.35">
      <c r="A746">
        <v>220375</v>
      </c>
      <c r="B746">
        <v>50148</v>
      </c>
      <c r="C746" t="s">
        <v>867</v>
      </c>
      <c r="D746" t="s">
        <v>776</v>
      </c>
      <c r="E746" t="s">
        <v>793</v>
      </c>
      <c r="F746">
        <v>5190</v>
      </c>
      <c r="G746">
        <v>1</v>
      </c>
      <c r="H746" t="s">
        <v>16</v>
      </c>
      <c r="I746" s="1">
        <v>-948400</v>
      </c>
      <c r="J746" s="1">
        <v>-4279100</v>
      </c>
      <c r="K746">
        <v>0</v>
      </c>
      <c r="L746">
        <v>717</v>
      </c>
      <c r="M746" t="s">
        <v>16</v>
      </c>
    </row>
    <row r="747" spans="1:13" x14ac:dyDescent="0.35">
      <c r="A747">
        <v>220380</v>
      </c>
      <c r="B747">
        <v>6785</v>
      </c>
      <c r="C747" t="s">
        <v>868</v>
      </c>
      <c r="D747" t="s">
        <v>776</v>
      </c>
      <c r="E747" t="s">
        <v>837</v>
      </c>
      <c r="F747">
        <v>4468</v>
      </c>
      <c r="G747">
        <v>1</v>
      </c>
      <c r="H747" t="s">
        <v>16</v>
      </c>
      <c r="I747" s="1">
        <v>-779100</v>
      </c>
      <c r="J747" s="1">
        <v>-4292700</v>
      </c>
      <c r="K747">
        <v>300</v>
      </c>
      <c r="L747">
        <v>972</v>
      </c>
      <c r="M747" t="s">
        <v>16</v>
      </c>
    </row>
    <row r="748" spans="1:13" x14ac:dyDescent="0.35">
      <c r="A748">
        <v>220385</v>
      </c>
      <c r="B748">
        <v>54682</v>
      </c>
      <c r="C748" t="s">
        <v>869</v>
      </c>
      <c r="D748" t="s">
        <v>776</v>
      </c>
      <c r="E748" t="s">
        <v>777</v>
      </c>
      <c r="F748">
        <v>2551</v>
      </c>
      <c r="G748">
        <v>1</v>
      </c>
      <c r="H748" t="s">
        <v>16</v>
      </c>
      <c r="I748" s="1">
        <v>-746900</v>
      </c>
      <c r="J748" s="1">
        <v>-4179400</v>
      </c>
      <c r="K748">
        <v>180</v>
      </c>
      <c r="L748">
        <v>206</v>
      </c>
      <c r="M748" t="s">
        <v>16</v>
      </c>
    </row>
    <row r="749" spans="1:13" x14ac:dyDescent="0.35">
      <c r="A749">
        <v>220390</v>
      </c>
      <c r="B749">
        <v>6793</v>
      </c>
      <c r="C749" t="s">
        <v>837</v>
      </c>
      <c r="D749" t="s">
        <v>776</v>
      </c>
      <c r="E749" t="s">
        <v>837</v>
      </c>
      <c r="F749">
        <v>56090</v>
      </c>
      <c r="G749">
        <v>2</v>
      </c>
      <c r="H749" t="s">
        <v>16</v>
      </c>
      <c r="I749" s="1">
        <v>-676700</v>
      </c>
      <c r="J749" s="1">
        <v>-4302300</v>
      </c>
      <c r="K749">
        <v>112</v>
      </c>
      <c r="L749">
        <v>3409</v>
      </c>
      <c r="M749" t="s">
        <v>16</v>
      </c>
    </row>
    <row r="750" spans="1:13" x14ac:dyDescent="0.35">
      <c r="A750">
        <v>220400</v>
      </c>
      <c r="B750">
        <v>6807</v>
      </c>
      <c r="C750" t="s">
        <v>870</v>
      </c>
      <c r="D750" t="s">
        <v>776</v>
      </c>
      <c r="E750" t="s">
        <v>797</v>
      </c>
      <c r="F750">
        <v>5292</v>
      </c>
      <c r="G750">
        <v>1</v>
      </c>
      <c r="H750" t="s">
        <v>16</v>
      </c>
      <c r="I750" s="1">
        <v>-639600</v>
      </c>
      <c r="J750" s="1">
        <v>-4226200</v>
      </c>
      <c r="K750">
        <v>245</v>
      </c>
      <c r="L750">
        <v>254</v>
      </c>
      <c r="M750" t="s">
        <v>16</v>
      </c>
    </row>
    <row r="751" spans="1:13" x14ac:dyDescent="0.35">
      <c r="A751">
        <v>220410</v>
      </c>
      <c r="B751">
        <v>6815</v>
      </c>
      <c r="C751" t="s">
        <v>871</v>
      </c>
      <c r="D751" t="s">
        <v>776</v>
      </c>
      <c r="E751" t="s">
        <v>779</v>
      </c>
      <c r="F751">
        <v>5017</v>
      </c>
      <c r="G751">
        <v>1</v>
      </c>
      <c r="H751" t="s">
        <v>16</v>
      </c>
      <c r="I751" s="1">
        <v>-662300</v>
      </c>
      <c r="J751" s="1">
        <v>-4269300</v>
      </c>
      <c r="K751">
        <v>125</v>
      </c>
      <c r="L751">
        <v>656</v>
      </c>
      <c r="M751" t="s">
        <v>16</v>
      </c>
    </row>
    <row r="752" spans="1:13" x14ac:dyDescent="0.35">
      <c r="A752">
        <v>220415</v>
      </c>
      <c r="B752">
        <v>54690</v>
      </c>
      <c r="C752" t="s">
        <v>872</v>
      </c>
      <c r="D752" t="s">
        <v>776</v>
      </c>
      <c r="E752" t="s">
        <v>777</v>
      </c>
      <c r="F752">
        <v>2255</v>
      </c>
      <c r="G752">
        <v>1</v>
      </c>
      <c r="H752" t="s">
        <v>16</v>
      </c>
      <c r="I752" s="1">
        <v>-733100</v>
      </c>
      <c r="J752" s="1">
        <v>-4078800</v>
      </c>
      <c r="K752">
        <v>360</v>
      </c>
      <c r="L752">
        <v>117</v>
      </c>
      <c r="M752" t="s">
        <v>16</v>
      </c>
    </row>
    <row r="753" spans="1:13" x14ac:dyDescent="0.35">
      <c r="A753">
        <v>220420</v>
      </c>
      <c r="B753">
        <v>6823</v>
      </c>
      <c r="C753" t="s">
        <v>873</v>
      </c>
      <c r="D753" t="s">
        <v>776</v>
      </c>
      <c r="E753" t="s">
        <v>782</v>
      </c>
      <c r="F753">
        <v>8293</v>
      </c>
      <c r="G753">
        <v>1</v>
      </c>
      <c r="H753" t="s">
        <v>16</v>
      </c>
      <c r="I753" s="1">
        <v>-699300</v>
      </c>
      <c r="J753" s="1">
        <v>-4113800</v>
      </c>
      <c r="K753">
        <v>270</v>
      </c>
      <c r="L753">
        <v>569</v>
      </c>
      <c r="M753" t="s">
        <v>16</v>
      </c>
    </row>
    <row r="754" spans="1:13" x14ac:dyDescent="0.35">
      <c r="A754">
        <v>220430</v>
      </c>
      <c r="B754">
        <v>6831</v>
      </c>
      <c r="C754" t="s">
        <v>874</v>
      </c>
      <c r="D754" t="s">
        <v>776</v>
      </c>
      <c r="E754" t="s">
        <v>777</v>
      </c>
      <c r="F754">
        <v>11054</v>
      </c>
      <c r="G754">
        <v>1</v>
      </c>
      <c r="H754" t="s">
        <v>16</v>
      </c>
      <c r="I754" s="1">
        <v>-708800</v>
      </c>
      <c r="J754" s="1">
        <v>-4061600</v>
      </c>
      <c r="K754">
        <v>426</v>
      </c>
      <c r="L754">
        <v>789</v>
      </c>
      <c r="M754" t="s">
        <v>16</v>
      </c>
    </row>
    <row r="755" spans="1:13" x14ac:dyDescent="0.35">
      <c r="A755">
        <v>220435</v>
      </c>
      <c r="B755">
        <v>54704</v>
      </c>
      <c r="C755" t="s">
        <v>875</v>
      </c>
      <c r="D755" t="s">
        <v>776</v>
      </c>
      <c r="E755" t="s">
        <v>799</v>
      </c>
      <c r="F755">
        <v>5255</v>
      </c>
      <c r="G755">
        <v>1</v>
      </c>
      <c r="H755" t="s">
        <v>16</v>
      </c>
      <c r="I755" s="1">
        <v>-715800</v>
      </c>
      <c r="J755" s="1">
        <v>-4136100</v>
      </c>
      <c r="K755">
        <v>260</v>
      </c>
      <c r="L755">
        <v>471</v>
      </c>
      <c r="M755" t="s">
        <v>16</v>
      </c>
    </row>
    <row r="756" spans="1:13" x14ac:dyDescent="0.35">
      <c r="A756">
        <v>220440</v>
      </c>
      <c r="B756">
        <v>6840</v>
      </c>
      <c r="C756" t="s">
        <v>876</v>
      </c>
      <c r="D756" t="s">
        <v>776</v>
      </c>
      <c r="E756" t="s">
        <v>789</v>
      </c>
      <c r="F756">
        <v>10351</v>
      </c>
      <c r="G756">
        <v>1</v>
      </c>
      <c r="H756" t="s">
        <v>16</v>
      </c>
      <c r="I756" s="1">
        <v>-983200</v>
      </c>
      <c r="J756" s="1">
        <v>-4534400</v>
      </c>
      <c r="K756">
        <v>481</v>
      </c>
      <c r="L756">
        <v>3495</v>
      </c>
      <c r="M756" t="s">
        <v>16</v>
      </c>
    </row>
    <row r="757" spans="1:13" x14ac:dyDescent="0.35">
      <c r="A757">
        <v>220450</v>
      </c>
      <c r="B757">
        <v>6858</v>
      </c>
      <c r="C757" t="s">
        <v>877</v>
      </c>
      <c r="D757" t="s">
        <v>776</v>
      </c>
      <c r="E757" t="s">
        <v>837</v>
      </c>
      <c r="F757">
        <v>9587</v>
      </c>
      <c r="G757">
        <v>1</v>
      </c>
      <c r="H757" t="s">
        <v>16</v>
      </c>
      <c r="I757" s="1">
        <v>-678700</v>
      </c>
      <c r="J757" s="1">
        <v>-4356900</v>
      </c>
      <c r="K757">
        <v>177</v>
      </c>
      <c r="L757">
        <v>1019</v>
      </c>
      <c r="M757" t="s">
        <v>16</v>
      </c>
    </row>
    <row r="758" spans="1:13" x14ac:dyDescent="0.35">
      <c r="A758">
        <v>220455</v>
      </c>
      <c r="B758">
        <v>54712</v>
      </c>
      <c r="C758" t="s">
        <v>878</v>
      </c>
      <c r="D758" t="s">
        <v>776</v>
      </c>
      <c r="E758" t="s">
        <v>793</v>
      </c>
      <c r="F758">
        <v>4343</v>
      </c>
      <c r="G758">
        <v>1</v>
      </c>
      <c r="H758" t="s">
        <v>16</v>
      </c>
      <c r="I758" s="1">
        <v>-939800</v>
      </c>
      <c r="J758" s="1">
        <v>-4368700</v>
      </c>
      <c r="K758">
        <v>520</v>
      </c>
      <c r="L758">
        <v>4279</v>
      </c>
      <c r="M758" t="s">
        <v>16</v>
      </c>
    </row>
    <row r="759" spans="1:13" x14ac:dyDescent="0.35">
      <c r="A759">
        <v>220460</v>
      </c>
      <c r="B759">
        <v>6866</v>
      </c>
      <c r="C759" t="s">
        <v>879</v>
      </c>
      <c r="D759" t="s">
        <v>776</v>
      </c>
      <c r="E759" t="s">
        <v>779</v>
      </c>
      <c r="F759">
        <v>3674</v>
      </c>
      <c r="G759">
        <v>1</v>
      </c>
      <c r="H759" t="s">
        <v>16</v>
      </c>
      <c r="I759" s="1">
        <v>-598900</v>
      </c>
      <c r="J759" s="1">
        <v>-4255600</v>
      </c>
      <c r="K759">
        <v>232</v>
      </c>
      <c r="L759">
        <v>273</v>
      </c>
      <c r="M759" t="s">
        <v>16</v>
      </c>
    </row>
    <row r="760" spans="1:13" x14ac:dyDescent="0.35">
      <c r="A760">
        <v>220465</v>
      </c>
      <c r="B760">
        <v>54720</v>
      </c>
      <c r="C760" t="s">
        <v>880</v>
      </c>
      <c r="D760" t="s">
        <v>776</v>
      </c>
      <c r="E760" t="s">
        <v>821</v>
      </c>
      <c r="F760">
        <v>8420</v>
      </c>
      <c r="G760">
        <v>1</v>
      </c>
      <c r="H760" t="s">
        <v>16</v>
      </c>
      <c r="I760" s="1">
        <v>-285800</v>
      </c>
      <c r="J760" s="1">
        <v>-4182100</v>
      </c>
      <c r="K760">
        <v>10</v>
      </c>
      <c r="L760">
        <v>134</v>
      </c>
      <c r="M760" t="s">
        <v>16</v>
      </c>
    </row>
    <row r="761" spans="1:13" x14ac:dyDescent="0.35">
      <c r="A761">
        <v>220470</v>
      </c>
      <c r="B761">
        <v>6874</v>
      </c>
      <c r="C761" t="s">
        <v>881</v>
      </c>
      <c r="D761" t="s">
        <v>776</v>
      </c>
      <c r="E761" t="s">
        <v>797</v>
      </c>
      <c r="F761">
        <v>14973</v>
      </c>
      <c r="G761">
        <v>1</v>
      </c>
      <c r="H761" t="s">
        <v>16</v>
      </c>
      <c r="I761" s="1">
        <v>-666800</v>
      </c>
      <c r="J761" s="1">
        <v>-4170800</v>
      </c>
      <c r="K761">
        <v>387</v>
      </c>
      <c r="L761">
        <v>1042</v>
      </c>
      <c r="M761" t="s">
        <v>16</v>
      </c>
    </row>
    <row r="762" spans="1:13" x14ac:dyDescent="0.35">
      <c r="A762">
        <v>220480</v>
      </c>
      <c r="B762">
        <v>6882</v>
      </c>
      <c r="C762" t="s">
        <v>882</v>
      </c>
      <c r="D762" t="s">
        <v>776</v>
      </c>
      <c r="E762" t="s">
        <v>799</v>
      </c>
      <c r="F762">
        <v>9354</v>
      </c>
      <c r="G762">
        <v>1</v>
      </c>
      <c r="H762" t="s">
        <v>16</v>
      </c>
      <c r="I762" s="1">
        <v>-682800</v>
      </c>
      <c r="J762" s="1">
        <v>-4174100</v>
      </c>
      <c r="K762">
        <v>424</v>
      </c>
      <c r="L762">
        <v>527</v>
      </c>
      <c r="M762" t="s">
        <v>16</v>
      </c>
    </row>
    <row r="763" spans="1:13" x14ac:dyDescent="0.35">
      <c r="A763">
        <v>220490</v>
      </c>
      <c r="B763">
        <v>6890</v>
      </c>
      <c r="C763" t="s">
        <v>883</v>
      </c>
      <c r="D763" t="s">
        <v>776</v>
      </c>
      <c r="E763" t="s">
        <v>777</v>
      </c>
      <c r="F763">
        <v>7790</v>
      </c>
      <c r="G763">
        <v>1</v>
      </c>
      <c r="H763" t="s">
        <v>16</v>
      </c>
      <c r="I763" s="1">
        <v>-773800</v>
      </c>
      <c r="J763" s="1">
        <v>-4167600</v>
      </c>
      <c r="K763">
        <v>260</v>
      </c>
      <c r="L763">
        <v>664</v>
      </c>
      <c r="M763" t="s">
        <v>16</v>
      </c>
    </row>
    <row r="764" spans="1:13" x14ac:dyDescent="0.35">
      <c r="A764">
        <v>220500</v>
      </c>
      <c r="B764">
        <v>6904</v>
      </c>
      <c r="C764" t="s">
        <v>884</v>
      </c>
      <c r="D764" t="s">
        <v>776</v>
      </c>
      <c r="E764" t="s">
        <v>777</v>
      </c>
      <c r="F764">
        <v>11084</v>
      </c>
      <c r="G764">
        <v>1</v>
      </c>
      <c r="H764" t="s">
        <v>16</v>
      </c>
      <c r="I764" s="1">
        <v>-744700</v>
      </c>
      <c r="J764" s="1">
        <v>-4147800</v>
      </c>
      <c r="K764">
        <v>200</v>
      </c>
      <c r="L764">
        <v>810</v>
      </c>
      <c r="M764" t="s">
        <v>16</v>
      </c>
    </row>
    <row r="765" spans="1:13" x14ac:dyDescent="0.35">
      <c r="A765">
        <v>220510</v>
      </c>
      <c r="B765">
        <v>6912</v>
      </c>
      <c r="C765" t="s">
        <v>885</v>
      </c>
      <c r="D765" t="s">
        <v>776</v>
      </c>
      <c r="E765" t="s">
        <v>837</v>
      </c>
      <c r="F765">
        <v>10558</v>
      </c>
      <c r="G765">
        <v>1</v>
      </c>
      <c r="H765" t="s">
        <v>16</v>
      </c>
      <c r="I765" s="1">
        <v>-760300</v>
      </c>
      <c r="J765" s="1">
        <v>-4302600</v>
      </c>
      <c r="K765">
        <v>258</v>
      </c>
      <c r="L765">
        <v>2534</v>
      </c>
      <c r="M765" t="s">
        <v>16</v>
      </c>
    </row>
    <row r="766" spans="1:13" x14ac:dyDescent="0.35">
      <c r="A766">
        <v>220515</v>
      </c>
      <c r="B766">
        <v>50156</v>
      </c>
      <c r="C766" t="s">
        <v>886</v>
      </c>
      <c r="D766" t="s">
        <v>776</v>
      </c>
      <c r="E766" t="s">
        <v>777</v>
      </c>
      <c r="F766">
        <v>5597</v>
      </c>
      <c r="G766">
        <v>1</v>
      </c>
      <c r="H766" t="s">
        <v>16</v>
      </c>
      <c r="I766" s="1">
        <v>-793500</v>
      </c>
      <c r="J766" s="1">
        <v>-4121000</v>
      </c>
      <c r="K766">
        <v>0</v>
      </c>
      <c r="L766">
        <v>1443</v>
      </c>
      <c r="M766" t="s">
        <v>16</v>
      </c>
    </row>
    <row r="767" spans="1:13" x14ac:dyDescent="0.35">
      <c r="A767">
        <v>220520</v>
      </c>
      <c r="B767">
        <v>6920</v>
      </c>
      <c r="C767" t="s">
        <v>887</v>
      </c>
      <c r="D767" t="s">
        <v>776</v>
      </c>
      <c r="E767" t="s">
        <v>777</v>
      </c>
      <c r="F767">
        <v>16826</v>
      </c>
      <c r="G767">
        <v>1</v>
      </c>
      <c r="H767" t="s">
        <v>16</v>
      </c>
      <c r="I767" s="1">
        <v>-735900</v>
      </c>
      <c r="J767" s="1">
        <v>-4113800</v>
      </c>
      <c r="K767">
        <v>280</v>
      </c>
      <c r="L767">
        <v>854</v>
      </c>
      <c r="M767" t="s">
        <v>16</v>
      </c>
    </row>
    <row r="768" spans="1:13" x14ac:dyDescent="0.35">
      <c r="A768">
        <v>220525</v>
      </c>
      <c r="B768">
        <v>50164</v>
      </c>
      <c r="C768" t="s">
        <v>888</v>
      </c>
      <c r="D768" t="s">
        <v>776</v>
      </c>
      <c r="E768" t="s">
        <v>779</v>
      </c>
      <c r="F768">
        <v>4171</v>
      </c>
      <c r="G768">
        <v>1</v>
      </c>
      <c r="H768" t="s">
        <v>16</v>
      </c>
      <c r="I768" s="1">
        <v>-609900</v>
      </c>
      <c r="J768" s="1">
        <v>-4263000</v>
      </c>
      <c r="K768">
        <v>0</v>
      </c>
      <c r="L768">
        <v>460</v>
      </c>
      <c r="M768" t="s">
        <v>16</v>
      </c>
    </row>
    <row r="769" spans="1:13" x14ac:dyDescent="0.35">
      <c r="A769">
        <v>220527</v>
      </c>
      <c r="B769">
        <v>54739</v>
      </c>
      <c r="C769" t="s">
        <v>889</v>
      </c>
      <c r="D769" t="s">
        <v>776</v>
      </c>
      <c r="E769" t="s">
        <v>785</v>
      </c>
      <c r="F769">
        <v>4523</v>
      </c>
      <c r="G769">
        <v>1</v>
      </c>
      <c r="H769" t="s">
        <v>16</v>
      </c>
      <c r="I769" s="1">
        <v>-477100</v>
      </c>
      <c r="J769" s="1">
        <v>-4181800</v>
      </c>
      <c r="K769">
        <v>240</v>
      </c>
      <c r="L769">
        <v>663</v>
      </c>
      <c r="M769" t="s">
        <v>16</v>
      </c>
    </row>
    <row r="770" spans="1:13" x14ac:dyDescent="0.35">
      <c r="A770">
        <v>220530</v>
      </c>
      <c r="B770">
        <v>6939</v>
      </c>
      <c r="C770" t="s">
        <v>890</v>
      </c>
      <c r="D770" t="s">
        <v>776</v>
      </c>
      <c r="E770" t="s">
        <v>837</v>
      </c>
      <c r="F770">
        <v>4371</v>
      </c>
      <c r="G770">
        <v>1</v>
      </c>
      <c r="H770" t="s">
        <v>16</v>
      </c>
      <c r="I770" s="1">
        <v>-708800</v>
      </c>
      <c r="J770" s="1">
        <v>-4351000</v>
      </c>
      <c r="K770">
        <v>145</v>
      </c>
      <c r="L770">
        <v>1693</v>
      </c>
      <c r="M770" t="s">
        <v>16</v>
      </c>
    </row>
    <row r="771" spans="1:13" x14ac:dyDescent="0.35">
      <c r="A771">
        <v>220535</v>
      </c>
      <c r="B771">
        <v>54747</v>
      </c>
      <c r="C771" t="s">
        <v>891</v>
      </c>
      <c r="D771" t="s">
        <v>776</v>
      </c>
      <c r="E771" t="s">
        <v>777</v>
      </c>
      <c r="F771">
        <v>3199</v>
      </c>
      <c r="G771">
        <v>1</v>
      </c>
      <c r="H771" t="s">
        <v>16</v>
      </c>
      <c r="I771" s="1">
        <v>-851100</v>
      </c>
      <c r="J771" s="1">
        <v>-4241400</v>
      </c>
      <c r="K771">
        <v>300</v>
      </c>
      <c r="L771">
        <v>1716</v>
      </c>
      <c r="M771" t="s">
        <v>16</v>
      </c>
    </row>
    <row r="772" spans="1:13" x14ac:dyDescent="0.35">
      <c r="A772">
        <v>220540</v>
      </c>
      <c r="B772">
        <v>6947</v>
      </c>
      <c r="C772" t="s">
        <v>892</v>
      </c>
      <c r="D772" t="s">
        <v>776</v>
      </c>
      <c r="E772" t="s">
        <v>808</v>
      </c>
      <c r="F772">
        <v>13779</v>
      </c>
      <c r="G772">
        <v>1</v>
      </c>
      <c r="H772" t="s">
        <v>16</v>
      </c>
      <c r="I772" s="1">
        <v>-350800</v>
      </c>
      <c r="J772" s="1">
        <v>-4219800</v>
      </c>
      <c r="K772">
        <v>7</v>
      </c>
      <c r="L772">
        <v>739</v>
      </c>
      <c r="M772" t="s">
        <v>16</v>
      </c>
    </row>
    <row r="773" spans="1:13" x14ac:dyDescent="0.35">
      <c r="A773">
        <v>220545</v>
      </c>
      <c r="B773">
        <v>54755</v>
      </c>
      <c r="C773" t="s">
        <v>893</v>
      </c>
      <c r="D773" t="s">
        <v>776</v>
      </c>
      <c r="E773" t="s">
        <v>808</v>
      </c>
      <c r="F773">
        <v>5345</v>
      </c>
      <c r="G773">
        <v>1</v>
      </c>
      <c r="H773" t="s">
        <v>16</v>
      </c>
      <c r="I773" s="1">
        <v>-347800</v>
      </c>
      <c r="J773" s="1">
        <v>-4242800</v>
      </c>
      <c r="K773">
        <v>24</v>
      </c>
      <c r="L773">
        <v>166</v>
      </c>
      <c r="M773" t="s">
        <v>16</v>
      </c>
    </row>
    <row r="774" spans="1:13" x14ac:dyDescent="0.35">
      <c r="A774">
        <v>220550</v>
      </c>
      <c r="B774">
        <v>6955</v>
      </c>
      <c r="C774" t="s">
        <v>894</v>
      </c>
      <c r="D774" t="s">
        <v>776</v>
      </c>
      <c r="E774" t="s">
        <v>787</v>
      </c>
      <c r="F774">
        <v>35164</v>
      </c>
      <c r="G774">
        <v>4</v>
      </c>
      <c r="H774" t="s">
        <v>761</v>
      </c>
      <c r="I774" s="1">
        <v>-475600</v>
      </c>
      <c r="J774" s="1">
        <v>-4257600</v>
      </c>
      <c r="K774">
        <v>138</v>
      </c>
      <c r="L774">
        <v>1538</v>
      </c>
      <c r="M774" t="s">
        <v>16</v>
      </c>
    </row>
    <row r="775" spans="1:13" x14ac:dyDescent="0.35">
      <c r="A775">
        <v>220551</v>
      </c>
      <c r="B775">
        <v>54763</v>
      </c>
      <c r="C775" t="s">
        <v>895</v>
      </c>
      <c r="D775" t="s">
        <v>776</v>
      </c>
      <c r="E775" t="s">
        <v>785</v>
      </c>
      <c r="F775">
        <v>4769</v>
      </c>
      <c r="G775">
        <v>1</v>
      </c>
      <c r="H775" t="s">
        <v>16</v>
      </c>
      <c r="I775" s="1">
        <v>-517200</v>
      </c>
      <c r="J775" s="1">
        <v>-4170300</v>
      </c>
      <c r="K775">
        <v>175</v>
      </c>
      <c r="L775">
        <v>827</v>
      </c>
      <c r="M775" t="s">
        <v>16</v>
      </c>
    </row>
    <row r="776" spans="1:13" x14ac:dyDescent="0.35">
      <c r="A776">
        <v>220552</v>
      </c>
      <c r="B776">
        <v>54771</v>
      </c>
      <c r="C776" t="s">
        <v>896</v>
      </c>
      <c r="D776" t="s">
        <v>776</v>
      </c>
      <c r="E776" t="s">
        <v>803</v>
      </c>
      <c r="F776">
        <v>5250</v>
      </c>
      <c r="G776">
        <v>1</v>
      </c>
      <c r="H776" t="s">
        <v>16</v>
      </c>
      <c r="I776" s="1">
        <v>-1032300</v>
      </c>
      <c r="J776" s="1">
        <v>-4423800</v>
      </c>
      <c r="K776">
        <v>389</v>
      </c>
      <c r="L776">
        <v>1290</v>
      </c>
      <c r="M776" t="s">
        <v>16</v>
      </c>
    </row>
    <row r="777" spans="1:13" x14ac:dyDescent="0.35">
      <c r="A777">
        <v>220553</v>
      </c>
      <c r="B777">
        <v>54780</v>
      </c>
      <c r="C777" t="s">
        <v>897</v>
      </c>
      <c r="D777" t="s">
        <v>776</v>
      </c>
      <c r="E777" t="s">
        <v>793</v>
      </c>
      <c r="F777">
        <v>4388</v>
      </c>
      <c r="G777">
        <v>1</v>
      </c>
      <c r="H777" t="s">
        <v>16</v>
      </c>
      <c r="I777" s="1">
        <v>-923100</v>
      </c>
      <c r="J777" s="1">
        <v>-4312800</v>
      </c>
      <c r="K777">
        <v>535</v>
      </c>
      <c r="L777">
        <v>1297</v>
      </c>
      <c r="M777" t="s">
        <v>16</v>
      </c>
    </row>
    <row r="778" spans="1:13" x14ac:dyDescent="0.35">
      <c r="A778">
        <v>220554</v>
      </c>
      <c r="B778">
        <v>54798</v>
      </c>
      <c r="C778" t="s">
        <v>898</v>
      </c>
      <c r="D778" t="s">
        <v>776</v>
      </c>
      <c r="E778" t="s">
        <v>779</v>
      </c>
      <c r="F778">
        <v>2563</v>
      </c>
      <c r="G778">
        <v>1</v>
      </c>
      <c r="H778" t="s">
        <v>16</v>
      </c>
      <c r="I778" s="1">
        <v>-583100</v>
      </c>
      <c r="J778" s="1">
        <v>-4262300</v>
      </c>
      <c r="K778">
        <v>240</v>
      </c>
      <c r="L778">
        <v>67</v>
      </c>
      <c r="M778" t="s">
        <v>16</v>
      </c>
    </row>
    <row r="779" spans="1:13" x14ac:dyDescent="0.35">
      <c r="A779">
        <v>220555</v>
      </c>
      <c r="B779">
        <v>50172</v>
      </c>
      <c r="C779" t="s">
        <v>899</v>
      </c>
      <c r="D779" t="s">
        <v>776</v>
      </c>
      <c r="E779" t="s">
        <v>787</v>
      </c>
      <c r="F779">
        <v>7862</v>
      </c>
      <c r="G779">
        <v>4</v>
      </c>
      <c r="H779" t="s">
        <v>761</v>
      </c>
      <c r="I779" s="1">
        <v>-451600</v>
      </c>
      <c r="J779" s="1">
        <v>-4262500</v>
      </c>
      <c r="K779">
        <v>0</v>
      </c>
      <c r="L779">
        <v>394</v>
      </c>
      <c r="M779" t="s">
        <v>16</v>
      </c>
    </row>
    <row r="780" spans="1:13" x14ac:dyDescent="0.35">
      <c r="A780">
        <v>220556</v>
      </c>
      <c r="B780">
        <v>50180</v>
      </c>
      <c r="C780" t="s">
        <v>900</v>
      </c>
      <c r="D780" t="s">
        <v>776</v>
      </c>
      <c r="E780" t="s">
        <v>777</v>
      </c>
      <c r="F780">
        <v>4543</v>
      </c>
      <c r="G780">
        <v>1</v>
      </c>
      <c r="H780" t="s">
        <v>16</v>
      </c>
      <c r="I780" s="1">
        <v>-847800</v>
      </c>
      <c r="J780" s="1">
        <v>-4152700</v>
      </c>
      <c r="K780">
        <v>0</v>
      </c>
      <c r="L780">
        <v>1300</v>
      </c>
      <c r="M780" t="s">
        <v>16</v>
      </c>
    </row>
    <row r="781" spans="1:13" x14ac:dyDescent="0.35">
      <c r="A781">
        <v>220557</v>
      </c>
      <c r="B781">
        <v>54801</v>
      </c>
      <c r="C781" t="s">
        <v>901</v>
      </c>
      <c r="D781" t="s">
        <v>776</v>
      </c>
      <c r="E781" t="s">
        <v>785</v>
      </c>
      <c r="F781">
        <v>6520</v>
      </c>
      <c r="G781">
        <v>1</v>
      </c>
      <c r="H781" t="s">
        <v>16</v>
      </c>
      <c r="I781" s="1">
        <v>-439200</v>
      </c>
      <c r="J781" s="1">
        <v>-4160100</v>
      </c>
      <c r="K781">
        <v>368</v>
      </c>
      <c r="L781">
        <v>155</v>
      </c>
      <c r="M781" t="s">
        <v>16</v>
      </c>
    </row>
    <row r="782" spans="1:13" x14ac:dyDescent="0.35">
      <c r="A782">
        <v>220558</v>
      </c>
      <c r="B782">
        <v>54810</v>
      </c>
      <c r="C782" t="s">
        <v>902</v>
      </c>
      <c r="D782" t="s">
        <v>776</v>
      </c>
      <c r="E782" t="s">
        <v>787</v>
      </c>
      <c r="F782">
        <v>3684</v>
      </c>
      <c r="G782">
        <v>4</v>
      </c>
      <c r="H782" t="s">
        <v>761</v>
      </c>
      <c r="I782" s="1">
        <v>-541500</v>
      </c>
      <c r="J782" s="1">
        <v>-4264300</v>
      </c>
      <c r="K782">
        <v>185</v>
      </c>
      <c r="L782">
        <v>427</v>
      </c>
      <c r="M782" t="s">
        <v>16</v>
      </c>
    </row>
    <row r="783" spans="1:13" x14ac:dyDescent="0.35">
      <c r="A783">
        <v>220559</v>
      </c>
      <c r="B783">
        <v>54828</v>
      </c>
      <c r="C783" t="s">
        <v>903</v>
      </c>
      <c r="D783" t="s">
        <v>776</v>
      </c>
      <c r="E783" t="s">
        <v>797</v>
      </c>
      <c r="F783">
        <v>5042</v>
      </c>
      <c r="G783">
        <v>1</v>
      </c>
      <c r="H783" t="s">
        <v>16</v>
      </c>
      <c r="I783" s="1">
        <v>-651300</v>
      </c>
      <c r="J783" s="1">
        <v>-4158400</v>
      </c>
      <c r="K783">
        <v>455</v>
      </c>
      <c r="L783">
        <v>789</v>
      </c>
      <c r="M783" t="s">
        <v>16</v>
      </c>
    </row>
    <row r="784" spans="1:13" x14ac:dyDescent="0.35">
      <c r="A784">
        <v>220560</v>
      </c>
      <c r="B784">
        <v>6963</v>
      </c>
      <c r="C784" t="s">
        <v>904</v>
      </c>
      <c r="D784" t="s">
        <v>776</v>
      </c>
      <c r="E784" t="s">
        <v>795</v>
      </c>
      <c r="F784">
        <v>5586</v>
      </c>
      <c r="G784">
        <v>1</v>
      </c>
      <c r="H784" t="s">
        <v>16</v>
      </c>
      <c r="I784" s="1">
        <v>-726600</v>
      </c>
      <c r="J784" s="1">
        <v>-4393000</v>
      </c>
      <c r="K784">
        <v>310</v>
      </c>
      <c r="L784">
        <v>1193</v>
      </c>
      <c r="M784" t="s">
        <v>16</v>
      </c>
    </row>
    <row r="785" spans="1:13" x14ac:dyDescent="0.35">
      <c r="A785">
        <v>220570</v>
      </c>
      <c r="B785">
        <v>6971</v>
      </c>
      <c r="C785" t="s">
        <v>905</v>
      </c>
      <c r="D785" t="s">
        <v>776</v>
      </c>
      <c r="E785" t="s">
        <v>821</v>
      </c>
      <c r="F785">
        <v>50000</v>
      </c>
      <c r="G785">
        <v>1</v>
      </c>
      <c r="H785" t="s">
        <v>16</v>
      </c>
      <c r="I785" s="1">
        <v>-287900</v>
      </c>
      <c r="J785" s="1">
        <v>-4166700</v>
      </c>
      <c r="K785">
        <v>10</v>
      </c>
      <c r="L785">
        <v>1071</v>
      </c>
      <c r="M785" t="s">
        <v>16</v>
      </c>
    </row>
    <row r="786" spans="1:13" x14ac:dyDescent="0.35">
      <c r="A786">
        <v>220580</v>
      </c>
      <c r="B786">
        <v>6980</v>
      </c>
      <c r="C786" t="s">
        <v>906</v>
      </c>
      <c r="D786" t="s">
        <v>776</v>
      </c>
      <c r="E786" t="s">
        <v>808</v>
      </c>
      <c r="F786">
        <v>50000</v>
      </c>
      <c r="G786">
        <v>1</v>
      </c>
      <c r="H786" t="s">
        <v>16</v>
      </c>
      <c r="I786" s="1">
        <v>-345800</v>
      </c>
      <c r="J786" s="1">
        <v>-4237000</v>
      </c>
      <c r="K786">
        <v>30</v>
      </c>
      <c r="L786">
        <v>704</v>
      </c>
      <c r="M786" t="s">
        <v>16</v>
      </c>
    </row>
    <row r="787" spans="1:13" x14ac:dyDescent="0.35">
      <c r="A787">
        <v>220585</v>
      </c>
      <c r="B787">
        <v>54836</v>
      </c>
      <c r="C787" t="s">
        <v>907</v>
      </c>
      <c r="D787" t="s">
        <v>776</v>
      </c>
      <c r="E787" t="s">
        <v>808</v>
      </c>
      <c r="F787">
        <v>7680</v>
      </c>
      <c r="G787">
        <v>1</v>
      </c>
      <c r="H787" t="s">
        <v>16</v>
      </c>
      <c r="I787" s="1">
        <v>-348300</v>
      </c>
      <c r="J787" s="1">
        <v>-4250400</v>
      </c>
      <c r="K787">
        <v>30</v>
      </c>
      <c r="L787">
        <v>177</v>
      </c>
      <c r="M787" t="s">
        <v>16</v>
      </c>
    </row>
    <row r="788" spans="1:13" x14ac:dyDescent="0.35">
      <c r="A788">
        <v>220590</v>
      </c>
      <c r="B788">
        <v>6998</v>
      </c>
      <c r="C788" t="s">
        <v>908</v>
      </c>
      <c r="D788" t="s">
        <v>776</v>
      </c>
      <c r="E788" t="s">
        <v>795</v>
      </c>
      <c r="F788">
        <v>5357</v>
      </c>
      <c r="G788">
        <v>1</v>
      </c>
      <c r="H788" t="s">
        <v>16</v>
      </c>
      <c r="I788" s="1">
        <v>-801300</v>
      </c>
      <c r="J788" s="1">
        <v>-4387200</v>
      </c>
      <c r="K788">
        <v>227</v>
      </c>
      <c r="L788">
        <v>1618</v>
      </c>
      <c r="M788" t="s">
        <v>16</v>
      </c>
    </row>
    <row r="789" spans="1:13" x14ac:dyDescent="0.35">
      <c r="A789">
        <v>220595</v>
      </c>
      <c r="B789">
        <v>50199</v>
      </c>
      <c r="C789" t="s">
        <v>909</v>
      </c>
      <c r="D789" t="s">
        <v>776</v>
      </c>
      <c r="E789" t="s">
        <v>777</v>
      </c>
      <c r="F789">
        <v>7154</v>
      </c>
      <c r="G789">
        <v>1</v>
      </c>
      <c r="H789" t="s">
        <v>16</v>
      </c>
      <c r="I789" s="1">
        <v>-744300</v>
      </c>
      <c r="J789" s="1">
        <v>-4066100</v>
      </c>
      <c r="K789">
        <v>0</v>
      </c>
      <c r="L789">
        <v>137</v>
      </c>
      <c r="M789" t="s">
        <v>16</v>
      </c>
    </row>
    <row r="790" spans="1:13" x14ac:dyDescent="0.35">
      <c r="A790">
        <v>220600</v>
      </c>
      <c r="B790">
        <v>7005</v>
      </c>
      <c r="C790" t="s">
        <v>910</v>
      </c>
      <c r="D790" t="s">
        <v>776</v>
      </c>
      <c r="E790" t="s">
        <v>795</v>
      </c>
      <c r="F790">
        <v>4198</v>
      </c>
      <c r="G790">
        <v>1</v>
      </c>
      <c r="H790" t="s">
        <v>16</v>
      </c>
      <c r="I790" s="1">
        <v>-712100</v>
      </c>
      <c r="J790" s="1">
        <v>-4389400</v>
      </c>
      <c r="K790">
        <v>274</v>
      </c>
      <c r="L790">
        <v>775</v>
      </c>
      <c r="M790" t="s">
        <v>16</v>
      </c>
    </row>
    <row r="791" spans="1:13" x14ac:dyDescent="0.35">
      <c r="A791">
        <v>220605</v>
      </c>
      <c r="B791">
        <v>54844</v>
      </c>
      <c r="C791" t="s">
        <v>911</v>
      </c>
      <c r="D791" t="s">
        <v>776</v>
      </c>
      <c r="E791" t="s">
        <v>777</v>
      </c>
      <c r="F791">
        <v>6428</v>
      </c>
      <c r="G791">
        <v>1</v>
      </c>
      <c r="H791" t="s">
        <v>16</v>
      </c>
      <c r="I791" s="1">
        <v>-746300</v>
      </c>
      <c r="J791" s="1">
        <v>-4112600</v>
      </c>
      <c r="K791">
        <v>270</v>
      </c>
      <c r="L791">
        <v>525</v>
      </c>
      <c r="M791" t="s">
        <v>16</v>
      </c>
    </row>
    <row r="792" spans="1:13" x14ac:dyDescent="0.35">
      <c r="A792">
        <v>220610</v>
      </c>
      <c r="B792">
        <v>7013</v>
      </c>
      <c r="C792" t="s">
        <v>912</v>
      </c>
      <c r="D792" t="s">
        <v>776</v>
      </c>
      <c r="E792" t="s">
        <v>808</v>
      </c>
      <c r="F792">
        <v>10465</v>
      </c>
      <c r="G792">
        <v>1</v>
      </c>
      <c r="H792" t="s">
        <v>16</v>
      </c>
      <c r="I792" s="1">
        <v>-371600</v>
      </c>
      <c r="J792" s="1">
        <v>-4255600</v>
      </c>
      <c r="K792">
        <v>69</v>
      </c>
      <c r="L792">
        <v>226</v>
      </c>
      <c r="M792" t="s">
        <v>16</v>
      </c>
    </row>
    <row r="793" spans="1:13" x14ac:dyDescent="0.35">
      <c r="A793">
        <v>220620</v>
      </c>
      <c r="B793">
        <v>7021</v>
      </c>
      <c r="C793" t="s">
        <v>913</v>
      </c>
      <c r="D793" t="s">
        <v>776</v>
      </c>
      <c r="E793" t="s">
        <v>808</v>
      </c>
      <c r="F793">
        <v>32178</v>
      </c>
      <c r="G793">
        <v>1</v>
      </c>
      <c r="H793" t="s">
        <v>16</v>
      </c>
      <c r="I793" s="1">
        <v>-416600</v>
      </c>
      <c r="J793" s="1">
        <v>-4289500</v>
      </c>
      <c r="K793">
        <v>50</v>
      </c>
      <c r="L793">
        <v>1393</v>
      </c>
      <c r="M793" t="s">
        <v>16</v>
      </c>
    </row>
    <row r="794" spans="1:13" x14ac:dyDescent="0.35">
      <c r="A794">
        <v>220630</v>
      </c>
      <c r="B794">
        <v>7030</v>
      </c>
      <c r="C794" t="s">
        <v>914</v>
      </c>
      <c r="D794" t="s">
        <v>776</v>
      </c>
      <c r="E794" t="s">
        <v>787</v>
      </c>
      <c r="F794">
        <v>1194</v>
      </c>
      <c r="G794">
        <v>4</v>
      </c>
      <c r="H794" t="s">
        <v>761</v>
      </c>
      <c r="I794" s="1">
        <v>-568100</v>
      </c>
      <c r="J794" s="1">
        <v>-4273900</v>
      </c>
      <c r="K794">
        <v>185</v>
      </c>
      <c r="L794">
        <v>74</v>
      </c>
      <c r="M794" t="s">
        <v>16</v>
      </c>
    </row>
    <row r="795" spans="1:13" x14ac:dyDescent="0.35">
      <c r="A795">
        <v>220635</v>
      </c>
      <c r="B795">
        <v>54852</v>
      </c>
      <c r="C795" t="s">
        <v>915</v>
      </c>
      <c r="D795" t="s">
        <v>776</v>
      </c>
      <c r="E795" t="s">
        <v>785</v>
      </c>
      <c r="F795">
        <v>7018</v>
      </c>
      <c r="G795">
        <v>1</v>
      </c>
      <c r="H795" t="s">
        <v>16</v>
      </c>
      <c r="I795" s="1">
        <v>-468400</v>
      </c>
      <c r="J795" s="1">
        <v>-4142200</v>
      </c>
      <c r="K795">
        <v>322</v>
      </c>
      <c r="L795">
        <v>1371</v>
      </c>
      <c r="M795" t="s">
        <v>16</v>
      </c>
    </row>
    <row r="796" spans="1:13" x14ac:dyDescent="0.35">
      <c r="A796">
        <v>220640</v>
      </c>
      <c r="B796">
        <v>7048</v>
      </c>
      <c r="C796" t="s">
        <v>916</v>
      </c>
      <c r="D796" t="s">
        <v>776</v>
      </c>
      <c r="E796" t="s">
        <v>787</v>
      </c>
      <c r="F796">
        <v>10321</v>
      </c>
      <c r="G796">
        <v>4</v>
      </c>
      <c r="H796" t="s">
        <v>761</v>
      </c>
      <c r="I796" s="1">
        <v>-556400</v>
      </c>
      <c r="J796" s="1">
        <v>-4260800</v>
      </c>
      <c r="K796">
        <v>116</v>
      </c>
      <c r="L796">
        <v>582</v>
      </c>
      <c r="M796" t="s">
        <v>16</v>
      </c>
    </row>
    <row r="797" spans="1:13" x14ac:dyDescent="0.35">
      <c r="A797">
        <v>220650</v>
      </c>
      <c r="B797">
        <v>7056</v>
      </c>
      <c r="C797" t="s">
        <v>917</v>
      </c>
      <c r="D797" t="s">
        <v>776</v>
      </c>
      <c r="E797" t="s">
        <v>782</v>
      </c>
      <c r="F797">
        <v>7163</v>
      </c>
      <c r="G797">
        <v>1</v>
      </c>
      <c r="H797" t="s">
        <v>16</v>
      </c>
      <c r="I797" s="1">
        <v>-699600</v>
      </c>
      <c r="J797" s="1">
        <v>-4103000</v>
      </c>
      <c r="K797">
        <v>257</v>
      </c>
      <c r="L797">
        <v>391</v>
      </c>
      <c r="M797" t="s">
        <v>16</v>
      </c>
    </row>
    <row r="798" spans="1:13" x14ac:dyDescent="0.35">
      <c r="A798">
        <v>220660</v>
      </c>
      <c r="B798">
        <v>7064</v>
      </c>
      <c r="C798" t="s">
        <v>918</v>
      </c>
      <c r="D798" t="s">
        <v>776</v>
      </c>
      <c r="E798" t="s">
        <v>789</v>
      </c>
      <c r="F798">
        <v>10335</v>
      </c>
      <c r="G798">
        <v>1</v>
      </c>
      <c r="H798" t="s">
        <v>16</v>
      </c>
      <c r="I798" s="1">
        <v>-975400</v>
      </c>
      <c r="J798" s="1">
        <v>-4530400</v>
      </c>
      <c r="K798">
        <v>453</v>
      </c>
      <c r="L798">
        <v>2417</v>
      </c>
      <c r="M798" t="s">
        <v>16</v>
      </c>
    </row>
    <row r="799" spans="1:13" x14ac:dyDescent="0.35">
      <c r="A799">
        <v>220665</v>
      </c>
      <c r="B799">
        <v>54860</v>
      </c>
      <c r="C799" t="s">
        <v>919</v>
      </c>
      <c r="D799" t="s">
        <v>776</v>
      </c>
      <c r="E799" t="s">
        <v>803</v>
      </c>
      <c r="F799">
        <v>4241</v>
      </c>
      <c r="G799">
        <v>1</v>
      </c>
      <c r="H799" t="s">
        <v>16</v>
      </c>
      <c r="I799" s="1">
        <v>-972500</v>
      </c>
      <c r="J799" s="1">
        <v>-4390100</v>
      </c>
      <c r="K799">
        <v>479</v>
      </c>
      <c r="L799">
        <v>2210</v>
      </c>
      <c r="M799" t="s">
        <v>16</v>
      </c>
    </row>
    <row r="800" spans="1:13" x14ac:dyDescent="0.35">
      <c r="A800">
        <v>220667</v>
      </c>
      <c r="B800">
        <v>54879</v>
      </c>
      <c r="C800" t="s">
        <v>920</v>
      </c>
      <c r="D800" t="s">
        <v>776</v>
      </c>
      <c r="E800" t="s">
        <v>808</v>
      </c>
      <c r="F800">
        <v>6377</v>
      </c>
      <c r="G800">
        <v>1</v>
      </c>
      <c r="H800" t="s">
        <v>16</v>
      </c>
      <c r="I800" s="1">
        <v>-374300</v>
      </c>
      <c r="J800" s="1">
        <v>-4231200</v>
      </c>
      <c r="K800">
        <v>99</v>
      </c>
      <c r="L800">
        <v>328</v>
      </c>
      <c r="M800" t="s">
        <v>16</v>
      </c>
    </row>
    <row r="801" spans="1:13" x14ac:dyDescent="0.35">
      <c r="A801">
        <v>220669</v>
      </c>
      <c r="B801">
        <v>54887</v>
      </c>
      <c r="C801" t="s">
        <v>921</v>
      </c>
      <c r="D801" t="s">
        <v>776</v>
      </c>
      <c r="E801" t="s">
        <v>821</v>
      </c>
      <c r="F801">
        <v>7655</v>
      </c>
      <c r="G801">
        <v>1</v>
      </c>
      <c r="H801" t="s">
        <v>16</v>
      </c>
      <c r="I801" s="1">
        <v>-331900</v>
      </c>
      <c r="J801" s="1">
        <v>-4209400</v>
      </c>
      <c r="K801">
        <v>19</v>
      </c>
      <c r="L801">
        <v>481</v>
      </c>
      <c r="M801" t="s">
        <v>16</v>
      </c>
    </row>
    <row r="802" spans="1:13" x14ac:dyDescent="0.35">
      <c r="A802">
        <v>220670</v>
      </c>
      <c r="B802">
        <v>7072</v>
      </c>
      <c r="C802" t="s">
        <v>922</v>
      </c>
      <c r="D802" t="s">
        <v>776</v>
      </c>
      <c r="E802" t="s">
        <v>837</v>
      </c>
      <c r="F802">
        <v>6947</v>
      </c>
      <c r="G802">
        <v>1</v>
      </c>
      <c r="H802" t="s">
        <v>16</v>
      </c>
      <c r="I802" s="1">
        <v>-697300</v>
      </c>
      <c r="J802" s="1">
        <v>-4267200</v>
      </c>
      <c r="K802">
        <v>136</v>
      </c>
      <c r="L802">
        <v>1311</v>
      </c>
      <c r="M802" t="s">
        <v>16</v>
      </c>
    </row>
    <row r="803" spans="1:13" x14ac:dyDescent="0.35">
      <c r="A803">
        <v>220672</v>
      </c>
      <c r="B803">
        <v>59420</v>
      </c>
      <c r="C803" t="s">
        <v>923</v>
      </c>
      <c r="D803" t="s">
        <v>776</v>
      </c>
      <c r="E803" t="s">
        <v>924</v>
      </c>
      <c r="F803">
        <v>8039</v>
      </c>
      <c r="G803">
        <v>1</v>
      </c>
      <c r="H803" t="s">
        <v>16</v>
      </c>
      <c r="I803" s="1">
        <v>-508900</v>
      </c>
      <c r="J803" s="1">
        <v>-4280200</v>
      </c>
      <c r="K803">
        <v>72</v>
      </c>
      <c r="L803">
        <v>0</v>
      </c>
      <c r="M803" t="s">
        <v>16</v>
      </c>
    </row>
    <row r="804" spans="1:13" x14ac:dyDescent="0.35">
      <c r="A804">
        <v>220675</v>
      </c>
      <c r="B804">
        <v>54895</v>
      </c>
      <c r="C804" t="s">
        <v>925</v>
      </c>
      <c r="D804" t="s">
        <v>776</v>
      </c>
      <c r="E804" t="s">
        <v>785</v>
      </c>
      <c r="F804">
        <v>4048</v>
      </c>
      <c r="G804">
        <v>1</v>
      </c>
      <c r="H804" t="s">
        <v>16</v>
      </c>
      <c r="I804" s="1">
        <v>-463100</v>
      </c>
      <c r="J804" s="1">
        <v>-4217300</v>
      </c>
      <c r="K804">
        <v>40</v>
      </c>
      <c r="L804">
        <v>356</v>
      </c>
      <c r="M804" t="s">
        <v>16</v>
      </c>
    </row>
    <row r="805" spans="1:13" x14ac:dyDescent="0.35">
      <c r="A805">
        <v>220680</v>
      </c>
      <c r="B805">
        <v>7080</v>
      </c>
      <c r="C805" t="s">
        <v>926</v>
      </c>
      <c r="D805" t="s">
        <v>776</v>
      </c>
      <c r="E805" t="s">
        <v>808</v>
      </c>
      <c r="F805">
        <v>8044</v>
      </c>
      <c r="G805">
        <v>1</v>
      </c>
      <c r="H805" t="s">
        <v>16</v>
      </c>
      <c r="I805" s="1">
        <v>-397900</v>
      </c>
      <c r="J805" s="1">
        <v>-4262100</v>
      </c>
      <c r="K805">
        <v>53</v>
      </c>
      <c r="L805">
        <v>358</v>
      </c>
      <c r="M805" t="s">
        <v>16</v>
      </c>
    </row>
    <row r="806" spans="1:13" x14ac:dyDescent="0.35">
      <c r="A806">
        <v>220690</v>
      </c>
      <c r="B806">
        <v>7099</v>
      </c>
      <c r="C806" t="s">
        <v>927</v>
      </c>
      <c r="D806" t="s">
        <v>776</v>
      </c>
      <c r="E806" t="s">
        <v>797</v>
      </c>
      <c r="F806">
        <v>6191</v>
      </c>
      <c r="G806">
        <v>1</v>
      </c>
      <c r="H806" t="s">
        <v>16</v>
      </c>
      <c r="I806" s="1">
        <v>-644900</v>
      </c>
      <c r="J806" s="1">
        <v>-4193900</v>
      </c>
      <c r="K806">
        <v>235</v>
      </c>
      <c r="L806">
        <v>500</v>
      </c>
      <c r="M806" t="s">
        <v>16</v>
      </c>
    </row>
    <row r="807" spans="1:13" x14ac:dyDescent="0.35">
      <c r="A807">
        <v>220695</v>
      </c>
      <c r="B807">
        <v>54909</v>
      </c>
      <c r="C807" t="s">
        <v>928</v>
      </c>
      <c r="D807" t="s">
        <v>776</v>
      </c>
      <c r="E807" t="s">
        <v>785</v>
      </c>
      <c r="F807">
        <v>3383</v>
      </c>
      <c r="G807">
        <v>1</v>
      </c>
      <c r="H807" t="s">
        <v>16</v>
      </c>
      <c r="I807" s="1">
        <v>-528800</v>
      </c>
      <c r="J807" s="1">
        <v>-4193300</v>
      </c>
      <c r="K807">
        <v>180</v>
      </c>
      <c r="L807">
        <v>528</v>
      </c>
      <c r="M807" t="s">
        <v>16</v>
      </c>
    </row>
    <row r="808" spans="1:13" x14ac:dyDescent="0.35">
      <c r="A808">
        <v>220700</v>
      </c>
      <c r="B808">
        <v>7102</v>
      </c>
      <c r="C808" t="s">
        <v>929</v>
      </c>
      <c r="D808" t="s">
        <v>776</v>
      </c>
      <c r="E808" t="s">
        <v>799</v>
      </c>
      <c r="F808">
        <v>35075</v>
      </c>
      <c r="G808">
        <v>1</v>
      </c>
      <c r="H808" t="s">
        <v>16</v>
      </c>
      <c r="I808" s="1">
        <v>-702500</v>
      </c>
      <c r="J808" s="1">
        <v>-4213100</v>
      </c>
      <c r="K808">
        <v>166</v>
      </c>
      <c r="L808">
        <v>2719</v>
      </c>
      <c r="M808" t="s">
        <v>16</v>
      </c>
    </row>
    <row r="809" spans="1:13" x14ac:dyDescent="0.35">
      <c r="A809">
        <v>220710</v>
      </c>
      <c r="B809">
        <v>54917</v>
      </c>
      <c r="C809" t="s">
        <v>930</v>
      </c>
      <c r="D809" t="s">
        <v>776</v>
      </c>
      <c r="E809" t="s">
        <v>779</v>
      </c>
      <c r="F809">
        <v>2637</v>
      </c>
      <c r="G809">
        <v>1</v>
      </c>
      <c r="H809" t="s">
        <v>16</v>
      </c>
      <c r="I809" s="1">
        <v>-584100</v>
      </c>
      <c r="J809" s="1">
        <v>-4257500</v>
      </c>
      <c r="K809">
        <v>235</v>
      </c>
      <c r="L809">
        <v>220</v>
      </c>
      <c r="M809" t="s">
        <v>16</v>
      </c>
    </row>
    <row r="810" spans="1:13" x14ac:dyDescent="0.35">
      <c r="A810">
        <v>220720</v>
      </c>
      <c r="B810">
        <v>7129</v>
      </c>
      <c r="C810" t="s">
        <v>931</v>
      </c>
      <c r="D810" t="s">
        <v>776</v>
      </c>
      <c r="E810" t="s">
        <v>777</v>
      </c>
      <c r="F810">
        <v>7340</v>
      </c>
      <c r="G810">
        <v>1</v>
      </c>
      <c r="H810" t="s">
        <v>16</v>
      </c>
      <c r="I810" s="1">
        <v>-735500</v>
      </c>
      <c r="J810" s="1">
        <v>-4090400</v>
      </c>
      <c r="K810">
        <v>360</v>
      </c>
      <c r="L810">
        <v>319</v>
      </c>
      <c r="M810" t="s">
        <v>16</v>
      </c>
    </row>
    <row r="811" spans="1:13" x14ac:dyDescent="0.35">
      <c r="A811">
        <v>220730</v>
      </c>
      <c r="B811">
        <v>7137</v>
      </c>
      <c r="C811" t="s">
        <v>932</v>
      </c>
      <c r="D811" t="s">
        <v>776</v>
      </c>
      <c r="E811" t="s">
        <v>777</v>
      </c>
      <c r="F811">
        <v>4462</v>
      </c>
      <c r="G811">
        <v>1</v>
      </c>
      <c r="H811" t="s">
        <v>16</v>
      </c>
      <c r="I811" s="1">
        <v>-777800</v>
      </c>
      <c r="J811" s="1">
        <v>-4225600</v>
      </c>
      <c r="K811">
        <v>193</v>
      </c>
      <c r="L811">
        <v>349</v>
      </c>
      <c r="M811" t="s">
        <v>16</v>
      </c>
    </row>
    <row r="812" spans="1:13" x14ac:dyDescent="0.35">
      <c r="A812">
        <v>220735</v>
      </c>
      <c r="B812">
        <v>54925</v>
      </c>
      <c r="C812" t="s">
        <v>933</v>
      </c>
      <c r="D812" t="s">
        <v>776</v>
      </c>
      <c r="E812" t="s">
        <v>793</v>
      </c>
      <c r="F812">
        <v>3616</v>
      </c>
      <c r="G812">
        <v>1</v>
      </c>
      <c r="H812" t="s">
        <v>16</v>
      </c>
      <c r="I812" s="1">
        <v>-785600</v>
      </c>
      <c r="J812" s="1">
        <v>-4282200</v>
      </c>
      <c r="K812">
        <v>290</v>
      </c>
      <c r="L812">
        <v>1075</v>
      </c>
      <c r="M812" t="s">
        <v>16</v>
      </c>
    </row>
    <row r="813" spans="1:13" x14ac:dyDescent="0.35">
      <c r="A813">
        <v>220740</v>
      </c>
      <c r="B813">
        <v>7145</v>
      </c>
      <c r="C813" t="s">
        <v>934</v>
      </c>
      <c r="D813" t="s">
        <v>776</v>
      </c>
      <c r="E813" t="s">
        <v>789</v>
      </c>
      <c r="F813">
        <v>4985</v>
      </c>
      <c r="G813">
        <v>1</v>
      </c>
      <c r="H813" t="s">
        <v>16</v>
      </c>
      <c r="I813" s="1">
        <v>-872700</v>
      </c>
      <c r="J813" s="1">
        <v>-4423600</v>
      </c>
      <c r="K813">
        <v>270</v>
      </c>
      <c r="L813">
        <v>2021</v>
      </c>
      <c r="M813" t="s">
        <v>16</v>
      </c>
    </row>
    <row r="814" spans="1:13" x14ac:dyDescent="0.35">
      <c r="A814">
        <v>220750</v>
      </c>
      <c r="B814">
        <v>7153</v>
      </c>
      <c r="C814" t="s">
        <v>935</v>
      </c>
      <c r="D814" t="s">
        <v>776</v>
      </c>
      <c r="E814" t="s">
        <v>779</v>
      </c>
      <c r="F814">
        <v>13721</v>
      </c>
      <c r="G814">
        <v>1</v>
      </c>
      <c r="H814" t="s">
        <v>16</v>
      </c>
      <c r="I814" s="1">
        <v>-597800</v>
      </c>
      <c r="J814" s="1">
        <v>-4306300</v>
      </c>
      <c r="K814">
        <v>85</v>
      </c>
      <c r="L814">
        <v>1360</v>
      </c>
      <c r="M814" t="s">
        <v>16</v>
      </c>
    </row>
    <row r="815" spans="1:13" x14ac:dyDescent="0.35">
      <c r="A815">
        <v>220755</v>
      </c>
      <c r="B815">
        <v>53872</v>
      </c>
      <c r="C815" t="s">
        <v>936</v>
      </c>
      <c r="D815" t="s">
        <v>776</v>
      </c>
      <c r="E815" t="s">
        <v>799</v>
      </c>
      <c r="F815">
        <v>4531</v>
      </c>
      <c r="G815">
        <v>1</v>
      </c>
      <c r="H815" t="s">
        <v>16</v>
      </c>
      <c r="I815" s="1">
        <v>-710400</v>
      </c>
      <c r="J815" s="1">
        <v>-4170400</v>
      </c>
      <c r="K815">
        <v>340</v>
      </c>
      <c r="L815">
        <v>448</v>
      </c>
      <c r="M815" t="s">
        <v>16</v>
      </c>
    </row>
    <row r="816" spans="1:13" x14ac:dyDescent="0.35">
      <c r="A816">
        <v>220760</v>
      </c>
      <c r="B816">
        <v>7161</v>
      </c>
      <c r="C816" t="s">
        <v>937</v>
      </c>
      <c r="D816" t="s">
        <v>776</v>
      </c>
      <c r="E816" t="s">
        <v>803</v>
      </c>
      <c r="F816">
        <v>10313</v>
      </c>
      <c r="G816">
        <v>1</v>
      </c>
      <c r="H816" t="s">
        <v>16</v>
      </c>
      <c r="I816" s="1">
        <v>-1022700</v>
      </c>
      <c r="J816" s="1">
        <v>-4463900</v>
      </c>
      <c r="K816">
        <v>334</v>
      </c>
      <c r="L816">
        <v>3284</v>
      </c>
      <c r="M816" t="s">
        <v>16</v>
      </c>
    </row>
    <row r="817" spans="1:13" x14ac:dyDescent="0.35">
      <c r="A817">
        <v>220770</v>
      </c>
      <c r="B817">
        <v>7170</v>
      </c>
      <c r="C817" t="s">
        <v>938</v>
      </c>
      <c r="D817" t="s">
        <v>776</v>
      </c>
      <c r="E817" t="s">
        <v>821</v>
      </c>
      <c r="F817">
        <v>140839</v>
      </c>
      <c r="G817">
        <v>3</v>
      </c>
      <c r="H817" t="s">
        <v>16</v>
      </c>
      <c r="I817" s="1">
        <v>-290500</v>
      </c>
      <c r="J817" s="1">
        <v>-4177700</v>
      </c>
      <c r="K817">
        <v>5</v>
      </c>
      <c r="L817">
        <v>435</v>
      </c>
      <c r="M817" t="s">
        <v>16</v>
      </c>
    </row>
    <row r="818" spans="1:13" x14ac:dyDescent="0.35">
      <c r="A818">
        <v>220775</v>
      </c>
      <c r="B818">
        <v>50202</v>
      </c>
      <c r="C818" t="s">
        <v>939</v>
      </c>
      <c r="D818" t="s">
        <v>776</v>
      </c>
      <c r="E818" t="s">
        <v>779</v>
      </c>
      <c r="F818">
        <v>4127</v>
      </c>
      <c r="G818">
        <v>1</v>
      </c>
      <c r="H818" t="s">
        <v>16</v>
      </c>
      <c r="I818" s="1">
        <v>-585800</v>
      </c>
      <c r="J818" s="1">
        <v>-4244000</v>
      </c>
      <c r="K818">
        <v>140</v>
      </c>
      <c r="L818">
        <v>849</v>
      </c>
      <c r="M818" t="s">
        <v>16</v>
      </c>
    </row>
    <row r="819" spans="1:13" x14ac:dyDescent="0.35">
      <c r="A819">
        <v>220777</v>
      </c>
      <c r="B819">
        <v>50210</v>
      </c>
      <c r="C819" t="s">
        <v>940</v>
      </c>
      <c r="D819" t="s">
        <v>776</v>
      </c>
      <c r="E819" t="s">
        <v>777</v>
      </c>
      <c r="F819">
        <v>6171</v>
      </c>
      <c r="G819">
        <v>1</v>
      </c>
      <c r="H819" t="s">
        <v>16</v>
      </c>
      <c r="I819" s="1">
        <v>-766800</v>
      </c>
      <c r="J819" s="1">
        <v>-4124400</v>
      </c>
      <c r="K819">
        <v>0</v>
      </c>
      <c r="L819">
        <v>723</v>
      </c>
      <c r="M819" t="s">
        <v>16</v>
      </c>
    </row>
    <row r="820" spans="1:13" x14ac:dyDescent="0.35">
      <c r="A820">
        <v>220779</v>
      </c>
      <c r="B820">
        <v>59811</v>
      </c>
      <c r="C820" t="s">
        <v>941</v>
      </c>
      <c r="D820" t="s">
        <v>776</v>
      </c>
      <c r="E820" t="s">
        <v>787</v>
      </c>
      <c r="F820">
        <v>3713</v>
      </c>
      <c r="G820">
        <v>1</v>
      </c>
      <c r="H820" t="s">
        <v>16</v>
      </c>
      <c r="I820" s="1">
        <v>-526100</v>
      </c>
      <c r="J820" s="1">
        <v>-4239400</v>
      </c>
      <c r="K820">
        <v>0</v>
      </c>
      <c r="L820">
        <v>426</v>
      </c>
      <c r="M820" t="s">
        <v>16</v>
      </c>
    </row>
    <row r="821" spans="1:13" x14ac:dyDescent="0.35">
      <c r="A821">
        <v>220780</v>
      </c>
      <c r="B821">
        <v>7188</v>
      </c>
      <c r="C821" t="s">
        <v>942</v>
      </c>
      <c r="D821" t="s">
        <v>776</v>
      </c>
      <c r="E821" t="s">
        <v>777</v>
      </c>
      <c r="F821">
        <v>16930</v>
      </c>
      <c r="G821">
        <v>1</v>
      </c>
      <c r="H821" t="s">
        <v>16</v>
      </c>
      <c r="I821" s="1">
        <v>-814400</v>
      </c>
      <c r="J821" s="1">
        <v>-4115000</v>
      </c>
      <c r="K821">
        <v>359</v>
      </c>
      <c r="L821">
        <v>1751</v>
      </c>
      <c r="M821" t="s">
        <v>16</v>
      </c>
    </row>
    <row r="822" spans="1:13" x14ac:dyDescent="0.35">
      <c r="A822">
        <v>220785</v>
      </c>
      <c r="B822">
        <v>54941</v>
      </c>
      <c r="C822" t="s">
        <v>943</v>
      </c>
      <c r="D822" t="s">
        <v>776</v>
      </c>
      <c r="E822" t="s">
        <v>837</v>
      </c>
      <c r="F822">
        <v>4291</v>
      </c>
      <c r="G822">
        <v>1</v>
      </c>
      <c r="H822" t="s">
        <v>16</v>
      </c>
      <c r="I822" s="1">
        <v>-796600</v>
      </c>
      <c r="J822" s="1">
        <v>-4322300</v>
      </c>
      <c r="K822">
        <v>300</v>
      </c>
      <c r="L822">
        <v>1494</v>
      </c>
      <c r="M822" t="s">
        <v>16</v>
      </c>
    </row>
    <row r="823" spans="1:13" x14ac:dyDescent="0.35">
      <c r="A823">
        <v>220790</v>
      </c>
      <c r="B823">
        <v>7196</v>
      </c>
      <c r="C823" t="s">
        <v>944</v>
      </c>
      <c r="D823" t="s">
        <v>776</v>
      </c>
      <c r="E823" t="s">
        <v>785</v>
      </c>
      <c r="F823">
        <v>36675</v>
      </c>
      <c r="G823">
        <v>1</v>
      </c>
      <c r="H823" t="s">
        <v>16</v>
      </c>
      <c r="I823" s="1">
        <v>-442500</v>
      </c>
      <c r="J823" s="1">
        <v>-4145900</v>
      </c>
      <c r="K823">
        <v>603</v>
      </c>
      <c r="L823">
        <v>1518</v>
      </c>
      <c r="M823" t="s">
        <v>16</v>
      </c>
    </row>
    <row r="824" spans="1:13" x14ac:dyDescent="0.35">
      <c r="A824">
        <v>220793</v>
      </c>
      <c r="B824">
        <v>54950</v>
      </c>
      <c r="C824" t="s">
        <v>945</v>
      </c>
      <c r="D824" t="s">
        <v>776</v>
      </c>
      <c r="E824" t="s">
        <v>777</v>
      </c>
      <c r="F824">
        <v>2105</v>
      </c>
      <c r="G824">
        <v>1</v>
      </c>
      <c r="H824" t="s">
        <v>16</v>
      </c>
      <c r="I824" s="1">
        <v>-806800</v>
      </c>
      <c r="J824" s="1">
        <v>-4228500</v>
      </c>
      <c r="K824">
        <v>200</v>
      </c>
      <c r="L824">
        <v>835</v>
      </c>
      <c r="M824" t="s">
        <v>16</v>
      </c>
    </row>
    <row r="825" spans="1:13" x14ac:dyDescent="0.35">
      <c r="A825">
        <v>220795</v>
      </c>
      <c r="B825">
        <v>54968</v>
      </c>
      <c r="C825" t="s">
        <v>946</v>
      </c>
      <c r="D825" t="s">
        <v>776</v>
      </c>
      <c r="E825" t="s">
        <v>777</v>
      </c>
      <c r="F825">
        <v>4284</v>
      </c>
      <c r="G825">
        <v>1</v>
      </c>
      <c r="H825" t="s">
        <v>16</v>
      </c>
      <c r="I825" s="1">
        <v>-808700</v>
      </c>
      <c r="J825" s="1">
        <v>-4205200</v>
      </c>
      <c r="K825">
        <v>292</v>
      </c>
      <c r="L825">
        <v>1119</v>
      </c>
      <c r="M825" t="s">
        <v>16</v>
      </c>
    </row>
    <row r="826" spans="1:13" x14ac:dyDescent="0.35">
      <c r="A826">
        <v>220800</v>
      </c>
      <c r="B826">
        <v>7200</v>
      </c>
      <c r="C826" t="s">
        <v>799</v>
      </c>
      <c r="D826" t="s">
        <v>776</v>
      </c>
      <c r="E826" t="s">
        <v>799</v>
      </c>
      <c r="F826">
        <v>70450</v>
      </c>
      <c r="G826">
        <v>2</v>
      </c>
      <c r="H826" t="s">
        <v>16</v>
      </c>
      <c r="I826" s="1">
        <v>-707700</v>
      </c>
      <c r="J826" s="1">
        <v>-4146700</v>
      </c>
      <c r="K826">
        <v>206</v>
      </c>
      <c r="L826">
        <v>803</v>
      </c>
      <c r="M826" t="s">
        <v>16</v>
      </c>
    </row>
    <row r="827" spans="1:13" x14ac:dyDescent="0.35">
      <c r="A827">
        <v>220810</v>
      </c>
      <c r="B827">
        <v>7218</v>
      </c>
      <c r="C827" t="s">
        <v>947</v>
      </c>
      <c r="D827" t="s">
        <v>776</v>
      </c>
      <c r="E827" t="s">
        <v>797</v>
      </c>
      <c r="F827">
        <v>11722</v>
      </c>
      <c r="G827">
        <v>1</v>
      </c>
      <c r="H827" t="s">
        <v>16</v>
      </c>
      <c r="I827" s="1">
        <v>-624500</v>
      </c>
      <c r="J827" s="1">
        <v>-4141900</v>
      </c>
      <c r="K827">
        <v>283</v>
      </c>
      <c r="L827">
        <v>4577</v>
      </c>
      <c r="M827" t="s">
        <v>16</v>
      </c>
    </row>
    <row r="828" spans="1:13" x14ac:dyDescent="0.35">
      <c r="A828">
        <v>220820</v>
      </c>
      <c r="B828">
        <v>7226</v>
      </c>
      <c r="C828" t="s">
        <v>782</v>
      </c>
      <c r="D828" t="s">
        <v>776</v>
      </c>
      <c r="E828" t="s">
        <v>782</v>
      </c>
      <c r="F828">
        <v>17123</v>
      </c>
      <c r="G828">
        <v>1</v>
      </c>
      <c r="H828" t="s">
        <v>16</v>
      </c>
      <c r="I828" s="1">
        <v>-683800</v>
      </c>
      <c r="J828" s="1">
        <v>-4057900</v>
      </c>
      <c r="K828">
        <v>495</v>
      </c>
      <c r="L828">
        <v>1948</v>
      </c>
      <c r="M828" t="s">
        <v>16</v>
      </c>
    </row>
    <row r="829" spans="1:13" x14ac:dyDescent="0.35">
      <c r="A829">
        <v>220830</v>
      </c>
      <c r="B829">
        <v>7234</v>
      </c>
      <c r="C829" t="s">
        <v>948</v>
      </c>
      <c r="D829" t="s">
        <v>776</v>
      </c>
      <c r="E829" t="s">
        <v>821</v>
      </c>
      <c r="F829">
        <v>50000</v>
      </c>
      <c r="G829">
        <v>1</v>
      </c>
      <c r="H829" t="s">
        <v>16</v>
      </c>
      <c r="I829" s="1">
        <v>-392800</v>
      </c>
      <c r="J829" s="1">
        <v>-4170900</v>
      </c>
      <c r="K829">
        <v>60</v>
      </c>
      <c r="L829">
        <v>2380</v>
      </c>
      <c r="M829" t="s">
        <v>16</v>
      </c>
    </row>
    <row r="830" spans="1:13" x14ac:dyDescent="0.35">
      <c r="A830">
        <v>220840</v>
      </c>
      <c r="B830">
        <v>7242</v>
      </c>
      <c r="C830" t="s">
        <v>949</v>
      </c>
      <c r="D830" t="s">
        <v>776</v>
      </c>
      <c r="E830" t="s">
        <v>808</v>
      </c>
      <c r="F830">
        <v>60249</v>
      </c>
      <c r="G830">
        <v>2</v>
      </c>
      <c r="H830" t="s">
        <v>16</v>
      </c>
      <c r="I830" s="1">
        <v>-427300</v>
      </c>
      <c r="J830" s="1">
        <v>-4177700</v>
      </c>
      <c r="K830">
        <v>170</v>
      </c>
      <c r="L830">
        <v>1408</v>
      </c>
      <c r="M830" t="s">
        <v>16</v>
      </c>
    </row>
    <row r="831" spans="1:13" x14ac:dyDescent="0.35">
      <c r="A831">
        <v>220850</v>
      </c>
      <c r="B831">
        <v>7250</v>
      </c>
      <c r="C831" t="s">
        <v>950</v>
      </c>
      <c r="D831" t="s">
        <v>776</v>
      </c>
      <c r="E831" t="s">
        <v>808</v>
      </c>
      <c r="F831">
        <v>50000</v>
      </c>
      <c r="G831">
        <v>1</v>
      </c>
      <c r="H831" t="s">
        <v>16</v>
      </c>
      <c r="I831" s="1">
        <v>-389300</v>
      </c>
      <c r="J831" s="1">
        <v>-4271000</v>
      </c>
      <c r="K831">
        <v>38</v>
      </c>
      <c r="L831">
        <v>252</v>
      </c>
      <c r="M831" t="s">
        <v>16</v>
      </c>
    </row>
    <row r="832" spans="1:13" x14ac:dyDescent="0.35">
      <c r="A832">
        <v>220855</v>
      </c>
      <c r="B832">
        <v>54976</v>
      </c>
      <c r="C832" t="s">
        <v>951</v>
      </c>
      <c r="D832" t="s">
        <v>776</v>
      </c>
      <c r="E832" t="s">
        <v>795</v>
      </c>
      <c r="F832">
        <v>2468</v>
      </c>
      <c r="G832">
        <v>1</v>
      </c>
      <c r="H832" t="s">
        <v>16</v>
      </c>
      <c r="I832" s="1">
        <v>-696700</v>
      </c>
      <c r="J832" s="1">
        <v>-4418200</v>
      </c>
      <c r="K832">
        <v>180</v>
      </c>
      <c r="L832">
        <v>1136</v>
      </c>
      <c r="M832" t="s">
        <v>16</v>
      </c>
    </row>
    <row r="833" spans="1:13" x14ac:dyDescent="0.35">
      <c r="A833">
        <v>220860</v>
      </c>
      <c r="B833">
        <v>7269</v>
      </c>
      <c r="C833" t="s">
        <v>952</v>
      </c>
      <c r="D833" t="s">
        <v>776</v>
      </c>
      <c r="E833" t="s">
        <v>797</v>
      </c>
      <c r="F833">
        <v>3159</v>
      </c>
      <c r="G833">
        <v>1</v>
      </c>
      <c r="H833" t="s">
        <v>16</v>
      </c>
      <c r="I833" s="1">
        <v>-566700</v>
      </c>
      <c r="J833" s="1">
        <v>-4220700</v>
      </c>
      <c r="K833">
        <v>115</v>
      </c>
      <c r="L833">
        <v>196</v>
      </c>
      <c r="M833" t="s">
        <v>16</v>
      </c>
    </row>
    <row r="834" spans="1:13" x14ac:dyDescent="0.35">
      <c r="A834">
        <v>220865</v>
      </c>
      <c r="B834">
        <v>50229</v>
      </c>
      <c r="C834" t="s">
        <v>953</v>
      </c>
      <c r="D834" t="s">
        <v>776</v>
      </c>
      <c r="E834" t="s">
        <v>777</v>
      </c>
      <c r="F834">
        <v>9146</v>
      </c>
      <c r="G834">
        <v>1</v>
      </c>
      <c r="H834" t="s">
        <v>16</v>
      </c>
      <c r="I834" s="1">
        <v>-857900</v>
      </c>
      <c r="J834" s="1">
        <v>-4141900</v>
      </c>
      <c r="K834">
        <v>410</v>
      </c>
      <c r="L834">
        <v>1499</v>
      </c>
      <c r="M834" t="s">
        <v>16</v>
      </c>
    </row>
    <row r="835" spans="1:13" x14ac:dyDescent="0.35">
      <c r="A835">
        <v>220870</v>
      </c>
      <c r="B835">
        <v>7277</v>
      </c>
      <c r="C835" t="s">
        <v>954</v>
      </c>
      <c r="D835" t="s">
        <v>776</v>
      </c>
      <c r="E835" t="s">
        <v>789</v>
      </c>
      <c r="F835">
        <v>8263</v>
      </c>
      <c r="G835">
        <v>1</v>
      </c>
      <c r="H835" t="s">
        <v>16</v>
      </c>
      <c r="I835" s="1">
        <v>-948700</v>
      </c>
      <c r="J835" s="1">
        <v>-4458600</v>
      </c>
      <c r="K835">
        <v>292</v>
      </c>
      <c r="L835">
        <v>2468</v>
      </c>
      <c r="M835" t="s">
        <v>16</v>
      </c>
    </row>
    <row r="836" spans="1:13" x14ac:dyDescent="0.35">
      <c r="A836">
        <v>220880</v>
      </c>
      <c r="B836">
        <v>7285</v>
      </c>
      <c r="C836" t="s">
        <v>955</v>
      </c>
      <c r="D836" t="s">
        <v>776</v>
      </c>
      <c r="E836" t="s">
        <v>779</v>
      </c>
      <c r="F836">
        <v>17633</v>
      </c>
      <c r="G836">
        <v>1</v>
      </c>
      <c r="H836" t="s">
        <v>16</v>
      </c>
      <c r="I836" s="1">
        <v>-623800</v>
      </c>
      <c r="J836" s="1">
        <v>-4268800</v>
      </c>
      <c r="K836">
        <v>164</v>
      </c>
      <c r="L836">
        <v>1257</v>
      </c>
      <c r="M836" t="s">
        <v>16</v>
      </c>
    </row>
    <row r="837" spans="1:13" x14ac:dyDescent="0.35">
      <c r="A837">
        <v>220885</v>
      </c>
      <c r="B837">
        <v>54984</v>
      </c>
      <c r="C837" t="s">
        <v>956</v>
      </c>
      <c r="D837" t="s">
        <v>776</v>
      </c>
      <c r="E837" t="s">
        <v>803</v>
      </c>
      <c r="F837">
        <v>4884</v>
      </c>
      <c r="G837">
        <v>1</v>
      </c>
      <c r="H837" t="s">
        <v>16</v>
      </c>
      <c r="I837" s="1">
        <v>-1012500</v>
      </c>
      <c r="J837" s="1">
        <v>-4495300</v>
      </c>
      <c r="K837">
        <v>400</v>
      </c>
      <c r="L837">
        <v>2221</v>
      </c>
      <c r="M837" t="s">
        <v>16</v>
      </c>
    </row>
    <row r="838" spans="1:13" x14ac:dyDescent="0.35">
      <c r="A838">
        <v>220887</v>
      </c>
      <c r="B838">
        <v>54992</v>
      </c>
      <c r="C838" t="s">
        <v>957</v>
      </c>
      <c r="D838" t="s">
        <v>776</v>
      </c>
      <c r="E838" t="s">
        <v>777</v>
      </c>
      <c r="F838">
        <v>4103</v>
      </c>
      <c r="G838">
        <v>1</v>
      </c>
      <c r="H838" t="s">
        <v>16</v>
      </c>
      <c r="I838" s="1">
        <v>-769100</v>
      </c>
      <c r="J838" s="1">
        <v>-4271300</v>
      </c>
      <c r="K838">
        <v>200</v>
      </c>
      <c r="L838">
        <v>990</v>
      </c>
      <c r="M838" t="s">
        <v>16</v>
      </c>
    </row>
    <row r="839" spans="1:13" x14ac:dyDescent="0.35">
      <c r="A839">
        <v>220890</v>
      </c>
      <c r="B839">
        <v>7293</v>
      </c>
      <c r="C839" t="s">
        <v>958</v>
      </c>
      <c r="D839" t="s">
        <v>776</v>
      </c>
      <c r="E839" t="s">
        <v>805</v>
      </c>
      <c r="F839">
        <v>6577</v>
      </c>
      <c r="G839">
        <v>1</v>
      </c>
      <c r="H839" t="s">
        <v>16</v>
      </c>
      <c r="I839" s="1">
        <v>-755800</v>
      </c>
      <c r="J839" s="1">
        <v>-4524200</v>
      </c>
      <c r="K839">
        <v>210</v>
      </c>
      <c r="L839">
        <v>3979</v>
      </c>
      <c r="M839" t="s">
        <v>16</v>
      </c>
    </row>
    <row r="840" spans="1:13" x14ac:dyDescent="0.35">
      <c r="A840">
        <v>220900</v>
      </c>
      <c r="B840">
        <v>7307</v>
      </c>
      <c r="C840" t="s">
        <v>959</v>
      </c>
      <c r="D840" t="s">
        <v>776</v>
      </c>
      <c r="E840" t="s">
        <v>837</v>
      </c>
      <c r="F840">
        <v>6430</v>
      </c>
      <c r="G840">
        <v>1</v>
      </c>
      <c r="H840" t="s">
        <v>16</v>
      </c>
      <c r="I840" s="1">
        <v>-777500</v>
      </c>
      <c r="J840" s="1">
        <v>-4314200</v>
      </c>
      <c r="K840">
        <v>310</v>
      </c>
      <c r="L840">
        <v>611</v>
      </c>
      <c r="M840" t="s">
        <v>16</v>
      </c>
    </row>
    <row r="841" spans="1:13" x14ac:dyDescent="0.35">
      <c r="A841">
        <v>220910</v>
      </c>
      <c r="B841">
        <v>7315</v>
      </c>
      <c r="C841" t="s">
        <v>960</v>
      </c>
      <c r="D841" t="s">
        <v>776</v>
      </c>
      <c r="E841" t="s">
        <v>799</v>
      </c>
      <c r="F841">
        <v>5790</v>
      </c>
      <c r="G841">
        <v>1</v>
      </c>
      <c r="H841" t="s">
        <v>16</v>
      </c>
      <c r="I841" s="1">
        <v>-718500</v>
      </c>
      <c r="J841" s="1">
        <v>-4176800</v>
      </c>
      <c r="K841">
        <v>190</v>
      </c>
      <c r="L841">
        <v>611</v>
      </c>
      <c r="M841" t="s">
        <v>16</v>
      </c>
    </row>
    <row r="842" spans="1:13" x14ac:dyDescent="0.35">
      <c r="A842">
        <v>220915</v>
      </c>
      <c r="B842">
        <v>50237</v>
      </c>
      <c r="C842" t="s">
        <v>961</v>
      </c>
      <c r="D842" t="s">
        <v>776</v>
      </c>
      <c r="E842" t="s">
        <v>797</v>
      </c>
      <c r="F842">
        <v>3352</v>
      </c>
      <c r="G842">
        <v>1</v>
      </c>
      <c r="H842" t="s">
        <v>16</v>
      </c>
      <c r="I842" s="1">
        <v>-580400</v>
      </c>
      <c r="J842" s="1">
        <v>-4195600</v>
      </c>
      <c r="K842">
        <v>160</v>
      </c>
      <c r="L842">
        <v>984</v>
      </c>
      <c r="M842" t="s">
        <v>16</v>
      </c>
    </row>
    <row r="843" spans="1:13" x14ac:dyDescent="0.35">
      <c r="A843">
        <v>220920</v>
      </c>
      <c r="B843">
        <v>7323</v>
      </c>
      <c r="C843" t="s">
        <v>962</v>
      </c>
      <c r="D843" t="s">
        <v>776</v>
      </c>
      <c r="E843" t="s">
        <v>805</v>
      </c>
      <c r="F843">
        <v>5999</v>
      </c>
      <c r="G843">
        <v>1</v>
      </c>
      <c r="H843" t="s">
        <v>16</v>
      </c>
      <c r="I843" s="1">
        <v>-911200</v>
      </c>
      <c r="J843" s="1">
        <v>-4592200</v>
      </c>
      <c r="K843">
        <v>277</v>
      </c>
      <c r="L843">
        <v>5285</v>
      </c>
      <c r="M843" t="s">
        <v>16</v>
      </c>
    </row>
    <row r="844" spans="1:13" x14ac:dyDescent="0.35">
      <c r="A844">
        <v>220930</v>
      </c>
      <c r="B844">
        <v>7331</v>
      </c>
      <c r="C844" t="s">
        <v>963</v>
      </c>
      <c r="D844" t="s">
        <v>776</v>
      </c>
      <c r="E844" t="s">
        <v>789</v>
      </c>
      <c r="F844">
        <v>5280</v>
      </c>
      <c r="G844">
        <v>1</v>
      </c>
      <c r="H844" t="s">
        <v>16</v>
      </c>
      <c r="I844" s="1">
        <v>-895400</v>
      </c>
      <c r="J844" s="1">
        <v>-4412900</v>
      </c>
      <c r="K844">
        <v>345</v>
      </c>
      <c r="L844">
        <v>1186</v>
      </c>
      <c r="M844" t="s">
        <v>16</v>
      </c>
    </row>
    <row r="845" spans="1:13" x14ac:dyDescent="0.35">
      <c r="A845">
        <v>220935</v>
      </c>
      <c r="B845">
        <v>50245</v>
      </c>
      <c r="C845" t="s">
        <v>964</v>
      </c>
      <c r="D845" t="s">
        <v>776</v>
      </c>
      <c r="E845" t="s">
        <v>799</v>
      </c>
      <c r="F845">
        <v>4841</v>
      </c>
      <c r="G845">
        <v>1</v>
      </c>
      <c r="H845" t="s">
        <v>16</v>
      </c>
      <c r="I845" s="1">
        <v>-694800</v>
      </c>
      <c r="J845" s="1">
        <v>-4151900</v>
      </c>
      <c r="K845">
        <v>0</v>
      </c>
      <c r="L845">
        <v>140</v>
      </c>
      <c r="M845" t="s">
        <v>16</v>
      </c>
    </row>
    <row r="846" spans="1:13" x14ac:dyDescent="0.35">
      <c r="A846">
        <v>220937</v>
      </c>
      <c r="B846">
        <v>50253</v>
      </c>
      <c r="C846" t="s">
        <v>965</v>
      </c>
      <c r="D846" t="s">
        <v>776</v>
      </c>
      <c r="E846" t="s">
        <v>799</v>
      </c>
      <c r="F846">
        <v>5149</v>
      </c>
      <c r="G846">
        <v>1</v>
      </c>
      <c r="H846" t="s">
        <v>16</v>
      </c>
      <c r="I846" s="1">
        <v>-679900</v>
      </c>
      <c r="J846" s="1">
        <v>-4228800</v>
      </c>
      <c r="K846">
        <v>0</v>
      </c>
      <c r="L846">
        <v>356</v>
      </c>
      <c r="M846" t="s">
        <v>16</v>
      </c>
    </row>
    <row r="847" spans="1:13" x14ac:dyDescent="0.35">
      <c r="A847">
        <v>220940</v>
      </c>
      <c r="B847">
        <v>7340</v>
      </c>
      <c r="C847" t="s">
        <v>966</v>
      </c>
      <c r="D847" t="s">
        <v>776</v>
      </c>
      <c r="E847" t="s">
        <v>782</v>
      </c>
      <c r="F847">
        <v>5729</v>
      </c>
      <c r="G847">
        <v>1</v>
      </c>
      <c r="H847" t="s">
        <v>16</v>
      </c>
      <c r="I847" s="1">
        <v>-698100</v>
      </c>
      <c r="J847" s="1">
        <v>-4123400</v>
      </c>
      <c r="K847">
        <v>237</v>
      </c>
      <c r="L847">
        <v>395</v>
      </c>
      <c r="M847" t="s">
        <v>16</v>
      </c>
    </row>
    <row r="848" spans="1:13" x14ac:dyDescent="0.35">
      <c r="A848">
        <v>220945</v>
      </c>
      <c r="B848">
        <v>55000</v>
      </c>
      <c r="C848" t="s">
        <v>967</v>
      </c>
      <c r="D848" t="s">
        <v>776</v>
      </c>
      <c r="E848" t="s">
        <v>779</v>
      </c>
      <c r="F848">
        <v>1963</v>
      </c>
      <c r="G848">
        <v>1</v>
      </c>
      <c r="H848" t="s">
        <v>16</v>
      </c>
      <c r="I848" s="1">
        <v>-604700</v>
      </c>
      <c r="J848" s="1">
        <v>-4271000</v>
      </c>
      <c r="K848">
        <v>240</v>
      </c>
      <c r="L848">
        <v>33</v>
      </c>
      <c r="M848" t="s">
        <v>16</v>
      </c>
    </row>
    <row r="849" spans="1:13" x14ac:dyDescent="0.35">
      <c r="A849">
        <v>220950</v>
      </c>
      <c r="B849">
        <v>7358</v>
      </c>
      <c r="C849" t="s">
        <v>968</v>
      </c>
      <c r="D849" t="s">
        <v>776</v>
      </c>
      <c r="E849" t="s">
        <v>777</v>
      </c>
      <c r="F849">
        <v>3626</v>
      </c>
      <c r="G849">
        <v>1</v>
      </c>
      <c r="H849" t="s">
        <v>16</v>
      </c>
      <c r="I849" s="1">
        <v>-743000</v>
      </c>
      <c r="J849" s="1">
        <v>-4191100</v>
      </c>
      <c r="K849">
        <v>210</v>
      </c>
      <c r="L849">
        <v>895</v>
      </c>
      <c r="M849" t="s">
        <v>16</v>
      </c>
    </row>
    <row r="850" spans="1:13" x14ac:dyDescent="0.35">
      <c r="A850">
        <v>220955</v>
      </c>
      <c r="B850">
        <v>50261</v>
      </c>
      <c r="C850" t="s">
        <v>969</v>
      </c>
      <c r="D850" t="s">
        <v>776</v>
      </c>
      <c r="E850" t="s">
        <v>793</v>
      </c>
      <c r="F850">
        <v>4311</v>
      </c>
      <c r="G850">
        <v>1</v>
      </c>
      <c r="H850" t="s">
        <v>16</v>
      </c>
      <c r="I850" s="1">
        <v>-896200</v>
      </c>
      <c r="J850" s="1">
        <v>-4300400</v>
      </c>
      <c r="K850">
        <v>0</v>
      </c>
      <c r="L850">
        <v>604</v>
      </c>
      <c r="M850" t="s">
        <v>16</v>
      </c>
    </row>
    <row r="851" spans="1:13" x14ac:dyDescent="0.35">
      <c r="A851">
        <v>220960</v>
      </c>
      <c r="B851">
        <v>7366</v>
      </c>
      <c r="C851" t="s">
        <v>970</v>
      </c>
      <c r="D851" t="s">
        <v>776</v>
      </c>
      <c r="E851" t="s">
        <v>797</v>
      </c>
      <c r="F851">
        <v>3132</v>
      </c>
      <c r="G851">
        <v>1</v>
      </c>
      <c r="H851" t="s">
        <v>16</v>
      </c>
      <c r="I851" s="1">
        <v>-593300</v>
      </c>
      <c r="J851" s="1">
        <v>-4211400</v>
      </c>
      <c r="K851">
        <v>175</v>
      </c>
      <c r="L851">
        <v>656</v>
      </c>
      <c r="M851" t="s">
        <v>16</v>
      </c>
    </row>
    <row r="852" spans="1:13" x14ac:dyDescent="0.35">
      <c r="A852">
        <v>220965</v>
      </c>
      <c r="B852">
        <v>55018</v>
      </c>
      <c r="C852" t="s">
        <v>971</v>
      </c>
      <c r="D852" t="s">
        <v>776</v>
      </c>
      <c r="E852" t="s">
        <v>777</v>
      </c>
      <c r="F852">
        <v>5015</v>
      </c>
      <c r="G852">
        <v>1</v>
      </c>
      <c r="H852" t="s">
        <v>16</v>
      </c>
      <c r="I852" s="1">
        <v>-823800</v>
      </c>
      <c r="J852" s="1">
        <v>-4168600</v>
      </c>
      <c r="K852">
        <v>415</v>
      </c>
      <c r="L852">
        <v>842</v>
      </c>
      <c r="M852" t="s">
        <v>16</v>
      </c>
    </row>
    <row r="853" spans="1:13" x14ac:dyDescent="0.35">
      <c r="A853">
        <v>220970</v>
      </c>
      <c r="B853">
        <v>7374</v>
      </c>
      <c r="C853" t="s">
        <v>972</v>
      </c>
      <c r="D853" t="s">
        <v>776</v>
      </c>
      <c r="E853" t="s">
        <v>837</v>
      </c>
      <c r="F853">
        <v>6276</v>
      </c>
      <c r="G853">
        <v>1</v>
      </c>
      <c r="H853" t="s">
        <v>16</v>
      </c>
      <c r="I853" s="1">
        <v>-725100</v>
      </c>
      <c r="J853" s="1">
        <v>-4254300</v>
      </c>
      <c r="K853">
        <v>158</v>
      </c>
      <c r="L853">
        <v>1340</v>
      </c>
      <c r="M853" t="s">
        <v>16</v>
      </c>
    </row>
    <row r="854" spans="1:13" x14ac:dyDescent="0.35">
      <c r="A854">
        <v>220975</v>
      </c>
      <c r="B854">
        <v>55026</v>
      </c>
      <c r="C854" t="s">
        <v>973</v>
      </c>
      <c r="D854" t="s">
        <v>776</v>
      </c>
      <c r="E854" t="s">
        <v>789</v>
      </c>
      <c r="F854">
        <v>2455</v>
      </c>
      <c r="G854">
        <v>1</v>
      </c>
      <c r="H854" t="s">
        <v>16</v>
      </c>
      <c r="I854" s="1">
        <v>-1003000</v>
      </c>
      <c r="J854" s="1">
        <v>-4530300</v>
      </c>
      <c r="K854">
        <v>440</v>
      </c>
      <c r="L854">
        <v>1385</v>
      </c>
      <c r="M854" t="s">
        <v>16</v>
      </c>
    </row>
    <row r="855" spans="1:13" x14ac:dyDescent="0.35">
      <c r="A855">
        <v>220980</v>
      </c>
      <c r="B855">
        <v>7382</v>
      </c>
      <c r="C855" t="s">
        <v>974</v>
      </c>
      <c r="D855" t="s">
        <v>776</v>
      </c>
      <c r="E855" t="s">
        <v>779</v>
      </c>
      <c r="F855">
        <v>4342</v>
      </c>
      <c r="G855">
        <v>1</v>
      </c>
      <c r="H855" t="s">
        <v>16</v>
      </c>
      <c r="I855" s="1">
        <v>-599300</v>
      </c>
      <c r="J855" s="1">
        <v>-4270300</v>
      </c>
      <c r="K855">
        <v>270</v>
      </c>
      <c r="L855">
        <v>147</v>
      </c>
      <c r="M855" t="s">
        <v>16</v>
      </c>
    </row>
    <row r="856" spans="1:13" x14ac:dyDescent="0.35">
      <c r="A856">
        <v>220985</v>
      </c>
      <c r="B856">
        <v>28355</v>
      </c>
      <c r="C856" t="s">
        <v>975</v>
      </c>
      <c r="D856" t="s">
        <v>776</v>
      </c>
      <c r="E856" t="s">
        <v>799</v>
      </c>
      <c r="F856">
        <v>4364</v>
      </c>
      <c r="G856">
        <v>1</v>
      </c>
      <c r="H856" t="s">
        <v>16</v>
      </c>
      <c r="I856" s="1">
        <v>-681700</v>
      </c>
      <c r="J856" s="1">
        <v>-4134300</v>
      </c>
      <c r="K856">
        <v>310</v>
      </c>
      <c r="L856">
        <v>470</v>
      </c>
      <c r="M856" t="s">
        <v>16</v>
      </c>
    </row>
    <row r="857" spans="1:13" x14ac:dyDescent="0.35">
      <c r="A857">
        <v>220987</v>
      </c>
      <c r="B857">
        <v>55034</v>
      </c>
      <c r="C857" t="s">
        <v>976</v>
      </c>
      <c r="D857" t="s">
        <v>776</v>
      </c>
      <c r="E857" t="s">
        <v>821</v>
      </c>
      <c r="F857">
        <v>5008</v>
      </c>
      <c r="G857">
        <v>1</v>
      </c>
      <c r="H857" t="s">
        <v>16</v>
      </c>
      <c r="I857" s="1">
        <v>-395600</v>
      </c>
      <c r="J857" s="1">
        <v>-4125800</v>
      </c>
      <c r="K857">
        <v>241</v>
      </c>
      <c r="L857">
        <v>764</v>
      </c>
      <c r="M857" t="s">
        <v>16</v>
      </c>
    </row>
    <row r="858" spans="1:13" x14ac:dyDescent="0.35">
      <c r="A858">
        <v>220990</v>
      </c>
      <c r="B858">
        <v>7390</v>
      </c>
      <c r="C858" t="s">
        <v>977</v>
      </c>
      <c r="D858" t="s">
        <v>776</v>
      </c>
      <c r="E858" t="s">
        <v>785</v>
      </c>
      <c r="F858">
        <v>6672</v>
      </c>
      <c r="G858">
        <v>1</v>
      </c>
      <c r="H858" t="s">
        <v>16</v>
      </c>
      <c r="I858" s="1">
        <v>-551400</v>
      </c>
      <c r="J858" s="1">
        <v>-4189900</v>
      </c>
      <c r="K858">
        <v>155</v>
      </c>
      <c r="L858">
        <v>962</v>
      </c>
      <c r="M858" t="s">
        <v>16</v>
      </c>
    </row>
    <row r="859" spans="1:13" x14ac:dyDescent="0.35">
      <c r="A859">
        <v>220995</v>
      </c>
      <c r="B859">
        <v>55042</v>
      </c>
      <c r="C859" t="s">
        <v>978</v>
      </c>
      <c r="D859" t="s">
        <v>776</v>
      </c>
      <c r="E859" t="s">
        <v>799</v>
      </c>
      <c r="F859">
        <v>4776</v>
      </c>
      <c r="G859">
        <v>1</v>
      </c>
      <c r="H859" t="s">
        <v>16</v>
      </c>
      <c r="I859" s="1">
        <v>-694200</v>
      </c>
      <c r="J859" s="1">
        <v>-4189000</v>
      </c>
      <c r="K859">
        <v>340</v>
      </c>
      <c r="L859">
        <v>395</v>
      </c>
      <c r="M859" t="s">
        <v>16</v>
      </c>
    </row>
    <row r="860" spans="1:13" x14ac:dyDescent="0.35">
      <c r="A860">
        <v>220997</v>
      </c>
      <c r="B860">
        <v>55050</v>
      </c>
      <c r="C860" t="s">
        <v>979</v>
      </c>
      <c r="D860" t="s">
        <v>776</v>
      </c>
      <c r="E860" t="s">
        <v>808</v>
      </c>
      <c r="F860">
        <v>7081</v>
      </c>
      <c r="G860">
        <v>1</v>
      </c>
      <c r="H860" t="s">
        <v>16</v>
      </c>
      <c r="I860" s="1">
        <v>-381900</v>
      </c>
      <c r="J860" s="1">
        <v>-4244600</v>
      </c>
      <c r="K860">
        <v>110</v>
      </c>
      <c r="L860">
        <v>213</v>
      </c>
      <c r="M860" t="s">
        <v>16</v>
      </c>
    </row>
    <row r="861" spans="1:13" x14ac:dyDescent="0.35">
      <c r="A861">
        <v>221000</v>
      </c>
      <c r="B861">
        <v>7404</v>
      </c>
      <c r="C861" t="s">
        <v>980</v>
      </c>
      <c r="D861" t="s">
        <v>776</v>
      </c>
      <c r="E861" t="s">
        <v>777</v>
      </c>
      <c r="F861">
        <v>18689</v>
      </c>
      <c r="G861">
        <v>1</v>
      </c>
      <c r="H861" t="s">
        <v>16</v>
      </c>
      <c r="I861" s="1">
        <v>-835800</v>
      </c>
      <c r="J861" s="1">
        <v>-4224700</v>
      </c>
      <c r="K861">
        <v>222</v>
      </c>
      <c r="L861">
        <v>1532</v>
      </c>
      <c r="M861" t="s">
        <v>16</v>
      </c>
    </row>
    <row r="862" spans="1:13" x14ac:dyDescent="0.35">
      <c r="A862">
        <v>221005</v>
      </c>
      <c r="B862">
        <v>50270</v>
      </c>
      <c r="C862" t="s">
        <v>981</v>
      </c>
      <c r="D862" t="s">
        <v>776</v>
      </c>
      <c r="E862" t="s">
        <v>821</v>
      </c>
      <c r="F862">
        <v>5045</v>
      </c>
      <c r="G862">
        <v>1</v>
      </c>
      <c r="H862" t="s">
        <v>16</v>
      </c>
      <c r="I862" s="1">
        <v>-381100</v>
      </c>
      <c r="J862" s="1">
        <v>-4183300</v>
      </c>
      <c r="K862">
        <v>55</v>
      </c>
      <c r="L862">
        <v>319</v>
      </c>
      <c r="M862" t="s">
        <v>16</v>
      </c>
    </row>
    <row r="863" spans="1:13" x14ac:dyDescent="0.35">
      <c r="A863">
        <v>221010</v>
      </c>
      <c r="B863">
        <v>7412</v>
      </c>
      <c r="C863" t="s">
        <v>982</v>
      </c>
      <c r="D863" t="s">
        <v>776</v>
      </c>
      <c r="E863" t="s">
        <v>837</v>
      </c>
      <c r="F863">
        <v>3730</v>
      </c>
      <c r="G863">
        <v>1</v>
      </c>
      <c r="H863" t="s">
        <v>16</v>
      </c>
      <c r="I863" s="1">
        <v>-749400</v>
      </c>
      <c r="J863" s="1">
        <v>-4256400</v>
      </c>
      <c r="K863">
        <v>170</v>
      </c>
      <c r="L863">
        <v>1339</v>
      </c>
      <c r="M863" t="s">
        <v>16</v>
      </c>
    </row>
    <row r="864" spans="1:13" x14ac:dyDescent="0.35">
      <c r="A864">
        <v>221020</v>
      </c>
      <c r="B864">
        <v>7420</v>
      </c>
      <c r="C864" t="s">
        <v>983</v>
      </c>
      <c r="D864" t="s">
        <v>776</v>
      </c>
      <c r="E864" t="s">
        <v>799</v>
      </c>
      <c r="F864">
        <v>6808</v>
      </c>
      <c r="G864">
        <v>1</v>
      </c>
      <c r="H864" t="s">
        <v>16</v>
      </c>
      <c r="I864" s="1">
        <v>-687200</v>
      </c>
      <c r="J864" s="1">
        <v>-4147500</v>
      </c>
      <c r="K864">
        <v>395</v>
      </c>
      <c r="L864">
        <v>330</v>
      </c>
      <c r="M864" t="s">
        <v>16</v>
      </c>
    </row>
    <row r="865" spans="1:13" x14ac:dyDescent="0.35">
      <c r="A865">
        <v>221030</v>
      </c>
      <c r="B865">
        <v>7439</v>
      </c>
      <c r="C865" t="s">
        <v>984</v>
      </c>
      <c r="D865" t="s">
        <v>776</v>
      </c>
      <c r="E865" t="s">
        <v>782</v>
      </c>
      <c r="F865">
        <v>5908</v>
      </c>
      <c r="G865">
        <v>1</v>
      </c>
      <c r="H865" t="s">
        <v>16</v>
      </c>
      <c r="I865" s="1">
        <v>-708500</v>
      </c>
      <c r="J865" s="1">
        <v>-4082600</v>
      </c>
      <c r="K865">
        <v>377</v>
      </c>
      <c r="L865">
        <v>298</v>
      </c>
      <c r="M865" t="s">
        <v>16</v>
      </c>
    </row>
    <row r="866" spans="1:13" x14ac:dyDescent="0.35">
      <c r="A866">
        <v>221035</v>
      </c>
      <c r="B866">
        <v>50288</v>
      </c>
      <c r="C866" t="s">
        <v>985</v>
      </c>
      <c r="D866" t="s">
        <v>776</v>
      </c>
      <c r="E866" t="s">
        <v>793</v>
      </c>
      <c r="F866">
        <v>4899</v>
      </c>
      <c r="G866">
        <v>1</v>
      </c>
      <c r="H866" t="s">
        <v>16</v>
      </c>
      <c r="I866" s="1">
        <v>-916900</v>
      </c>
      <c r="J866" s="1">
        <v>-4254500</v>
      </c>
      <c r="K866">
        <v>0</v>
      </c>
      <c r="L866">
        <v>683</v>
      </c>
      <c r="M866" t="s">
        <v>16</v>
      </c>
    </row>
    <row r="867" spans="1:13" x14ac:dyDescent="0.35">
      <c r="A867">
        <v>221037</v>
      </c>
      <c r="B867">
        <v>55069</v>
      </c>
      <c r="C867" t="s">
        <v>986</v>
      </c>
      <c r="D867" t="s">
        <v>776</v>
      </c>
      <c r="E867" t="s">
        <v>799</v>
      </c>
      <c r="F867">
        <v>2596</v>
      </c>
      <c r="G867">
        <v>1</v>
      </c>
      <c r="H867" t="s">
        <v>16</v>
      </c>
      <c r="I867" s="1">
        <v>-682500</v>
      </c>
      <c r="J867" s="1">
        <v>-4132400</v>
      </c>
      <c r="K867">
        <v>328</v>
      </c>
      <c r="L867">
        <v>219</v>
      </c>
      <c r="M867" t="s">
        <v>16</v>
      </c>
    </row>
    <row r="868" spans="1:13" x14ac:dyDescent="0.35">
      <c r="A868">
        <v>221038</v>
      </c>
      <c r="B868">
        <v>55077</v>
      </c>
      <c r="C868" t="s">
        <v>987</v>
      </c>
      <c r="D868" t="s">
        <v>776</v>
      </c>
      <c r="E868" t="s">
        <v>797</v>
      </c>
      <c r="F868">
        <v>2083</v>
      </c>
      <c r="G868">
        <v>1</v>
      </c>
      <c r="H868" t="s">
        <v>16</v>
      </c>
      <c r="I868" s="1">
        <v>-586400</v>
      </c>
      <c r="J868" s="1">
        <v>-4218600</v>
      </c>
      <c r="K868">
        <v>160</v>
      </c>
      <c r="L868">
        <v>384</v>
      </c>
      <c r="M868" t="s">
        <v>16</v>
      </c>
    </row>
    <row r="869" spans="1:13" x14ac:dyDescent="0.35">
      <c r="A869">
        <v>221039</v>
      </c>
      <c r="B869">
        <v>55085</v>
      </c>
      <c r="C869" t="s">
        <v>988</v>
      </c>
      <c r="D869" t="s">
        <v>776</v>
      </c>
      <c r="E869" t="s">
        <v>837</v>
      </c>
      <c r="F869">
        <v>3078</v>
      </c>
      <c r="G869">
        <v>1</v>
      </c>
      <c r="H869" t="s">
        <v>16</v>
      </c>
      <c r="I869" s="1">
        <v>-758600</v>
      </c>
      <c r="J869" s="1">
        <v>-4237000</v>
      </c>
      <c r="K869">
        <v>200</v>
      </c>
      <c r="L869">
        <v>802</v>
      </c>
      <c r="M869" t="s">
        <v>16</v>
      </c>
    </row>
    <row r="870" spans="1:13" x14ac:dyDescent="0.35">
      <c r="A870">
        <v>221040</v>
      </c>
      <c r="B870">
        <v>7447</v>
      </c>
      <c r="C870" t="s">
        <v>989</v>
      </c>
      <c r="D870" t="s">
        <v>776</v>
      </c>
      <c r="E870" t="s">
        <v>785</v>
      </c>
      <c r="F870">
        <v>19201</v>
      </c>
      <c r="G870">
        <v>1</v>
      </c>
      <c r="H870" t="s">
        <v>16</v>
      </c>
      <c r="I870" s="1">
        <v>-550400</v>
      </c>
      <c r="J870" s="1">
        <v>-4132300</v>
      </c>
      <c r="K870">
        <v>285</v>
      </c>
      <c r="L870">
        <v>5220</v>
      </c>
      <c r="M870" t="s">
        <v>16</v>
      </c>
    </row>
    <row r="871" spans="1:13" x14ac:dyDescent="0.35">
      <c r="A871">
        <v>221050</v>
      </c>
      <c r="B871">
        <v>7455</v>
      </c>
      <c r="C871" t="s">
        <v>990</v>
      </c>
      <c r="D871" t="s">
        <v>776</v>
      </c>
      <c r="E871" t="s">
        <v>779</v>
      </c>
      <c r="F871">
        <v>13083</v>
      </c>
      <c r="G871">
        <v>1</v>
      </c>
      <c r="H871" t="s">
        <v>16</v>
      </c>
      <c r="I871" s="1">
        <v>-592900</v>
      </c>
      <c r="J871" s="1">
        <v>-4271900</v>
      </c>
      <c r="K871">
        <v>264</v>
      </c>
      <c r="L871">
        <v>525</v>
      </c>
      <c r="M871" t="s">
        <v>16</v>
      </c>
    </row>
    <row r="872" spans="1:13" x14ac:dyDescent="0.35">
      <c r="A872">
        <v>221060</v>
      </c>
      <c r="B872">
        <v>7463</v>
      </c>
      <c r="C872" t="s">
        <v>991</v>
      </c>
      <c r="D872" t="s">
        <v>776</v>
      </c>
      <c r="E872" t="s">
        <v>793</v>
      </c>
      <c r="F872">
        <v>30852</v>
      </c>
      <c r="G872">
        <v>1</v>
      </c>
      <c r="H872" t="s">
        <v>16</v>
      </c>
      <c r="I872" s="1">
        <v>-901500</v>
      </c>
      <c r="J872" s="1">
        <v>-4269900</v>
      </c>
      <c r="K872">
        <v>332</v>
      </c>
      <c r="L872">
        <v>2427</v>
      </c>
      <c r="M872" t="s">
        <v>16</v>
      </c>
    </row>
    <row r="873" spans="1:13" x14ac:dyDescent="0.35">
      <c r="A873">
        <v>221062</v>
      </c>
      <c r="B873">
        <v>55093</v>
      </c>
      <c r="C873" t="s">
        <v>992</v>
      </c>
      <c r="D873" t="s">
        <v>776</v>
      </c>
      <c r="E873" t="s">
        <v>803</v>
      </c>
      <c r="F873">
        <v>4178</v>
      </c>
      <c r="G873">
        <v>1</v>
      </c>
      <c r="H873" t="s">
        <v>16</v>
      </c>
      <c r="I873" s="1">
        <v>-1081700</v>
      </c>
      <c r="J873" s="1">
        <v>-4483400</v>
      </c>
      <c r="K873">
        <v>500</v>
      </c>
      <c r="L873">
        <v>1013</v>
      </c>
      <c r="M873" t="s">
        <v>16</v>
      </c>
    </row>
    <row r="874" spans="1:13" x14ac:dyDescent="0.35">
      <c r="A874">
        <v>221063</v>
      </c>
      <c r="B874">
        <v>55107</v>
      </c>
      <c r="C874" t="s">
        <v>993</v>
      </c>
      <c r="D874" t="s">
        <v>776</v>
      </c>
      <c r="E874" t="s">
        <v>795</v>
      </c>
      <c r="F874">
        <v>4080</v>
      </c>
      <c r="G874">
        <v>1</v>
      </c>
      <c r="H874" t="s">
        <v>16</v>
      </c>
      <c r="I874" s="1">
        <v>-756600</v>
      </c>
      <c r="J874" s="1">
        <v>-4406400</v>
      </c>
      <c r="K874">
        <v>360</v>
      </c>
      <c r="L874">
        <v>3111</v>
      </c>
      <c r="M874" t="s">
        <v>16</v>
      </c>
    </row>
    <row r="875" spans="1:13" x14ac:dyDescent="0.35">
      <c r="A875">
        <v>221065</v>
      </c>
      <c r="B875">
        <v>50296</v>
      </c>
      <c r="C875" t="s">
        <v>994</v>
      </c>
      <c r="D875" t="s">
        <v>776</v>
      </c>
      <c r="E875" t="s">
        <v>785</v>
      </c>
      <c r="F875">
        <v>9506</v>
      </c>
      <c r="G875">
        <v>1</v>
      </c>
      <c r="H875" t="s">
        <v>16</v>
      </c>
      <c r="I875" s="1">
        <v>-491800</v>
      </c>
      <c r="J875" s="1">
        <v>-4173200</v>
      </c>
      <c r="K875">
        <v>230</v>
      </c>
      <c r="L875">
        <v>982</v>
      </c>
      <c r="M875" t="s">
        <v>16</v>
      </c>
    </row>
    <row r="876" spans="1:13" x14ac:dyDescent="0.35">
      <c r="A876">
        <v>221070</v>
      </c>
      <c r="B876">
        <v>7471</v>
      </c>
      <c r="C876" t="s">
        <v>995</v>
      </c>
      <c r="D876" t="s">
        <v>776</v>
      </c>
      <c r="E876" t="s">
        <v>777</v>
      </c>
      <c r="F876">
        <v>13734</v>
      </c>
      <c r="G876">
        <v>1</v>
      </c>
      <c r="H876" t="s">
        <v>16</v>
      </c>
      <c r="I876" s="1">
        <v>-759900</v>
      </c>
      <c r="J876" s="1">
        <v>-4081800</v>
      </c>
      <c r="K876">
        <v>437</v>
      </c>
      <c r="L876">
        <v>1023</v>
      </c>
      <c r="M876" t="s">
        <v>16</v>
      </c>
    </row>
    <row r="877" spans="1:13" x14ac:dyDescent="0.35">
      <c r="A877">
        <v>221080</v>
      </c>
      <c r="B877">
        <v>7480</v>
      </c>
      <c r="C877" t="s">
        <v>996</v>
      </c>
      <c r="D877" t="s">
        <v>776</v>
      </c>
      <c r="E877" t="s">
        <v>777</v>
      </c>
      <c r="F877">
        <v>11472</v>
      </c>
      <c r="G877">
        <v>1</v>
      </c>
      <c r="H877" t="s">
        <v>16</v>
      </c>
      <c r="I877" s="1">
        <v>-785400</v>
      </c>
      <c r="J877" s="1">
        <v>-4191000</v>
      </c>
      <c r="K877">
        <v>302</v>
      </c>
      <c r="L877">
        <v>1398</v>
      </c>
      <c r="M877" t="s">
        <v>16</v>
      </c>
    </row>
    <row r="878" spans="1:13" x14ac:dyDescent="0.35">
      <c r="A878">
        <v>221090</v>
      </c>
      <c r="B878">
        <v>7498</v>
      </c>
      <c r="C878" t="s">
        <v>997</v>
      </c>
      <c r="D878" t="s">
        <v>776</v>
      </c>
      <c r="E878" t="s">
        <v>777</v>
      </c>
      <c r="F878">
        <v>4599</v>
      </c>
      <c r="G878">
        <v>1</v>
      </c>
      <c r="H878" t="s">
        <v>16</v>
      </c>
      <c r="I878" s="1">
        <v>-786600</v>
      </c>
      <c r="J878" s="1">
        <v>-4249100</v>
      </c>
      <c r="K878">
        <v>191</v>
      </c>
      <c r="L878">
        <v>692</v>
      </c>
      <c r="M878" t="s">
        <v>16</v>
      </c>
    </row>
    <row r="879" spans="1:13" x14ac:dyDescent="0.35">
      <c r="A879">
        <v>221093</v>
      </c>
      <c r="B879">
        <v>55115</v>
      </c>
      <c r="C879" t="s">
        <v>998</v>
      </c>
      <c r="D879" t="s">
        <v>776</v>
      </c>
      <c r="E879" t="s">
        <v>799</v>
      </c>
      <c r="F879">
        <v>5537</v>
      </c>
      <c r="G879">
        <v>1</v>
      </c>
      <c r="H879" t="s">
        <v>16</v>
      </c>
      <c r="I879" s="1">
        <v>-704300</v>
      </c>
      <c r="J879" s="1">
        <v>-4138400</v>
      </c>
      <c r="K879">
        <v>240</v>
      </c>
      <c r="L879">
        <v>220</v>
      </c>
      <c r="M879" t="s">
        <v>16</v>
      </c>
    </row>
    <row r="880" spans="1:13" x14ac:dyDescent="0.35">
      <c r="A880">
        <v>221095</v>
      </c>
      <c r="B880">
        <v>55123</v>
      </c>
      <c r="C880" t="s">
        <v>999</v>
      </c>
      <c r="D880" t="s">
        <v>776</v>
      </c>
      <c r="E880" t="s">
        <v>793</v>
      </c>
      <c r="F880">
        <v>2897</v>
      </c>
      <c r="G880">
        <v>1</v>
      </c>
      <c r="H880" t="s">
        <v>16</v>
      </c>
      <c r="I880" s="1">
        <v>-840000</v>
      </c>
      <c r="J880" s="1">
        <v>-4291400</v>
      </c>
      <c r="K880">
        <v>350</v>
      </c>
      <c r="L880">
        <v>1578</v>
      </c>
      <c r="M880" t="s">
        <v>16</v>
      </c>
    </row>
    <row r="881" spans="1:13" x14ac:dyDescent="0.35">
      <c r="A881">
        <v>221097</v>
      </c>
      <c r="B881">
        <v>55131</v>
      </c>
      <c r="C881" t="s">
        <v>1000</v>
      </c>
      <c r="D881" t="s">
        <v>776</v>
      </c>
      <c r="E881" t="s">
        <v>799</v>
      </c>
      <c r="F881">
        <v>2605</v>
      </c>
      <c r="G881">
        <v>1</v>
      </c>
      <c r="H881" t="s">
        <v>16</v>
      </c>
      <c r="I881" s="1">
        <v>-660000</v>
      </c>
      <c r="J881" s="1">
        <v>-4228200</v>
      </c>
      <c r="K881">
        <v>280</v>
      </c>
      <c r="L881">
        <v>377</v>
      </c>
      <c r="M881" t="s">
        <v>16</v>
      </c>
    </row>
    <row r="882" spans="1:13" x14ac:dyDescent="0.35">
      <c r="A882">
        <v>221100</v>
      </c>
      <c r="B882">
        <v>6408</v>
      </c>
      <c r="C882" t="s">
        <v>787</v>
      </c>
      <c r="D882" t="s">
        <v>776</v>
      </c>
      <c r="E882" t="s">
        <v>787</v>
      </c>
      <c r="F882">
        <v>779939</v>
      </c>
      <c r="G882">
        <v>5</v>
      </c>
      <c r="H882" t="s">
        <v>761</v>
      </c>
      <c r="I882" s="1">
        <v>-508900</v>
      </c>
      <c r="J882" s="1">
        <v>-4280200</v>
      </c>
      <c r="K882">
        <v>72</v>
      </c>
      <c r="L882">
        <v>1755</v>
      </c>
      <c r="M882" t="s">
        <v>16</v>
      </c>
    </row>
    <row r="883" spans="1:13" x14ac:dyDescent="0.35">
      <c r="A883">
        <v>221110</v>
      </c>
      <c r="B883">
        <v>7501</v>
      </c>
      <c r="C883" t="s">
        <v>1001</v>
      </c>
      <c r="D883" t="s">
        <v>776</v>
      </c>
      <c r="E883" t="s">
        <v>787</v>
      </c>
      <c r="F883">
        <v>41661</v>
      </c>
      <c r="G883">
        <v>4</v>
      </c>
      <c r="H883" t="s">
        <v>761</v>
      </c>
      <c r="I883" s="1">
        <v>-458600</v>
      </c>
      <c r="J883" s="1">
        <v>-4286400</v>
      </c>
      <c r="K883">
        <v>52</v>
      </c>
      <c r="L883">
        <v>1173</v>
      </c>
      <c r="M883" t="s">
        <v>16</v>
      </c>
    </row>
    <row r="884" spans="1:13" x14ac:dyDescent="0.35">
      <c r="A884">
        <v>221120</v>
      </c>
      <c r="B884">
        <v>7510</v>
      </c>
      <c r="C884" t="s">
        <v>1002</v>
      </c>
      <c r="D884" t="s">
        <v>776</v>
      </c>
      <c r="E884" t="s">
        <v>805</v>
      </c>
      <c r="F884">
        <v>19017</v>
      </c>
      <c r="G884">
        <v>1</v>
      </c>
      <c r="H884" t="s">
        <v>16</v>
      </c>
      <c r="I884" s="1">
        <v>-722900</v>
      </c>
      <c r="J884" s="1">
        <v>-4455600</v>
      </c>
      <c r="K884">
        <v>167</v>
      </c>
      <c r="L884">
        <v>8452</v>
      </c>
      <c r="M884" t="s">
        <v>16</v>
      </c>
    </row>
    <row r="885" spans="1:13" x14ac:dyDescent="0.35">
      <c r="A885">
        <v>221130</v>
      </c>
      <c r="B885">
        <v>7528</v>
      </c>
      <c r="C885" t="s">
        <v>1003</v>
      </c>
      <c r="D885" t="s">
        <v>776</v>
      </c>
      <c r="E885" t="s">
        <v>797</v>
      </c>
      <c r="F885">
        <v>19716</v>
      </c>
      <c r="G885">
        <v>1</v>
      </c>
      <c r="H885" t="s">
        <v>16</v>
      </c>
      <c r="I885" s="1">
        <v>-640800</v>
      </c>
      <c r="J885" s="1">
        <v>-4174600</v>
      </c>
      <c r="K885">
        <v>308</v>
      </c>
      <c r="L885">
        <v>1350</v>
      </c>
      <c r="M885" t="s">
        <v>16</v>
      </c>
    </row>
    <row r="886" spans="1:13" x14ac:dyDescent="0.35">
      <c r="A886">
        <v>221135</v>
      </c>
      <c r="B886">
        <v>50300</v>
      </c>
      <c r="C886" t="s">
        <v>1004</v>
      </c>
      <c r="D886" t="s">
        <v>776</v>
      </c>
      <c r="E886" t="s">
        <v>793</v>
      </c>
      <c r="F886">
        <v>5178</v>
      </c>
      <c r="G886">
        <v>1</v>
      </c>
      <c r="H886" t="s">
        <v>16</v>
      </c>
      <c r="I886" s="1">
        <v>-923900</v>
      </c>
      <c r="J886" s="1">
        <v>-4296400</v>
      </c>
      <c r="K886">
        <v>0</v>
      </c>
      <c r="L886">
        <v>435</v>
      </c>
      <c r="M886" t="s">
        <v>16</v>
      </c>
    </row>
    <row r="887" spans="1:13" x14ac:dyDescent="0.35">
      <c r="A887">
        <v>221140</v>
      </c>
      <c r="B887">
        <v>7536</v>
      </c>
      <c r="C887" t="s">
        <v>1005</v>
      </c>
      <c r="D887" t="s">
        <v>776</v>
      </c>
      <c r="E887" t="s">
        <v>797</v>
      </c>
      <c r="F887">
        <v>4429</v>
      </c>
      <c r="G887">
        <v>1</v>
      </c>
      <c r="H887" t="s">
        <v>16</v>
      </c>
      <c r="I887" s="1">
        <v>-654500</v>
      </c>
      <c r="J887" s="1">
        <v>-4224600</v>
      </c>
      <c r="K887">
        <v>245</v>
      </c>
      <c r="L887">
        <v>233</v>
      </c>
      <c r="M887" t="s">
        <v>16</v>
      </c>
    </row>
    <row r="888" spans="1:13" x14ac:dyDescent="0.35">
      <c r="A888">
        <v>221150</v>
      </c>
      <c r="B888">
        <v>55140</v>
      </c>
      <c r="C888" t="s">
        <v>1006</v>
      </c>
      <c r="D888" t="s">
        <v>776</v>
      </c>
      <c r="E888" t="s">
        <v>777</v>
      </c>
      <c r="F888">
        <v>3097</v>
      </c>
      <c r="G888">
        <v>1</v>
      </c>
      <c r="H888" t="s">
        <v>16</v>
      </c>
      <c r="I888" s="1">
        <v>-760300</v>
      </c>
      <c r="J888" s="1">
        <v>-4148300</v>
      </c>
      <c r="K888">
        <v>297</v>
      </c>
      <c r="L888">
        <v>310</v>
      </c>
      <c r="M888" t="s">
        <v>16</v>
      </c>
    </row>
    <row r="889" spans="1:13" x14ac:dyDescent="0.35">
      <c r="A889">
        <v>221160</v>
      </c>
      <c r="B889">
        <v>55158</v>
      </c>
      <c r="C889" t="s">
        <v>1007</v>
      </c>
      <c r="D889" t="s">
        <v>776</v>
      </c>
      <c r="E889" t="s">
        <v>777</v>
      </c>
      <c r="F889">
        <v>3030</v>
      </c>
      <c r="G889">
        <v>1</v>
      </c>
      <c r="H889" t="s">
        <v>16</v>
      </c>
      <c r="I889" s="1">
        <v>-713600</v>
      </c>
      <c r="J889" s="1">
        <v>-4094000</v>
      </c>
      <c r="K889">
        <v>400</v>
      </c>
      <c r="L889">
        <v>167</v>
      </c>
      <c r="M889" t="s">
        <v>16</v>
      </c>
    </row>
    <row r="890" spans="1:13" x14ac:dyDescent="0.35">
      <c r="A890">
        <v>221170</v>
      </c>
      <c r="B890">
        <v>55166</v>
      </c>
      <c r="C890" t="s">
        <v>1008</v>
      </c>
      <c r="D890" t="s">
        <v>776</v>
      </c>
      <c r="E890" t="s">
        <v>799</v>
      </c>
      <c r="F890">
        <v>4452</v>
      </c>
      <c r="G890">
        <v>1</v>
      </c>
      <c r="H890" t="s">
        <v>16</v>
      </c>
      <c r="I890" s="1">
        <v>-723300</v>
      </c>
      <c r="J890" s="1">
        <v>-4191000</v>
      </c>
      <c r="K890">
        <v>160</v>
      </c>
      <c r="L890">
        <v>264</v>
      </c>
      <c r="M890" t="s">
        <v>16</v>
      </c>
    </row>
    <row r="891" spans="1:13" x14ac:dyDescent="0.35">
      <c r="A891">
        <v>230010</v>
      </c>
      <c r="B891">
        <v>7617</v>
      </c>
      <c r="C891" t="s">
        <v>1009</v>
      </c>
      <c r="D891" t="s">
        <v>1010</v>
      </c>
      <c r="E891" t="s">
        <v>1011</v>
      </c>
      <c r="F891">
        <v>10227</v>
      </c>
      <c r="G891">
        <v>1</v>
      </c>
      <c r="H891" t="s">
        <v>16</v>
      </c>
      <c r="I891" s="1">
        <v>-735900</v>
      </c>
      <c r="J891" s="1">
        <v>-3904600</v>
      </c>
      <c r="K891">
        <v>409</v>
      </c>
      <c r="L891">
        <v>179</v>
      </c>
      <c r="M891" t="s">
        <v>16</v>
      </c>
    </row>
    <row r="892" spans="1:13" x14ac:dyDescent="0.35">
      <c r="A892">
        <v>230015</v>
      </c>
      <c r="B892">
        <v>28363</v>
      </c>
      <c r="C892" t="s">
        <v>1012</v>
      </c>
      <c r="D892" t="s">
        <v>1010</v>
      </c>
      <c r="E892" t="s">
        <v>1013</v>
      </c>
      <c r="F892">
        <v>14658</v>
      </c>
      <c r="G892">
        <v>1</v>
      </c>
      <c r="H892" t="s">
        <v>16</v>
      </c>
      <c r="I892" s="1">
        <v>-422400</v>
      </c>
      <c r="J892" s="1">
        <v>-3870800</v>
      </c>
      <c r="K892">
        <v>80</v>
      </c>
      <c r="L892">
        <v>155</v>
      </c>
      <c r="M892" t="s">
        <v>16</v>
      </c>
    </row>
    <row r="893" spans="1:13" x14ac:dyDescent="0.35">
      <c r="A893">
        <v>230020</v>
      </c>
      <c r="B893">
        <v>7625</v>
      </c>
      <c r="C893" t="s">
        <v>1014</v>
      </c>
      <c r="D893" t="s">
        <v>1010</v>
      </c>
      <c r="E893" t="s">
        <v>1015</v>
      </c>
      <c r="F893">
        <v>52123</v>
      </c>
      <c r="G893">
        <v>2</v>
      </c>
      <c r="H893" t="s">
        <v>16</v>
      </c>
      <c r="I893" s="1">
        <v>-288600</v>
      </c>
      <c r="J893" s="1">
        <v>-4012000</v>
      </c>
      <c r="K893">
        <v>7</v>
      </c>
      <c r="L893">
        <v>842</v>
      </c>
      <c r="M893" t="s">
        <v>16</v>
      </c>
    </row>
    <row r="894" spans="1:13" x14ac:dyDescent="0.35">
      <c r="A894">
        <v>230030</v>
      </c>
      <c r="B894">
        <v>7633</v>
      </c>
      <c r="C894" t="s">
        <v>1016</v>
      </c>
      <c r="D894" t="s">
        <v>1010</v>
      </c>
      <c r="E894" t="s">
        <v>1017</v>
      </c>
      <c r="F894">
        <v>48703</v>
      </c>
      <c r="G894">
        <v>1</v>
      </c>
      <c r="H894" t="s">
        <v>16</v>
      </c>
      <c r="I894" s="1">
        <v>-609500</v>
      </c>
      <c r="J894" s="1">
        <v>-3945300</v>
      </c>
      <c r="K894">
        <v>317</v>
      </c>
      <c r="L894">
        <v>2265</v>
      </c>
      <c r="M894" t="s">
        <v>16</v>
      </c>
    </row>
    <row r="895" spans="1:13" x14ac:dyDescent="0.35">
      <c r="A895">
        <v>230040</v>
      </c>
      <c r="B895">
        <v>7641</v>
      </c>
      <c r="C895" t="s">
        <v>1018</v>
      </c>
      <c r="D895" t="s">
        <v>1010</v>
      </c>
      <c r="E895" t="s">
        <v>1019</v>
      </c>
      <c r="F895">
        <v>15585</v>
      </c>
      <c r="G895">
        <v>1</v>
      </c>
      <c r="H895" t="s">
        <v>16</v>
      </c>
      <c r="I895" s="1">
        <v>-657400</v>
      </c>
      <c r="J895" s="1">
        <v>-4012400</v>
      </c>
      <c r="K895">
        <v>466</v>
      </c>
      <c r="L895">
        <v>2434</v>
      </c>
      <c r="M895" t="s">
        <v>16</v>
      </c>
    </row>
    <row r="896" spans="1:13" x14ac:dyDescent="0.35">
      <c r="A896">
        <v>230050</v>
      </c>
      <c r="B896">
        <v>7650</v>
      </c>
      <c r="C896" t="s">
        <v>1020</v>
      </c>
      <c r="D896" t="s">
        <v>1010</v>
      </c>
      <c r="E896" t="s">
        <v>1021</v>
      </c>
      <c r="F896">
        <v>10270</v>
      </c>
      <c r="G896">
        <v>1</v>
      </c>
      <c r="H896" t="s">
        <v>16</v>
      </c>
      <c r="I896" s="1">
        <v>-358900</v>
      </c>
      <c r="J896" s="1">
        <v>-4054600</v>
      </c>
      <c r="K896">
        <v>656</v>
      </c>
      <c r="L896">
        <v>138</v>
      </c>
      <c r="M896" t="s">
        <v>16</v>
      </c>
    </row>
    <row r="897" spans="1:13" x14ac:dyDescent="0.35">
      <c r="A897">
        <v>230060</v>
      </c>
      <c r="B897">
        <v>7668</v>
      </c>
      <c r="C897" t="s">
        <v>1022</v>
      </c>
      <c r="D897" t="s">
        <v>1010</v>
      </c>
      <c r="E897" t="s">
        <v>1023</v>
      </c>
      <c r="F897">
        <v>6417</v>
      </c>
      <c r="G897">
        <v>1</v>
      </c>
      <c r="H897" t="s">
        <v>16</v>
      </c>
      <c r="I897" s="1">
        <v>-700200</v>
      </c>
      <c r="J897" s="1">
        <v>-3974100</v>
      </c>
      <c r="K897">
        <v>661</v>
      </c>
      <c r="L897">
        <v>73</v>
      </c>
      <c r="M897" t="s">
        <v>16</v>
      </c>
    </row>
    <row r="898" spans="1:13" x14ac:dyDescent="0.35">
      <c r="A898">
        <v>230070</v>
      </c>
      <c r="B898">
        <v>7676</v>
      </c>
      <c r="C898" t="s">
        <v>1024</v>
      </c>
      <c r="D898" t="s">
        <v>1010</v>
      </c>
      <c r="E898" t="s">
        <v>1025</v>
      </c>
      <c r="F898">
        <v>19154</v>
      </c>
      <c r="G898">
        <v>1</v>
      </c>
      <c r="H898" t="s">
        <v>16</v>
      </c>
      <c r="I898" s="1">
        <v>-552100</v>
      </c>
      <c r="J898" s="1">
        <v>-3827200</v>
      </c>
      <c r="K898">
        <v>79</v>
      </c>
      <c r="L898">
        <v>1338</v>
      </c>
      <c r="M898" t="s">
        <v>16</v>
      </c>
    </row>
    <row r="899" spans="1:13" x14ac:dyDescent="0.35">
      <c r="A899">
        <v>230075</v>
      </c>
      <c r="B899">
        <v>12432</v>
      </c>
      <c r="C899" t="s">
        <v>1026</v>
      </c>
      <c r="D899" t="s">
        <v>1010</v>
      </c>
      <c r="E899" t="s">
        <v>1027</v>
      </c>
      <c r="F899">
        <v>37513</v>
      </c>
      <c r="G899">
        <v>1</v>
      </c>
      <c r="H899" t="s">
        <v>16</v>
      </c>
      <c r="I899" s="1">
        <v>-336100</v>
      </c>
      <c r="J899" s="1">
        <v>-3983100</v>
      </c>
      <c r="K899">
        <v>34</v>
      </c>
      <c r="L899">
        <v>1179</v>
      </c>
      <c r="M899" t="s">
        <v>16</v>
      </c>
    </row>
    <row r="900" spans="1:13" x14ac:dyDescent="0.35">
      <c r="A900">
        <v>230080</v>
      </c>
      <c r="B900">
        <v>7684</v>
      </c>
      <c r="C900" t="s">
        <v>1028</v>
      </c>
      <c r="D900" t="s">
        <v>1010</v>
      </c>
      <c r="E900" t="s">
        <v>1029</v>
      </c>
      <c r="F900">
        <v>6761</v>
      </c>
      <c r="G900">
        <v>1</v>
      </c>
      <c r="H900" t="s">
        <v>16</v>
      </c>
      <c r="I900" s="1">
        <v>-677500</v>
      </c>
      <c r="J900" s="1">
        <v>-3998900</v>
      </c>
      <c r="K900">
        <v>365</v>
      </c>
      <c r="L900">
        <v>260</v>
      </c>
      <c r="M900" t="s">
        <v>16</v>
      </c>
    </row>
    <row r="901" spans="1:13" x14ac:dyDescent="0.35">
      <c r="A901">
        <v>230090</v>
      </c>
      <c r="B901">
        <v>7692</v>
      </c>
      <c r="C901" t="s">
        <v>1030</v>
      </c>
      <c r="D901" t="s">
        <v>1010</v>
      </c>
      <c r="E901" t="s">
        <v>1031</v>
      </c>
      <c r="F901">
        <v>13649</v>
      </c>
      <c r="G901">
        <v>1</v>
      </c>
      <c r="H901" t="s">
        <v>16</v>
      </c>
      <c r="I901" s="1">
        <v>-394900</v>
      </c>
      <c r="J901" s="1">
        <v>-3943200</v>
      </c>
      <c r="K901">
        <v>91</v>
      </c>
      <c r="L901">
        <v>544</v>
      </c>
      <c r="M901" t="s">
        <v>16</v>
      </c>
    </row>
    <row r="902" spans="1:13" x14ac:dyDescent="0.35">
      <c r="A902">
        <v>230100</v>
      </c>
      <c r="B902">
        <v>7706</v>
      </c>
      <c r="C902" t="s">
        <v>1032</v>
      </c>
      <c r="D902" t="s">
        <v>1010</v>
      </c>
      <c r="E902" t="s">
        <v>1033</v>
      </c>
      <c r="F902">
        <v>67265</v>
      </c>
      <c r="G902">
        <v>4</v>
      </c>
      <c r="H902" t="s">
        <v>1034</v>
      </c>
      <c r="I902" s="1">
        <v>-390100</v>
      </c>
      <c r="J902" s="1">
        <v>-3839100</v>
      </c>
      <c r="K902">
        <v>14</v>
      </c>
      <c r="L902">
        <v>480</v>
      </c>
      <c r="M902" t="s">
        <v>16</v>
      </c>
    </row>
    <row r="903" spans="1:13" x14ac:dyDescent="0.35">
      <c r="A903">
        <v>230110</v>
      </c>
      <c r="B903">
        <v>7714</v>
      </c>
      <c r="C903" t="s">
        <v>1035</v>
      </c>
      <c r="D903" t="s">
        <v>1010</v>
      </c>
      <c r="E903" t="s">
        <v>1036</v>
      </c>
      <c r="F903">
        <v>66049</v>
      </c>
      <c r="G903">
        <v>2</v>
      </c>
      <c r="H903" t="s">
        <v>16</v>
      </c>
      <c r="I903" s="1">
        <v>-456200</v>
      </c>
      <c r="J903" s="1">
        <v>-3777000</v>
      </c>
      <c r="K903">
        <v>5</v>
      </c>
      <c r="L903">
        <v>1229</v>
      </c>
      <c r="M903" t="s">
        <v>16</v>
      </c>
    </row>
    <row r="904" spans="1:13" x14ac:dyDescent="0.35">
      <c r="A904">
        <v>230120</v>
      </c>
      <c r="B904">
        <v>7722</v>
      </c>
      <c r="C904" t="s">
        <v>1037</v>
      </c>
      <c r="D904" t="s">
        <v>1010</v>
      </c>
      <c r="E904" t="s">
        <v>1013</v>
      </c>
      <c r="F904">
        <v>24423</v>
      </c>
      <c r="G904">
        <v>1</v>
      </c>
      <c r="H904" t="s">
        <v>16</v>
      </c>
      <c r="I904" s="1">
        <v>-437100</v>
      </c>
      <c r="J904" s="1">
        <v>-3881400</v>
      </c>
      <c r="K904">
        <v>107</v>
      </c>
      <c r="L904">
        <v>656</v>
      </c>
      <c r="M904" t="s">
        <v>16</v>
      </c>
    </row>
    <row r="905" spans="1:13" x14ac:dyDescent="0.35">
      <c r="A905">
        <v>230125</v>
      </c>
      <c r="B905">
        <v>50318</v>
      </c>
      <c r="C905" t="s">
        <v>1038</v>
      </c>
      <c r="D905" t="s">
        <v>1010</v>
      </c>
      <c r="E905" t="s">
        <v>1039</v>
      </c>
      <c r="F905">
        <v>10649</v>
      </c>
      <c r="G905">
        <v>1</v>
      </c>
      <c r="H905" t="s">
        <v>16</v>
      </c>
      <c r="I905" s="1">
        <v>-475300</v>
      </c>
      <c r="J905" s="1">
        <v>-4083300</v>
      </c>
      <c r="K905">
        <v>380</v>
      </c>
      <c r="L905">
        <v>344</v>
      </c>
      <c r="M905" t="s">
        <v>16</v>
      </c>
    </row>
    <row r="906" spans="1:13" x14ac:dyDescent="0.35">
      <c r="A906">
        <v>230130</v>
      </c>
      <c r="B906">
        <v>7730</v>
      </c>
      <c r="C906" t="s">
        <v>1040</v>
      </c>
      <c r="D906" t="s">
        <v>1010</v>
      </c>
      <c r="E906" t="s">
        <v>1041</v>
      </c>
      <c r="F906">
        <v>21214</v>
      </c>
      <c r="G906">
        <v>1</v>
      </c>
      <c r="H906" t="s">
        <v>16</v>
      </c>
      <c r="I906" s="1">
        <v>-721300</v>
      </c>
      <c r="J906" s="1">
        <v>-4004600</v>
      </c>
      <c r="K906">
        <v>605</v>
      </c>
      <c r="L906">
        <v>1347</v>
      </c>
      <c r="M906" t="s">
        <v>16</v>
      </c>
    </row>
    <row r="907" spans="1:13" x14ac:dyDescent="0.35">
      <c r="A907">
        <v>230140</v>
      </c>
      <c r="B907">
        <v>7749</v>
      </c>
      <c r="C907" t="s">
        <v>1042</v>
      </c>
      <c r="D907" t="s">
        <v>1010</v>
      </c>
      <c r="E907" t="s">
        <v>1013</v>
      </c>
      <c r="F907">
        <v>12129</v>
      </c>
      <c r="G907">
        <v>1</v>
      </c>
      <c r="H907" t="s">
        <v>16</v>
      </c>
      <c r="I907" s="1">
        <v>-441800</v>
      </c>
      <c r="J907" s="1">
        <v>-3904500</v>
      </c>
      <c r="K907">
        <v>838</v>
      </c>
      <c r="L907">
        <v>142</v>
      </c>
      <c r="M907" t="s">
        <v>16</v>
      </c>
    </row>
    <row r="908" spans="1:13" x14ac:dyDescent="0.35">
      <c r="A908">
        <v>230150</v>
      </c>
      <c r="B908">
        <v>7757</v>
      </c>
      <c r="C908" t="s">
        <v>1043</v>
      </c>
      <c r="D908" t="s">
        <v>1010</v>
      </c>
      <c r="E908" t="s">
        <v>1019</v>
      </c>
      <c r="F908">
        <v>7302</v>
      </c>
      <c r="G908">
        <v>1</v>
      </c>
      <c r="H908" t="s">
        <v>16</v>
      </c>
      <c r="I908" s="1">
        <v>-632400</v>
      </c>
      <c r="J908" s="1">
        <v>-4016100</v>
      </c>
      <c r="K908">
        <v>337</v>
      </c>
      <c r="L908">
        <v>1066</v>
      </c>
      <c r="M908" t="s">
        <v>16</v>
      </c>
    </row>
    <row r="909" spans="1:13" x14ac:dyDescent="0.35">
      <c r="A909">
        <v>230160</v>
      </c>
      <c r="B909">
        <v>7765</v>
      </c>
      <c r="C909" t="s">
        <v>1044</v>
      </c>
      <c r="D909" t="s">
        <v>1010</v>
      </c>
      <c r="E909" t="s">
        <v>1041</v>
      </c>
      <c r="F909">
        <v>21616</v>
      </c>
      <c r="G909">
        <v>1</v>
      </c>
      <c r="H909" t="s">
        <v>16</v>
      </c>
      <c r="I909" s="1">
        <v>-687400</v>
      </c>
      <c r="J909" s="1">
        <v>-3987500</v>
      </c>
      <c r="K909">
        <v>442</v>
      </c>
      <c r="L909">
        <v>1116</v>
      </c>
      <c r="M909" t="s">
        <v>16</v>
      </c>
    </row>
    <row r="910" spans="1:13" x14ac:dyDescent="0.35">
      <c r="A910">
        <v>230170</v>
      </c>
      <c r="B910">
        <v>7773</v>
      </c>
      <c r="C910" t="s">
        <v>1045</v>
      </c>
      <c r="D910" t="s">
        <v>1010</v>
      </c>
      <c r="E910" t="s">
        <v>1046</v>
      </c>
      <c r="F910">
        <v>24480</v>
      </c>
      <c r="G910">
        <v>1</v>
      </c>
      <c r="H910" t="s">
        <v>16</v>
      </c>
      <c r="I910" s="1">
        <v>-694300</v>
      </c>
      <c r="J910" s="1">
        <v>-3896800</v>
      </c>
      <c r="K910">
        <v>267</v>
      </c>
      <c r="L910">
        <v>885</v>
      </c>
      <c r="M910" t="s">
        <v>16</v>
      </c>
    </row>
    <row r="911" spans="1:13" x14ac:dyDescent="0.35">
      <c r="A911">
        <v>230180</v>
      </c>
      <c r="B911">
        <v>7781</v>
      </c>
      <c r="C911" t="s">
        <v>1047</v>
      </c>
      <c r="D911" t="s">
        <v>1010</v>
      </c>
      <c r="E911" t="s">
        <v>1048</v>
      </c>
      <c r="F911">
        <v>5780</v>
      </c>
      <c r="G911">
        <v>1</v>
      </c>
      <c r="H911" t="s">
        <v>16</v>
      </c>
      <c r="I911" s="1">
        <v>-673000</v>
      </c>
      <c r="J911" s="1">
        <v>-3871700</v>
      </c>
      <c r="K911">
        <v>279</v>
      </c>
      <c r="L911">
        <v>146</v>
      </c>
      <c r="M911" t="s">
        <v>16</v>
      </c>
    </row>
    <row r="912" spans="1:13" x14ac:dyDescent="0.35">
      <c r="A912">
        <v>230185</v>
      </c>
      <c r="B912">
        <v>28371</v>
      </c>
      <c r="C912" t="s">
        <v>1049</v>
      </c>
      <c r="D912" t="s">
        <v>1010</v>
      </c>
      <c r="E912" t="s">
        <v>1050</v>
      </c>
      <c r="F912">
        <v>17448</v>
      </c>
      <c r="G912">
        <v>1</v>
      </c>
      <c r="H912" t="s">
        <v>16</v>
      </c>
      <c r="I912" s="1">
        <v>-531000</v>
      </c>
      <c r="J912" s="1">
        <v>-3892100</v>
      </c>
      <c r="K912">
        <v>170</v>
      </c>
      <c r="L912">
        <v>1079</v>
      </c>
      <c r="M912" t="s">
        <v>16</v>
      </c>
    </row>
    <row r="913" spans="1:13" x14ac:dyDescent="0.35">
      <c r="A913">
        <v>230190</v>
      </c>
      <c r="B913">
        <v>7790</v>
      </c>
      <c r="C913" t="s">
        <v>1051</v>
      </c>
      <c r="D913" t="s">
        <v>1010</v>
      </c>
      <c r="E913" t="s">
        <v>1052</v>
      </c>
      <c r="F913">
        <v>50386</v>
      </c>
      <c r="G913">
        <v>4</v>
      </c>
      <c r="H913" t="s">
        <v>1053</v>
      </c>
      <c r="I913" s="1">
        <v>-730500</v>
      </c>
      <c r="J913" s="1">
        <v>-3930200</v>
      </c>
      <c r="K913">
        <v>414</v>
      </c>
      <c r="L913">
        <v>479</v>
      </c>
      <c r="M913" t="s">
        <v>16</v>
      </c>
    </row>
    <row r="914" spans="1:13" x14ac:dyDescent="0.35">
      <c r="A914">
        <v>230195</v>
      </c>
      <c r="B914">
        <v>28380</v>
      </c>
      <c r="C914" t="s">
        <v>1054</v>
      </c>
      <c r="D914" t="s">
        <v>1010</v>
      </c>
      <c r="E914" t="s">
        <v>1055</v>
      </c>
      <c r="F914">
        <v>18453</v>
      </c>
      <c r="G914">
        <v>1</v>
      </c>
      <c r="H914" t="s">
        <v>16</v>
      </c>
      <c r="I914" s="1">
        <v>-428700</v>
      </c>
      <c r="J914" s="1">
        <v>-3864300</v>
      </c>
      <c r="K914">
        <v>100</v>
      </c>
      <c r="L914">
        <v>245</v>
      </c>
      <c r="M914" t="s">
        <v>16</v>
      </c>
    </row>
    <row r="915" spans="1:13" x14ac:dyDescent="0.35">
      <c r="A915">
        <v>230200</v>
      </c>
      <c r="B915">
        <v>7803</v>
      </c>
      <c r="C915" t="s">
        <v>1046</v>
      </c>
      <c r="D915" t="s">
        <v>1010</v>
      </c>
      <c r="E915" t="s">
        <v>1046</v>
      </c>
      <c r="F915">
        <v>20673</v>
      </c>
      <c r="G915">
        <v>1</v>
      </c>
      <c r="H915" t="s">
        <v>16</v>
      </c>
      <c r="I915" s="1">
        <v>-717700</v>
      </c>
      <c r="J915" s="1">
        <v>-3878200</v>
      </c>
      <c r="K915">
        <v>362</v>
      </c>
      <c r="L915">
        <v>709</v>
      </c>
      <c r="M915" t="s">
        <v>16</v>
      </c>
    </row>
    <row r="916" spans="1:13" x14ac:dyDescent="0.35">
      <c r="A916">
        <v>230205</v>
      </c>
      <c r="B916">
        <v>28398</v>
      </c>
      <c r="C916" t="s">
        <v>1056</v>
      </c>
      <c r="D916" t="s">
        <v>1010</v>
      </c>
      <c r="E916" t="s">
        <v>1015</v>
      </c>
      <c r="F916">
        <v>14812</v>
      </c>
      <c r="G916">
        <v>1</v>
      </c>
      <c r="H916" t="s">
        <v>16</v>
      </c>
      <c r="I916" s="1">
        <v>-301900</v>
      </c>
      <c r="J916" s="1">
        <v>-4113700</v>
      </c>
      <c r="K916">
        <v>25</v>
      </c>
      <c r="L916">
        <v>383</v>
      </c>
      <c r="M916" t="s">
        <v>16</v>
      </c>
    </row>
    <row r="917" spans="1:13" x14ac:dyDescent="0.35">
      <c r="A917">
        <v>230210</v>
      </c>
      <c r="B917">
        <v>7811</v>
      </c>
      <c r="C917" t="s">
        <v>1057</v>
      </c>
      <c r="D917" t="s">
        <v>1010</v>
      </c>
      <c r="E917" t="s">
        <v>1013</v>
      </c>
      <c r="F917">
        <v>31669</v>
      </c>
      <c r="G917">
        <v>1</v>
      </c>
      <c r="H917" t="s">
        <v>16</v>
      </c>
      <c r="I917" s="1">
        <v>-432900</v>
      </c>
      <c r="J917" s="1">
        <v>-3888500</v>
      </c>
      <c r="K917">
        <v>171</v>
      </c>
      <c r="L917">
        <v>308</v>
      </c>
      <c r="M917" t="s">
        <v>16</v>
      </c>
    </row>
    <row r="918" spans="1:13" x14ac:dyDescent="0.35">
      <c r="A918">
        <v>230220</v>
      </c>
      <c r="B918">
        <v>7820</v>
      </c>
      <c r="C918" t="s">
        <v>1058</v>
      </c>
      <c r="D918" t="s">
        <v>1010</v>
      </c>
      <c r="E918" t="s">
        <v>1059</v>
      </c>
      <c r="F918">
        <v>46155</v>
      </c>
      <c r="G918">
        <v>1</v>
      </c>
      <c r="H918" t="s">
        <v>16</v>
      </c>
      <c r="I918" s="1">
        <v>-418000</v>
      </c>
      <c r="J918" s="1">
        <v>-3813100</v>
      </c>
      <c r="K918">
        <v>12</v>
      </c>
      <c r="L918">
        <v>1616</v>
      </c>
      <c r="M918" t="s">
        <v>16</v>
      </c>
    </row>
    <row r="919" spans="1:13" x14ac:dyDescent="0.35">
      <c r="A919">
        <v>230230</v>
      </c>
      <c r="B919">
        <v>7838</v>
      </c>
      <c r="C919" t="s">
        <v>1060</v>
      </c>
      <c r="D919" t="s">
        <v>1010</v>
      </c>
      <c r="E919" t="s">
        <v>1015</v>
      </c>
      <c r="F919">
        <v>29566</v>
      </c>
      <c r="G919">
        <v>1</v>
      </c>
      <c r="H919" t="s">
        <v>16</v>
      </c>
      <c r="I919" s="1">
        <v>-305100</v>
      </c>
      <c r="J919" s="1">
        <v>-4016800</v>
      </c>
      <c r="K919">
        <v>15</v>
      </c>
      <c r="L919">
        <v>841</v>
      </c>
      <c r="M919" t="s">
        <v>16</v>
      </c>
    </row>
    <row r="920" spans="1:13" x14ac:dyDescent="0.35">
      <c r="A920">
        <v>230240</v>
      </c>
      <c r="B920">
        <v>7846</v>
      </c>
      <c r="C920" t="s">
        <v>1061</v>
      </c>
      <c r="D920" t="s">
        <v>1010</v>
      </c>
      <c r="E920" t="s">
        <v>1050</v>
      </c>
      <c r="F920">
        <v>53538</v>
      </c>
      <c r="G920">
        <v>2</v>
      </c>
      <c r="H920" t="s">
        <v>16</v>
      </c>
      <c r="I920" s="1">
        <v>-512800</v>
      </c>
      <c r="J920" s="1">
        <v>-3973200</v>
      </c>
      <c r="K920">
        <v>275</v>
      </c>
      <c r="L920">
        <v>2836</v>
      </c>
      <c r="M920" t="s">
        <v>16</v>
      </c>
    </row>
    <row r="921" spans="1:13" x14ac:dyDescent="0.35">
      <c r="A921">
        <v>230250</v>
      </c>
      <c r="B921">
        <v>7854</v>
      </c>
      <c r="C921" t="s">
        <v>1011</v>
      </c>
      <c r="D921" t="s">
        <v>1010</v>
      </c>
      <c r="E921" t="s">
        <v>1011</v>
      </c>
      <c r="F921">
        <v>39613</v>
      </c>
      <c r="G921">
        <v>1</v>
      </c>
      <c r="H921" t="s">
        <v>16</v>
      </c>
      <c r="I921" s="1">
        <v>-749300</v>
      </c>
      <c r="J921" s="1">
        <v>-3898500</v>
      </c>
      <c r="K921">
        <v>381</v>
      </c>
      <c r="L921">
        <v>661</v>
      </c>
      <c r="M921" t="s">
        <v>16</v>
      </c>
    </row>
    <row r="922" spans="1:13" x14ac:dyDescent="0.35">
      <c r="A922">
        <v>230260</v>
      </c>
      <c r="B922">
        <v>7862</v>
      </c>
      <c r="C922" t="s">
        <v>1062</v>
      </c>
      <c r="D922" t="s">
        <v>1010</v>
      </c>
      <c r="E922" t="s">
        <v>1015</v>
      </c>
      <c r="F922">
        <v>58470</v>
      </c>
      <c r="G922">
        <v>2</v>
      </c>
      <c r="H922" t="s">
        <v>16</v>
      </c>
      <c r="I922" s="1">
        <v>-290200</v>
      </c>
      <c r="J922" s="1">
        <v>-4084100</v>
      </c>
      <c r="K922">
        <v>8</v>
      </c>
      <c r="L922">
        <v>1123</v>
      </c>
      <c r="M922" t="s">
        <v>16</v>
      </c>
    </row>
    <row r="923" spans="1:13" x14ac:dyDescent="0.35">
      <c r="A923">
        <v>230270</v>
      </c>
      <c r="B923">
        <v>7870</v>
      </c>
      <c r="C923" t="s">
        <v>1063</v>
      </c>
      <c r="D923" t="s">
        <v>1010</v>
      </c>
      <c r="E923" t="s">
        <v>1041</v>
      </c>
      <c r="F923">
        <v>25553</v>
      </c>
      <c r="G923">
        <v>1</v>
      </c>
      <c r="H923" t="s">
        <v>16</v>
      </c>
      <c r="I923" s="1">
        <v>-707400</v>
      </c>
      <c r="J923" s="1">
        <v>-4037600</v>
      </c>
      <c r="K923">
        <v>566</v>
      </c>
      <c r="L923">
        <v>1082</v>
      </c>
      <c r="M923" t="s">
        <v>16</v>
      </c>
    </row>
    <row r="924" spans="1:13" x14ac:dyDescent="0.35">
      <c r="A924">
        <v>230280</v>
      </c>
      <c r="B924">
        <v>7889</v>
      </c>
      <c r="C924" t="s">
        <v>1064</v>
      </c>
      <c r="D924" t="s">
        <v>1010</v>
      </c>
      <c r="E924" t="s">
        <v>1065</v>
      </c>
      <c r="F924">
        <v>73878</v>
      </c>
      <c r="G924">
        <v>2</v>
      </c>
      <c r="H924" t="s">
        <v>16</v>
      </c>
      <c r="I924" s="1">
        <v>-435900</v>
      </c>
      <c r="J924" s="1">
        <v>-3931200</v>
      </c>
      <c r="K924">
        <v>148</v>
      </c>
      <c r="L924">
        <v>3218</v>
      </c>
      <c r="M924" t="s">
        <v>16</v>
      </c>
    </row>
    <row r="925" spans="1:13" x14ac:dyDescent="0.35">
      <c r="A925">
        <v>230290</v>
      </c>
      <c r="B925">
        <v>7897</v>
      </c>
      <c r="C925" t="s">
        <v>1066</v>
      </c>
      <c r="D925" t="s">
        <v>1010</v>
      </c>
      <c r="E925" t="s">
        <v>1013</v>
      </c>
      <c r="F925">
        <v>16403</v>
      </c>
      <c r="G925">
        <v>1</v>
      </c>
      <c r="H925" t="s">
        <v>16</v>
      </c>
      <c r="I925" s="1">
        <v>-447000</v>
      </c>
      <c r="J925" s="1">
        <v>-3890100</v>
      </c>
      <c r="K925">
        <v>159</v>
      </c>
      <c r="L925">
        <v>194</v>
      </c>
      <c r="M925" t="s">
        <v>16</v>
      </c>
    </row>
    <row r="926" spans="1:13" x14ac:dyDescent="0.35">
      <c r="A926">
        <v>230300</v>
      </c>
      <c r="B926">
        <v>7900</v>
      </c>
      <c r="C926" t="s">
        <v>1067</v>
      </c>
      <c r="D926" t="s">
        <v>1010</v>
      </c>
      <c r="E926" t="s">
        <v>1065</v>
      </c>
      <c r="F926">
        <v>17977</v>
      </c>
      <c r="G926">
        <v>1</v>
      </c>
      <c r="H926" t="s">
        <v>16</v>
      </c>
      <c r="I926" s="1">
        <v>-423200</v>
      </c>
      <c r="J926" s="1">
        <v>-3919300</v>
      </c>
      <c r="K926">
        <v>144</v>
      </c>
      <c r="L926">
        <v>846</v>
      </c>
      <c r="M926" t="s">
        <v>16</v>
      </c>
    </row>
    <row r="927" spans="1:13" x14ac:dyDescent="0.35">
      <c r="A927">
        <v>230310</v>
      </c>
      <c r="B927">
        <v>7919</v>
      </c>
      <c r="C927" t="s">
        <v>1068</v>
      </c>
      <c r="D927" t="s">
        <v>1010</v>
      </c>
      <c r="E927" t="s">
        <v>1069</v>
      </c>
      <c r="F927">
        <v>18527</v>
      </c>
      <c r="G927">
        <v>1</v>
      </c>
      <c r="H927" t="s">
        <v>16</v>
      </c>
      <c r="I927" s="1">
        <v>-395100</v>
      </c>
      <c r="J927" s="1">
        <v>-4047300</v>
      </c>
      <c r="K927">
        <v>158</v>
      </c>
      <c r="L927">
        <v>756</v>
      </c>
      <c r="M927" t="s">
        <v>16</v>
      </c>
    </row>
    <row r="928" spans="1:13" x14ac:dyDescent="0.35">
      <c r="A928">
        <v>230320</v>
      </c>
      <c r="B928">
        <v>7927</v>
      </c>
      <c r="C928" t="s">
        <v>1023</v>
      </c>
      <c r="D928" t="s">
        <v>1010</v>
      </c>
      <c r="E928" t="s">
        <v>1023</v>
      </c>
      <c r="F928">
        <v>26325</v>
      </c>
      <c r="G928">
        <v>4</v>
      </c>
      <c r="H928" t="s">
        <v>1053</v>
      </c>
      <c r="I928" s="1">
        <v>-704200</v>
      </c>
      <c r="J928" s="1">
        <v>-3928400</v>
      </c>
      <c r="K928">
        <v>715</v>
      </c>
      <c r="L928">
        <v>623</v>
      </c>
      <c r="M928" t="s">
        <v>16</v>
      </c>
    </row>
    <row r="929" spans="1:13" x14ac:dyDescent="0.35">
      <c r="A929">
        <v>230330</v>
      </c>
      <c r="B929">
        <v>7935</v>
      </c>
      <c r="C929" t="s">
        <v>1070</v>
      </c>
      <c r="D929" t="s">
        <v>1010</v>
      </c>
      <c r="E929" t="s">
        <v>1029</v>
      </c>
      <c r="F929">
        <v>18649</v>
      </c>
      <c r="G929">
        <v>1</v>
      </c>
      <c r="H929" t="s">
        <v>16</v>
      </c>
      <c r="I929" s="1">
        <v>-653700</v>
      </c>
      <c r="J929" s="1">
        <v>-3949700</v>
      </c>
      <c r="K929">
        <v>240</v>
      </c>
      <c r="L929">
        <v>1061</v>
      </c>
      <c r="M929" t="s">
        <v>16</v>
      </c>
    </row>
    <row r="930" spans="1:13" x14ac:dyDescent="0.35">
      <c r="A930">
        <v>230340</v>
      </c>
      <c r="B930">
        <v>7943</v>
      </c>
      <c r="C930" t="s">
        <v>1071</v>
      </c>
      <c r="D930" t="s">
        <v>1010</v>
      </c>
      <c r="E930" t="s">
        <v>1072</v>
      </c>
      <c r="F930">
        <v>16001</v>
      </c>
      <c r="G930">
        <v>1</v>
      </c>
      <c r="H930" t="s">
        <v>16</v>
      </c>
      <c r="I930" s="1">
        <v>-416700</v>
      </c>
      <c r="J930" s="1">
        <v>-4094300</v>
      </c>
      <c r="K930">
        <v>766</v>
      </c>
      <c r="L930">
        <v>364</v>
      </c>
      <c r="M930" t="s">
        <v>16</v>
      </c>
    </row>
    <row r="931" spans="1:13" x14ac:dyDescent="0.35">
      <c r="A931">
        <v>230350</v>
      </c>
      <c r="B931">
        <v>7951</v>
      </c>
      <c r="C931" t="s">
        <v>1059</v>
      </c>
      <c r="D931" t="s">
        <v>1010</v>
      </c>
      <c r="E931" t="s">
        <v>1059</v>
      </c>
      <c r="F931">
        <v>63932</v>
      </c>
      <c r="G931">
        <v>4</v>
      </c>
      <c r="H931" t="s">
        <v>1034</v>
      </c>
      <c r="I931" s="1">
        <v>-413100</v>
      </c>
      <c r="J931" s="1">
        <v>-3823600</v>
      </c>
      <c r="K931">
        <v>40</v>
      </c>
      <c r="L931">
        <v>837</v>
      </c>
      <c r="M931" t="s">
        <v>16</v>
      </c>
    </row>
    <row r="932" spans="1:13" x14ac:dyDescent="0.35">
      <c r="A932">
        <v>230360</v>
      </c>
      <c r="B932">
        <v>7960</v>
      </c>
      <c r="C932" t="s">
        <v>1073</v>
      </c>
      <c r="D932" t="s">
        <v>1010</v>
      </c>
      <c r="E932" t="s">
        <v>1019</v>
      </c>
      <c r="F932">
        <v>17028</v>
      </c>
      <c r="G932">
        <v>1</v>
      </c>
      <c r="H932" t="s">
        <v>16</v>
      </c>
      <c r="I932" s="1">
        <v>-613100</v>
      </c>
      <c r="J932" s="1">
        <v>-3987800</v>
      </c>
      <c r="K932">
        <v>589</v>
      </c>
      <c r="L932">
        <v>486</v>
      </c>
      <c r="M932" t="s">
        <v>16</v>
      </c>
    </row>
    <row r="933" spans="1:13" x14ac:dyDescent="0.35">
      <c r="A933">
        <v>230365</v>
      </c>
      <c r="B933">
        <v>50326</v>
      </c>
      <c r="C933" t="s">
        <v>1074</v>
      </c>
      <c r="D933" t="s">
        <v>1010</v>
      </c>
      <c r="E933" t="s">
        <v>1075</v>
      </c>
      <c r="F933">
        <v>10508</v>
      </c>
      <c r="G933">
        <v>1</v>
      </c>
      <c r="H933" t="s">
        <v>16</v>
      </c>
      <c r="I933" s="1">
        <v>-464800</v>
      </c>
      <c r="J933" s="1">
        <v>-4020100</v>
      </c>
      <c r="K933">
        <v>280</v>
      </c>
      <c r="L933">
        <v>790</v>
      </c>
      <c r="M933" t="s">
        <v>16</v>
      </c>
    </row>
    <row r="934" spans="1:13" x14ac:dyDescent="0.35">
      <c r="A934">
        <v>230370</v>
      </c>
      <c r="B934">
        <v>7978</v>
      </c>
      <c r="C934" t="s">
        <v>1076</v>
      </c>
      <c r="D934" t="s">
        <v>1010</v>
      </c>
      <c r="E934" t="s">
        <v>1033</v>
      </c>
      <c r="F934">
        <v>316906</v>
      </c>
      <c r="G934">
        <v>4</v>
      </c>
      <c r="H934" t="s">
        <v>1034</v>
      </c>
      <c r="I934" s="1">
        <v>-373300</v>
      </c>
      <c r="J934" s="1">
        <v>-3865600</v>
      </c>
      <c r="K934">
        <v>29</v>
      </c>
      <c r="L934">
        <v>1227</v>
      </c>
      <c r="M934" t="s">
        <v>16</v>
      </c>
    </row>
    <row r="935" spans="1:13" x14ac:dyDescent="0.35">
      <c r="A935">
        <v>230380</v>
      </c>
      <c r="B935">
        <v>7986</v>
      </c>
      <c r="C935" t="s">
        <v>1077</v>
      </c>
      <c r="D935" t="s">
        <v>1010</v>
      </c>
      <c r="E935" t="s">
        <v>1078</v>
      </c>
      <c r="F935">
        <v>24607</v>
      </c>
      <c r="G935">
        <v>1</v>
      </c>
      <c r="H935" t="s">
        <v>16</v>
      </c>
      <c r="I935" s="1">
        <v>-660700</v>
      </c>
      <c r="J935" s="1">
        <v>-3906200</v>
      </c>
      <c r="K935">
        <v>250</v>
      </c>
      <c r="L935">
        <v>725</v>
      </c>
      <c r="M935" t="s">
        <v>16</v>
      </c>
    </row>
    <row r="936" spans="1:13" x14ac:dyDescent="0.35">
      <c r="A936">
        <v>230390</v>
      </c>
      <c r="B936">
        <v>7994</v>
      </c>
      <c r="C936" t="s">
        <v>1079</v>
      </c>
      <c r="D936" t="s">
        <v>1010</v>
      </c>
      <c r="E936" t="s">
        <v>1015</v>
      </c>
      <c r="F936">
        <v>12215</v>
      </c>
      <c r="G936">
        <v>1</v>
      </c>
      <c r="H936" t="s">
        <v>16</v>
      </c>
      <c r="I936" s="1">
        <v>-303400</v>
      </c>
      <c r="J936" s="1">
        <v>-4124400</v>
      </c>
      <c r="K936">
        <v>12</v>
      </c>
      <c r="L936">
        <v>238</v>
      </c>
      <c r="M936" t="s">
        <v>16</v>
      </c>
    </row>
    <row r="937" spans="1:13" x14ac:dyDescent="0.35">
      <c r="A937">
        <v>230393</v>
      </c>
      <c r="B937">
        <v>50334</v>
      </c>
      <c r="C937" t="s">
        <v>1080</v>
      </c>
      <c r="D937" t="s">
        <v>1010</v>
      </c>
      <c r="E937" t="s">
        <v>1050</v>
      </c>
      <c r="F937">
        <v>12790</v>
      </c>
      <c r="G937">
        <v>1</v>
      </c>
      <c r="H937" t="s">
        <v>16</v>
      </c>
      <c r="I937" s="1">
        <v>-484300</v>
      </c>
      <c r="J937" s="1">
        <v>-3914100</v>
      </c>
      <c r="K937">
        <v>237</v>
      </c>
      <c r="L937">
        <v>815</v>
      </c>
      <c r="M937" t="s">
        <v>16</v>
      </c>
    </row>
    <row r="938" spans="1:13" x14ac:dyDescent="0.35">
      <c r="A938">
        <v>230395</v>
      </c>
      <c r="B938">
        <v>34037</v>
      </c>
      <c r="C938" t="s">
        <v>1055</v>
      </c>
      <c r="D938" t="s">
        <v>1010</v>
      </c>
      <c r="E938" t="s">
        <v>1055</v>
      </c>
      <c r="F938">
        <v>18261</v>
      </c>
      <c r="G938">
        <v>4</v>
      </c>
      <c r="H938" t="s">
        <v>1034</v>
      </c>
      <c r="I938" s="1">
        <v>-430000</v>
      </c>
      <c r="J938" s="1">
        <v>-3849700</v>
      </c>
      <c r="K938">
        <v>48</v>
      </c>
      <c r="L938">
        <v>278</v>
      </c>
      <c r="M938" t="s">
        <v>16</v>
      </c>
    </row>
    <row r="939" spans="1:13" x14ac:dyDescent="0.35">
      <c r="A939">
        <v>230400</v>
      </c>
      <c r="B939">
        <v>8010</v>
      </c>
      <c r="C939" t="s">
        <v>1081</v>
      </c>
      <c r="D939" t="s">
        <v>1010</v>
      </c>
      <c r="E939" t="s">
        <v>1082</v>
      </c>
      <c r="F939">
        <v>21171</v>
      </c>
      <c r="G939">
        <v>1</v>
      </c>
      <c r="H939" t="s">
        <v>16</v>
      </c>
      <c r="I939" s="1">
        <v>-353300</v>
      </c>
      <c r="J939" s="1">
        <v>-4065700</v>
      </c>
      <c r="K939">
        <v>72</v>
      </c>
      <c r="L939">
        <v>775</v>
      </c>
      <c r="M939" t="s">
        <v>16</v>
      </c>
    </row>
    <row r="940" spans="1:13" x14ac:dyDescent="0.35">
      <c r="A940">
        <v>230410</v>
      </c>
      <c r="B940">
        <v>8028</v>
      </c>
      <c r="C940" t="s">
        <v>1083</v>
      </c>
      <c r="D940" t="s">
        <v>1010</v>
      </c>
      <c r="E940" t="s">
        <v>1039</v>
      </c>
      <c r="F940">
        <v>72386</v>
      </c>
      <c r="G940">
        <v>2</v>
      </c>
      <c r="H940" t="s">
        <v>16</v>
      </c>
      <c r="I940" s="1">
        <v>-517800</v>
      </c>
      <c r="J940" s="1">
        <v>-4067800</v>
      </c>
      <c r="K940">
        <v>274</v>
      </c>
      <c r="L940">
        <v>2985</v>
      </c>
      <c r="M940" t="s">
        <v>16</v>
      </c>
    </row>
    <row r="941" spans="1:13" x14ac:dyDescent="0.35">
      <c r="A941">
        <v>230420</v>
      </c>
      <c r="B941">
        <v>8036</v>
      </c>
      <c r="C941" t="s">
        <v>1084</v>
      </c>
      <c r="D941" t="s">
        <v>1010</v>
      </c>
      <c r="E941" t="s">
        <v>1052</v>
      </c>
      <c r="F941">
        <v>111198</v>
      </c>
      <c r="G941">
        <v>4</v>
      </c>
      <c r="H941" t="s">
        <v>1053</v>
      </c>
      <c r="I941" s="1">
        <v>-723400</v>
      </c>
      <c r="J941" s="1">
        <v>-3940900</v>
      </c>
      <c r="K941">
        <v>426</v>
      </c>
      <c r="L941">
        <v>1009</v>
      </c>
      <c r="M941" t="s">
        <v>16</v>
      </c>
    </row>
    <row r="942" spans="1:13" x14ac:dyDescent="0.35">
      <c r="A942">
        <v>230423</v>
      </c>
      <c r="B942">
        <v>34134</v>
      </c>
      <c r="C942" t="s">
        <v>1085</v>
      </c>
      <c r="D942" t="s">
        <v>1010</v>
      </c>
      <c r="E942" t="s">
        <v>1072</v>
      </c>
      <c r="F942">
        <v>17317</v>
      </c>
      <c r="G942">
        <v>1</v>
      </c>
      <c r="H942" t="s">
        <v>16</v>
      </c>
      <c r="I942" s="1">
        <v>-440000</v>
      </c>
      <c r="J942" s="1">
        <v>-4091100</v>
      </c>
      <c r="K942">
        <v>571</v>
      </c>
      <c r="L942">
        <v>700</v>
      </c>
      <c r="M942" t="s">
        <v>16</v>
      </c>
    </row>
    <row r="943" spans="1:13" x14ac:dyDescent="0.35">
      <c r="A943">
        <v>230425</v>
      </c>
      <c r="B943">
        <v>12440</v>
      </c>
      <c r="C943" t="s">
        <v>1086</v>
      </c>
      <c r="D943" t="s">
        <v>1010</v>
      </c>
      <c r="E943" t="s">
        <v>1015</v>
      </c>
      <c r="F943">
        <v>22144</v>
      </c>
      <c r="G943">
        <v>1</v>
      </c>
      <c r="H943" t="s">
        <v>16</v>
      </c>
      <c r="I943" s="1">
        <v>-291800</v>
      </c>
      <c r="J943" s="1">
        <v>-4017200</v>
      </c>
      <c r="K943">
        <v>16</v>
      </c>
      <c r="L943">
        <v>334</v>
      </c>
      <c r="M943" t="s">
        <v>16</v>
      </c>
    </row>
    <row r="944" spans="1:13" x14ac:dyDescent="0.35">
      <c r="A944">
        <v>230426</v>
      </c>
      <c r="B944">
        <v>34142</v>
      </c>
      <c r="C944" t="s">
        <v>1087</v>
      </c>
      <c r="D944" t="s">
        <v>1010</v>
      </c>
      <c r="E944" t="s">
        <v>1017</v>
      </c>
      <c r="F944">
        <v>9108</v>
      </c>
      <c r="G944">
        <v>1</v>
      </c>
      <c r="H944" t="s">
        <v>16</v>
      </c>
      <c r="I944" s="1">
        <v>-591700</v>
      </c>
      <c r="J944" s="1">
        <v>-3926800</v>
      </c>
      <c r="K944">
        <v>288</v>
      </c>
      <c r="L944">
        <v>470</v>
      </c>
      <c r="M944" t="s">
        <v>16</v>
      </c>
    </row>
    <row r="945" spans="1:13" x14ac:dyDescent="0.35">
      <c r="A945">
        <v>230427</v>
      </c>
      <c r="B945">
        <v>34150</v>
      </c>
      <c r="C945" t="s">
        <v>1088</v>
      </c>
      <c r="D945" t="s">
        <v>1010</v>
      </c>
      <c r="E945" t="s">
        <v>1089</v>
      </c>
      <c r="F945">
        <v>6927</v>
      </c>
      <c r="G945">
        <v>1</v>
      </c>
      <c r="H945" t="s">
        <v>16</v>
      </c>
      <c r="I945" s="1">
        <v>-603200</v>
      </c>
      <c r="J945" s="1">
        <v>-3834900</v>
      </c>
      <c r="K945">
        <v>200</v>
      </c>
      <c r="L945">
        <v>382</v>
      </c>
      <c r="M945" t="s">
        <v>16</v>
      </c>
    </row>
    <row r="946" spans="1:13" x14ac:dyDescent="0.35">
      <c r="A946">
        <v>230428</v>
      </c>
      <c r="B946">
        <v>34169</v>
      </c>
      <c r="C946" t="s">
        <v>1090</v>
      </c>
      <c r="D946" t="s">
        <v>1010</v>
      </c>
      <c r="E946" t="s">
        <v>1033</v>
      </c>
      <c r="F946">
        <v>38189</v>
      </c>
      <c r="G946">
        <v>4</v>
      </c>
      <c r="H946" t="s">
        <v>1034</v>
      </c>
      <c r="I946" s="1">
        <v>-389000</v>
      </c>
      <c r="J946" s="1">
        <v>-3845100</v>
      </c>
      <c r="K946">
        <v>28</v>
      </c>
      <c r="L946">
        <v>76</v>
      </c>
      <c r="M946" t="s">
        <v>16</v>
      </c>
    </row>
    <row r="947" spans="1:13" x14ac:dyDescent="0.35">
      <c r="A947">
        <v>230430</v>
      </c>
      <c r="B947">
        <v>8044</v>
      </c>
      <c r="C947" t="s">
        <v>1091</v>
      </c>
      <c r="D947" t="s">
        <v>1010</v>
      </c>
      <c r="E947" t="s">
        <v>1023</v>
      </c>
      <c r="F947">
        <v>19244</v>
      </c>
      <c r="G947">
        <v>4</v>
      </c>
      <c r="H947" t="s">
        <v>1053</v>
      </c>
      <c r="I947" s="1">
        <v>-693100</v>
      </c>
      <c r="J947" s="1">
        <v>-3956600</v>
      </c>
      <c r="K947">
        <v>337</v>
      </c>
      <c r="L947">
        <v>503</v>
      </c>
      <c r="M947" t="s">
        <v>16</v>
      </c>
    </row>
    <row r="948" spans="1:13" x14ac:dyDescent="0.35">
      <c r="A948">
        <v>230435</v>
      </c>
      <c r="B948">
        <v>12459</v>
      </c>
      <c r="C948" t="s">
        <v>1092</v>
      </c>
      <c r="D948" t="s">
        <v>1010</v>
      </c>
      <c r="E948" t="s">
        <v>1069</v>
      </c>
      <c r="F948">
        <v>20181</v>
      </c>
      <c r="G948">
        <v>1</v>
      </c>
      <c r="H948" t="s">
        <v>16</v>
      </c>
      <c r="I948" s="1">
        <v>-379800</v>
      </c>
      <c r="J948" s="1">
        <v>-4026100</v>
      </c>
      <c r="K948">
        <v>99</v>
      </c>
      <c r="L948">
        <v>516</v>
      </c>
      <c r="M948" t="s">
        <v>16</v>
      </c>
    </row>
    <row r="949" spans="1:13" x14ac:dyDescent="0.35">
      <c r="A949">
        <v>230440</v>
      </c>
      <c r="B949">
        <v>7609</v>
      </c>
      <c r="C949" t="s">
        <v>1033</v>
      </c>
      <c r="D949" t="s">
        <v>1010</v>
      </c>
      <c r="E949" t="s">
        <v>1033</v>
      </c>
      <c r="F949">
        <v>2431415</v>
      </c>
      <c r="G949">
        <v>5</v>
      </c>
      <c r="H949" t="s">
        <v>1034</v>
      </c>
      <c r="I949" s="1">
        <v>-371700</v>
      </c>
      <c r="J949" s="1">
        <v>-3854300</v>
      </c>
      <c r="K949">
        <v>21</v>
      </c>
      <c r="L949">
        <v>313</v>
      </c>
      <c r="M949" t="s">
        <v>16</v>
      </c>
    </row>
    <row r="950" spans="1:13" x14ac:dyDescent="0.35">
      <c r="A950">
        <v>230445</v>
      </c>
      <c r="B950">
        <v>50342</v>
      </c>
      <c r="C950" t="s">
        <v>1093</v>
      </c>
      <c r="D950" t="s">
        <v>1010</v>
      </c>
      <c r="E950" t="s">
        <v>1036</v>
      </c>
      <c r="F950">
        <v>14072</v>
      </c>
      <c r="G950">
        <v>1</v>
      </c>
      <c r="H950" t="s">
        <v>16</v>
      </c>
      <c r="I950" s="1">
        <v>-445200</v>
      </c>
      <c r="J950" s="1">
        <v>-3779700</v>
      </c>
      <c r="K950">
        <v>15</v>
      </c>
      <c r="L950">
        <v>280</v>
      </c>
      <c r="M950" t="s">
        <v>16</v>
      </c>
    </row>
    <row r="951" spans="1:13" x14ac:dyDescent="0.35">
      <c r="A951">
        <v>230450</v>
      </c>
      <c r="B951">
        <v>8052</v>
      </c>
      <c r="C951" t="s">
        <v>1094</v>
      </c>
      <c r="D951" t="s">
        <v>1010</v>
      </c>
      <c r="E951" t="s">
        <v>1082</v>
      </c>
      <c r="F951">
        <v>12830</v>
      </c>
      <c r="G951">
        <v>1</v>
      </c>
      <c r="H951" t="s">
        <v>16</v>
      </c>
      <c r="I951" s="1">
        <v>-376000</v>
      </c>
      <c r="J951" s="1">
        <v>-4081600</v>
      </c>
      <c r="K951">
        <v>120</v>
      </c>
      <c r="L951">
        <v>181</v>
      </c>
      <c r="M951" t="s">
        <v>16</v>
      </c>
    </row>
    <row r="952" spans="1:13" x14ac:dyDescent="0.35">
      <c r="A952">
        <v>230460</v>
      </c>
      <c r="B952">
        <v>8060</v>
      </c>
      <c r="C952" t="s">
        <v>1095</v>
      </c>
      <c r="D952" t="s">
        <v>1010</v>
      </c>
      <c r="E952" t="s">
        <v>1031</v>
      </c>
      <c r="F952">
        <v>6540</v>
      </c>
      <c r="G952">
        <v>1</v>
      </c>
      <c r="H952" t="s">
        <v>16</v>
      </c>
      <c r="I952" s="1">
        <v>-405300</v>
      </c>
      <c r="J952" s="1">
        <v>-3945400</v>
      </c>
      <c r="K952">
        <v>95</v>
      </c>
      <c r="L952">
        <v>206</v>
      </c>
      <c r="M952" t="s">
        <v>16</v>
      </c>
    </row>
    <row r="953" spans="1:13" x14ac:dyDescent="0.35">
      <c r="A953">
        <v>230465</v>
      </c>
      <c r="B953">
        <v>34177</v>
      </c>
      <c r="C953" t="s">
        <v>1096</v>
      </c>
      <c r="D953" t="s">
        <v>1010</v>
      </c>
      <c r="E953" t="s">
        <v>1069</v>
      </c>
      <c r="F953">
        <v>15297</v>
      </c>
      <c r="G953">
        <v>1</v>
      </c>
      <c r="H953" t="s">
        <v>16</v>
      </c>
      <c r="I953" s="1">
        <v>-404600</v>
      </c>
      <c r="J953" s="1">
        <v>-4075300</v>
      </c>
      <c r="K953">
        <v>179</v>
      </c>
      <c r="L953">
        <v>281</v>
      </c>
      <c r="M953" t="s">
        <v>16</v>
      </c>
    </row>
    <row r="954" spans="1:13" x14ac:dyDescent="0.35">
      <c r="A954">
        <v>230470</v>
      </c>
      <c r="B954">
        <v>8079</v>
      </c>
      <c r="C954" t="s">
        <v>1097</v>
      </c>
      <c r="D954" t="s">
        <v>1010</v>
      </c>
      <c r="E954" t="s">
        <v>1015</v>
      </c>
      <c r="F954">
        <v>51410</v>
      </c>
      <c r="G954">
        <v>2</v>
      </c>
      <c r="H954" t="s">
        <v>16</v>
      </c>
      <c r="I954" s="1">
        <v>-312000</v>
      </c>
      <c r="J954" s="1">
        <v>-4082600</v>
      </c>
      <c r="K954">
        <v>10</v>
      </c>
      <c r="L954">
        <v>2697</v>
      </c>
      <c r="M954" t="s">
        <v>16</v>
      </c>
    </row>
    <row r="955" spans="1:13" x14ac:dyDescent="0.35">
      <c r="A955">
        <v>230480</v>
      </c>
      <c r="B955">
        <v>8087</v>
      </c>
      <c r="C955" t="s">
        <v>1098</v>
      </c>
      <c r="D955" t="s">
        <v>1010</v>
      </c>
      <c r="E955" t="s">
        <v>1023</v>
      </c>
      <c r="F955">
        <v>4931</v>
      </c>
      <c r="G955">
        <v>1</v>
      </c>
      <c r="H955" t="s">
        <v>16</v>
      </c>
      <c r="I955" s="1">
        <v>-688800</v>
      </c>
      <c r="J955" s="1">
        <v>-3921800</v>
      </c>
      <c r="K955">
        <v>311</v>
      </c>
      <c r="L955">
        <v>100</v>
      </c>
      <c r="M955" t="s">
        <v>16</v>
      </c>
    </row>
    <row r="956" spans="1:13" x14ac:dyDescent="0.35">
      <c r="A956">
        <v>230490</v>
      </c>
      <c r="B956">
        <v>8095</v>
      </c>
      <c r="C956" t="s">
        <v>1099</v>
      </c>
      <c r="D956" t="s">
        <v>1010</v>
      </c>
      <c r="E956" t="s">
        <v>1069</v>
      </c>
      <c r="F956">
        <v>9456</v>
      </c>
      <c r="G956">
        <v>1</v>
      </c>
      <c r="H956" t="s">
        <v>16</v>
      </c>
      <c r="I956" s="1">
        <v>-391300</v>
      </c>
      <c r="J956" s="1">
        <v>-4038300</v>
      </c>
      <c r="K956">
        <v>88</v>
      </c>
      <c r="L956">
        <v>155</v>
      </c>
      <c r="M956" t="s">
        <v>16</v>
      </c>
    </row>
    <row r="957" spans="1:13" x14ac:dyDescent="0.35">
      <c r="A957">
        <v>230495</v>
      </c>
      <c r="B957">
        <v>34185</v>
      </c>
      <c r="C957" t="s">
        <v>1100</v>
      </c>
      <c r="D957" t="s">
        <v>1010</v>
      </c>
      <c r="E957" t="s">
        <v>1033</v>
      </c>
      <c r="F957">
        <v>22405</v>
      </c>
      <c r="G957">
        <v>4</v>
      </c>
      <c r="H957" t="s">
        <v>1034</v>
      </c>
      <c r="I957" s="1">
        <v>-404000</v>
      </c>
      <c r="J957" s="1">
        <v>-3863700</v>
      </c>
      <c r="K957">
        <v>62</v>
      </c>
      <c r="L957">
        <v>267</v>
      </c>
      <c r="M957" t="s">
        <v>16</v>
      </c>
    </row>
    <row r="958" spans="1:13" x14ac:dyDescent="0.35">
      <c r="A958">
        <v>230500</v>
      </c>
      <c r="B958">
        <v>8109</v>
      </c>
      <c r="C958" t="s">
        <v>1101</v>
      </c>
      <c r="D958" t="s">
        <v>1010</v>
      </c>
      <c r="E958" t="s">
        <v>1072</v>
      </c>
      <c r="F958">
        <v>36705</v>
      </c>
      <c r="G958">
        <v>1</v>
      </c>
      <c r="H958" t="s">
        <v>16</v>
      </c>
      <c r="I958" s="1">
        <v>-416700</v>
      </c>
      <c r="J958" s="1">
        <v>-4074800</v>
      </c>
      <c r="K958">
        <v>902</v>
      </c>
      <c r="L958">
        <v>611</v>
      </c>
      <c r="M958" t="s">
        <v>16</v>
      </c>
    </row>
    <row r="959" spans="1:13" x14ac:dyDescent="0.35">
      <c r="A959">
        <v>230510</v>
      </c>
      <c r="B959">
        <v>8117</v>
      </c>
      <c r="C959" t="s">
        <v>1102</v>
      </c>
      <c r="D959" t="s">
        <v>1010</v>
      </c>
      <c r="E959" t="s">
        <v>1013</v>
      </c>
      <c r="F959">
        <v>4307</v>
      </c>
      <c r="G959">
        <v>1</v>
      </c>
      <c r="H959" t="s">
        <v>16</v>
      </c>
      <c r="I959" s="1">
        <v>-426300</v>
      </c>
      <c r="J959" s="1">
        <v>-3893300</v>
      </c>
      <c r="K959">
        <v>900</v>
      </c>
      <c r="L959">
        <v>59</v>
      </c>
      <c r="M959" t="s">
        <v>16</v>
      </c>
    </row>
    <row r="960" spans="1:13" x14ac:dyDescent="0.35">
      <c r="A960">
        <v>230520</v>
      </c>
      <c r="B960">
        <v>8125</v>
      </c>
      <c r="C960" t="s">
        <v>1103</v>
      </c>
      <c r="D960" t="s">
        <v>1010</v>
      </c>
      <c r="E960" t="s">
        <v>1075</v>
      </c>
      <c r="F960">
        <v>18534</v>
      </c>
      <c r="G960">
        <v>1</v>
      </c>
      <c r="H960" t="s">
        <v>16</v>
      </c>
      <c r="I960" s="1">
        <v>-440800</v>
      </c>
      <c r="J960" s="1">
        <v>-4043800</v>
      </c>
      <c r="K960">
        <v>190</v>
      </c>
      <c r="L960">
        <v>966</v>
      </c>
      <c r="M960" t="s">
        <v>16</v>
      </c>
    </row>
    <row r="961" spans="1:13" x14ac:dyDescent="0.35">
      <c r="A961">
        <v>230523</v>
      </c>
      <c r="B961">
        <v>34193</v>
      </c>
      <c r="C961" t="s">
        <v>1104</v>
      </c>
      <c r="D961" t="s">
        <v>1010</v>
      </c>
      <c r="E961" t="s">
        <v>1105</v>
      </c>
      <c r="F961">
        <v>48660</v>
      </c>
      <c r="G961">
        <v>4</v>
      </c>
      <c r="H961" t="s">
        <v>1034</v>
      </c>
      <c r="I961" s="1">
        <v>-409900</v>
      </c>
      <c r="J961" s="1">
        <v>-3849600</v>
      </c>
      <c r="K961">
        <v>65</v>
      </c>
      <c r="L961">
        <v>159</v>
      </c>
      <c r="M961" t="s">
        <v>16</v>
      </c>
    </row>
    <row r="962" spans="1:13" x14ac:dyDescent="0.35">
      <c r="A962">
        <v>230526</v>
      </c>
      <c r="B962">
        <v>39098</v>
      </c>
      <c r="C962" t="s">
        <v>1106</v>
      </c>
      <c r="D962" t="s">
        <v>1010</v>
      </c>
      <c r="E962" t="s">
        <v>1050</v>
      </c>
      <c r="F962">
        <v>12728</v>
      </c>
      <c r="G962">
        <v>1</v>
      </c>
      <c r="H962" t="s">
        <v>16</v>
      </c>
      <c r="I962" s="1">
        <v>-480400</v>
      </c>
      <c r="J962" s="1">
        <v>-3875300</v>
      </c>
      <c r="K962">
        <v>190</v>
      </c>
      <c r="L962">
        <v>877</v>
      </c>
      <c r="M962" t="s">
        <v>16</v>
      </c>
    </row>
    <row r="963" spans="1:13" x14ac:dyDescent="0.35">
      <c r="A963">
        <v>230530</v>
      </c>
      <c r="B963">
        <v>8133</v>
      </c>
      <c r="C963" t="s">
        <v>1107</v>
      </c>
      <c r="D963" t="s">
        <v>1010</v>
      </c>
      <c r="E963" t="s">
        <v>1072</v>
      </c>
      <c r="F963">
        <v>23088</v>
      </c>
      <c r="G963">
        <v>1</v>
      </c>
      <c r="H963" t="s">
        <v>16</v>
      </c>
      <c r="I963" s="1">
        <v>-392300</v>
      </c>
      <c r="J963" s="1">
        <v>-4088900</v>
      </c>
      <c r="K963">
        <v>878</v>
      </c>
      <c r="L963">
        <v>414</v>
      </c>
      <c r="M963" t="s">
        <v>16</v>
      </c>
    </row>
    <row r="964" spans="1:13" x14ac:dyDescent="0.35">
      <c r="A964">
        <v>230533</v>
      </c>
      <c r="B964">
        <v>39101</v>
      </c>
      <c r="C964" t="s">
        <v>1108</v>
      </c>
      <c r="D964" t="s">
        <v>1010</v>
      </c>
      <c r="E964" t="s">
        <v>1025</v>
      </c>
      <c r="F964">
        <v>11000</v>
      </c>
      <c r="G964">
        <v>1</v>
      </c>
      <c r="H964" t="s">
        <v>16</v>
      </c>
      <c r="I964" s="1">
        <v>-497400</v>
      </c>
      <c r="J964" s="1">
        <v>-3863900</v>
      </c>
      <c r="K964">
        <v>200</v>
      </c>
      <c r="L964">
        <v>424</v>
      </c>
      <c r="M964" t="s">
        <v>16</v>
      </c>
    </row>
    <row r="965" spans="1:13" x14ac:dyDescent="0.35">
      <c r="A965">
        <v>230535</v>
      </c>
      <c r="B965">
        <v>12467</v>
      </c>
      <c r="C965" t="s">
        <v>1109</v>
      </c>
      <c r="D965" t="s">
        <v>1010</v>
      </c>
      <c r="E965" t="s">
        <v>1036</v>
      </c>
      <c r="F965">
        <v>18186</v>
      </c>
      <c r="G965">
        <v>1</v>
      </c>
      <c r="H965" t="s">
        <v>16</v>
      </c>
      <c r="I965" s="1">
        <v>-471300</v>
      </c>
      <c r="J965" s="1">
        <v>-3735500</v>
      </c>
      <c r="K965">
        <v>5</v>
      </c>
      <c r="L965">
        <v>428</v>
      </c>
      <c r="M965" t="s">
        <v>16</v>
      </c>
    </row>
    <row r="966" spans="1:13" x14ac:dyDescent="0.35">
      <c r="A966">
        <v>230540</v>
      </c>
      <c r="B966">
        <v>8141</v>
      </c>
      <c r="C966" t="s">
        <v>1110</v>
      </c>
      <c r="D966" t="s">
        <v>1010</v>
      </c>
      <c r="E966" t="s">
        <v>1078</v>
      </c>
      <c r="F966">
        <v>63262</v>
      </c>
      <c r="G966">
        <v>2</v>
      </c>
      <c r="H966" t="s">
        <v>16</v>
      </c>
      <c r="I966" s="1">
        <v>-640100</v>
      </c>
      <c r="J966" s="1">
        <v>-3886200</v>
      </c>
      <c r="K966">
        <v>153</v>
      </c>
      <c r="L966">
        <v>1871</v>
      </c>
      <c r="M966" t="s">
        <v>16</v>
      </c>
    </row>
    <row r="967" spans="1:13" x14ac:dyDescent="0.35">
      <c r="A967">
        <v>230550</v>
      </c>
      <c r="B967">
        <v>8150</v>
      </c>
      <c r="C967" t="s">
        <v>1078</v>
      </c>
      <c r="D967" t="s">
        <v>1010</v>
      </c>
      <c r="E967" t="s">
        <v>1078</v>
      </c>
      <c r="F967">
        <v>92260</v>
      </c>
      <c r="G967">
        <v>2</v>
      </c>
      <c r="H967" t="s">
        <v>16</v>
      </c>
      <c r="I967" s="1">
        <v>-635900</v>
      </c>
      <c r="J967" s="1">
        <v>-3929900</v>
      </c>
      <c r="K967">
        <v>217</v>
      </c>
      <c r="L967">
        <v>1029</v>
      </c>
      <c r="M967" t="s">
        <v>16</v>
      </c>
    </row>
    <row r="968" spans="1:13" x14ac:dyDescent="0.35">
      <c r="A968">
        <v>230560</v>
      </c>
      <c r="B968">
        <v>8168</v>
      </c>
      <c r="C968" t="s">
        <v>1111</v>
      </c>
      <c r="D968" t="s">
        <v>1010</v>
      </c>
      <c r="E968" t="s">
        <v>1039</v>
      </c>
      <c r="F968">
        <v>25413</v>
      </c>
      <c r="G968">
        <v>1</v>
      </c>
      <c r="H968" t="s">
        <v>16</v>
      </c>
      <c r="I968" s="1">
        <v>-539600</v>
      </c>
      <c r="J968" s="1">
        <v>-4030900</v>
      </c>
      <c r="K968">
        <v>343</v>
      </c>
      <c r="L968">
        <v>3218</v>
      </c>
      <c r="M968" t="s">
        <v>16</v>
      </c>
    </row>
    <row r="969" spans="1:13" x14ac:dyDescent="0.35">
      <c r="A969">
        <v>230565</v>
      </c>
      <c r="B969">
        <v>39110</v>
      </c>
      <c r="C969" t="s">
        <v>1112</v>
      </c>
      <c r="D969" t="s">
        <v>1010</v>
      </c>
      <c r="E969" t="s">
        <v>1039</v>
      </c>
      <c r="F969">
        <v>11353</v>
      </c>
      <c r="G969">
        <v>1</v>
      </c>
      <c r="H969" t="s">
        <v>16</v>
      </c>
      <c r="I969" s="1">
        <v>-490000</v>
      </c>
      <c r="J969" s="1">
        <v>-4075900</v>
      </c>
      <c r="K969">
        <v>278</v>
      </c>
      <c r="L969">
        <v>701</v>
      </c>
      <c r="M969" t="s">
        <v>16</v>
      </c>
    </row>
    <row r="970" spans="1:13" x14ac:dyDescent="0.35">
      <c r="A970">
        <v>230570</v>
      </c>
      <c r="B970">
        <v>8176</v>
      </c>
      <c r="C970" t="s">
        <v>1113</v>
      </c>
      <c r="D970" t="s">
        <v>1010</v>
      </c>
      <c r="E970" t="s">
        <v>1048</v>
      </c>
      <c r="F970">
        <v>11591</v>
      </c>
      <c r="G970">
        <v>1</v>
      </c>
      <c r="H970" t="s">
        <v>16</v>
      </c>
      <c r="I970" s="1">
        <v>-679000</v>
      </c>
      <c r="J970" s="1">
        <v>-3871900</v>
      </c>
      <c r="K970">
        <v>273</v>
      </c>
      <c r="L970">
        <v>273</v>
      </c>
      <c r="M970" t="s">
        <v>16</v>
      </c>
    </row>
    <row r="971" spans="1:13" x14ac:dyDescent="0.35">
      <c r="A971">
        <v>230580</v>
      </c>
      <c r="B971">
        <v>8184</v>
      </c>
      <c r="C971" t="s">
        <v>1114</v>
      </c>
      <c r="D971" t="s">
        <v>1010</v>
      </c>
      <c r="E971" t="s">
        <v>1114</v>
      </c>
      <c r="F971">
        <v>39438</v>
      </c>
      <c r="G971">
        <v>1</v>
      </c>
      <c r="H971" t="s">
        <v>16</v>
      </c>
      <c r="I971" s="1">
        <v>-432200</v>
      </c>
      <c r="J971" s="1">
        <v>-4071100</v>
      </c>
      <c r="K971">
        <v>247</v>
      </c>
      <c r="L971">
        <v>630</v>
      </c>
      <c r="M971" t="s">
        <v>16</v>
      </c>
    </row>
    <row r="972" spans="1:13" x14ac:dyDescent="0.35">
      <c r="A972">
        <v>230590</v>
      </c>
      <c r="B972">
        <v>8192</v>
      </c>
      <c r="C972" t="s">
        <v>466</v>
      </c>
      <c r="D972" t="s">
        <v>1010</v>
      </c>
      <c r="E972" t="s">
        <v>1114</v>
      </c>
      <c r="F972">
        <v>38044</v>
      </c>
      <c r="G972">
        <v>1</v>
      </c>
      <c r="H972" t="s">
        <v>16</v>
      </c>
      <c r="I972" s="1">
        <v>-454200</v>
      </c>
      <c r="J972" s="1">
        <v>-4071900</v>
      </c>
      <c r="K972">
        <v>231</v>
      </c>
      <c r="L972">
        <v>1474</v>
      </c>
      <c r="M972" t="s">
        <v>16</v>
      </c>
    </row>
    <row r="973" spans="1:13" x14ac:dyDescent="0.35">
      <c r="A973">
        <v>230600</v>
      </c>
      <c r="B973">
        <v>8206</v>
      </c>
      <c r="C973" t="s">
        <v>180</v>
      </c>
      <c r="D973" t="s">
        <v>1010</v>
      </c>
      <c r="E973" t="s">
        <v>1089</v>
      </c>
      <c r="F973">
        <v>14313</v>
      </c>
      <c r="G973">
        <v>1</v>
      </c>
      <c r="H973" t="s">
        <v>16</v>
      </c>
      <c r="I973" s="1">
        <v>-581200</v>
      </c>
      <c r="J973" s="1">
        <v>-3830600</v>
      </c>
      <c r="K973">
        <v>131</v>
      </c>
      <c r="L973">
        <v>822</v>
      </c>
      <c r="M973" t="s">
        <v>16</v>
      </c>
    </row>
    <row r="974" spans="1:13" x14ac:dyDescent="0.35">
      <c r="A974">
        <v>230610</v>
      </c>
      <c r="B974">
        <v>8214</v>
      </c>
      <c r="C974" t="s">
        <v>1115</v>
      </c>
      <c r="D974" t="s">
        <v>1010</v>
      </c>
      <c r="E974" t="s">
        <v>1069</v>
      </c>
      <c r="F974">
        <v>21921</v>
      </c>
      <c r="G974">
        <v>1</v>
      </c>
      <c r="H974" t="s">
        <v>16</v>
      </c>
      <c r="I974" s="1">
        <v>-374600</v>
      </c>
      <c r="J974" s="1">
        <v>-3978300</v>
      </c>
      <c r="K974">
        <v>153</v>
      </c>
      <c r="L974">
        <v>1461</v>
      </c>
      <c r="M974" t="s">
        <v>16</v>
      </c>
    </row>
    <row r="975" spans="1:13" x14ac:dyDescent="0.35">
      <c r="A975">
        <v>230620</v>
      </c>
      <c r="B975">
        <v>8222</v>
      </c>
      <c r="C975" t="s">
        <v>1116</v>
      </c>
      <c r="D975" t="s">
        <v>1010</v>
      </c>
      <c r="E975" t="s">
        <v>1036</v>
      </c>
      <c r="F975">
        <v>7462</v>
      </c>
      <c r="G975">
        <v>1</v>
      </c>
      <c r="H975" t="s">
        <v>16</v>
      </c>
      <c r="I975" s="1">
        <v>-467400</v>
      </c>
      <c r="J975" s="1">
        <v>-3782200</v>
      </c>
      <c r="K975">
        <v>7</v>
      </c>
      <c r="L975">
        <v>209</v>
      </c>
      <c r="M975" t="s">
        <v>16</v>
      </c>
    </row>
    <row r="976" spans="1:13" x14ac:dyDescent="0.35">
      <c r="A976">
        <v>230625</v>
      </c>
      <c r="B976">
        <v>50350</v>
      </c>
      <c r="C976" t="s">
        <v>1117</v>
      </c>
      <c r="D976" t="s">
        <v>1010</v>
      </c>
      <c r="E976" t="s">
        <v>1033</v>
      </c>
      <c r="F976">
        <v>31107</v>
      </c>
      <c r="G976">
        <v>4</v>
      </c>
      <c r="H976" t="s">
        <v>1034</v>
      </c>
      <c r="I976" s="1">
        <v>-396900</v>
      </c>
      <c r="J976" s="1">
        <v>-3852800</v>
      </c>
      <c r="K976">
        <v>60</v>
      </c>
      <c r="L976">
        <v>150</v>
      </c>
      <c r="M976" t="s">
        <v>16</v>
      </c>
    </row>
    <row r="977" spans="1:13" x14ac:dyDescent="0.35">
      <c r="A977">
        <v>230630</v>
      </c>
      <c r="B977">
        <v>8230</v>
      </c>
      <c r="C977" t="s">
        <v>1118</v>
      </c>
      <c r="D977" t="s">
        <v>1010</v>
      </c>
      <c r="E977" t="s">
        <v>1119</v>
      </c>
      <c r="F977">
        <v>45426</v>
      </c>
      <c r="G977">
        <v>1</v>
      </c>
      <c r="H977" t="s">
        <v>16</v>
      </c>
      <c r="I977" s="1">
        <v>-368700</v>
      </c>
      <c r="J977" s="1">
        <v>-3958600</v>
      </c>
      <c r="K977">
        <v>262</v>
      </c>
      <c r="L977">
        <v>439</v>
      </c>
      <c r="M977" t="s">
        <v>16</v>
      </c>
    </row>
    <row r="978" spans="1:13" x14ac:dyDescent="0.35">
      <c r="A978">
        <v>230640</v>
      </c>
      <c r="B978">
        <v>8249</v>
      </c>
      <c r="C978" t="s">
        <v>1027</v>
      </c>
      <c r="D978" t="s">
        <v>1010</v>
      </c>
      <c r="E978" t="s">
        <v>1027</v>
      </c>
      <c r="F978">
        <v>107281</v>
      </c>
      <c r="G978">
        <v>3</v>
      </c>
      <c r="H978" t="s">
        <v>16</v>
      </c>
      <c r="I978" s="1">
        <v>-349400</v>
      </c>
      <c r="J978" s="1">
        <v>-3957900</v>
      </c>
      <c r="K978">
        <v>108</v>
      </c>
      <c r="L978">
        <v>1614</v>
      </c>
      <c r="M978" t="s">
        <v>16</v>
      </c>
    </row>
    <row r="979" spans="1:13" x14ac:dyDescent="0.35">
      <c r="A979">
        <v>230650</v>
      </c>
      <c r="B979">
        <v>8257</v>
      </c>
      <c r="C979" t="s">
        <v>1120</v>
      </c>
      <c r="D979" t="s">
        <v>1010</v>
      </c>
      <c r="E979" t="s">
        <v>1013</v>
      </c>
      <c r="F979">
        <v>17602</v>
      </c>
      <c r="G979">
        <v>1</v>
      </c>
      <c r="H979" t="s">
        <v>16</v>
      </c>
      <c r="I979" s="1">
        <v>-456400</v>
      </c>
      <c r="J979" s="1">
        <v>-3892200</v>
      </c>
      <c r="K979">
        <v>133</v>
      </c>
      <c r="L979">
        <v>588</v>
      </c>
      <c r="M979" t="s">
        <v>16</v>
      </c>
    </row>
    <row r="980" spans="1:13" x14ac:dyDescent="0.35">
      <c r="A980">
        <v>230655</v>
      </c>
      <c r="B980">
        <v>12475</v>
      </c>
      <c r="C980" t="s">
        <v>1121</v>
      </c>
      <c r="D980" t="s">
        <v>1010</v>
      </c>
      <c r="E980" t="s">
        <v>1015</v>
      </c>
      <c r="F980">
        <v>34296</v>
      </c>
      <c r="G980">
        <v>1</v>
      </c>
      <c r="H980" t="s">
        <v>16</v>
      </c>
      <c r="I980" s="1">
        <v>-292000</v>
      </c>
      <c r="J980" s="1">
        <v>-3991500</v>
      </c>
      <c r="K980">
        <v>34</v>
      </c>
      <c r="L980">
        <v>720</v>
      </c>
      <c r="M980" t="s">
        <v>16</v>
      </c>
    </row>
    <row r="981" spans="1:13" x14ac:dyDescent="0.35">
      <c r="A981">
        <v>230660</v>
      </c>
      <c r="B981">
        <v>8265</v>
      </c>
      <c r="C981" t="s">
        <v>1122</v>
      </c>
      <c r="D981" t="s">
        <v>1010</v>
      </c>
      <c r="E981" t="s">
        <v>1065</v>
      </c>
      <c r="F981">
        <v>17689</v>
      </c>
      <c r="G981">
        <v>1</v>
      </c>
      <c r="H981" t="s">
        <v>16</v>
      </c>
      <c r="I981" s="1">
        <v>-452900</v>
      </c>
      <c r="J981" s="1">
        <v>-3962200</v>
      </c>
      <c r="K981">
        <v>794</v>
      </c>
      <c r="L981">
        <v>783</v>
      </c>
      <c r="M981" t="s">
        <v>16</v>
      </c>
    </row>
    <row r="982" spans="1:13" x14ac:dyDescent="0.35">
      <c r="A982">
        <v>230670</v>
      </c>
      <c r="B982">
        <v>8273</v>
      </c>
      <c r="C982" t="s">
        <v>1123</v>
      </c>
      <c r="D982" t="s">
        <v>1010</v>
      </c>
      <c r="E982" t="s">
        <v>1124</v>
      </c>
      <c r="F982">
        <v>17851</v>
      </c>
      <c r="G982">
        <v>1</v>
      </c>
      <c r="H982" t="s">
        <v>16</v>
      </c>
      <c r="I982" s="1">
        <v>-561300</v>
      </c>
      <c r="J982" s="1">
        <v>-3876700</v>
      </c>
      <c r="K982">
        <v>120</v>
      </c>
      <c r="L982">
        <v>1759</v>
      </c>
      <c r="M982" t="s">
        <v>16</v>
      </c>
    </row>
    <row r="983" spans="1:13" x14ac:dyDescent="0.35">
      <c r="A983">
        <v>230680</v>
      </c>
      <c r="B983">
        <v>8281</v>
      </c>
      <c r="C983" t="s">
        <v>1125</v>
      </c>
      <c r="D983" t="s">
        <v>1010</v>
      </c>
      <c r="E983" t="s">
        <v>1124</v>
      </c>
      <c r="F983">
        <v>9780</v>
      </c>
      <c r="G983">
        <v>1</v>
      </c>
      <c r="H983" t="s">
        <v>16</v>
      </c>
      <c r="I983" s="1">
        <v>-565800</v>
      </c>
      <c r="J983" s="1">
        <v>-3862000</v>
      </c>
      <c r="K983">
        <v>92</v>
      </c>
      <c r="L983">
        <v>668</v>
      </c>
      <c r="M983" t="s">
        <v>16</v>
      </c>
    </row>
    <row r="984" spans="1:13" x14ac:dyDescent="0.35">
      <c r="A984">
        <v>230690</v>
      </c>
      <c r="B984">
        <v>8290</v>
      </c>
      <c r="C984" t="s">
        <v>1126</v>
      </c>
      <c r="D984" t="s">
        <v>1010</v>
      </c>
      <c r="E984" t="s">
        <v>1124</v>
      </c>
      <c r="F984">
        <v>35237</v>
      </c>
      <c r="G984">
        <v>1</v>
      </c>
      <c r="H984" t="s">
        <v>16</v>
      </c>
      <c r="I984" s="1">
        <v>-589100</v>
      </c>
      <c r="J984" s="1">
        <v>-3862200</v>
      </c>
      <c r="K984">
        <v>123</v>
      </c>
      <c r="L984">
        <v>1876</v>
      </c>
      <c r="M984" t="s">
        <v>16</v>
      </c>
    </row>
    <row r="985" spans="1:13" x14ac:dyDescent="0.35">
      <c r="A985">
        <v>230700</v>
      </c>
      <c r="B985">
        <v>8303</v>
      </c>
      <c r="C985" t="s">
        <v>1127</v>
      </c>
      <c r="D985" t="s">
        <v>1010</v>
      </c>
      <c r="E985" t="s">
        <v>1025</v>
      </c>
      <c r="F985">
        <v>30965</v>
      </c>
      <c r="G985">
        <v>1</v>
      </c>
      <c r="H985" t="s">
        <v>16</v>
      </c>
      <c r="I985" s="1">
        <v>-483400</v>
      </c>
      <c r="J985" s="1">
        <v>-3778100</v>
      </c>
      <c r="K985">
        <v>12</v>
      </c>
      <c r="L985">
        <v>867</v>
      </c>
      <c r="M985" t="s">
        <v>16</v>
      </c>
    </row>
    <row r="986" spans="1:13" x14ac:dyDescent="0.35">
      <c r="A986">
        <v>230710</v>
      </c>
      <c r="B986">
        <v>8311</v>
      </c>
      <c r="C986" t="s">
        <v>1128</v>
      </c>
      <c r="D986" t="s">
        <v>1010</v>
      </c>
      <c r="E986" t="s">
        <v>1052</v>
      </c>
      <c r="F986">
        <v>25853</v>
      </c>
      <c r="G986">
        <v>4</v>
      </c>
      <c r="H986" t="s">
        <v>1053</v>
      </c>
      <c r="I986" s="1">
        <v>-758200</v>
      </c>
      <c r="J986" s="1">
        <v>-3929800</v>
      </c>
      <c r="K986">
        <v>648</v>
      </c>
      <c r="L986">
        <v>457</v>
      </c>
      <c r="M986" t="s">
        <v>16</v>
      </c>
    </row>
    <row r="987" spans="1:13" x14ac:dyDescent="0.35">
      <c r="A987">
        <v>230720</v>
      </c>
      <c r="B987">
        <v>8320</v>
      </c>
      <c r="C987" t="s">
        <v>1129</v>
      </c>
      <c r="D987" t="s">
        <v>1010</v>
      </c>
      <c r="E987" t="s">
        <v>1011</v>
      </c>
      <c r="F987">
        <v>7270</v>
      </c>
      <c r="G987">
        <v>1</v>
      </c>
      <c r="H987" t="s">
        <v>16</v>
      </c>
      <c r="I987" s="1">
        <v>-768600</v>
      </c>
      <c r="J987" s="1">
        <v>-3901600</v>
      </c>
      <c r="K987">
        <v>434</v>
      </c>
      <c r="L987">
        <v>312</v>
      </c>
      <c r="M987" t="s">
        <v>16</v>
      </c>
    </row>
    <row r="988" spans="1:13" x14ac:dyDescent="0.35">
      <c r="A988">
        <v>230725</v>
      </c>
      <c r="B988">
        <v>50369</v>
      </c>
      <c r="C988" t="s">
        <v>1130</v>
      </c>
      <c r="D988" t="s">
        <v>1010</v>
      </c>
      <c r="E988" t="s">
        <v>1015</v>
      </c>
      <c r="F988">
        <v>15442</v>
      </c>
      <c r="G988">
        <v>1</v>
      </c>
      <c r="H988" t="s">
        <v>16</v>
      </c>
      <c r="I988" s="1">
        <v>-279400</v>
      </c>
      <c r="J988" s="1">
        <v>-4051300</v>
      </c>
      <c r="K988">
        <v>100</v>
      </c>
      <c r="L988">
        <v>201</v>
      </c>
      <c r="M988" t="s">
        <v>16</v>
      </c>
    </row>
    <row r="989" spans="1:13" x14ac:dyDescent="0.35">
      <c r="A989">
        <v>230730</v>
      </c>
      <c r="B989">
        <v>8338</v>
      </c>
      <c r="C989" t="s">
        <v>1131</v>
      </c>
      <c r="D989" t="s">
        <v>1010</v>
      </c>
      <c r="E989" t="s">
        <v>1052</v>
      </c>
      <c r="F989">
        <v>242139</v>
      </c>
      <c r="G989">
        <v>4</v>
      </c>
      <c r="H989" t="s">
        <v>1053</v>
      </c>
      <c r="I989" s="1">
        <v>-721300</v>
      </c>
      <c r="J989" s="1">
        <v>-3931500</v>
      </c>
      <c r="K989">
        <v>377</v>
      </c>
      <c r="L989">
        <v>248</v>
      </c>
      <c r="M989" t="s">
        <v>16</v>
      </c>
    </row>
    <row r="990" spans="1:13" x14ac:dyDescent="0.35">
      <c r="A990">
        <v>230740</v>
      </c>
      <c r="B990">
        <v>8346</v>
      </c>
      <c r="C990" t="s">
        <v>1132</v>
      </c>
      <c r="D990" t="s">
        <v>1010</v>
      </c>
      <c r="E990" t="s">
        <v>1029</v>
      </c>
      <c r="F990">
        <v>22890</v>
      </c>
      <c r="G990">
        <v>1</v>
      </c>
      <c r="H990" t="s">
        <v>16</v>
      </c>
      <c r="I990" s="1">
        <v>-652500</v>
      </c>
      <c r="J990" s="1">
        <v>-3952800</v>
      </c>
      <c r="K990">
        <v>246</v>
      </c>
      <c r="L990">
        <v>937</v>
      </c>
      <c r="M990" t="s">
        <v>16</v>
      </c>
    </row>
    <row r="991" spans="1:13" x14ac:dyDescent="0.35">
      <c r="A991">
        <v>230750</v>
      </c>
      <c r="B991">
        <v>8354</v>
      </c>
      <c r="C991" t="s">
        <v>1048</v>
      </c>
      <c r="D991" t="s">
        <v>1010</v>
      </c>
      <c r="E991" t="s">
        <v>1048</v>
      </c>
      <c r="F991">
        <v>29872</v>
      </c>
      <c r="G991">
        <v>1</v>
      </c>
      <c r="H991" t="s">
        <v>16</v>
      </c>
      <c r="I991" s="1">
        <v>-675300</v>
      </c>
      <c r="J991" s="1">
        <v>-3897200</v>
      </c>
      <c r="K991">
        <v>239</v>
      </c>
      <c r="L991">
        <v>947</v>
      </c>
      <c r="M991" t="s">
        <v>16</v>
      </c>
    </row>
    <row r="992" spans="1:13" x14ac:dyDescent="0.35">
      <c r="A992">
        <v>230760</v>
      </c>
      <c r="B992">
        <v>8362</v>
      </c>
      <c r="C992" t="s">
        <v>1133</v>
      </c>
      <c r="D992" t="s">
        <v>1010</v>
      </c>
      <c r="E992" t="s">
        <v>1025</v>
      </c>
      <c r="F992">
        <v>53289</v>
      </c>
      <c r="G992">
        <v>2</v>
      </c>
      <c r="H992" t="s">
        <v>16</v>
      </c>
      <c r="I992" s="1">
        <v>-514600</v>
      </c>
      <c r="J992" s="1">
        <v>-3809800</v>
      </c>
      <c r="K992">
        <v>30</v>
      </c>
      <c r="L992">
        <v>751</v>
      </c>
      <c r="M992" t="s">
        <v>16</v>
      </c>
    </row>
    <row r="993" spans="1:13" x14ac:dyDescent="0.35">
      <c r="A993">
        <v>230763</v>
      </c>
      <c r="B993">
        <v>39128</v>
      </c>
      <c r="C993" t="s">
        <v>1134</v>
      </c>
      <c r="D993" t="s">
        <v>1010</v>
      </c>
      <c r="E993" t="s">
        <v>1050</v>
      </c>
      <c r="F993">
        <v>17051</v>
      </c>
      <c r="G993">
        <v>1</v>
      </c>
      <c r="H993" t="s">
        <v>16</v>
      </c>
      <c r="I993" s="1">
        <v>-485700</v>
      </c>
      <c r="J993" s="1">
        <v>-3957700</v>
      </c>
      <c r="K993">
        <v>299</v>
      </c>
      <c r="L993">
        <v>1034</v>
      </c>
      <c r="M993" t="s">
        <v>16</v>
      </c>
    </row>
    <row r="994" spans="1:13" x14ac:dyDescent="0.35">
      <c r="A994">
        <v>230765</v>
      </c>
      <c r="B994">
        <v>9024</v>
      </c>
      <c r="C994" t="s">
        <v>1135</v>
      </c>
      <c r="D994" t="s">
        <v>1010</v>
      </c>
      <c r="E994" t="s">
        <v>1033</v>
      </c>
      <c r="F994">
        <v>197301</v>
      </c>
      <c r="G994">
        <v>4</v>
      </c>
      <c r="H994" t="s">
        <v>1034</v>
      </c>
      <c r="I994" s="1">
        <v>-387700</v>
      </c>
      <c r="J994" s="1">
        <v>-3862600</v>
      </c>
      <c r="K994">
        <v>40</v>
      </c>
      <c r="L994">
        <v>105</v>
      </c>
      <c r="M994" t="s">
        <v>16</v>
      </c>
    </row>
    <row r="995" spans="1:13" x14ac:dyDescent="0.35">
      <c r="A995">
        <v>230770</v>
      </c>
      <c r="B995">
        <v>8370</v>
      </c>
      <c r="C995" t="s">
        <v>1136</v>
      </c>
      <c r="D995" t="s">
        <v>1010</v>
      </c>
      <c r="E995" t="s">
        <v>1033</v>
      </c>
      <c r="F995">
        <v>102982</v>
      </c>
      <c r="G995">
        <v>4</v>
      </c>
      <c r="H995" t="s">
        <v>1034</v>
      </c>
      <c r="I995" s="1">
        <v>-389000</v>
      </c>
      <c r="J995" s="1">
        <v>-3868600</v>
      </c>
      <c r="K995">
        <v>80</v>
      </c>
      <c r="L995">
        <v>590</v>
      </c>
      <c r="M995" t="s">
        <v>16</v>
      </c>
    </row>
    <row r="996" spans="1:13" x14ac:dyDescent="0.35">
      <c r="A996">
        <v>230780</v>
      </c>
      <c r="B996">
        <v>8389</v>
      </c>
      <c r="C996" t="s">
        <v>1137</v>
      </c>
      <c r="D996" t="s">
        <v>1010</v>
      </c>
      <c r="E996" t="s">
        <v>1015</v>
      </c>
      <c r="F996">
        <v>23107</v>
      </c>
      <c r="G996">
        <v>1</v>
      </c>
      <c r="H996" t="s">
        <v>16</v>
      </c>
      <c r="I996" s="1">
        <v>-312400</v>
      </c>
      <c r="J996" s="1">
        <v>-4014700</v>
      </c>
      <c r="K996">
        <v>20</v>
      </c>
      <c r="L996">
        <v>574</v>
      </c>
      <c r="M996" t="s">
        <v>16</v>
      </c>
    </row>
    <row r="997" spans="1:13" x14ac:dyDescent="0.35">
      <c r="A997">
        <v>230790</v>
      </c>
      <c r="B997">
        <v>8397</v>
      </c>
      <c r="C997" t="s">
        <v>1138</v>
      </c>
      <c r="D997" t="s">
        <v>1010</v>
      </c>
      <c r="E997" t="s">
        <v>1015</v>
      </c>
      <c r="F997">
        <v>10304</v>
      </c>
      <c r="G997">
        <v>1</v>
      </c>
      <c r="H997" t="s">
        <v>16</v>
      </c>
      <c r="I997" s="1">
        <v>-322600</v>
      </c>
      <c r="J997" s="1">
        <v>-4069700</v>
      </c>
      <c r="K997">
        <v>85</v>
      </c>
      <c r="L997">
        <v>298</v>
      </c>
      <c r="M997" t="s">
        <v>16</v>
      </c>
    </row>
    <row r="998" spans="1:13" x14ac:dyDescent="0.35">
      <c r="A998">
        <v>230800</v>
      </c>
      <c r="B998">
        <v>8400</v>
      </c>
      <c r="C998" t="s">
        <v>1139</v>
      </c>
      <c r="D998" t="s">
        <v>1010</v>
      </c>
      <c r="E998" t="s">
        <v>1069</v>
      </c>
      <c r="F998">
        <v>33256</v>
      </c>
      <c r="G998">
        <v>1</v>
      </c>
      <c r="H998" t="s">
        <v>16</v>
      </c>
      <c r="I998" s="1">
        <v>-352300</v>
      </c>
      <c r="J998" s="1">
        <v>-4034300</v>
      </c>
      <c r="K998">
        <v>83</v>
      </c>
      <c r="L998">
        <v>571</v>
      </c>
      <c r="M998" t="s">
        <v>16</v>
      </c>
    </row>
    <row r="999" spans="1:13" x14ac:dyDescent="0.35">
      <c r="A999">
        <v>230810</v>
      </c>
      <c r="B999">
        <v>8419</v>
      </c>
      <c r="C999" t="s">
        <v>1140</v>
      </c>
      <c r="D999" t="s">
        <v>1010</v>
      </c>
      <c r="E999" t="s">
        <v>1046</v>
      </c>
      <c r="F999">
        <v>41679</v>
      </c>
      <c r="G999">
        <v>1</v>
      </c>
      <c r="H999" t="s">
        <v>16</v>
      </c>
      <c r="I999" s="1">
        <v>-738900</v>
      </c>
      <c r="J999" s="1">
        <v>-3877400</v>
      </c>
      <c r="K999">
        <v>373</v>
      </c>
      <c r="L999">
        <v>1111</v>
      </c>
      <c r="M999" t="s">
        <v>16</v>
      </c>
    </row>
    <row r="1000" spans="1:13" x14ac:dyDescent="0.35">
      <c r="A1000">
        <v>230820</v>
      </c>
      <c r="B1000">
        <v>8427</v>
      </c>
      <c r="C1000" t="s">
        <v>1021</v>
      </c>
      <c r="D1000" t="s">
        <v>1010</v>
      </c>
      <c r="E1000" t="s">
        <v>1021</v>
      </c>
      <c r="F1000">
        <v>12148</v>
      </c>
      <c r="G1000">
        <v>1</v>
      </c>
      <c r="H1000" t="s">
        <v>16</v>
      </c>
      <c r="I1000" s="1">
        <v>-354200</v>
      </c>
      <c r="J1000" s="1">
        <v>-4045500</v>
      </c>
      <c r="K1000">
        <v>657</v>
      </c>
      <c r="L1000">
        <v>144</v>
      </c>
      <c r="M1000" t="s">
        <v>16</v>
      </c>
    </row>
    <row r="1001" spans="1:13" x14ac:dyDescent="0.35">
      <c r="A1001">
        <v>230830</v>
      </c>
      <c r="B1001">
        <v>8435</v>
      </c>
      <c r="C1001" t="s">
        <v>1141</v>
      </c>
      <c r="D1001" t="s">
        <v>1010</v>
      </c>
      <c r="E1001" t="s">
        <v>1011</v>
      </c>
      <c r="F1001">
        <v>27355</v>
      </c>
      <c r="G1001">
        <v>1</v>
      </c>
      <c r="H1001" t="s">
        <v>16</v>
      </c>
      <c r="I1001" s="1">
        <v>-731300</v>
      </c>
      <c r="J1001" s="1">
        <v>-3894600</v>
      </c>
      <c r="K1001">
        <v>334</v>
      </c>
      <c r="L1001">
        <v>546</v>
      </c>
      <c r="M1001" t="s">
        <v>16</v>
      </c>
    </row>
    <row r="1002" spans="1:13" x14ac:dyDescent="0.35">
      <c r="A1002">
        <v>230835</v>
      </c>
      <c r="B1002">
        <v>12491</v>
      </c>
      <c r="C1002" t="s">
        <v>1142</v>
      </c>
      <c r="D1002" t="s">
        <v>1010</v>
      </c>
      <c r="E1002" t="s">
        <v>1017</v>
      </c>
      <c r="F1002">
        <v>14111</v>
      </c>
      <c r="G1002">
        <v>1</v>
      </c>
      <c r="H1002" t="s">
        <v>16</v>
      </c>
      <c r="I1002" s="1">
        <v>-567500</v>
      </c>
      <c r="J1002" s="1">
        <v>-3919400</v>
      </c>
      <c r="K1002">
        <v>215</v>
      </c>
      <c r="L1002">
        <v>502</v>
      </c>
      <c r="M1002" t="s">
        <v>16</v>
      </c>
    </row>
    <row r="1003" spans="1:13" x14ac:dyDescent="0.35">
      <c r="A1003">
        <v>230837</v>
      </c>
      <c r="B1003">
        <v>39136</v>
      </c>
      <c r="C1003" t="s">
        <v>1143</v>
      </c>
      <c r="D1003" t="s">
        <v>1010</v>
      </c>
      <c r="E1003" t="s">
        <v>1069</v>
      </c>
      <c r="F1003">
        <v>12131</v>
      </c>
      <c r="G1003">
        <v>1</v>
      </c>
      <c r="H1003" t="s">
        <v>16</v>
      </c>
      <c r="I1003" s="1">
        <v>-356900</v>
      </c>
      <c r="J1003" s="1">
        <v>-3997000</v>
      </c>
      <c r="K1003">
        <v>79</v>
      </c>
      <c r="L1003">
        <v>699</v>
      </c>
      <c r="M1003" t="s">
        <v>16</v>
      </c>
    </row>
    <row r="1004" spans="1:13" x14ac:dyDescent="0.35">
      <c r="A1004">
        <v>230840</v>
      </c>
      <c r="B1004">
        <v>8443</v>
      </c>
      <c r="C1004" t="s">
        <v>1144</v>
      </c>
      <c r="D1004" t="s">
        <v>1010</v>
      </c>
      <c r="E1004" t="s">
        <v>1052</v>
      </c>
      <c r="F1004">
        <v>33690</v>
      </c>
      <c r="G1004">
        <v>4</v>
      </c>
      <c r="H1004" t="s">
        <v>1053</v>
      </c>
      <c r="I1004" s="1">
        <v>-725000</v>
      </c>
      <c r="J1004" s="1">
        <v>-3914300</v>
      </c>
      <c r="K1004">
        <v>360</v>
      </c>
      <c r="L1004">
        <v>651</v>
      </c>
      <c r="M1004" t="s">
        <v>16</v>
      </c>
    </row>
    <row r="1005" spans="1:13" x14ac:dyDescent="0.35">
      <c r="A1005">
        <v>230850</v>
      </c>
      <c r="B1005">
        <v>8451</v>
      </c>
      <c r="C1005" t="s">
        <v>1145</v>
      </c>
      <c r="D1005" t="s">
        <v>1010</v>
      </c>
      <c r="E1005" t="s">
        <v>1017</v>
      </c>
      <c r="F1005">
        <v>44364</v>
      </c>
      <c r="G1005">
        <v>1</v>
      </c>
      <c r="H1005" t="s">
        <v>16</v>
      </c>
      <c r="I1005" s="1">
        <v>-574300</v>
      </c>
      <c r="J1005" s="1">
        <v>-3962800</v>
      </c>
      <c r="K1005">
        <v>244</v>
      </c>
      <c r="L1005">
        <v>2119</v>
      </c>
      <c r="M1005" t="s">
        <v>16</v>
      </c>
    </row>
    <row r="1006" spans="1:13" x14ac:dyDescent="0.35">
      <c r="A1006">
        <v>230860</v>
      </c>
      <c r="B1006">
        <v>8460</v>
      </c>
      <c r="C1006" t="s">
        <v>1146</v>
      </c>
      <c r="D1006" t="s">
        <v>1010</v>
      </c>
      <c r="E1006" t="s">
        <v>1039</v>
      </c>
      <c r="F1006">
        <v>16557</v>
      </c>
      <c r="G1006">
        <v>1</v>
      </c>
      <c r="H1006" t="s">
        <v>16</v>
      </c>
      <c r="I1006" s="1">
        <v>-478900</v>
      </c>
      <c r="J1006" s="1">
        <v>-4006300</v>
      </c>
      <c r="K1006">
        <v>687</v>
      </c>
      <c r="L1006">
        <v>886</v>
      </c>
      <c r="M1006" t="s">
        <v>16</v>
      </c>
    </row>
    <row r="1007" spans="1:13" x14ac:dyDescent="0.35">
      <c r="A1007">
        <v>230870</v>
      </c>
      <c r="B1007">
        <v>8478</v>
      </c>
      <c r="C1007" t="s">
        <v>1147</v>
      </c>
      <c r="D1007" t="s">
        <v>1010</v>
      </c>
      <c r="E1007" t="s">
        <v>1025</v>
      </c>
      <c r="F1007">
        <v>61751</v>
      </c>
      <c r="G1007">
        <v>2</v>
      </c>
      <c r="H1007" t="s">
        <v>16</v>
      </c>
      <c r="I1007" s="1">
        <v>-510700</v>
      </c>
      <c r="J1007" s="1">
        <v>-3837300</v>
      </c>
      <c r="K1007">
        <v>52</v>
      </c>
      <c r="L1007">
        <v>2779</v>
      </c>
      <c r="M1007" t="s">
        <v>16</v>
      </c>
    </row>
    <row r="1008" spans="1:13" x14ac:dyDescent="0.35">
      <c r="A1008">
        <v>230880</v>
      </c>
      <c r="B1008">
        <v>8486</v>
      </c>
      <c r="C1008" t="s">
        <v>1148</v>
      </c>
      <c r="D1008" t="s">
        <v>1010</v>
      </c>
      <c r="E1008" t="s">
        <v>1082</v>
      </c>
      <c r="F1008">
        <v>8005</v>
      </c>
      <c r="G1008">
        <v>1</v>
      </c>
      <c r="H1008" t="s">
        <v>16</v>
      </c>
      <c r="I1008" s="1">
        <v>-346700</v>
      </c>
      <c r="J1008" s="1">
        <v>-4068100</v>
      </c>
      <c r="K1008">
        <v>66</v>
      </c>
      <c r="L1008">
        <v>415</v>
      </c>
      <c r="M1008" t="s">
        <v>16</v>
      </c>
    </row>
    <row r="1009" spans="1:13" x14ac:dyDescent="0.35">
      <c r="A1009">
        <v>230890</v>
      </c>
      <c r="B1009">
        <v>8494</v>
      </c>
      <c r="C1009" t="s">
        <v>1149</v>
      </c>
      <c r="D1009" t="s">
        <v>1010</v>
      </c>
      <c r="E1009" t="s">
        <v>1015</v>
      </c>
      <c r="F1009">
        <v>21111</v>
      </c>
      <c r="G1009">
        <v>1</v>
      </c>
      <c r="H1009" t="s">
        <v>16</v>
      </c>
      <c r="I1009" s="1">
        <v>-322900</v>
      </c>
      <c r="J1009" s="1">
        <v>-4012500</v>
      </c>
      <c r="K1009">
        <v>35</v>
      </c>
      <c r="L1009">
        <v>408</v>
      </c>
      <c r="M1009" t="s">
        <v>16</v>
      </c>
    </row>
    <row r="1010" spans="1:13" x14ac:dyDescent="0.35">
      <c r="A1010">
        <v>230900</v>
      </c>
      <c r="B1010">
        <v>8508</v>
      </c>
      <c r="C1010" t="s">
        <v>1150</v>
      </c>
      <c r="D1010" t="s">
        <v>1010</v>
      </c>
      <c r="E1010" t="s">
        <v>1069</v>
      </c>
      <c r="F1010">
        <v>14007</v>
      </c>
      <c r="G1010">
        <v>1</v>
      </c>
      <c r="H1010" t="s">
        <v>16</v>
      </c>
      <c r="I1010" s="1">
        <v>-390900</v>
      </c>
      <c r="J1010" s="1">
        <v>-4074700</v>
      </c>
      <c r="K1010">
        <v>170</v>
      </c>
      <c r="L1010">
        <v>190</v>
      </c>
      <c r="M1010" t="s">
        <v>16</v>
      </c>
    </row>
    <row r="1011" spans="1:13" x14ac:dyDescent="0.35">
      <c r="A1011">
        <v>230910</v>
      </c>
      <c r="B1011">
        <v>8516</v>
      </c>
      <c r="C1011" t="s">
        <v>1151</v>
      </c>
      <c r="D1011" t="s">
        <v>1010</v>
      </c>
      <c r="E1011" t="s">
        <v>1013</v>
      </c>
      <c r="F1011">
        <v>10975</v>
      </c>
      <c r="G1011">
        <v>1</v>
      </c>
      <c r="H1011" t="s">
        <v>16</v>
      </c>
      <c r="I1011" s="1">
        <v>-430600</v>
      </c>
      <c r="J1011" s="1">
        <v>-3899600</v>
      </c>
      <c r="K1011">
        <v>801</v>
      </c>
      <c r="L1011">
        <v>134</v>
      </c>
      <c r="M1011" t="s">
        <v>16</v>
      </c>
    </row>
    <row r="1012" spans="1:13" x14ac:dyDescent="0.35">
      <c r="A1012">
        <v>230920</v>
      </c>
      <c r="B1012">
        <v>8524</v>
      </c>
      <c r="C1012" t="s">
        <v>489</v>
      </c>
      <c r="D1012" t="s">
        <v>1010</v>
      </c>
      <c r="E1012" t="s">
        <v>1052</v>
      </c>
      <c r="F1012">
        <v>12974</v>
      </c>
      <c r="G1012">
        <v>4</v>
      </c>
      <c r="H1012" t="s">
        <v>1053</v>
      </c>
      <c r="I1012" s="1">
        <v>-709200</v>
      </c>
      <c r="J1012" s="1">
        <v>-3968100</v>
      </c>
      <c r="K1012">
        <v>446</v>
      </c>
      <c r="L1012">
        <v>284</v>
      </c>
      <c r="M1012" t="s">
        <v>16</v>
      </c>
    </row>
    <row r="1013" spans="1:13" x14ac:dyDescent="0.35">
      <c r="A1013">
        <v>230930</v>
      </c>
      <c r="B1013">
        <v>8532</v>
      </c>
      <c r="C1013" t="s">
        <v>1152</v>
      </c>
      <c r="D1013" t="s">
        <v>1010</v>
      </c>
      <c r="E1013" t="s">
        <v>1039</v>
      </c>
      <c r="F1013">
        <v>30615</v>
      </c>
      <c r="G1013">
        <v>1</v>
      </c>
      <c r="H1013" t="s">
        <v>16</v>
      </c>
      <c r="I1013" s="1">
        <v>-470700</v>
      </c>
      <c r="J1013" s="1">
        <v>-4056300</v>
      </c>
      <c r="K1013">
        <v>240</v>
      </c>
      <c r="L1013">
        <v>742</v>
      </c>
      <c r="M1013" t="s">
        <v>16</v>
      </c>
    </row>
    <row r="1014" spans="1:13" x14ac:dyDescent="0.35">
      <c r="A1014">
        <v>230940</v>
      </c>
      <c r="B1014">
        <v>8540</v>
      </c>
      <c r="C1014" t="s">
        <v>1153</v>
      </c>
      <c r="D1014" t="s">
        <v>1010</v>
      </c>
      <c r="E1014" t="s">
        <v>1039</v>
      </c>
      <c r="F1014">
        <v>27418</v>
      </c>
      <c r="G1014">
        <v>1</v>
      </c>
      <c r="H1014" t="s">
        <v>16</v>
      </c>
      <c r="I1014" s="1">
        <v>-553400</v>
      </c>
      <c r="J1014" s="1">
        <v>-4077400</v>
      </c>
      <c r="K1014">
        <v>347</v>
      </c>
      <c r="L1014">
        <v>949</v>
      </c>
      <c r="M1014" t="s">
        <v>16</v>
      </c>
    </row>
    <row r="1015" spans="1:13" x14ac:dyDescent="0.35">
      <c r="A1015">
        <v>230945</v>
      </c>
      <c r="B1015">
        <v>39144</v>
      </c>
      <c r="C1015" t="s">
        <v>1154</v>
      </c>
      <c r="D1015" t="s">
        <v>1010</v>
      </c>
      <c r="E1015" t="s">
        <v>1055</v>
      </c>
      <c r="F1015">
        <v>23359</v>
      </c>
      <c r="G1015">
        <v>1</v>
      </c>
      <c r="H1015" t="s">
        <v>16</v>
      </c>
      <c r="I1015" s="1">
        <v>-449100</v>
      </c>
      <c r="J1015" s="1">
        <v>-3859700</v>
      </c>
      <c r="K1015">
        <v>100</v>
      </c>
      <c r="L1015">
        <v>765</v>
      </c>
      <c r="M1015" t="s">
        <v>16</v>
      </c>
    </row>
    <row r="1016" spans="1:13" x14ac:dyDescent="0.35">
      <c r="A1016">
        <v>230950</v>
      </c>
      <c r="B1016">
        <v>8559</v>
      </c>
      <c r="C1016" t="s">
        <v>1155</v>
      </c>
      <c r="D1016" t="s">
        <v>1010</v>
      </c>
      <c r="E1016" t="s">
        <v>1078</v>
      </c>
      <c r="F1016">
        <v>21268</v>
      </c>
      <c r="G1016">
        <v>1</v>
      </c>
      <c r="H1016" t="s">
        <v>16</v>
      </c>
      <c r="I1016" s="1">
        <v>-624400</v>
      </c>
      <c r="J1016" s="1">
        <v>-3891400</v>
      </c>
      <c r="K1016">
        <v>184</v>
      </c>
      <c r="L1016">
        <v>576</v>
      </c>
      <c r="M1016" t="s">
        <v>16</v>
      </c>
    </row>
    <row r="1017" spans="1:13" x14ac:dyDescent="0.35">
      <c r="A1017">
        <v>230960</v>
      </c>
      <c r="B1017">
        <v>8567</v>
      </c>
      <c r="C1017" t="s">
        <v>1105</v>
      </c>
      <c r="D1017" t="s">
        <v>1010</v>
      </c>
      <c r="E1017" t="s">
        <v>1105</v>
      </c>
      <c r="F1017">
        <v>54881</v>
      </c>
      <c r="G1017">
        <v>4</v>
      </c>
      <c r="H1017" t="s">
        <v>1034</v>
      </c>
      <c r="I1017" s="1">
        <v>-417300</v>
      </c>
      <c r="J1017" s="1">
        <v>-3846100</v>
      </c>
      <c r="K1017">
        <v>60</v>
      </c>
      <c r="L1017">
        <v>254</v>
      </c>
      <c r="M1017" t="s">
        <v>16</v>
      </c>
    </row>
    <row r="1018" spans="1:13" x14ac:dyDescent="0.35">
      <c r="A1018">
        <v>230970</v>
      </c>
      <c r="B1018">
        <v>8575</v>
      </c>
      <c r="C1018" t="s">
        <v>1156</v>
      </c>
      <c r="D1018" t="s">
        <v>1010</v>
      </c>
      <c r="E1018" t="s">
        <v>1033</v>
      </c>
      <c r="F1018">
        <v>65772</v>
      </c>
      <c r="G1018">
        <v>4</v>
      </c>
      <c r="H1018" t="s">
        <v>1034</v>
      </c>
      <c r="I1018" s="1">
        <v>-398400</v>
      </c>
      <c r="J1018" s="1">
        <v>-3862000</v>
      </c>
      <c r="K1018">
        <v>65</v>
      </c>
      <c r="L1018">
        <v>132</v>
      </c>
      <c r="M1018" t="s">
        <v>16</v>
      </c>
    </row>
    <row r="1019" spans="1:13" x14ac:dyDescent="0.35">
      <c r="A1019">
        <v>230980</v>
      </c>
      <c r="B1019">
        <v>8583</v>
      </c>
      <c r="C1019" t="s">
        <v>1157</v>
      </c>
      <c r="D1019" t="s">
        <v>1010</v>
      </c>
      <c r="E1019" t="s">
        <v>1013</v>
      </c>
      <c r="F1019">
        <v>11097</v>
      </c>
      <c r="G1019">
        <v>1</v>
      </c>
      <c r="H1019" t="s">
        <v>16</v>
      </c>
      <c r="I1019" s="1">
        <v>-422500</v>
      </c>
      <c r="J1019" s="1">
        <v>-3892300</v>
      </c>
      <c r="K1019">
        <v>736</v>
      </c>
      <c r="L1019">
        <v>111</v>
      </c>
      <c r="M1019" t="s">
        <v>16</v>
      </c>
    </row>
    <row r="1020" spans="1:13" x14ac:dyDescent="0.35">
      <c r="A1020">
        <v>230990</v>
      </c>
      <c r="B1020">
        <v>8591</v>
      </c>
      <c r="C1020" t="s">
        <v>1158</v>
      </c>
      <c r="D1020" t="s">
        <v>1010</v>
      </c>
      <c r="E1020" t="s">
        <v>1069</v>
      </c>
      <c r="F1020">
        <v>5950</v>
      </c>
      <c r="G1020">
        <v>1</v>
      </c>
      <c r="H1020" t="s">
        <v>16</v>
      </c>
      <c r="I1020" s="1">
        <v>-398800</v>
      </c>
      <c r="J1020" s="1">
        <v>-4069700</v>
      </c>
      <c r="K1020">
        <v>142</v>
      </c>
      <c r="L1020">
        <v>76</v>
      </c>
      <c r="M1020" t="s">
        <v>16</v>
      </c>
    </row>
    <row r="1021" spans="1:13" x14ac:dyDescent="0.35">
      <c r="A1021">
        <v>231000</v>
      </c>
      <c r="B1021">
        <v>8605</v>
      </c>
      <c r="C1021" t="s">
        <v>1159</v>
      </c>
      <c r="D1021" t="s">
        <v>1010</v>
      </c>
      <c r="E1021" t="s">
        <v>1025</v>
      </c>
      <c r="F1021">
        <v>8797</v>
      </c>
      <c r="G1021">
        <v>1</v>
      </c>
      <c r="H1021" t="s">
        <v>16</v>
      </c>
      <c r="I1021" s="1">
        <v>-474500</v>
      </c>
      <c r="J1021" s="1">
        <v>-3795900</v>
      </c>
      <c r="K1021">
        <v>14</v>
      </c>
      <c r="L1021">
        <v>442</v>
      </c>
      <c r="M1021" t="s">
        <v>16</v>
      </c>
    </row>
    <row r="1022" spans="1:13" x14ac:dyDescent="0.35">
      <c r="A1022">
        <v>231010</v>
      </c>
      <c r="B1022">
        <v>8613</v>
      </c>
      <c r="C1022" t="s">
        <v>1160</v>
      </c>
      <c r="D1022" t="s">
        <v>1010</v>
      </c>
      <c r="E1022" t="s">
        <v>1013</v>
      </c>
      <c r="F1022">
        <v>10352</v>
      </c>
      <c r="G1022">
        <v>1</v>
      </c>
      <c r="H1022" t="s">
        <v>16</v>
      </c>
      <c r="I1022" s="1">
        <v>-415000</v>
      </c>
      <c r="J1022" s="1">
        <v>-3884600</v>
      </c>
      <c r="K1022">
        <v>425</v>
      </c>
      <c r="L1022">
        <v>117</v>
      </c>
      <c r="M1022" t="s">
        <v>16</v>
      </c>
    </row>
    <row r="1023" spans="1:13" x14ac:dyDescent="0.35">
      <c r="A1023">
        <v>231020</v>
      </c>
      <c r="B1023">
        <v>8621</v>
      </c>
      <c r="C1023" t="s">
        <v>1161</v>
      </c>
      <c r="D1023" t="s">
        <v>1010</v>
      </c>
      <c r="E1023" t="s">
        <v>1162</v>
      </c>
      <c r="F1023">
        <v>30665</v>
      </c>
      <c r="G1023">
        <v>1</v>
      </c>
      <c r="H1023" t="s">
        <v>16</v>
      </c>
      <c r="I1023" s="1">
        <v>-341000</v>
      </c>
      <c r="J1023" s="1">
        <v>-3903100</v>
      </c>
      <c r="K1023">
        <v>19</v>
      </c>
      <c r="L1023">
        <v>303</v>
      </c>
      <c r="M1023" t="s">
        <v>16</v>
      </c>
    </row>
    <row r="1024" spans="1:13" x14ac:dyDescent="0.35">
      <c r="A1024">
        <v>231025</v>
      </c>
      <c r="B1024">
        <v>14176</v>
      </c>
      <c r="C1024" t="s">
        <v>1163</v>
      </c>
      <c r="D1024" t="s">
        <v>1010</v>
      </c>
      <c r="E1024" t="s">
        <v>1162</v>
      </c>
      <c r="F1024">
        <v>28192</v>
      </c>
      <c r="G1024">
        <v>1</v>
      </c>
      <c r="H1024" t="s">
        <v>16</v>
      </c>
      <c r="I1024" s="1">
        <v>-343900</v>
      </c>
      <c r="J1024" s="1">
        <v>-3914800</v>
      </c>
      <c r="K1024">
        <v>31</v>
      </c>
      <c r="L1024">
        <v>301</v>
      </c>
      <c r="M1024" t="s">
        <v>16</v>
      </c>
    </row>
    <row r="1025" spans="1:13" x14ac:dyDescent="0.35">
      <c r="A1025">
        <v>231030</v>
      </c>
      <c r="B1025">
        <v>8630</v>
      </c>
      <c r="C1025" t="s">
        <v>1164</v>
      </c>
      <c r="D1025" t="s">
        <v>1010</v>
      </c>
      <c r="E1025" t="s">
        <v>1019</v>
      </c>
      <c r="F1025">
        <v>30596</v>
      </c>
      <c r="G1025">
        <v>1</v>
      </c>
      <c r="H1025" t="s">
        <v>16</v>
      </c>
      <c r="I1025" s="1">
        <v>-621100</v>
      </c>
      <c r="J1025" s="1">
        <v>-4069400</v>
      </c>
      <c r="K1025">
        <v>478</v>
      </c>
      <c r="L1025">
        <v>2303</v>
      </c>
      <c r="M1025" t="s">
        <v>16</v>
      </c>
    </row>
    <row r="1026" spans="1:13" x14ac:dyDescent="0.35">
      <c r="A1026">
        <v>231040</v>
      </c>
      <c r="B1026">
        <v>8648</v>
      </c>
      <c r="C1026" t="s">
        <v>1165</v>
      </c>
      <c r="D1026" t="s">
        <v>1010</v>
      </c>
      <c r="E1026" t="s">
        <v>1065</v>
      </c>
      <c r="F1026">
        <v>11573</v>
      </c>
      <c r="G1026">
        <v>1</v>
      </c>
      <c r="H1026" t="s">
        <v>16</v>
      </c>
      <c r="I1026" s="1">
        <v>-409700</v>
      </c>
      <c r="J1026" s="1">
        <v>-3923900</v>
      </c>
      <c r="K1026">
        <v>90</v>
      </c>
      <c r="L1026">
        <v>482</v>
      </c>
      <c r="M1026" t="s">
        <v>16</v>
      </c>
    </row>
    <row r="1027" spans="1:13" x14ac:dyDescent="0.35">
      <c r="A1027">
        <v>231050</v>
      </c>
      <c r="B1027">
        <v>8656</v>
      </c>
      <c r="C1027" t="s">
        <v>1166</v>
      </c>
      <c r="D1027" t="s">
        <v>1010</v>
      </c>
      <c r="E1027" t="s">
        <v>1017</v>
      </c>
      <c r="F1027">
        <v>40762</v>
      </c>
      <c r="G1027">
        <v>1</v>
      </c>
      <c r="H1027" t="s">
        <v>16</v>
      </c>
      <c r="I1027" s="1">
        <v>-545400</v>
      </c>
      <c r="J1027" s="1">
        <v>-3971700</v>
      </c>
      <c r="K1027">
        <v>500</v>
      </c>
      <c r="L1027">
        <v>1303</v>
      </c>
      <c r="M1027" t="s">
        <v>16</v>
      </c>
    </row>
    <row r="1028" spans="1:13" x14ac:dyDescent="0.35">
      <c r="A1028">
        <v>231060</v>
      </c>
      <c r="B1028">
        <v>8664</v>
      </c>
      <c r="C1028" t="s">
        <v>1167</v>
      </c>
      <c r="D1028" t="s">
        <v>1010</v>
      </c>
      <c r="E1028" t="s">
        <v>1011</v>
      </c>
      <c r="F1028">
        <v>7715</v>
      </c>
      <c r="G1028">
        <v>1</v>
      </c>
      <c r="H1028" t="s">
        <v>16</v>
      </c>
      <c r="I1028" s="1">
        <v>-782900</v>
      </c>
      <c r="J1028" s="1">
        <v>-3907700</v>
      </c>
      <c r="K1028">
        <v>509</v>
      </c>
      <c r="L1028">
        <v>190</v>
      </c>
      <c r="M1028" t="s">
        <v>16</v>
      </c>
    </row>
    <row r="1029" spans="1:13" x14ac:dyDescent="0.35">
      <c r="A1029">
        <v>231070</v>
      </c>
      <c r="B1029">
        <v>8672</v>
      </c>
      <c r="C1029" t="s">
        <v>1168</v>
      </c>
      <c r="D1029" t="s">
        <v>1010</v>
      </c>
      <c r="E1029" t="s">
        <v>1031</v>
      </c>
      <c r="F1029">
        <v>33717</v>
      </c>
      <c r="G1029">
        <v>1</v>
      </c>
      <c r="H1029" t="s">
        <v>16</v>
      </c>
      <c r="I1029" s="1">
        <v>-379300</v>
      </c>
      <c r="J1029" s="1">
        <v>-3927000</v>
      </c>
      <c r="K1029">
        <v>45</v>
      </c>
      <c r="L1029">
        <v>1378</v>
      </c>
      <c r="M1029" t="s">
        <v>16</v>
      </c>
    </row>
    <row r="1030" spans="1:13" x14ac:dyDescent="0.35">
      <c r="A1030">
        <v>231080</v>
      </c>
      <c r="B1030">
        <v>8680</v>
      </c>
      <c r="C1030" t="s">
        <v>1169</v>
      </c>
      <c r="D1030" t="s">
        <v>1010</v>
      </c>
      <c r="E1030" t="s">
        <v>1089</v>
      </c>
      <c r="F1030">
        <v>15291</v>
      </c>
      <c r="G1030">
        <v>1</v>
      </c>
      <c r="H1030" t="s">
        <v>16</v>
      </c>
      <c r="I1030" s="1">
        <v>-604500</v>
      </c>
      <c r="J1030" s="1">
        <v>-3846100</v>
      </c>
      <c r="K1030">
        <v>560</v>
      </c>
      <c r="L1030">
        <v>432</v>
      </c>
      <c r="M1030" t="s">
        <v>16</v>
      </c>
    </row>
    <row r="1031" spans="1:13" x14ac:dyDescent="0.35">
      <c r="A1031">
        <v>231085</v>
      </c>
      <c r="B1031">
        <v>39152</v>
      </c>
      <c r="C1031" t="s">
        <v>1170</v>
      </c>
      <c r="D1031" t="s">
        <v>1010</v>
      </c>
      <c r="E1031" t="s">
        <v>1059</v>
      </c>
      <c r="F1031">
        <v>17143</v>
      </c>
      <c r="G1031">
        <v>4</v>
      </c>
      <c r="H1031" t="s">
        <v>1034</v>
      </c>
      <c r="I1031" s="1">
        <v>-402800</v>
      </c>
      <c r="J1031" s="1">
        <v>-3830600</v>
      </c>
      <c r="K1031">
        <v>40</v>
      </c>
      <c r="L1031">
        <v>72</v>
      </c>
      <c r="M1031" t="s">
        <v>16</v>
      </c>
    </row>
    <row r="1032" spans="1:13" x14ac:dyDescent="0.35">
      <c r="A1032">
        <v>231090</v>
      </c>
      <c r="B1032">
        <v>8699</v>
      </c>
      <c r="C1032" t="s">
        <v>1171</v>
      </c>
      <c r="D1032" t="s">
        <v>1010</v>
      </c>
      <c r="E1032" t="s">
        <v>1017</v>
      </c>
      <c r="F1032">
        <v>14736</v>
      </c>
      <c r="G1032">
        <v>1</v>
      </c>
      <c r="H1032" t="s">
        <v>16</v>
      </c>
      <c r="I1032" s="1">
        <v>-580400</v>
      </c>
      <c r="J1032" s="1">
        <v>-3941800</v>
      </c>
      <c r="K1032">
        <v>251</v>
      </c>
      <c r="L1032">
        <v>587</v>
      </c>
      <c r="M1032" t="s">
        <v>16</v>
      </c>
    </row>
    <row r="1033" spans="1:13" x14ac:dyDescent="0.35">
      <c r="A1033">
        <v>231095</v>
      </c>
      <c r="B1033">
        <v>39160</v>
      </c>
      <c r="C1033" t="s">
        <v>1172</v>
      </c>
      <c r="D1033" t="s">
        <v>1010</v>
      </c>
      <c r="E1033" t="s">
        <v>1114</v>
      </c>
      <c r="F1033">
        <v>9483</v>
      </c>
      <c r="G1033">
        <v>1</v>
      </c>
      <c r="H1033" t="s">
        <v>16</v>
      </c>
      <c r="I1033" s="1">
        <v>-424700</v>
      </c>
      <c r="J1033" s="1">
        <v>-4064500</v>
      </c>
      <c r="K1033">
        <v>196</v>
      </c>
      <c r="L1033">
        <v>242</v>
      </c>
      <c r="M1033" t="s">
        <v>16</v>
      </c>
    </row>
    <row r="1034" spans="1:13" x14ac:dyDescent="0.35">
      <c r="A1034">
        <v>231100</v>
      </c>
      <c r="B1034">
        <v>8702</v>
      </c>
      <c r="C1034" t="s">
        <v>1173</v>
      </c>
      <c r="D1034" t="s">
        <v>1010</v>
      </c>
      <c r="E1034" t="s">
        <v>1114</v>
      </c>
      <c r="F1034">
        <v>11905</v>
      </c>
      <c r="G1034">
        <v>1</v>
      </c>
      <c r="H1034" t="s">
        <v>16</v>
      </c>
      <c r="I1034" s="1">
        <v>-474500</v>
      </c>
      <c r="J1034" s="1">
        <v>-4092600</v>
      </c>
      <c r="K1034">
        <v>713</v>
      </c>
      <c r="L1034">
        <v>1309</v>
      </c>
      <c r="M1034" t="s">
        <v>16</v>
      </c>
    </row>
    <row r="1035" spans="1:13" x14ac:dyDescent="0.35">
      <c r="A1035">
        <v>231110</v>
      </c>
      <c r="B1035">
        <v>8710</v>
      </c>
      <c r="C1035" t="s">
        <v>1174</v>
      </c>
      <c r="D1035" t="s">
        <v>1010</v>
      </c>
      <c r="E1035" t="s">
        <v>1052</v>
      </c>
      <c r="F1035">
        <v>14792</v>
      </c>
      <c r="G1035">
        <v>1</v>
      </c>
      <c r="H1035" t="s">
        <v>16</v>
      </c>
      <c r="I1035" s="1">
        <v>-753500</v>
      </c>
      <c r="J1035" s="1">
        <v>-3911800</v>
      </c>
      <c r="K1035">
        <v>523</v>
      </c>
      <c r="L1035">
        <v>217</v>
      </c>
      <c r="M1035" t="s">
        <v>16</v>
      </c>
    </row>
    <row r="1036" spans="1:13" x14ac:dyDescent="0.35">
      <c r="A1036">
        <v>231120</v>
      </c>
      <c r="B1036">
        <v>8729</v>
      </c>
      <c r="C1036" t="s">
        <v>1175</v>
      </c>
      <c r="D1036" t="s">
        <v>1010</v>
      </c>
      <c r="E1036" t="s">
        <v>1041</v>
      </c>
      <c r="F1036">
        <v>9670</v>
      </c>
      <c r="G1036">
        <v>1</v>
      </c>
      <c r="H1036" t="s">
        <v>16</v>
      </c>
      <c r="I1036" s="1">
        <v>-709100</v>
      </c>
      <c r="J1036" s="1">
        <v>-4002700</v>
      </c>
      <c r="K1036">
        <v>560</v>
      </c>
      <c r="L1036">
        <v>338</v>
      </c>
      <c r="M1036" t="s">
        <v>16</v>
      </c>
    </row>
    <row r="1037" spans="1:13" x14ac:dyDescent="0.35">
      <c r="A1037">
        <v>231123</v>
      </c>
      <c r="B1037">
        <v>39179</v>
      </c>
      <c r="C1037" t="s">
        <v>1176</v>
      </c>
      <c r="D1037" t="s">
        <v>1010</v>
      </c>
      <c r="E1037" t="s">
        <v>1089</v>
      </c>
      <c r="F1037">
        <v>6478</v>
      </c>
      <c r="G1037">
        <v>1</v>
      </c>
      <c r="H1037" t="s">
        <v>16</v>
      </c>
      <c r="I1037" s="1">
        <v>-566800</v>
      </c>
      <c r="J1037" s="1">
        <v>-3825100</v>
      </c>
      <c r="K1037">
        <v>150</v>
      </c>
      <c r="L1037">
        <v>409</v>
      </c>
      <c r="M1037" t="s">
        <v>16</v>
      </c>
    </row>
    <row r="1038" spans="1:13" x14ac:dyDescent="0.35">
      <c r="A1038">
        <v>231126</v>
      </c>
      <c r="B1038">
        <v>39187</v>
      </c>
      <c r="C1038" t="s">
        <v>1177</v>
      </c>
      <c r="D1038" t="s">
        <v>1010</v>
      </c>
      <c r="E1038" t="s">
        <v>1039</v>
      </c>
      <c r="F1038">
        <v>20079</v>
      </c>
      <c r="G1038">
        <v>1</v>
      </c>
      <c r="H1038" t="s">
        <v>16</v>
      </c>
      <c r="I1038" s="1">
        <v>-584300</v>
      </c>
      <c r="J1038" s="1">
        <v>-4070100</v>
      </c>
      <c r="K1038">
        <v>430</v>
      </c>
      <c r="L1038">
        <v>1040</v>
      </c>
      <c r="M1038" t="s">
        <v>16</v>
      </c>
    </row>
    <row r="1039" spans="1:13" x14ac:dyDescent="0.35">
      <c r="A1039">
        <v>231130</v>
      </c>
      <c r="B1039">
        <v>8737</v>
      </c>
      <c r="C1039" t="s">
        <v>1178</v>
      </c>
      <c r="D1039" t="s">
        <v>1010</v>
      </c>
      <c r="E1039" t="s">
        <v>1050</v>
      </c>
      <c r="F1039">
        <v>76105</v>
      </c>
      <c r="G1039">
        <v>2</v>
      </c>
      <c r="H1039" t="s">
        <v>16</v>
      </c>
      <c r="I1039" s="1">
        <v>-497100</v>
      </c>
      <c r="J1039" s="1">
        <v>-3901500</v>
      </c>
      <c r="K1039">
        <v>189</v>
      </c>
      <c r="L1039">
        <v>2019</v>
      </c>
      <c r="M1039" t="s">
        <v>16</v>
      </c>
    </row>
    <row r="1040" spans="1:13" x14ac:dyDescent="0.35">
      <c r="A1040">
        <v>231135</v>
      </c>
      <c r="B1040">
        <v>14184</v>
      </c>
      <c r="C1040" t="s">
        <v>1179</v>
      </c>
      <c r="D1040" t="s">
        <v>1010</v>
      </c>
      <c r="E1040" t="s">
        <v>1078</v>
      </c>
      <c r="F1040">
        <v>15708</v>
      </c>
      <c r="G1040">
        <v>1</v>
      </c>
      <c r="H1040" t="s">
        <v>16</v>
      </c>
      <c r="I1040" s="1">
        <v>-625400</v>
      </c>
      <c r="J1040" s="1">
        <v>-3920200</v>
      </c>
      <c r="K1040">
        <v>195</v>
      </c>
      <c r="L1040">
        <v>559</v>
      </c>
      <c r="M1040" t="s">
        <v>16</v>
      </c>
    </row>
    <row r="1041" spans="1:13" x14ac:dyDescent="0.35">
      <c r="A1041">
        <v>231140</v>
      </c>
      <c r="B1041">
        <v>8745</v>
      </c>
      <c r="C1041" t="s">
        <v>1180</v>
      </c>
      <c r="D1041" t="s">
        <v>1010</v>
      </c>
      <c r="E1041" t="s">
        <v>1050</v>
      </c>
      <c r="F1041">
        <v>68966</v>
      </c>
      <c r="G1041">
        <v>2</v>
      </c>
      <c r="H1041" t="s">
        <v>16</v>
      </c>
      <c r="I1041" s="1">
        <v>-519900</v>
      </c>
      <c r="J1041" s="1">
        <v>-3929300</v>
      </c>
      <c r="K1041">
        <v>191</v>
      </c>
      <c r="L1041">
        <v>3275</v>
      </c>
      <c r="M1041" t="s">
        <v>16</v>
      </c>
    </row>
    <row r="1042" spans="1:13" x14ac:dyDescent="0.35">
      <c r="A1042">
        <v>231150</v>
      </c>
      <c r="B1042">
        <v>8753</v>
      </c>
      <c r="C1042" t="s">
        <v>1181</v>
      </c>
      <c r="D1042" t="s">
        <v>1010</v>
      </c>
      <c r="E1042" t="s">
        <v>1025</v>
      </c>
      <c r="F1042">
        <v>18652</v>
      </c>
      <c r="G1042">
        <v>1</v>
      </c>
      <c r="H1042" t="s">
        <v>16</v>
      </c>
      <c r="I1042" s="1">
        <v>-507400</v>
      </c>
      <c r="J1042" s="1">
        <v>-3798900</v>
      </c>
      <c r="K1042">
        <v>25</v>
      </c>
      <c r="L1042">
        <v>616</v>
      </c>
      <c r="M1042" t="s">
        <v>16</v>
      </c>
    </row>
    <row r="1043" spans="1:13" x14ac:dyDescent="0.35">
      <c r="A1043">
        <v>231160</v>
      </c>
      <c r="B1043">
        <v>8761</v>
      </c>
      <c r="C1043" t="s">
        <v>316</v>
      </c>
      <c r="D1043" t="s">
        <v>1010</v>
      </c>
      <c r="E1043" t="s">
        <v>1013</v>
      </c>
      <c r="F1043">
        <v>25702</v>
      </c>
      <c r="G1043">
        <v>1</v>
      </c>
      <c r="H1043" t="s">
        <v>16</v>
      </c>
      <c r="I1043" s="1">
        <v>-422600</v>
      </c>
      <c r="J1043" s="1">
        <v>-3873100</v>
      </c>
      <c r="K1043">
        <v>88</v>
      </c>
      <c r="L1043">
        <v>225</v>
      </c>
      <c r="M1043" t="s">
        <v>16</v>
      </c>
    </row>
    <row r="1044" spans="1:13" x14ac:dyDescent="0.35">
      <c r="A1044">
        <v>231170</v>
      </c>
      <c r="B1044">
        <v>8770</v>
      </c>
      <c r="C1044" t="s">
        <v>1182</v>
      </c>
      <c r="D1044" t="s">
        <v>1010</v>
      </c>
      <c r="E1044" t="s">
        <v>1114</v>
      </c>
      <c r="F1044">
        <v>19310</v>
      </c>
      <c r="G1044">
        <v>1</v>
      </c>
      <c r="H1044" t="s">
        <v>16</v>
      </c>
      <c r="I1044" s="1">
        <v>-414200</v>
      </c>
      <c r="J1044" s="1">
        <v>-4058200</v>
      </c>
      <c r="K1044">
        <v>145</v>
      </c>
      <c r="L1044">
        <v>383</v>
      </c>
      <c r="M1044" t="s">
        <v>16</v>
      </c>
    </row>
    <row r="1045" spans="1:13" x14ac:dyDescent="0.35">
      <c r="A1045">
        <v>231180</v>
      </c>
      <c r="B1045">
        <v>8788</v>
      </c>
      <c r="C1045" t="s">
        <v>1183</v>
      </c>
      <c r="D1045" t="s">
        <v>1010</v>
      </c>
      <c r="E1045" t="s">
        <v>1025</v>
      </c>
      <c r="F1045">
        <v>63975</v>
      </c>
      <c r="G1045">
        <v>2</v>
      </c>
      <c r="H1045" t="s">
        <v>16</v>
      </c>
      <c r="I1045" s="1">
        <v>-494000</v>
      </c>
      <c r="J1045" s="1">
        <v>-3797600</v>
      </c>
      <c r="K1045">
        <v>20</v>
      </c>
      <c r="L1045">
        <v>1588</v>
      </c>
      <c r="M1045" t="s">
        <v>16</v>
      </c>
    </row>
    <row r="1046" spans="1:13" x14ac:dyDescent="0.35">
      <c r="A1046">
        <v>231190</v>
      </c>
      <c r="B1046">
        <v>8796</v>
      </c>
      <c r="C1046" t="s">
        <v>1184</v>
      </c>
      <c r="D1046" t="s">
        <v>1010</v>
      </c>
      <c r="E1046" t="s">
        <v>1019</v>
      </c>
      <c r="F1046">
        <v>16282</v>
      </c>
      <c r="G1046">
        <v>1</v>
      </c>
      <c r="H1046" t="s">
        <v>16</v>
      </c>
      <c r="I1046" s="1">
        <v>-654200</v>
      </c>
      <c r="J1046" s="1">
        <v>-3990700</v>
      </c>
      <c r="K1046">
        <v>291</v>
      </c>
      <c r="L1046">
        <v>1383</v>
      </c>
      <c r="M1046" t="s">
        <v>16</v>
      </c>
    </row>
    <row r="1047" spans="1:13" x14ac:dyDescent="0.35">
      <c r="A1047">
        <v>231195</v>
      </c>
      <c r="B1047">
        <v>39195</v>
      </c>
      <c r="C1047" t="s">
        <v>1185</v>
      </c>
      <c r="D1047" t="s">
        <v>1010</v>
      </c>
      <c r="E1047" t="s">
        <v>1041</v>
      </c>
      <c r="F1047">
        <v>15798</v>
      </c>
      <c r="G1047">
        <v>1</v>
      </c>
      <c r="H1047" t="s">
        <v>16</v>
      </c>
      <c r="I1047" s="1">
        <v>-728500</v>
      </c>
      <c r="J1047" s="1">
        <v>-4045700</v>
      </c>
      <c r="K1047">
        <v>680</v>
      </c>
      <c r="L1047">
        <v>899</v>
      </c>
      <c r="M1047" t="s">
        <v>16</v>
      </c>
    </row>
    <row r="1048" spans="1:13" x14ac:dyDescent="0.35">
      <c r="A1048">
        <v>231200</v>
      </c>
      <c r="B1048">
        <v>8800</v>
      </c>
      <c r="C1048" t="s">
        <v>1186</v>
      </c>
      <c r="D1048" t="s">
        <v>1010</v>
      </c>
      <c r="E1048" t="s">
        <v>1069</v>
      </c>
      <c r="F1048">
        <v>28741</v>
      </c>
      <c r="G1048">
        <v>1</v>
      </c>
      <c r="H1048" t="s">
        <v>16</v>
      </c>
      <c r="I1048" s="1">
        <v>-346100</v>
      </c>
      <c r="J1048" s="1">
        <v>-4021200</v>
      </c>
      <c r="K1048">
        <v>45</v>
      </c>
      <c r="L1048">
        <v>969</v>
      </c>
      <c r="M1048" t="s">
        <v>16</v>
      </c>
    </row>
    <row r="1049" spans="1:13" x14ac:dyDescent="0.35">
      <c r="A1049">
        <v>231210</v>
      </c>
      <c r="B1049">
        <v>8818</v>
      </c>
      <c r="C1049" t="s">
        <v>1187</v>
      </c>
      <c r="D1049" t="s">
        <v>1010</v>
      </c>
      <c r="E1049" t="s">
        <v>1052</v>
      </c>
      <c r="F1049">
        <v>17574</v>
      </c>
      <c r="G1049">
        <v>4</v>
      </c>
      <c r="H1049" t="s">
        <v>1053</v>
      </c>
      <c r="I1049" s="1">
        <v>-718800</v>
      </c>
      <c r="J1049" s="1">
        <v>-3973700</v>
      </c>
      <c r="K1049">
        <v>500</v>
      </c>
      <c r="L1049">
        <v>768</v>
      </c>
      <c r="M1049" t="s">
        <v>16</v>
      </c>
    </row>
    <row r="1050" spans="1:13" x14ac:dyDescent="0.35">
      <c r="A1050">
        <v>231220</v>
      </c>
      <c r="B1050">
        <v>8826</v>
      </c>
      <c r="C1050" t="s">
        <v>1188</v>
      </c>
      <c r="D1050" t="s">
        <v>1010</v>
      </c>
      <c r="E1050" t="s">
        <v>1075</v>
      </c>
      <c r="F1050">
        <v>43344</v>
      </c>
      <c r="G1050">
        <v>1</v>
      </c>
      <c r="H1050" t="s">
        <v>16</v>
      </c>
      <c r="I1050" s="1">
        <v>-433200</v>
      </c>
      <c r="J1050" s="1">
        <v>-4015700</v>
      </c>
      <c r="K1050">
        <v>197</v>
      </c>
      <c r="L1050">
        <v>4260</v>
      </c>
      <c r="M1050" t="s">
        <v>16</v>
      </c>
    </row>
    <row r="1051" spans="1:13" x14ac:dyDescent="0.35">
      <c r="A1051">
        <v>231230</v>
      </c>
      <c r="B1051">
        <v>8834</v>
      </c>
      <c r="C1051" t="s">
        <v>1189</v>
      </c>
      <c r="D1051" t="s">
        <v>1010</v>
      </c>
      <c r="E1051" t="s">
        <v>1072</v>
      </c>
      <c r="F1051">
        <v>43077</v>
      </c>
      <c r="G1051">
        <v>1</v>
      </c>
      <c r="H1051" t="s">
        <v>16</v>
      </c>
      <c r="I1051" s="1">
        <v>-404900</v>
      </c>
      <c r="J1051" s="1">
        <v>-4086500</v>
      </c>
      <c r="K1051">
        <v>901</v>
      </c>
      <c r="L1051">
        <v>338</v>
      </c>
      <c r="M1051" t="s">
        <v>16</v>
      </c>
    </row>
    <row r="1052" spans="1:13" x14ac:dyDescent="0.35">
      <c r="A1052">
        <v>231240</v>
      </c>
      <c r="B1052">
        <v>8842</v>
      </c>
      <c r="C1052" t="s">
        <v>1190</v>
      </c>
      <c r="D1052" t="s">
        <v>1010</v>
      </c>
      <c r="E1052" t="s">
        <v>1162</v>
      </c>
      <c r="F1052">
        <v>40312</v>
      </c>
      <c r="G1052">
        <v>4</v>
      </c>
      <c r="H1052" t="s">
        <v>1034</v>
      </c>
      <c r="I1052" s="1">
        <v>-360600</v>
      </c>
      <c r="J1052" s="1">
        <v>-3896900</v>
      </c>
      <c r="K1052">
        <v>30</v>
      </c>
      <c r="L1052">
        <v>834</v>
      </c>
      <c r="M1052" t="s">
        <v>16</v>
      </c>
    </row>
    <row r="1053" spans="1:13" x14ac:dyDescent="0.35">
      <c r="A1053">
        <v>231250</v>
      </c>
      <c r="B1053">
        <v>8850</v>
      </c>
      <c r="C1053" t="s">
        <v>1191</v>
      </c>
      <c r="D1053" t="s">
        <v>1010</v>
      </c>
      <c r="E1053" t="s">
        <v>1025</v>
      </c>
      <c r="F1053">
        <v>8310</v>
      </c>
      <c r="G1053">
        <v>1</v>
      </c>
      <c r="H1053" t="s">
        <v>16</v>
      </c>
      <c r="I1053" s="1">
        <v>-527100</v>
      </c>
      <c r="J1053" s="1">
        <v>-3827400</v>
      </c>
      <c r="K1053">
        <v>51</v>
      </c>
      <c r="L1053">
        <v>280</v>
      </c>
      <c r="M1053" t="s">
        <v>16</v>
      </c>
    </row>
    <row r="1054" spans="1:13" x14ac:dyDescent="0.35">
      <c r="A1054">
        <v>231260</v>
      </c>
      <c r="B1054">
        <v>8869</v>
      </c>
      <c r="C1054" t="s">
        <v>1192</v>
      </c>
      <c r="D1054" t="s">
        <v>1010</v>
      </c>
      <c r="E1054" t="s">
        <v>1031</v>
      </c>
      <c r="F1054">
        <v>12052</v>
      </c>
      <c r="G1054">
        <v>1</v>
      </c>
      <c r="H1054" t="s">
        <v>16</v>
      </c>
      <c r="I1054" s="1">
        <v>-367000</v>
      </c>
      <c r="J1054" s="1">
        <v>-3924300</v>
      </c>
      <c r="K1054">
        <v>38</v>
      </c>
      <c r="L1054">
        <v>122</v>
      </c>
      <c r="M1054" t="s">
        <v>16</v>
      </c>
    </row>
    <row r="1055" spans="1:13" x14ac:dyDescent="0.35">
      <c r="A1055">
        <v>231270</v>
      </c>
      <c r="B1055">
        <v>8877</v>
      </c>
      <c r="C1055" t="s">
        <v>1193</v>
      </c>
      <c r="D1055" t="s">
        <v>1010</v>
      </c>
      <c r="E1055" t="s">
        <v>1017</v>
      </c>
      <c r="F1055">
        <v>25290</v>
      </c>
      <c r="G1055">
        <v>1</v>
      </c>
      <c r="H1055" t="s">
        <v>16</v>
      </c>
      <c r="I1055" s="1">
        <v>-558800</v>
      </c>
      <c r="J1055" s="1">
        <v>-3937200</v>
      </c>
      <c r="K1055">
        <v>177</v>
      </c>
      <c r="L1055">
        <v>1002</v>
      </c>
      <c r="M1055" t="s">
        <v>16</v>
      </c>
    </row>
    <row r="1056" spans="1:13" x14ac:dyDescent="0.35">
      <c r="A1056">
        <v>231280</v>
      </c>
      <c r="B1056">
        <v>8885</v>
      </c>
      <c r="C1056" t="s">
        <v>1194</v>
      </c>
      <c r="D1056" t="s">
        <v>1010</v>
      </c>
      <c r="E1056" t="s">
        <v>1069</v>
      </c>
      <c r="F1056">
        <v>6274</v>
      </c>
      <c r="G1056">
        <v>1</v>
      </c>
      <c r="H1056" t="s">
        <v>16</v>
      </c>
      <c r="I1056" s="1">
        <v>-335100</v>
      </c>
      <c r="J1056" s="1">
        <v>-4046300</v>
      </c>
      <c r="K1056">
        <v>87</v>
      </c>
      <c r="L1056">
        <v>430</v>
      </c>
      <c r="M1056" t="s">
        <v>16</v>
      </c>
    </row>
    <row r="1057" spans="1:13" x14ac:dyDescent="0.35">
      <c r="A1057">
        <v>231290</v>
      </c>
      <c r="B1057">
        <v>8893</v>
      </c>
      <c r="C1057" t="s">
        <v>1069</v>
      </c>
      <c r="D1057" t="s">
        <v>1010</v>
      </c>
      <c r="E1057" t="s">
        <v>1069</v>
      </c>
      <c r="F1057">
        <v>176895</v>
      </c>
      <c r="G1057">
        <v>3</v>
      </c>
      <c r="H1057" t="s">
        <v>16</v>
      </c>
      <c r="I1057" s="1">
        <v>-367400</v>
      </c>
      <c r="J1057" s="1">
        <v>-4023900</v>
      </c>
      <c r="K1057">
        <v>69</v>
      </c>
      <c r="L1057">
        <v>2122</v>
      </c>
      <c r="M1057" t="s">
        <v>16</v>
      </c>
    </row>
    <row r="1058" spans="1:13" x14ac:dyDescent="0.35">
      <c r="A1058">
        <v>231300</v>
      </c>
      <c r="B1058">
        <v>8907</v>
      </c>
      <c r="C1058" t="s">
        <v>1195</v>
      </c>
      <c r="D1058" t="s">
        <v>1010</v>
      </c>
      <c r="E1058" t="s">
        <v>1017</v>
      </c>
      <c r="F1058">
        <v>17340</v>
      </c>
      <c r="G1058">
        <v>1</v>
      </c>
      <c r="H1058" t="s">
        <v>16</v>
      </c>
      <c r="I1058" s="1">
        <v>-573300</v>
      </c>
      <c r="J1058" s="1">
        <v>-3900800</v>
      </c>
      <c r="K1058">
        <v>155</v>
      </c>
      <c r="L1058">
        <v>1536</v>
      </c>
      <c r="M1058" t="s">
        <v>16</v>
      </c>
    </row>
    <row r="1059" spans="1:13" x14ac:dyDescent="0.35">
      <c r="A1059">
        <v>231310</v>
      </c>
      <c r="B1059">
        <v>8915</v>
      </c>
      <c r="C1059" t="s">
        <v>1196</v>
      </c>
      <c r="D1059" t="s">
        <v>1010</v>
      </c>
      <c r="E1059" t="s">
        <v>1025</v>
      </c>
      <c r="F1059">
        <v>28291</v>
      </c>
      <c r="G1059">
        <v>1</v>
      </c>
      <c r="H1059" t="s">
        <v>16</v>
      </c>
      <c r="I1059" s="1">
        <v>-524700</v>
      </c>
      <c r="J1059" s="1">
        <v>-3813100</v>
      </c>
      <c r="K1059">
        <v>39</v>
      </c>
      <c r="L1059">
        <v>861</v>
      </c>
      <c r="M1059" t="s">
        <v>16</v>
      </c>
    </row>
    <row r="1060" spans="1:13" x14ac:dyDescent="0.35">
      <c r="A1060">
        <v>231320</v>
      </c>
      <c r="B1060">
        <v>8923</v>
      </c>
      <c r="C1060" t="s">
        <v>1197</v>
      </c>
      <c r="D1060" t="s">
        <v>1010</v>
      </c>
      <c r="E1060" t="s">
        <v>1039</v>
      </c>
      <c r="F1060">
        <v>25459</v>
      </c>
      <c r="G1060">
        <v>1</v>
      </c>
      <c r="H1060" t="s">
        <v>16</v>
      </c>
      <c r="I1060" s="1">
        <v>-483200</v>
      </c>
      <c r="J1060" s="1">
        <v>-4032100</v>
      </c>
      <c r="K1060">
        <v>322</v>
      </c>
      <c r="L1060">
        <v>1961</v>
      </c>
      <c r="M1060" t="s">
        <v>16</v>
      </c>
    </row>
    <row r="1061" spans="1:13" x14ac:dyDescent="0.35">
      <c r="A1061">
        <v>231325</v>
      </c>
      <c r="B1061">
        <v>41599</v>
      </c>
      <c r="C1061" t="s">
        <v>1198</v>
      </c>
      <c r="D1061" t="s">
        <v>1010</v>
      </c>
      <c r="E1061" t="s">
        <v>1029</v>
      </c>
      <c r="F1061">
        <v>8734</v>
      </c>
      <c r="G1061">
        <v>1</v>
      </c>
      <c r="H1061" t="s">
        <v>16</v>
      </c>
      <c r="I1061" s="1">
        <v>-668400</v>
      </c>
      <c r="J1061" s="1">
        <v>-3976100</v>
      </c>
      <c r="K1061">
        <v>280</v>
      </c>
      <c r="L1061">
        <v>454</v>
      </c>
      <c r="M1061" t="s">
        <v>16</v>
      </c>
    </row>
    <row r="1062" spans="1:13" x14ac:dyDescent="0.35">
      <c r="A1062">
        <v>231330</v>
      </c>
      <c r="B1062">
        <v>8931</v>
      </c>
      <c r="C1062" t="s">
        <v>1199</v>
      </c>
      <c r="D1062" t="s">
        <v>1010</v>
      </c>
      <c r="E1062" t="s">
        <v>1019</v>
      </c>
      <c r="F1062">
        <v>54273</v>
      </c>
      <c r="G1062">
        <v>2</v>
      </c>
      <c r="H1062" t="s">
        <v>16</v>
      </c>
      <c r="I1062" s="1">
        <v>-600300</v>
      </c>
      <c r="J1062" s="1">
        <v>-4029300</v>
      </c>
      <c r="K1062">
        <v>402</v>
      </c>
      <c r="L1062">
        <v>4018</v>
      </c>
      <c r="M1062" t="s">
        <v>16</v>
      </c>
    </row>
    <row r="1063" spans="1:13" x14ac:dyDescent="0.35">
      <c r="A1063">
        <v>231335</v>
      </c>
      <c r="B1063">
        <v>42536</v>
      </c>
      <c r="C1063" t="s">
        <v>1200</v>
      </c>
      <c r="D1063" t="s">
        <v>1010</v>
      </c>
      <c r="E1063" t="s">
        <v>1031</v>
      </c>
      <c r="F1063">
        <v>15062</v>
      </c>
      <c r="G1063">
        <v>1</v>
      </c>
      <c r="H1063" t="s">
        <v>16</v>
      </c>
      <c r="I1063" s="1">
        <v>-398900</v>
      </c>
      <c r="J1063" s="1">
        <v>-3958100</v>
      </c>
      <c r="K1063">
        <v>140</v>
      </c>
      <c r="L1063">
        <v>750</v>
      </c>
      <c r="M1063" t="s">
        <v>16</v>
      </c>
    </row>
    <row r="1064" spans="1:13" x14ac:dyDescent="0.35">
      <c r="A1064">
        <v>231340</v>
      </c>
      <c r="B1064">
        <v>8940</v>
      </c>
      <c r="C1064" t="s">
        <v>1201</v>
      </c>
      <c r="D1064" t="s">
        <v>1010</v>
      </c>
      <c r="E1064" t="s">
        <v>1072</v>
      </c>
      <c r="F1064">
        <v>64612</v>
      </c>
      <c r="G1064">
        <v>2</v>
      </c>
      <c r="H1064" t="s">
        <v>16</v>
      </c>
      <c r="I1064" s="1">
        <v>-373200</v>
      </c>
      <c r="J1064" s="1">
        <v>-4099200</v>
      </c>
      <c r="K1064">
        <v>775</v>
      </c>
      <c r="L1064">
        <v>908</v>
      </c>
      <c r="M1064" t="s">
        <v>16</v>
      </c>
    </row>
    <row r="1065" spans="1:13" x14ac:dyDescent="0.35">
      <c r="A1065">
        <v>231350</v>
      </c>
      <c r="B1065">
        <v>8958</v>
      </c>
      <c r="C1065" t="s">
        <v>1202</v>
      </c>
      <c r="D1065" t="s">
        <v>1010</v>
      </c>
      <c r="E1065" t="s">
        <v>1027</v>
      </c>
      <c r="F1065">
        <v>48620</v>
      </c>
      <c r="G1065">
        <v>1</v>
      </c>
      <c r="H1065" t="s">
        <v>16</v>
      </c>
      <c r="I1065" s="1">
        <v>-327800</v>
      </c>
      <c r="J1065" s="1">
        <v>-3926900</v>
      </c>
      <c r="K1065">
        <v>9</v>
      </c>
      <c r="L1065">
        <v>924</v>
      </c>
      <c r="M1065" t="s">
        <v>16</v>
      </c>
    </row>
    <row r="1066" spans="1:13" x14ac:dyDescent="0.35">
      <c r="A1066">
        <v>231355</v>
      </c>
      <c r="B1066">
        <v>45250</v>
      </c>
      <c r="C1066" t="s">
        <v>1203</v>
      </c>
      <c r="D1066" t="s">
        <v>1010</v>
      </c>
      <c r="E1066" t="s">
        <v>1119</v>
      </c>
      <c r="F1066">
        <v>13350</v>
      </c>
      <c r="G1066">
        <v>1</v>
      </c>
      <c r="H1066" t="s">
        <v>16</v>
      </c>
      <c r="I1066" s="1">
        <v>-358100</v>
      </c>
      <c r="J1066" s="1">
        <v>-3943700</v>
      </c>
      <c r="K1066">
        <v>103</v>
      </c>
      <c r="L1066">
        <v>192</v>
      </c>
      <c r="M1066" t="s">
        <v>16</v>
      </c>
    </row>
    <row r="1067" spans="1:13" x14ac:dyDescent="0.35">
      <c r="A1067">
        <v>231360</v>
      </c>
      <c r="B1067">
        <v>8966</v>
      </c>
      <c r="C1067" t="s">
        <v>1204</v>
      </c>
      <c r="D1067" t="s">
        <v>1010</v>
      </c>
      <c r="E1067" t="s">
        <v>1072</v>
      </c>
      <c r="F1067">
        <v>29569</v>
      </c>
      <c r="G1067">
        <v>1</v>
      </c>
      <c r="H1067" t="s">
        <v>16</v>
      </c>
      <c r="I1067" s="1">
        <v>-385400</v>
      </c>
      <c r="J1067" s="1">
        <v>-4092100</v>
      </c>
      <c r="K1067">
        <v>847</v>
      </c>
      <c r="L1067">
        <v>421</v>
      </c>
      <c r="M1067" t="s">
        <v>16</v>
      </c>
    </row>
    <row r="1068" spans="1:13" x14ac:dyDescent="0.35">
      <c r="A1068">
        <v>231370</v>
      </c>
      <c r="B1068">
        <v>8974</v>
      </c>
      <c r="C1068" t="s">
        <v>1205</v>
      </c>
      <c r="D1068" t="s">
        <v>1010</v>
      </c>
      <c r="E1068" t="s">
        <v>1048</v>
      </c>
      <c r="F1068">
        <v>7591</v>
      </c>
      <c r="G1068">
        <v>1</v>
      </c>
      <c r="H1068" t="s">
        <v>16</v>
      </c>
      <c r="I1068" s="1">
        <v>-664800</v>
      </c>
      <c r="J1068" s="1">
        <v>-3870000</v>
      </c>
      <c r="K1068">
        <v>272</v>
      </c>
      <c r="L1068">
        <v>263</v>
      </c>
      <c r="M1068" t="s">
        <v>16</v>
      </c>
    </row>
    <row r="1069" spans="1:13" x14ac:dyDescent="0.35">
      <c r="A1069">
        <v>231375</v>
      </c>
      <c r="B1069">
        <v>14192</v>
      </c>
      <c r="C1069" t="s">
        <v>1206</v>
      </c>
      <c r="D1069" t="s">
        <v>1010</v>
      </c>
      <c r="E1069" t="s">
        <v>1119</v>
      </c>
      <c r="F1069">
        <v>18195</v>
      </c>
      <c r="G1069">
        <v>1</v>
      </c>
      <c r="H1069" t="s">
        <v>16</v>
      </c>
      <c r="I1069" s="1">
        <v>-367700</v>
      </c>
      <c r="J1069" s="1">
        <v>-3935000</v>
      </c>
      <c r="K1069">
        <v>65</v>
      </c>
      <c r="L1069">
        <v>326</v>
      </c>
      <c r="M1069" t="s">
        <v>16</v>
      </c>
    </row>
    <row r="1070" spans="1:13" x14ac:dyDescent="0.35">
      <c r="A1070">
        <v>231380</v>
      </c>
      <c r="B1070">
        <v>8982</v>
      </c>
      <c r="C1070" t="s">
        <v>1119</v>
      </c>
      <c r="D1070" t="s">
        <v>1010</v>
      </c>
      <c r="E1070" t="s">
        <v>1119</v>
      </c>
      <c r="F1070">
        <v>19218</v>
      </c>
      <c r="G1070">
        <v>1</v>
      </c>
      <c r="H1070" t="s">
        <v>16</v>
      </c>
      <c r="I1070" s="1">
        <v>-362500</v>
      </c>
      <c r="J1070" s="1">
        <v>-3950800</v>
      </c>
      <c r="K1070">
        <v>125</v>
      </c>
      <c r="L1070">
        <v>97</v>
      </c>
      <c r="M1070" t="s">
        <v>16</v>
      </c>
    </row>
    <row r="1071" spans="1:13" x14ac:dyDescent="0.35">
      <c r="A1071">
        <v>231390</v>
      </c>
      <c r="B1071">
        <v>8990</v>
      </c>
      <c r="C1071" t="s">
        <v>1207</v>
      </c>
      <c r="D1071" t="s">
        <v>1010</v>
      </c>
      <c r="E1071" t="s">
        <v>1082</v>
      </c>
      <c r="F1071">
        <v>12973</v>
      </c>
      <c r="G1071">
        <v>1</v>
      </c>
      <c r="H1071" t="s">
        <v>16</v>
      </c>
      <c r="I1071" s="1">
        <v>-331400</v>
      </c>
      <c r="J1071" s="1">
        <v>-4055700</v>
      </c>
      <c r="K1071">
        <v>81</v>
      </c>
      <c r="L1071">
        <v>696</v>
      </c>
      <c r="M1071" t="s">
        <v>16</v>
      </c>
    </row>
    <row r="1072" spans="1:13" x14ac:dyDescent="0.35">
      <c r="A1072">
        <v>231395</v>
      </c>
      <c r="B1072">
        <v>15164</v>
      </c>
      <c r="C1072" t="s">
        <v>1208</v>
      </c>
      <c r="D1072" t="s">
        <v>1010</v>
      </c>
      <c r="E1072" t="s">
        <v>1114</v>
      </c>
      <c r="F1072">
        <v>17087</v>
      </c>
      <c r="G1072">
        <v>1</v>
      </c>
      <c r="H1072" t="s">
        <v>16</v>
      </c>
      <c r="I1072" s="1">
        <v>-419400</v>
      </c>
      <c r="J1072" s="1">
        <v>-4047700</v>
      </c>
      <c r="K1072">
        <v>183</v>
      </c>
      <c r="L1072">
        <v>179</v>
      </c>
      <c r="M1072" t="s">
        <v>16</v>
      </c>
    </row>
    <row r="1073" spans="1:13" x14ac:dyDescent="0.35">
      <c r="A1073">
        <v>231400</v>
      </c>
      <c r="B1073">
        <v>9008</v>
      </c>
      <c r="C1073" t="s">
        <v>1209</v>
      </c>
      <c r="D1073" t="s">
        <v>1010</v>
      </c>
      <c r="E1073" t="s">
        <v>1029</v>
      </c>
      <c r="F1073">
        <v>37740</v>
      </c>
      <c r="G1073">
        <v>1</v>
      </c>
      <c r="H1073" t="s">
        <v>16</v>
      </c>
      <c r="I1073" s="1">
        <v>-678900</v>
      </c>
      <c r="J1073" s="1">
        <v>-3929600</v>
      </c>
      <c r="K1073">
        <v>317</v>
      </c>
      <c r="L1073">
        <v>835</v>
      </c>
      <c r="M1073" t="s">
        <v>16</v>
      </c>
    </row>
    <row r="1074" spans="1:13" x14ac:dyDescent="0.35">
      <c r="A1074">
        <v>231410</v>
      </c>
      <c r="B1074">
        <v>9016</v>
      </c>
      <c r="C1074" t="s">
        <v>1210</v>
      </c>
      <c r="D1074" t="s">
        <v>1010</v>
      </c>
      <c r="E1074" t="s">
        <v>1072</v>
      </c>
      <c r="F1074">
        <v>52855</v>
      </c>
      <c r="G1074">
        <v>2</v>
      </c>
      <c r="H1074" t="s">
        <v>16</v>
      </c>
      <c r="I1074" s="1">
        <v>-356200</v>
      </c>
      <c r="J1074" s="1">
        <v>-4109200</v>
      </c>
      <c r="K1074">
        <v>717</v>
      </c>
      <c r="L1074">
        <v>1311</v>
      </c>
      <c r="M1074" t="s">
        <v>16</v>
      </c>
    </row>
    <row r="1075" spans="1:13" x14ac:dyDescent="0.35">
      <c r="A1075">
        <v>240010</v>
      </c>
      <c r="B1075">
        <v>9113</v>
      </c>
      <c r="C1075" t="s">
        <v>1211</v>
      </c>
      <c r="D1075" t="s">
        <v>1212</v>
      </c>
      <c r="E1075" t="s">
        <v>1213</v>
      </c>
      <c r="F1075">
        <v>10911</v>
      </c>
      <c r="G1075">
        <v>1</v>
      </c>
      <c r="H1075" t="s">
        <v>16</v>
      </c>
      <c r="I1075" s="1">
        <v>-643600</v>
      </c>
      <c r="J1075" s="1">
        <v>-3663900</v>
      </c>
      <c r="K1075">
        <v>270</v>
      </c>
      <c r="L1075">
        <v>608</v>
      </c>
      <c r="M1075" t="s">
        <v>16</v>
      </c>
    </row>
    <row r="1076" spans="1:13" x14ac:dyDescent="0.35">
      <c r="A1076">
        <v>240020</v>
      </c>
      <c r="B1076">
        <v>9121</v>
      </c>
      <c r="C1076" t="s">
        <v>1214</v>
      </c>
      <c r="D1076" t="s">
        <v>1212</v>
      </c>
      <c r="E1076" t="s">
        <v>1215</v>
      </c>
      <c r="F1076">
        <v>51262</v>
      </c>
      <c r="G1076">
        <v>2</v>
      </c>
      <c r="H1076" t="s">
        <v>16</v>
      </c>
      <c r="I1076" s="1">
        <v>-557700</v>
      </c>
      <c r="J1076" s="1">
        <v>-3690900</v>
      </c>
      <c r="K1076">
        <v>27</v>
      </c>
      <c r="L1076">
        <v>1269</v>
      </c>
      <c r="M1076" t="s">
        <v>16</v>
      </c>
    </row>
    <row r="1077" spans="1:13" x14ac:dyDescent="0.35">
      <c r="A1077">
        <v>240030</v>
      </c>
      <c r="B1077">
        <v>9130</v>
      </c>
      <c r="C1077" t="s">
        <v>1216</v>
      </c>
      <c r="D1077" t="s">
        <v>1212</v>
      </c>
      <c r="E1077" t="s">
        <v>1217</v>
      </c>
      <c r="F1077">
        <v>10339</v>
      </c>
      <c r="G1077">
        <v>1</v>
      </c>
      <c r="H1077" t="s">
        <v>16</v>
      </c>
      <c r="I1077" s="1">
        <v>-549800</v>
      </c>
      <c r="J1077" s="1">
        <v>-3650600</v>
      </c>
      <c r="K1077">
        <v>62</v>
      </c>
      <c r="L1077">
        <v>576</v>
      </c>
      <c r="M1077" t="s">
        <v>16</v>
      </c>
    </row>
    <row r="1078" spans="1:13" x14ac:dyDescent="0.35">
      <c r="A1078">
        <v>240040</v>
      </c>
      <c r="B1078">
        <v>9148</v>
      </c>
      <c r="C1078" t="s">
        <v>1218</v>
      </c>
      <c r="D1078" t="s">
        <v>1212</v>
      </c>
      <c r="E1078" t="s">
        <v>1219</v>
      </c>
      <c r="F1078">
        <v>2843</v>
      </c>
      <c r="G1078">
        <v>1</v>
      </c>
      <c r="H1078" t="s">
        <v>16</v>
      </c>
      <c r="I1078" s="1">
        <v>-620900</v>
      </c>
      <c r="J1078" s="1">
        <v>-3829700</v>
      </c>
      <c r="K1078">
        <v>270</v>
      </c>
      <c r="L1078">
        <v>50</v>
      </c>
      <c r="M1078" t="s">
        <v>16</v>
      </c>
    </row>
    <row r="1079" spans="1:13" x14ac:dyDescent="0.35">
      <c r="A1079">
        <v>240050</v>
      </c>
      <c r="B1079">
        <v>9156</v>
      </c>
      <c r="C1079" t="s">
        <v>1220</v>
      </c>
      <c r="D1079" t="s">
        <v>1212</v>
      </c>
      <c r="E1079" t="s">
        <v>1221</v>
      </c>
      <c r="F1079">
        <v>13729</v>
      </c>
      <c r="G1079">
        <v>1</v>
      </c>
      <c r="H1079" t="s">
        <v>16</v>
      </c>
      <c r="I1079" s="1">
        <v>-641300</v>
      </c>
      <c r="J1079" s="1">
        <v>-3801600</v>
      </c>
      <c r="K1079">
        <v>319</v>
      </c>
      <c r="L1079">
        <v>381</v>
      </c>
      <c r="M1079" t="s">
        <v>16</v>
      </c>
    </row>
    <row r="1080" spans="1:13" x14ac:dyDescent="0.35">
      <c r="A1080">
        <v>240060</v>
      </c>
      <c r="B1080">
        <v>9164</v>
      </c>
      <c r="C1080" t="s">
        <v>1222</v>
      </c>
      <c r="D1080" t="s">
        <v>1212</v>
      </c>
      <c r="E1080" t="s">
        <v>1223</v>
      </c>
      <c r="F1080">
        <v>4948</v>
      </c>
      <c r="G1080">
        <v>1</v>
      </c>
      <c r="H1080" t="s">
        <v>16</v>
      </c>
      <c r="I1080" s="1">
        <v>-615200</v>
      </c>
      <c r="J1080" s="1">
        <v>-3776600</v>
      </c>
      <c r="K1080">
        <v>236</v>
      </c>
      <c r="L1080">
        <v>128</v>
      </c>
      <c r="M1080" t="s">
        <v>16</v>
      </c>
    </row>
    <row r="1081" spans="1:13" x14ac:dyDescent="0.35">
      <c r="A1081">
        <v>240070</v>
      </c>
      <c r="B1081">
        <v>9172</v>
      </c>
      <c r="C1081" t="s">
        <v>1224</v>
      </c>
      <c r="D1081" t="s">
        <v>1212</v>
      </c>
      <c r="E1081" t="s">
        <v>1215</v>
      </c>
      <c r="F1081">
        <v>11443</v>
      </c>
      <c r="G1081">
        <v>1</v>
      </c>
      <c r="H1081" t="s">
        <v>16</v>
      </c>
      <c r="I1081" s="1">
        <v>-528800</v>
      </c>
      <c r="J1081" s="1">
        <v>-3676200</v>
      </c>
      <c r="K1081">
        <v>13</v>
      </c>
      <c r="L1081">
        <v>191</v>
      </c>
      <c r="M1081" t="s">
        <v>16</v>
      </c>
    </row>
    <row r="1082" spans="1:13" x14ac:dyDescent="0.35">
      <c r="A1082">
        <v>240080</v>
      </c>
      <c r="B1082">
        <v>9180</v>
      </c>
      <c r="C1082" t="s">
        <v>1217</v>
      </c>
      <c r="D1082" t="s">
        <v>1212</v>
      </c>
      <c r="E1082" t="s">
        <v>1217</v>
      </c>
      <c r="F1082">
        <v>11227</v>
      </c>
      <c r="G1082">
        <v>1</v>
      </c>
      <c r="H1082" t="s">
        <v>16</v>
      </c>
      <c r="I1082" s="1">
        <v>-566600</v>
      </c>
      <c r="J1082" s="1">
        <v>-3660100</v>
      </c>
      <c r="K1082">
        <v>110</v>
      </c>
      <c r="L1082">
        <v>741</v>
      </c>
      <c r="M1082" t="s">
        <v>16</v>
      </c>
    </row>
    <row r="1083" spans="1:13" x14ac:dyDescent="0.35">
      <c r="A1083">
        <v>240090</v>
      </c>
      <c r="B1083">
        <v>9199</v>
      </c>
      <c r="C1083" t="s">
        <v>1225</v>
      </c>
      <c r="D1083" t="s">
        <v>1212</v>
      </c>
      <c r="E1083" t="s">
        <v>1223</v>
      </c>
      <c r="F1083">
        <v>6997</v>
      </c>
      <c r="G1083">
        <v>1</v>
      </c>
      <c r="H1083" t="s">
        <v>16</v>
      </c>
      <c r="I1083" s="1">
        <v>-621300</v>
      </c>
      <c r="J1083" s="1">
        <v>-3790600</v>
      </c>
      <c r="K1083">
        <v>312</v>
      </c>
      <c r="L1083">
        <v>244</v>
      </c>
      <c r="M1083" t="s">
        <v>16</v>
      </c>
    </row>
    <row r="1084" spans="1:13" x14ac:dyDescent="0.35">
      <c r="A1084">
        <v>240100</v>
      </c>
      <c r="B1084">
        <v>9202</v>
      </c>
      <c r="C1084" t="s">
        <v>1226</v>
      </c>
      <c r="D1084" t="s">
        <v>1212</v>
      </c>
      <c r="E1084" t="s">
        <v>1227</v>
      </c>
      <c r="F1084">
        <v>34632</v>
      </c>
      <c r="G1084">
        <v>1</v>
      </c>
      <c r="H1084" t="s">
        <v>16</v>
      </c>
      <c r="I1084" s="1">
        <v>-566400</v>
      </c>
      <c r="J1084" s="1">
        <v>-3779900</v>
      </c>
      <c r="K1084">
        <v>67</v>
      </c>
      <c r="L1084">
        <v>1602</v>
      </c>
      <c r="M1084" t="s">
        <v>16</v>
      </c>
    </row>
    <row r="1085" spans="1:13" x14ac:dyDescent="0.35">
      <c r="A1085">
        <v>240110</v>
      </c>
      <c r="B1085">
        <v>9210</v>
      </c>
      <c r="C1085" t="s">
        <v>1228</v>
      </c>
      <c r="D1085" t="s">
        <v>1212</v>
      </c>
      <c r="E1085" t="s">
        <v>1229</v>
      </c>
      <c r="F1085">
        <v>24398</v>
      </c>
      <c r="G1085">
        <v>1</v>
      </c>
      <c r="H1085" t="s">
        <v>16</v>
      </c>
      <c r="I1085" s="1">
        <v>-495600</v>
      </c>
      <c r="J1085" s="1">
        <v>-3713700</v>
      </c>
      <c r="K1085">
        <v>3</v>
      </c>
      <c r="L1085">
        <v>357</v>
      </c>
      <c r="M1085" t="s">
        <v>16</v>
      </c>
    </row>
    <row r="1086" spans="1:13" x14ac:dyDescent="0.35">
      <c r="A1086">
        <v>240120</v>
      </c>
      <c r="B1086">
        <v>9229</v>
      </c>
      <c r="C1086" t="s">
        <v>1230</v>
      </c>
      <c r="D1086" t="s">
        <v>1212</v>
      </c>
      <c r="E1086" t="s">
        <v>1231</v>
      </c>
      <c r="F1086">
        <v>12236</v>
      </c>
      <c r="G1086">
        <v>1</v>
      </c>
      <c r="H1086" t="s">
        <v>16</v>
      </c>
      <c r="I1086" s="1">
        <v>-619400</v>
      </c>
      <c r="J1086" s="1">
        <v>-3516000</v>
      </c>
      <c r="K1086">
        <v>52</v>
      </c>
      <c r="L1086">
        <v>112</v>
      </c>
      <c r="M1086" t="s">
        <v>16</v>
      </c>
    </row>
    <row r="1087" spans="1:13" x14ac:dyDescent="0.35">
      <c r="A1087">
        <v>240130</v>
      </c>
      <c r="B1087">
        <v>9237</v>
      </c>
      <c r="C1087" t="s">
        <v>1232</v>
      </c>
      <c r="D1087" t="s">
        <v>1212</v>
      </c>
      <c r="E1087" t="s">
        <v>1233</v>
      </c>
      <c r="F1087">
        <v>8936</v>
      </c>
      <c r="G1087">
        <v>1</v>
      </c>
      <c r="H1087" t="s">
        <v>16</v>
      </c>
      <c r="I1087" s="1">
        <v>-586400</v>
      </c>
      <c r="J1087" s="1">
        <v>-3731000</v>
      </c>
      <c r="K1087">
        <v>96</v>
      </c>
      <c r="L1087">
        <v>896</v>
      </c>
      <c r="M1087" t="s">
        <v>16</v>
      </c>
    </row>
    <row r="1088" spans="1:13" x14ac:dyDescent="0.35">
      <c r="A1088">
        <v>240140</v>
      </c>
      <c r="B1088">
        <v>9245</v>
      </c>
      <c r="C1088" t="s">
        <v>1234</v>
      </c>
      <c r="D1088" t="s">
        <v>1212</v>
      </c>
      <c r="E1088" t="s">
        <v>1231</v>
      </c>
      <c r="F1088">
        <v>8466</v>
      </c>
      <c r="G1088">
        <v>1</v>
      </c>
      <c r="H1088" t="s">
        <v>16</v>
      </c>
      <c r="I1088" s="1">
        <v>-636900</v>
      </c>
      <c r="J1088" s="1">
        <v>-3500800</v>
      </c>
      <c r="K1088">
        <v>4</v>
      </c>
      <c r="L1088">
        <v>245</v>
      </c>
      <c r="M1088" t="s">
        <v>16</v>
      </c>
    </row>
    <row r="1089" spans="1:13" x14ac:dyDescent="0.35">
      <c r="A1089">
        <v>240145</v>
      </c>
      <c r="B1089">
        <v>10600</v>
      </c>
      <c r="C1089" t="s">
        <v>1235</v>
      </c>
      <c r="D1089" t="s">
        <v>1212</v>
      </c>
      <c r="E1089" t="s">
        <v>1229</v>
      </c>
      <c r="F1089">
        <v>23098</v>
      </c>
      <c r="G1089">
        <v>1</v>
      </c>
      <c r="H1089" t="s">
        <v>16</v>
      </c>
      <c r="I1089" s="1">
        <v>-508000</v>
      </c>
      <c r="J1089" s="1">
        <v>-3761700</v>
      </c>
      <c r="K1089">
        <v>94</v>
      </c>
      <c r="L1089">
        <v>825</v>
      </c>
      <c r="M1089" t="s">
        <v>16</v>
      </c>
    </row>
    <row r="1090" spans="1:13" x14ac:dyDescent="0.35">
      <c r="A1090">
        <v>240150</v>
      </c>
      <c r="B1090">
        <v>9253</v>
      </c>
      <c r="C1090" t="s">
        <v>1236</v>
      </c>
      <c r="D1090" t="s">
        <v>1212</v>
      </c>
      <c r="E1090" t="s">
        <v>1237</v>
      </c>
      <c r="F1090">
        <v>3928</v>
      </c>
      <c r="G1090">
        <v>1</v>
      </c>
      <c r="H1090" t="s">
        <v>16</v>
      </c>
      <c r="I1090" s="1">
        <v>-595100</v>
      </c>
      <c r="J1090" s="1">
        <v>-3592600</v>
      </c>
      <c r="K1090">
        <v>124</v>
      </c>
      <c r="L1090">
        <v>152</v>
      </c>
      <c r="M1090" t="s">
        <v>16</v>
      </c>
    </row>
    <row r="1091" spans="1:13" x14ac:dyDescent="0.35">
      <c r="A1091">
        <v>240160</v>
      </c>
      <c r="B1091">
        <v>9261</v>
      </c>
      <c r="C1091" t="s">
        <v>1238</v>
      </c>
      <c r="D1091" t="s">
        <v>1212</v>
      </c>
      <c r="E1091" t="s">
        <v>1239</v>
      </c>
      <c r="F1091">
        <v>5006</v>
      </c>
      <c r="G1091">
        <v>1</v>
      </c>
      <c r="H1091" t="s">
        <v>16</v>
      </c>
      <c r="I1091" s="1">
        <v>-569400</v>
      </c>
      <c r="J1091" s="1">
        <v>-3582000</v>
      </c>
      <c r="K1091">
        <v>111</v>
      </c>
      <c r="L1091">
        <v>301</v>
      </c>
      <c r="M1091" t="s">
        <v>16</v>
      </c>
    </row>
    <row r="1092" spans="1:13" x14ac:dyDescent="0.35">
      <c r="A1092">
        <v>240165</v>
      </c>
      <c r="B1092">
        <v>57894</v>
      </c>
      <c r="C1092" t="s">
        <v>1240</v>
      </c>
      <c r="D1092" t="s">
        <v>1212</v>
      </c>
      <c r="E1092" t="s">
        <v>1241</v>
      </c>
      <c r="F1092">
        <v>2542</v>
      </c>
      <c r="G1092">
        <v>1</v>
      </c>
      <c r="H1092" t="s">
        <v>16</v>
      </c>
      <c r="I1092" s="1">
        <v>-598800</v>
      </c>
      <c r="J1092" s="1">
        <v>-3641300</v>
      </c>
      <c r="K1092">
        <v>560</v>
      </c>
      <c r="L1092">
        <v>253</v>
      </c>
      <c r="M1092" t="s">
        <v>16</v>
      </c>
    </row>
    <row r="1093" spans="1:13" x14ac:dyDescent="0.35">
      <c r="A1093">
        <v>240170</v>
      </c>
      <c r="B1093">
        <v>9270</v>
      </c>
      <c r="C1093" t="s">
        <v>819</v>
      </c>
      <c r="D1093" t="s">
        <v>1212</v>
      </c>
      <c r="E1093" t="s">
        <v>1242</v>
      </c>
      <c r="F1093">
        <v>8478</v>
      </c>
      <c r="G1093">
        <v>1</v>
      </c>
      <c r="H1093" t="s">
        <v>16</v>
      </c>
      <c r="I1093" s="1">
        <v>-598400</v>
      </c>
      <c r="J1093" s="1">
        <v>-3558100</v>
      </c>
      <c r="K1093">
        <v>98</v>
      </c>
      <c r="L1093">
        <v>122</v>
      </c>
      <c r="M1093" t="s">
        <v>16</v>
      </c>
    </row>
    <row r="1094" spans="1:13" x14ac:dyDescent="0.35">
      <c r="A1094">
        <v>240180</v>
      </c>
      <c r="B1094">
        <v>9288</v>
      </c>
      <c r="C1094" t="s">
        <v>1243</v>
      </c>
      <c r="D1094" t="s">
        <v>1212</v>
      </c>
      <c r="E1094" t="s">
        <v>1242</v>
      </c>
      <c r="F1094">
        <v>11135</v>
      </c>
      <c r="G1094">
        <v>1</v>
      </c>
      <c r="H1094" t="s">
        <v>16</v>
      </c>
      <c r="I1094" s="1">
        <v>-619100</v>
      </c>
      <c r="J1094" s="1">
        <v>-3535700</v>
      </c>
      <c r="K1094">
        <v>144</v>
      </c>
      <c r="L1094">
        <v>58</v>
      </c>
      <c r="M1094" t="s">
        <v>16</v>
      </c>
    </row>
    <row r="1095" spans="1:13" x14ac:dyDescent="0.35">
      <c r="A1095">
        <v>240185</v>
      </c>
      <c r="B1095">
        <v>57908</v>
      </c>
      <c r="C1095" t="s">
        <v>1244</v>
      </c>
      <c r="D1095" t="s">
        <v>1212</v>
      </c>
      <c r="E1095" t="s">
        <v>1245</v>
      </c>
      <c r="F1095">
        <v>6384</v>
      </c>
      <c r="G1095">
        <v>1</v>
      </c>
      <c r="H1095" t="s">
        <v>16</v>
      </c>
      <c r="I1095" s="1">
        <v>-507800</v>
      </c>
      <c r="J1095" s="1">
        <v>-3606800</v>
      </c>
      <c r="K1095">
        <v>0</v>
      </c>
      <c r="L1095">
        <v>189</v>
      </c>
      <c r="M1095" t="s">
        <v>16</v>
      </c>
    </row>
    <row r="1096" spans="1:13" x14ac:dyDescent="0.35">
      <c r="A1096">
        <v>240190</v>
      </c>
      <c r="B1096">
        <v>9296</v>
      </c>
      <c r="C1096" t="s">
        <v>1246</v>
      </c>
      <c r="D1096" t="s">
        <v>1212</v>
      </c>
      <c r="E1096" t="s">
        <v>1217</v>
      </c>
      <c r="F1096">
        <v>3064</v>
      </c>
      <c r="G1096">
        <v>1</v>
      </c>
      <c r="H1096" t="s">
        <v>16</v>
      </c>
      <c r="I1096" s="1">
        <v>-576000</v>
      </c>
      <c r="J1096" s="1">
        <v>-3599800</v>
      </c>
      <c r="K1096">
        <v>167</v>
      </c>
      <c r="L1096">
        <v>261</v>
      </c>
      <c r="M1096" t="s">
        <v>16</v>
      </c>
    </row>
    <row r="1097" spans="1:13" x14ac:dyDescent="0.35">
      <c r="A1097">
        <v>240200</v>
      </c>
      <c r="B1097">
        <v>9300</v>
      </c>
      <c r="C1097" t="s">
        <v>1247</v>
      </c>
      <c r="D1097" t="s">
        <v>1212</v>
      </c>
      <c r="E1097" t="s">
        <v>1248</v>
      </c>
      <c r="F1097">
        <v>60656</v>
      </c>
      <c r="G1097">
        <v>2</v>
      </c>
      <c r="H1097" t="s">
        <v>16</v>
      </c>
      <c r="I1097" s="1">
        <v>-645800</v>
      </c>
      <c r="J1097" s="1">
        <v>-3709800</v>
      </c>
      <c r="K1097">
        <v>151</v>
      </c>
      <c r="L1097">
        <v>1228</v>
      </c>
      <c r="M1097" t="s">
        <v>16</v>
      </c>
    </row>
    <row r="1098" spans="1:13" x14ac:dyDescent="0.35">
      <c r="A1098">
        <v>240210</v>
      </c>
      <c r="B1098">
        <v>9318</v>
      </c>
      <c r="C1098" t="s">
        <v>1249</v>
      </c>
      <c r="D1098" t="s">
        <v>1212</v>
      </c>
      <c r="E1098" t="s">
        <v>1237</v>
      </c>
      <c r="F1098">
        <v>10462</v>
      </c>
      <c r="G1098">
        <v>1</v>
      </c>
      <c r="H1098" t="s">
        <v>16</v>
      </c>
      <c r="I1098" s="1">
        <v>-624300</v>
      </c>
      <c r="J1098" s="1">
        <v>-3618300</v>
      </c>
      <c r="K1098">
        <v>471</v>
      </c>
      <c r="L1098">
        <v>213</v>
      </c>
      <c r="M1098" t="s">
        <v>16</v>
      </c>
    </row>
    <row r="1099" spans="1:13" x14ac:dyDescent="0.35">
      <c r="A1099">
        <v>240220</v>
      </c>
      <c r="B1099">
        <v>9326</v>
      </c>
      <c r="C1099" t="s">
        <v>1250</v>
      </c>
      <c r="D1099" t="s">
        <v>1212</v>
      </c>
      <c r="E1099" t="s">
        <v>1231</v>
      </c>
      <c r="F1099">
        <v>29334</v>
      </c>
      <c r="G1099">
        <v>1</v>
      </c>
      <c r="H1099" t="s">
        <v>16</v>
      </c>
      <c r="I1099" s="1">
        <v>-638000</v>
      </c>
      <c r="J1099" s="1">
        <v>-3512900</v>
      </c>
      <c r="K1099">
        <v>5</v>
      </c>
      <c r="L1099">
        <v>245</v>
      </c>
      <c r="M1099" t="s">
        <v>16</v>
      </c>
    </row>
    <row r="1100" spans="1:13" x14ac:dyDescent="0.35">
      <c r="A1100">
        <v>240230</v>
      </c>
      <c r="B1100">
        <v>9334</v>
      </c>
      <c r="C1100" t="s">
        <v>1251</v>
      </c>
      <c r="D1100" t="s">
        <v>1212</v>
      </c>
      <c r="E1100" t="s">
        <v>1227</v>
      </c>
      <c r="F1100">
        <v>19739</v>
      </c>
      <c r="G1100">
        <v>1</v>
      </c>
      <c r="H1100" t="s">
        <v>16</v>
      </c>
      <c r="I1100" s="1">
        <v>-579300</v>
      </c>
      <c r="J1100" s="1">
        <v>-3755700</v>
      </c>
      <c r="K1100">
        <v>144</v>
      </c>
      <c r="L1100">
        <v>1095</v>
      </c>
      <c r="M1100" t="s">
        <v>16</v>
      </c>
    </row>
    <row r="1101" spans="1:13" x14ac:dyDescent="0.35">
      <c r="A1101">
        <v>240240</v>
      </c>
      <c r="B1101">
        <v>9342</v>
      </c>
      <c r="C1101" t="s">
        <v>1252</v>
      </c>
      <c r="D1101" t="s">
        <v>1212</v>
      </c>
      <c r="E1101" t="s">
        <v>1213</v>
      </c>
      <c r="F1101">
        <v>6836</v>
      </c>
      <c r="G1101">
        <v>1</v>
      </c>
      <c r="H1101" t="s">
        <v>16</v>
      </c>
      <c r="I1101" s="1">
        <v>-655600</v>
      </c>
      <c r="J1101" s="1">
        <v>-3659500</v>
      </c>
      <c r="K1101">
        <v>306</v>
      </c>
      <c r="L1101">
        <v>245</v>
      </c>
      <c r="M1101" t="s">
        <v>16</v>
      </c>
    </row>
    <row r="1102" spans="1:13" x14ac:dyDescent="0.35">
      <c r="A1102">
        <v>240250</v>
      </c>
      <c r="B1102">
        <v>9350</v>
      </c>
      <c r="C1102" t="s">
        <v>1253</v>
      </c>
      <c r="D1102" t="s">
        <v>1212</v>
      </c>
      <c r="E1102" t="s">
        <v>1215</v>
      </c>
      <c r="F1102">
        <v>9284</v>
      </c>
      <c r="G1102">
        <v>1</v>
      </c>
      <c r="H1102" t="s">
        <v>16</v>
      </c>
      <c r="I1102" s="1">
        <v>-534100</v>
      </c>
      <c r="J1102" s="1">
        <v>-3683300</v>
      </c>
      <c r="K1102">
        <v>30</v>
      </c>
      <c r="L1102">
        <v>529</v>
      </c>
      <c r="M1102" t="s">
        <v>16</v>
      </c>
    </row>
    <row r="1103" spans="1:13" x14ac:dyDescent="0.35">
      <c r="A1103">
        <v>240260</v>
      </c>
      <c r="B1103">
        <v>9369</v>
      </c>
      <c r="C1103" t="s">
        <v>1254</v>
      </c>
      <c r="D1103" t="s">
        <v>1212</v>
      </c>
      <c r="E1103" t="s">
        <v>1255</v>
      </c>
      <c r="F1103">
        <v>65450</v>
      </c>
      <c r="G1103">
        <v>4</v>
      </c>
      <c r="H1103" t="s">
        <v>1256</v>
      </c>
      <c r="I1103" s="1">
        <v>-563400</v>
      </c>
      <c r="J1103" s="1">
        <v>-3542600</v>
      </c>
      <c r="K1103">
        <v>33</v>
      </c>
      <c r="L1103">
        <v>739</v>
      </c>
      <c r="M1103" t="s">
        <v>16</v>
      </c>
    </row>
    <row r="1104" spans="1:13" x14ac:dyDescent="0.35">
      <c r="A1104">
        <v>240270</v>
      </c>
      <c r="B1104">
        <v>9377</v>
      </c>
      <c r="C1104" t="s">
        <v>1257</v>
      </c>
      <c r="D1104" t="s">
        <v>1212</v>
      </c>
      <c r="E1104" t="s">
        <v>1241</v>
      </c>
      <c r="F1104">
        <v>10890</v>
      </c>
      <c r="G1104">
        <v>1</v>
      </c>
      <c r="H1104" t="s">
        <v>16</v>
      </c>
      <c r="I1104" s="1">
        <v>-604600</v>
      </c>
      <c r="J1104" s="1">
        <v>-3634600</v>
      </c>
      <c r="K1104">
        <v>575</v>
      </c>
      <c r="L1104">
        <v>393</v>
      </c>
      <c r="M1104" t="s">
        <v>16</v>
      </c>
    </row>
    <row r="1105" spans="1:13" x14ac:dyDescent="0.35">
      <c r="A1105">
        <v>240280</v>
      </c>
      <c r="B1105">
        <v>9385</v>
      </c>
      <c r="C1105" t="s">
        <v>1258</v>
      </c>
      <c r="D1105" t="s">
        <v>1212</v>
      </c>
      <c r="E1105" t="s">
        <v>1237</v>
      </c>
      <c r="F1105">
        <v>5255</v>
      </c>
      <c r="G1105">
        <v>1</v>
      </c>
      <c r="H1105" t="s">
        <v>16</v>
      </c>
      <c r="I1105" s="1">
        <v>-638300</v>
      </c>
      <c r="J1105" s="1">
        <v>-3621500</v>
      </c>
      <c r="K1105">
        <v>584</v>
      </c>
      <c r="L1105">
        <v>185</v>
      </c>
      <c r="M1105" t="s">
        <v>16</v>
      </c>
    </row>
    <row r="1106" spans="1:13" x14ac:dyDescent="0.35">
      <c r="A1106">
        <v>240290</v>
      </c>
      <c r="B1106">
        <v>9393</v>
      </c>
      <c r="C1106" t="s">
        <v>1259</v>
      </c>
      <c r="D1106" t="s">
        <v>1212</v>
      </c>
      <c r="E1106" t="s">
        <v>1219</v>
      </c>
      <c r="F1106">
        <v>4827</v>
      </c>
      <c r="G1106">
        <v>1</v>
      </c>
      <c r="H1106" t="s">
        <v>16</v>
      </c>
      <c r="I1106" s="1">
        <v>-626000</v>
      </c>
      <c r="J1106" s="1">
        <v>-3844400</v>
      </c>
      <c r="K1106">
        <v>401</v>
      </c>
      <c r="L1106">
        <v>117</v>
      </c>
      <c r="M1106" t="s">
        <v>16</v>
      </c>
    </row>
    <row r="1107" spans="1:13" x14ac:dyDescent="0.35">
      <c r="A1107">
        <v>240300</v>
      </c>
      <c r="B1107">
        <v>9407</v>
      </c>
      <c r="C1107" t="s">
        <v>1260</v>
      </c>
      <c r="D1107" t="s">
        <v>1212</v>
      </c>
      <c r="E1107" t="s">
        <v>1213</v>
      </c>
      <c r="F1107">
        <v>7825</v>
      </c>
      <c r="G1107">
        <v>1</v>
      </c>
      <c r="H1107" t="s">
        <v>16</v>
      </c>
      <c r="I1107" s="1">
        <v>-641200</v>
      </c>
      <c r="J1107" s="1">
        <v>-3679000</v>
      </c>
      <c r="K1107">
        <v>231</v>
      </c>
      <c r="L1107">
        <v>295</v>
      </c>
      <c r="M1107" t="s">
        <v>16</v>
      </c>
    </row>
    <row r="1108" spans="1:13" x14ac:dyDescent="0.35">
      <c r="A1108">
        <v>240310</v>
      </c>
      <c r="B1108">
        <v>9415</v>
      </c>
      <c r="C1108" t="s">
        <v>1261</v>
      </c>
      <c r="D1108" t="s">
        <v>1212</v>
      </c>
      <c r="E1108" t="s">
        <v>1213</v>
      </c>
      <c r="F1108">
        <v>42066</v>
      </c>
      <c r="G1108">
        <v>1</v>
      </c>
      <c r="H1108" t="s">
        <v>16</v>
      </c>
      <c r="I1108" s="1">
        <v>-626100</v>
      </c>
      <c r="J1108" s="1">
        <v>-3651500</v>
      </c>
      <c r="K1108">
        <v>341</v>
      </c>
      <c r="L1108">
        <v>864</v>
      </c>
      <c r="M1108" t="s">
        <v>16</v>
      </c>
    </row>
    <row r="1109" spans="1:13" x14ac:dyDescent="0.35">
      <c r="A1109">
        <v>240320</v>
      </c>
      <c r="B1109">
        <v>9423</v>
      </c>
      <c r="C1109" t="s">
        <v>1262</v>
      </c>
      <c r="D1109" t="s">
        <v>1212</v>
      </c>
      <c r="E1109" t="s">
        <v>1219</v>
      </c>
      <c r="F1109">
        <v>6431</v>
      </c>
      <c r="G1109">
        <v>1</v>
      </c>
      <c r="H1109" t="s">
        <v>16</v>
      </c>
      <c r="I1109" s="1">
        <v>-609400</v>
      </c>
      <c r="J1109" s="1">
        <v>-3837500</v>
      </c>
      <c r="K1109">
        <v>370</v>
      </c>
      <c r="L1109">
        <v>108</v>
      </c>
      <c r="M1109" t="s">
        <v>16</v>
      </c>
    </row>
    <row r="1110" spans="1:13" x14ac:dyDescent="0.35">
      <c r="A1110">
        <v>240325</v>
      </c>
      <c r="B1110">
        <v>9997</v>
      </c>
      <c r="C1110" t="s">
        <v>1263</v>
      </c>
      <c r="D1110" t="s">
        <v>1212</v>
      </c>
      <c r="E1110" t="s">
        <v>1264</v>
      </c>
      <c r="F1110">
        <v>172751</v>
      </c>
      <c r="G1110">
        <v>4</v>
      </c>
      <c r="H1110" t="s">
        <v>1256</v>
      </c>
      <c r="I1110" s="1">
        <v>-591600</v>
      </c>
      <c r="J1110" s="1">
        <v>-3526300</v>
      </c>
      <c r="K1110">
        <v>53</v>
      </c>
      <c r="L1110">
        <v>120</v>
      </c>
      <c r="M1110" t="s">
        <v>16</v>
      </c>
    </row>
    <row r="1111" spans="1:13" x14ac:dyDescent="0.35">
      <c r="A1111">
        <v>240330</v>
      </c>
      <c r="B1111">
        <v>9431</v>
      </c>
      <c r="C1111" t="s">
        <v>1265</v>
      </c>
      <c r="D1111" t="s">
        <v>1212</v>
      </c>
      <c r="E1111" t="s">
        <v>1219</v>
      </c>
      <c r="F1111">
        <v>5158</v>
      </c>
      <c r="G1111">
        <v>1</v>
      </c>
      <c r="H1111" t="s">
        <v>16</v>
      </c>
      <c r="I1111" s="1">
        <v>-611100</v>
      </c>
      <c r="J1111" s="1">
        <v>-3830600</v>
      </c>
      <c r="K1111">
        <v>212</v>
      </c>
      <c r="L1111">
        <v>125</v>
      </c>
      <c r="M1111" t="s">
        <v>16</v>
      </c>
    </row>
    <row r="1112" spans="1:13" x14ac:dyDescent="0.35">
      <c r="A1112">
        <v>240340</v>
      </c>
      <c r="B1112">
        <v>9440</v>
      </c>
      <c r="C1112" t="s">
        <v>1266</v>
      </c>
      <c r="D1112" t="s">
        <v>1212</v>
      </c>
      <c r="E1112" t="s">
        <v>1213</v>
      </c>
      <c r="F1112">
        <v>5875</v>
      </c>
      <c r="G1112">
        <v>1</v>
      </c>
      <c r="H1112" t="s">
        <v>16</v>
      </c>
      <c r="I1112" s="1">
        <v>-694500</v>
      </c>
      <c r="J1112" s="1">
        <v>-3671800</v>
      </c>
      <c r="K1112">
        <v>572</v>
      </c>
      <c r="L1112">
        <v>264</v>
      </c>
      <c r="M1112" t="s">
        <v>16</v>
      </c>
    </row>
    <row r="1113" spans="1:13" x14ac:dyDescent="0.35">
      <c r="A1113">
        <v>240350</v>
      </c>
      <c r="B1113">
        <v>9458</v>
      </c>
      <c r="C1113" t="s">
        <v>1267</v>
      </c>
      <c r="D1113" t="s">
        <v>1212</v>
      </c>
      <c r="E1113" t="s">
        <v>1231</v>
      </c>
      <c r="F1113">
        <v>10132</v>
      </c>
      <c r="G1113">
        <v>1</v>
      </c>
      <c r="H1113" t="s">
        <v>16</v>
      </c>
      <c r="I1113" s="1">
        <v>-633200</v>
      </c>
      <c r="J1113" s="1">
        <v>-3530900</v>
      </c>
      <c r="K1113">
        <v>44</v>
      </c>
      <c r="L1113">
        <v>143</v>
      </c>
      <c r="M1113" t="s">
        <v>16</v>
      </c>
    </row>
    <row r="1114" spans="1:13" x14ac:dyDescent="0.35">
      <c r="A1114">
        <v>240360</v>
      </c>
      <c r="B1114">
        <v>9466</v>
      </c>
      <c r="C1114" t="s">
        <v>1268</v>
      </c>
      <c r="D1114" t="s">
        <v>1212</v>
      </c>
      <c r="E1114" t="s">
        <v>1264</v>
      </c>
      <c r="F1114">
        <v>21792</v>
      </c>
      <c r="G1114">
        <v>4</v>
      </c>
      <c r="H1114" t="s">
        <v>1256</v>
      </c>
      <c r="I1114" s="1">
        <v>-570600</v>
      </c>
      <c r="J1114" s="1">
        <v>-3530700</v>
      </c>
      <c r="K1114">
        <v>41</v>
      </c>
      <c r="L1114">
        <v>125</v>
      </c>
      <c r="M1114" t="s">
        <v>16</v>
      </c>
    </row>
    <row r="1115" spans="1:13" x14ac:dyDescent="0.35">
      <c r="A1115">
        <v>240370</v>
      </c>
      <c r="B1115">
        <v>9474</v>
      </c>
      <c r="C1115" t="s">
        <v>1269</v>
      </c>
      <c r="D1115" t="s">
        <v>1212</v>
      </c>
      <c r="E1115" t="s">
        <v>1227</v>
      </c>
      <c r="F1115">
        <v>5680</v>
      </c>
      <c r="G1115">
        <v>1</v>
      </c>
      <c r="H1115" t="s">
        <v>16</v>
      </c>
      <c r="I1115" s="1">
        <v>-560300</v>
      </c>
      <c r="J1115" s="1">
        <v>-3768900</v>
      </c>
      <c r="K1115">
        <v>40</v>
      </c>
      <c r="L1115">
        <v>268</v>
      </c>
      <c r="M1115" t="s">
        <v>16</v>
      </c>
    </row>
    <row r="1116" spans="1:13" x14ac:dyDescent="0.35">
      <c r="A1116">
        <v>240375</v>
      </c>
      <c r="B1116">
        <v>57916</v>
      </c>
      <c r="C1116" t="s">
        <v>1270</v>
      </c>
      <c r="D1116" t="s">
        <v>1212</v>
      </c>
      <c r="E1116" t="s">
        <v>1217</v>
      </c>
      <c r="F1116">
        <v>2876</v>
      </c>
      <c r="G1116">
        <v>1</v>
      </c>
      <c r="H1116" t="s">
        <v>16</v>
      </c>
      <c r="I1116" s="1">
        <v>-569700</v>
      </c>
      <c r="J1116" s="1">
        <v>-3653100</v>
      </c>
      <c r="K1116">
        <v>133</v>
      </c>
      <c r="L1116">
        <v>322</v>
      </c>
      <c r="M1116" t="s">
        <v>16</v>
      </c>
    </row>
    <row r="1117" spans="1:13" x14ac:dyDescent="0.35">
      <c r="A1117">
        <v>240380</v>
      </c>
      <c r="B1117">
        <v>9482</v>
      </c>
      <c r="C1117" t="s">
        <v>1271</v>
      </c>
      <c r="D1117" t="s">
        <v>1212</v>
      </c>
      <c r="E1117" t="s">
        <v>1241</v>
      </c>
      <c r="F1117">
        <v>8313</v>
      </c>
      <c r="G1117">
        <v>1</v>
      </c>
      <c r="H1117" t="s">
        <v>16</v>
      </c>
      <c r="I1117" s="1">
        <v>-612700</v>
      </c>
      <c r="J1117" s="1">
        <v>-3681800</v>
      </c>
      <c r="K1117">
        <v>315</v>
      </c>
      <c r="L1117">
        <v>504</v>
      </c>
      <c r="M1117" t="s">
        <v>16</v>
      </c>
    </row>
    <row r="1118" spans="1:13" x14ac:dyDescent="0.35">
      <c r="A1118">
        <v>240390</v>
      </c>
      <c r="B1118">
        <v>9490</v>
      </c>
      <c r="C1118" t="s">
        <v>1272</v>
      </c>
      <c r="D1118" t="s">
        <v>1212</v>
      </c>
      <c r="E1118" t="s">
        <v>1221</v>
      </c>
      <c r="F1118">
        <v>2928</v>
      </c>
      <c r="G1118">
        <v>1</v>
      </c>
      <c r="H1118" t="s">
        <v>16</v>
      </c>
      <c r="I1118" s="1">
        <v>-607800</v>
      </c>
      <c r="J1118" s="1">
        <v>-3811900</v>
      </c>
      <c r="K1118">
        <v>224</v>
      </c>
      <c r="L1118">
        <v>181</v>
      </c>
      <c r="M1118" t="s">
        <v>16</v>
      </c>
    </row>
    <row r="1119" spans="1:13" x14ac:dyDescent="0.35">
      <c r="A1119">
        <v>240400</v>
      </c>
      <c r="B1119">
        <v>9504</v>
      </c>
      <c r="C1119" t="s">
        <v>1273</v>
      </c>
      <c r="D1119" t="s">
        <v>1212</v>
      </c>
      <c r="E1119" t="s">
        <v>1223</v>
      </c>
      <c r="F1119">
        <v>4360</v>
      </c>
      <c r="G1119">
        <v>1</v>
      </c>
      <c r="H1119" t="s">
        <v>16</v>
      </c>
      <c r="I1119" s="1">
        <v>-615800</v>
      </c>
      <c r="J1119" s="1">
        <v>-3784000</v>
      </c>
      <c r="K1119">
        <v>231</v>
      </c>
      <c r="L1119">
        <v>63</v>
      </c>
      <c r="M1119" t="s">
        <v>16</v>
      </c>
    </row>
    <row r="1120" spans="1:13" x14ac:dyDescent="0.35">
      <c r="A1120">
        <v>240410</v>
      </c>
      <c r="B1120">
        <v>9512</v>
      </c>
      <c r="C1120" t="s">
        <v>1274</v>
      </c>
      <c r="D1120" t="s">
        <v>1212</v>
      </c>
      <c r="E1120" t="s">
        <v>1245</v>
      </c>
      <c r="F1120">
        <v>2149</v>
      </c>
      <c r="G1120">
        <v>1</v>
      </c>
      <c r="H1120" t="s">
        <v>16</v>
      </c>
      <c r="I1120" s="1">
        <v>-509100</v>
      </c>
      <c r="J1120" s="1">
        <v>-3627500</v>
      </c>
      <c r="K1120">
        <v>2</v>
      </c>
      <c r="L1120">
        <v>342</v>
      </c>
      <c r="M1120" t="s">
        <v>16</v>
      </c>
    </row>
    <row r="1121" spans="1:13" x14ac:dyDescent="0.35">
      <c r="A1121">
        <v>240420</v>
      </c>
      <c r="B1121">
        <v>9520</v>
      </c>
      <c r="C1121" t="s">
        <v>1275</v>
      </c>
      <c r="D1121" t="s">
        <v>1212</v>
      </c>
      <c r="E1121" t="s">
        <v>1231</v>
      </c>
      <c r="F1121">
        <v>20347</v>
      </c>
      <c r="G1121">
        <v>1</v>
      </c>
      <c r="H1121" t="s">
        <v>16</v>
      </c>
      <c r="I1121" s="1">
        <v>-626700</v>
      </c>
      <c r="J1121" s="1">
        <v>-3521000</v>
      </c>
      <c r="K1121">
        <v>19</v>
      </c>
      <c r="L1121">
        <v>192</v>
      </c>
      <c r="M1121" t="s">
        <v>16</v>
      </c>
    </row>
    <row r="1122" spans="1:13" x14ac:dyDescent="0.35">
      <c r="A1122">
        <v>240430</v>
      </c>
      <c r="B1122">
        <v>9539</v>
      </c>
      <c r="C1122" t="s">
        <v>1276</v>
      </c>
      <c r="D1122" t="s">
        <v>1212</v>
      </c>
      <c r="E1122" t="s">
        <v>1227</v>
      </c>
      <c r="F1122">
        <v>12374</v>
      </c>
      <c r="G1122">
        <v>1</v>
      </c>
      <c r="H1122" t="s">
        <v>16</v>
      </c>
      <c r="I1122" s="1">
        <v>-545900</v>
      </c>
      <c r="J1122" s="1">
        <v>-3752100</v>
      </c>
      <c r="K1122">
        <v>26</v>
      </c>
      <c r="L1122">
        <v>1129</v>
      </c>
      <c r="M1122" t="s">
        <v>16</v>
      </c>
    </row>
    <row r="1123" spans="1:13" x14ac:dyDescent="0.35">
      <c r="A1123">
        <v>240440</v>
      </c>
      <c r="B1123">
        <v>9547</v>
      </c>
      <c r="C1123" t="s">
        <v>1277</v>
      </c>
      <c r="D1123" t="s">
        <v>1212</v>
      </c>
      <c r="E1123" t="s">
        <v>1229</v>
      </c>
      <c r="F1123">
        <v>9441</v>
      </c>
      <c r="G1123">
        <v>1</v>
      </c>
      <c r="H1123" t="s">
        <v>16</v>
      </c>
      <c r="I1123" s="1">
        <v>-498000</v>
      </c>
      <c r="J1123" s="1">
        <v>-3715500</v>
      </c>
      <c r="K1123">
        <v>5</v>
      </c>
      <c r="L1123">
        <v>126</v>
      </c>
      <c r="M1123" t="s">
        <v>16</v>
      </c>
    </row>
    <row r="1124" spans="1:13" x14ac:dyDescent="0.35">
      <c r="A1124">
        <v>240450</v>
      </c>
      <c r="B1124">
        <v>9555</v>
      </c>
      <c r="C1124" t="s">
        <v>1278</v>
      </c>
      <c r="D1124" t="s">
        <v>1212</v>
      </c>
      <c r="E1124" t="s">
        <v>1245</v>
      </c>
      <c r="F1124">
        <v>11737</v>
      </c>
      <c r="G1124">
        <v>1</v>
      </c>
      <c r="H1124" t="s">
        <v>16</v>
      </c>
      <c r="I1124" s="1">
        <v>-510800</v>
      </c>
      <c r="J1124" s="1">
        <v>-3632000</v>
      </c>
      <c r="K1124">
        <v>3</v>
      </c>
      <c r="L1124">
        <v>259</v>
      </c>
      <c r="M1124" t="s">
        <v>16</v>
      </c>
    </row>
    <row r="1125" spans="1:13" x14ac:dyDescent="0.35">
      <c r="A1125">
        <v>240460</v>
      </c>
      <c r="B1125">
        <v>9563</v>
      </c>
      <c r="C1125" t="s">
        <v>1279</v>
      </c>
      <c r="D1125" t="s">
        <v>1212</v>
      </c>
      <c r="E1125" t="s">
        <v>1242</v>
      </c>
      <c r="F1125">
        <v>11649</v>
      </c>
      <c r="G1125">
        <v>1</v>
      </c>
      <c r="H1125" t="s">
        <v>16</v>
      </c>
      <c r="I1125" s="1">
        <v>-582400</v>
      </c>
      <c r="J1125" s="1">
        <v>-3555300</v>
      </c>
      <c r="K1125">
        <v>65</v>
      </c>
      <c r="L1125">
        <v>305</v>
      </c>
      <c r="M1125" t="s">
        <v>16</v>
      </c>
    </row>
    <row r="1126" spans="1:13" x14ac:dyDescent="0.35">
      <c r="A1126">
        <v>240470</v>
      </c>
      <c r="B1126">
        <v>9571</v>
      </c>
      <c r="C1126" t="s">
        <v>1280</v>
      </c>
      <c r="D1126" t="s">
        <v>1212</v>
      </c>
      <c r="E1126" t="s">
        <v>1215</v>
      </c>
      <c r="F1126">
        <v>13444</v>
      </c>
      <c r="G1126">
        <v>1</v>
      </c>
      <c r="H1126" t="s">
        <v>16</v>
      </c>
      <c r="I1126" s="1">
        <v>-549800</v>
      </c>
      <c r="J1126" s="1">
        <v>-3685500</v>
      </c>
      <c r="K1126">
        <v>16</v>
      </c>
      <c r="L1126">
        <v>374</v>
      </c>
      <c r="M1126" t="s">
        <v>16</v>
      </c>
    </row>
    <row r="1127" spans="1:13" x14ac:dyDescent="0.35">
      <c r="A1127">
        <v>240480</v>
      </c>
      <c r="B1127">
        <v>9580</v>
      </c>
      <c r="C1127" t="s">
        <v>1281</v>
      </c>
      <c r="D1127" t="s">
        <v>1212</v>
      </c>
      <c r="E1127" t="s">
        <v>1248</v>
      </c>
      <c r="F1127">
        <v>2035</v>
      </c>
      <c r="G1127">
        <v>1</v>
      </c>
      <c r="H1127" t="s">
        <v>16</v>
      </c>
      <c r="I1127" s="1">
        <v>-681400</v>
      </c>
      <c r="J1127" s="1">
        <v>-3719900</v>
      </c>
      <c r="K1127">
        <v>217</v>
      </c>
      <c r="L1127">
        <v>127</v>
      </c>
      <c r="M1127" t="s">
        <v>16</v>
      </c>
    </row>
    <row r="1128" spans="1:13" x14ac:dyDescent="0.35">
      <c r="A1128">
        <v>240485</v>
      </c>
      <c r="B1128">
        <v>53902</v>
      </c>
      <c r="C1128" t="s">
        <v>1282</v>
      </c>
      <c r="D1128" t="s">
        <v>1212</v>
      </c>
      <c r="E1128" t="s">
        <v>1215</v>
      </c>
      <c r="F1128">
        <v>6410</v>
      </c>
      <c r="G1128">
        <v>1</v>
      </c>
      <c r="H1128" t="s">
        <v>16</v>
      </c>
      <c r="I1128" s="1">
        <v>-564400</v>
      </c>
      <c r="J1128" s="1">
        <v>-3687100</v>
      </c>
      <c r="K1128">
        <v>55</v>
      </c>
      <c r="L1128">
        <v>203</v>
      </c>
      <c r="M1128" t="s">
        <v>16</v>
      </c>
    </row>
    <row r="1129" spans="1:13" x14ac:dyDescent="0.35">
      <c r="A1129">
        <v>240490</v>
      </c>
      <c r="B1129">
        <v>9598</v>
      </c>
      <c r="C1129" t="s">
        <v>1283</v>
      </c>
      <c r="D1129" t="s">
        <v>1212</v>
      </c>
      <c r="E1129" t="s">
        <v>1221</v>
      </c>
      <c r="F1129">
        <v>5758</v>
      </c>
      <c r="G1129">
        <v>1</v>
      </c>
      <c r="H1129" t="s">
        <v>16</v>
      </c>
      <c r="I1129" s="1">
        <v>-584000</v>
      </c>
      <c r="J1129" s="1">
        <v>-3799300</v>
      </c>
      <c r="K1129">
        <v>143</v>
      </c>
      <c r="L1129">
        <v>133</v>
      </c>
      <c r="M1129" t="s">
        <v>16</v>
      </c>
    </row>
    <row r="1130" spans="1:13" x14ac:dyDescent="0.35">
      <c r="A1130">
        <v>240500</v>
      </c>
      <c r="B1130">
        <v>9601</v>
      </c>
      <c r="C1130" t="s">
        <v>1284</v>
      </c>
      <c r="D1130" t="s">
        <v>1212</v>
      </c>
      <c r="E1130" t="s">
        <v>1237</v>
      </c>
      <c r="F1130">
        <v>7788</v>
      </c>
      <c r="G1130">
        <v>1</v>
      </c>
      <c r="H1130" t="s">
        <v>16</v>
      </c>
      <c r="I1130" s="1">
        <v>-642600</v>
      </c>
      <c r="J1130" s="1">
        <v>-3620500</v>
      </c>
      <c r="K1130">
        <v>664</v>
      </c>
      <c r="L1130">
        <v>54</v>
      </c>
      <c r="M1130" t="s">
        <v>16</v>
      </c>
    </row>
    <row r="1131" spans="1:13" x14ac:dyDescent="0.35">
      <c r="A1131">
        <v>240510</v>
      </c>
      <c r="B1131">
        <v>9610</v>
      </c>
      <c r="C1131" t="s">
        <v>1285</v>
      </c>
      <c r="D1131" t="s">
        <v>1212</v>
      </c>
      <c r="E1131" t="s">
        <v>1239</v>
      </c>
      <c r="F1131">
        <v>6447</v>
      </c>
      <c r="G1131">
        <v>1</v>
      </c>
      <c r="H1131" t="s">
        <v>16</v>
      </c>
      <c r="I1131" s="1">
        <v>-535600</v>
      </c>
      <c r="J1131" s="1">
        <v>-3612800</v>
      </c>
      <c r="K1131">
        <v>110</v>
      </c>
      <c r="L1131">
        <v>435</v>
      </c>
      <c r="M1131" t="s">
        <v>16</v>
      </c>
    </row>
    <row r="1132" spans="1:13" x14ac:dyDescent="0.35">
      <c r="A1132">
        <v>240520</v>
      </c>
      <c r="B1132">
        <v>9628</v>
      </c>
      <c r="C1132" t="s">
        <v>1286</v>
      </c>
      <c r="D1132" t="s">
        <v>1212</v>
      </c>
      <c r="E1132" t="s">
        <v>1233</v>
      </c>
      <c r="F1132">
        <v>5416</v>
      </c>
      <c r="G1132">
        <v>1</v>
      </c>
      <c r="H1132" t="s">
        <v>16</v>
      </c>
      <c r="I1132" s="1">
        <v>-601600</v>
      </c>
      <c r="J1132" s="1">
        <v>-3740900</v>
      </c>
      <c r="K1132">
        <v>141</v>
      </c>
      <c r="L1132">
        <v>304</v>
      </c>
      <c r="M1132" t="s">
        <v>16</v>
      </c>
    </row>
    <row r="1133" spans="1:13" x14ac:dyDescent="0.35">
      <c r="A1133">
        <v>240530</v>
      </c>
      <c r="B1133">
        <v>9636</v>
      </c>
      <c r="C1133" t="s">
        <v>1287</v>
      </c>
      <c r="D1133" t="s">
        <v>1212</v>
      </c>
      <c r="E1133" t="s">
        <v>1242</v>
      </c>
      <c r="F1133">
        <v>8294</v>
      </c>
      <c r="G1133">
        <v>1</v>
      </c>
      <c r="H1133" t="s">
        <v>16</v>
      </c>
      <c r="I1133" s="1">
        <v>-615800</v>
      </c>
      <c r="J1133" s="1">
        <v>-3560100</v>
      </c>
      <c r="K1133">
        <v>104</v>
      </c>
      <c r="L1133">
        <v>187</v>
      </c>
      <c r="M1133" t="s">
        <v>16</v>
      </c>
    </row>
    <row r="1134" spans="1:13" x14ac:dyDescent="0.35">
      <c r="A1134">
        <v>240540</v>
      </c>
      <c r="B1134">
        <v>9644</v>
      </c>
      <c r="C1134" t="s">
        <v>1288</v>
      </c>
      <c r="D1134" t="s">
        <v>1212</v>
      </c>
      <c r="E1134" t="s">
        <v>1237</v>
      </c>
      <c r="F1134">
        <v>5610</v>
      </c>
      <c r="G1134">
        <v>1</v>
      </c>
      <c r="H1134" t="s">
        <v>16</v>
      </c>
      <c r="I1134" s="1">
        <v>-646500</v>
      </c>
      <c r="J1134" s="1">
        <v>-3594700</v>
      </c>
      <c r="K1134">
        <v>284</v>
      </c>
      <c r="L1134">
        <v>188</v>
      </c>
      <c r="M1134" t="s">
        <v>16</v>
      </c>
    </row>
    <row r="1135" spans="1:13" x14ac:dyDescent="0.35">
      <c r="A1135">
        <v>240550</v>
      </c>
      <c r="B1135">
        <v>9652</v>
      </c>
      <c r="C1135" t="s">
        <v>1289</v>
      </c>
      <c r="D1135" t="s">
        <v>1212</v>
      </c>
      <c r="E1135" t="s">
        <v>1217</v>
      </c>
      <c r="F1135">
        <v>2536</v>
      </c>
      <c r="G1135">
        <v>1</v>
      </c>
      <c r="H1135" t="s">
        <v>16</v>
      </c>
      <c r="I1135" s="1">
        <v>-565400</v>
      </c>
      <c r="J1135" s="1">
        <v>-3596900</v>
      </c>
      <c r="K1135">
        <v>132</v>
      </c>
      <c r="L1135">
        <v>254</v>
      </c>
      <c r="M1135" t="s">
        <v>16</v>
      </c>
    </row>
    <row r="1136" spans="1:13" x14ac:dyDescent="0.35">
      <c r="A1136">
        <v>240560</v>
      </c>
      <c r="B1136">
        <v>9660</v>
      </c>
      <c r="C1136" t="s">
        <v>1290</v>
      </c>
      <c r="D1136" t="s">
        <v>1212</v>
      </c>
      <c r="E1136" t="s">
        <v>1248</v>
      </c>
      <c r="F1136">
        <v>13704</v>
      </c>
      <c r="G1136">
        <v>1</v>
      </c>
      <c r="H1136" t="s">
        <v>16</v>
      </c>
      <c r="I1136" s="1">
        <v>-637900</v>
      </c>
      <c r="J1136" s="1">
        <v>-3735200</v>
      </c>
      <c r="K1136">
        <v>134</v>
      </c>
      <c r="L1136">
        <v>330</v>
      </c>
      <c r="M1136" t="s">
        <v>16</v>
      </c>
    </row>
    <row r="1137" spans="1:13" x14ac:dyDescent="0.35">
      <c r="A1137">
        <v>240570</v>
      </c>
      <c r="B1137">
        <v>9679</v>
      </c>
      <c r="C1137" t="s">
        <v>1291</v>
      </c>
      <c r="D1137" t="s">
        <v>1212</v>
      </c>
      <c r="E1137" t="s">
        <v>1213</v>
      </c>
      <c r="F1137">
        <v>12013</v>
      </c>
      <c r="G1137">
        <v>1</v>
      </c>
      <c r="H1137" t="s">
        <v>16</v>
      </c>
      <c r="I1137" s="1">
        <v>-658400</v>
      </c>
      <c r="J1137" s="1">
        <v>-3677400</v>
      </c>
      <c r="K1137">
        <v>236</v>
      </c>
      <c r="L1137">
        <v>368</v>
      </c>
      <c r="M1137" t="s">
        <v>16</v>
      </c>
    </row>
    <row r="1138" spans="1:13" x14ac:dyDescent="0.35">
      <c r="A1138">
        <v>240580</v>
      </c>
      <c r="B1138">
        <v>9687</v>
      </c>
      <c r="C1138" t="s">
        <v>1292</v>
      </c>
      <c r="D1138" t="s">
        <v>1212</v>
      </c>
      <c r="E1138" t="s">
        <v>1239</v>
      </c>
      <c r="F1138">
        <v>30423</v>
      </c>
      <c r="G1138">
        <v>1</v>
      </c>
      <c r="H1138" t="s">
        <v>16</v>
      </c>
      <c r="I1138" s="1">
        <v>-553800</v>
      </c>
      <c r="J1138" s="1">
        <v>-3582000</v>
      </c>
      <c r="K1138">
        <v>160</v>
      </c>
      <c r="L1138">
        <v>714</v>
      </c>
      <c r="M1138" t="s">
        <v>16</v>
      </c>
    </row>
    <row r="1139" spans="1:13" x14ac:dyDescent="0.35">
      <c r="A1139">
        <v>240590</v>
      </c>
      <c r="B1139">
        <v>9695</v>
      </c>
      <c r="C1139" t="s">
        <v>1293</v>
      </c>
      <c r="D1139" t="s">
        <v>1212</v>
      </c>
      <c r="E1139" t="s">
        <v>1223</v>
      </c>
      <c r="F1139">
        <v>2723</v>
      </c>
      <c r="G1139">
        <v>1</v>
      </c>
      <c r="H1139" t="s">
        <v>16</v>
      </c>
      <c r="I1139" s="1">
        <v>-627400</v>
      </c>
      <c r="J1139" s="1">
        <v>-3779600</v>
      </c>
      <c r="K1139">
        <v>436</v>
      </c>
      <c r="L1139">
        <v>88</v>
      </c>
      <c r="M1139" t="s">
        <v>16</v>
      </c>
    </row>
    <row r="1140" spans="1:13" x14ac:dyDescent="0.35">
      <c r="A1140">
        <v>240600</v>
      </c>
      <c r="B1140">
        <v>9709</v>
      </c>
      <c r="C1140" t="s">
        <v>1294</v>
      </c>
      <c r="D1140" t="s">
        <v>1212</v>
      </c>
      <c r="E1140" t="s">
        <v>1221</v>
      </c>
      <c r="F1140">
        <v>5982</v>
      </c>
      <c r="G1140">
        <v>1</v>
      </c>
      <c r="H1140" t="s">
        <v>16</v>
      </c>
      <c r="I1140" s="1">
        <v>-631700</v>
      </c>
      <c r="J1140" s="1">
        <v>-3828100</v>
      </c>
      <c r="K1140">
        <v>264</v>
      </c>
      <c r="L1140">
        <v>117</v>
      </c>
      <c r="M1140" t="s">
        <v>16</v>
      </c>
    </row>
    <row r="1141" spans="1:13" x14ac:dyDescent="0.35">
      <c r="A1141">
        <v>240610</v>
      </c>
      <c r="B1141">
        <v>9717</v>
      </c>
      <c r="C1141" t="s">
        <v>1295</v>
      </c>
      <c r="D1141" t="s">
        <v>1212</v>
      </c>
      <c r="E1141" t="s">
        <v>1215</v>
      </c>
      <c r="F1141">
        <v>17501</v>
      </c>
      <c r="G1141">
        <v>1</v>
      </c>
      <c r="H1141" t="s">
        <v>16</v>
      </c>
      <c r="I1141" s="1">
        <v>-603400</v>
      </c>
      <c r="J1141" s="1">
        <v>-3702000</v>
      </c>
      <c r="K1141">
        <v>63</v>
      </c>
      <c r="L1141">
        <v>933</v>
      </c>
      <c r="M1141" t="s">
        <v>16</v>
      </c>
    </row>
    <row r="1142" spans="1:13" x14ac:dyDescent="0.35">
      <c r="A1142">
        <v>240615</v>
      </c>
      <c r="B1142">
        <v>59820</v>
      </c>
      <c r="C1142" t="s">
        <v>1296</v>
      </c>
      <c r="D1142" t="s">
        <v>1212</v>
      </c>
      <c r="E1142" t="s">
        <v>1242</v>
      </c>
      <c r="F1142">
        <v>3517</v>
      </c>
      <c r="G1142">
        <v>1</v>
      </c>
      <c r="H1142" t="s">
        <v>16</v>
      </c>
      <c r="I1142" s="1">
        <v>-627100</v>
      </c>
      <c r="J1142" s="1">
        <v>-3534500</v>
      </c>
      <c r="K1142">
        <v>0</v>
      </c>
      <c r="L1142">
        <v>45</v>
      </c>
      <c r="M1142" t="s">
        <v>16</v>
      </c>
    </row>
    <row r="1143" spans="1:13" x14ac:dyDescent="0.35">
      <c r="A1143">
        <v>240620</v>
      </c>
      <c r="B1143">
        <v>9733</v>
      </c>
      <c r="C1143" t="s">
        <v>1297</v>
      </c>
      <c r="D1143" t="s">
        <v>1212</v>
      </c>
      <c r="E1143" t="s">
        <v>1242</v>
      </c>
      <c r="F1143">
        <v>5940</v>
      </c>
      <c r="G1143">
        <v>1</v>
      </c>
      <c r="H1143" t="s">
        <v>16</v>
      </c>
      <c r="I1143" s="1">
        <v>-639100</v>
      </c>
      <c r="J1143" s="1">
        <v>-3559800</v>
      </c>
      <c r="K1143">
        <v>154</v>
      </c>
      <c r="L1143">
        <v>105</v>
      </c>
      <c r="M1143" t="s">
        <v>16</v>
      </c>
    </row>
    <row r="1144" spans="1:13" x14ac:dyDescent="0.35">
      <c r="A1144">
        <v>240630</v>
      </c>
      <c r="B1144">
        <v>9741</v>
      </c>
      <c r="C1144" t="s">
        <v>1298</v>
      </c>
      <c r="D1144" t="s">
        <v>1212</v>
      </c>
      <c r="E1144" t="s">
        <v>1242</v>
      </c>
      <c r="F1144">
        <v>6989</v>
      </c>
      <c r="G1144">
        <v>1</v>
      </c>
      <c r="H1144" t="s">
        <v>16</v>
      </c>
      <c r="I1144" s="1">
        <v>-614900</v>
      </c>
      <c r="J1144" s="1">
        <v>-3543800</v>
      </c>
      <c r="K1144">
        <v>91</v>
      </c>
      <c r="L1144">
        <v>117</v>
      </c>
      <c r="M1144" t="s">
        <v>16</v>
      </c>
    </row>
    <row r="1145" spans="1:13" x14ac:dyDescent="0.35">
      <c r="A1145">
        <v>240640</v>
      </c>
      <c r="B1145">
        <v>9750</v>
      </c>
      <c r="C1145" t="s">
        <v>1299</v>
      </c>
      <c r="D1145" t="s">
        <v>1212</v>
      </c>
      <c r="E1145" t="s">
        <v>1237</v>
      </c>
      <c r="F1145">
        <v>2699</v>
      </c>
      <c r="G1145">
        <v>1</v>
      </c>
      <c r="H1145" t="s">
        <v>16</v>
      </c>
      <c r="I1145" s="1">
        <v>-600400</v>
      </c>
      <c r="J1145" s="1">
        <v>-3587200</v>
      </c>
      <c r="K1145">
        <v>154</v>
      </c>
      <c r="L1145">
        <v>112</v>
      </c>
      <c r="M1145" t="s">
        <v>16</v>
      </c>
    </row>
    <row r="1146" spans="1:13" x14ac:dyDescent="0.35">
      <c r="A1146">
        <v>240650</v>
      </c>
      <c r="B1146">
        <v>9768</v>
      </c>
      <c r="C1146" t="s">
        <v>1300</v>
      </c>
      <c r="D1146" t="s">
        <v>1212</v>
      </c>
      <c r="E1146" t="s">
        <v>1241</v>
      </c>
      <c r="F1146">
        <v>13167</v>
      </c>
      <c r="G1146">
        <v>1</v>
      </c>
      <c r="H1146" t="s">
        <v>16</v>
      </c>
      <c r="I1146" s="1">
        <v>-609600</v>
      </c>
      <c r="J1146" s="1">
        <v>-3646900</v>
      </c>
      <c r="K1146">
        <v>686</v>
      </c>
      <c r="L1146">
        <v>176</v>
      </c>
      <c r="M1146" t="s">
        <v>16</v>
      </c>
    </row>
    <row r="1147" spans="1:13" x14ac:dyDescent="0.35">
      <c r="A1147">
        <v>240660</v>
      </c>
      <c r="B1147">
        <v>9776</v>
      </c>
      <c r="C1147" t="s">
        <v>1301</v>
      </c>
      <c r="D1147" t="s">
        <v>1212</v>
      </c>
      <c r="E1147" t="s">
        <v>1242</v>
      </c>
      <c r="F1147">
        <v>7179</v>
      </c>
      <c r="G1147">
        <v>1</v>
      </c>
      <c r="H1147" t="s">
        <v>16</v>
      </c>
      <c r="I1147" s="1">
        <v>-613400</v>
      </c>
      <c r="J1147" s="1">
        <v>-3549400</v>
      </c>
      <c r="K1147">
        <v>99</v>
      </c>
      <c r="L1147">
        <v>79</v>
      </c>
      <c r="M1147" t="s">
        <v>16</v>
      </c>
    </row>
    <row r="1148" spans="1:13" x14ac:dyDescent="0.35">
      <c r="A1148">
        <v>240670</v>
      </c>
      <c r="B1148">
        <v>9784</v>
      </c>
      <c r="C1148" t="s">
        <v>1302</v>
      </c>
      <c r="D1148" t="s">
        <v>1212</v>
      </c>
      <c r="E1148" t="s">
        <v>1217</v>
      </c>
      <c r="F1148">
        <v>10412</v>
      </c>
      <c r="G1148">
        <v>1</v>
      </c>
      <c r="H1148" t="s">
        <v>16</v>
      </c>
      <c r="I1148" s="1">
        <v>-570000</v>
      </c>
      <c r="J1148" s="1">
        <v>-3624500</v>
      </c>
      <c r="K1148">
        <v>199</v>
      </c>
      <c r="L1148">
        <v>676</v>
      </c>
      <c r="M1148" t="s">
        <v>16</v>
      </c>
    </row>
    <row r="1149" spans="1:13" x14ac:dyDescent="0.35">
      <c r="A1149">
        <v>240680</v>
      </c>
      <c r="B1149">
        <v>9792</v>
      </c>
      <c r="C1149" t="s">
        <v>1303</v>
      </c>
      <c r="D1149" t="s">
        <v>1212</v>
      </c>
      <c r="E1149" t="s">
        <v>1237</v>
      </c>
      <c r="F1149">
        <v>4217</v>
      </c>
      <c r="G1149">
        <v>1</v>
      </c>
      <c r="H1149" t="s">
        <v>16</v>
      </c>
      <c r="I1149" s="1">
        <v>-615000</v>
      </c>
      <c r="J1149" s="1">
        <v>-3611700</v>
      </c>
      <c r="K1149">
        <v>315</v>
      </c>
      <c r="L1149">
        <v>130</v>
      </c>
      <c r="M1149" t="s">
        <v>16</v>
      </c>
    </row>
    <row r="1150" spans="1:13" x14ac:dyDescent="0.35">
      <c r="A1150">
        <v>240690</v>
      </c>
      <c r="B1150">
        <v>9806</v>
      </c>
      <c r="C1150" t="s">
        <v>1304</v>
      </c>
      <c r="D1150" t="s">
        <v>1212</v>
      </c>
      <c r="E1150" t="s">
        <v>1223</v>
      </c>
      <c r="F1150">
        <v>3418</v>
      </c>
      <c r="G1150">
        <v>1</v>
      </c>
      <c r="H1150" t="s">
        <v>16</v>
      </c>
      <c r="I1150" s="1">
        <v>-612000</v>
      </c>
      <c r="J1150" s="1">
        <v>-3781600</v>
      </c>
      <c r="K1150">
        <v>216</v>
      </c>
      <c r="L1150">
        <v>30</v>
      </c>
      <c r="M1150" t="s">
        <v>16</v>
      </c>
    </row>
    <row r="1151" spans="1:13" x14ac:dyDescent="0.35">
      <c r="A1151">
        <v>240700</v>
      </c>
      <c r="B1151">
        <v>9814</v>
      </c>
      <c r="C1151" t="s">
        <v>1305</v>
      </c>
      <c r="D1151" t="s">
        <v>1212</v>
      </c>
      <c r="E1151" t="s">
        <v>1219</v>
      </c>
      <c r="F1151">
        <v>9763</v>
      </c>
      <c r="G1151">
        <v>1</v>
      </c>
      <c r="H1151" t="s">
        <v>16</v>
      </c>
      <c r="I1151" s="1">
        <v>-641400</v>
      </c>
      <c r="J1151" s="1">
        <v>-3838900</v>
      </c>
      <c r="K1151">
        <v>636</v>
      </c>
      <c r="L1151">
        <v>166</v>
      </c>
      <c r="M1151" t="s">
        <v>16</v>
      </c>
    </row>
    <row r="1152" spans="1:13" x14ac:dyDescent="0.35">
      <c r="A1152">
        <v>240710</v>
      </c>
      <c r="B1152">
        <v>9822</v>
      </c>
      <c r="C1152" t="s">
        <v>1306</v>
      </c>
      <c r="D1152" t="s">
        <v>1212</v>
      </c>
      <c r="E1152" t="s">
        <v>1255</v>
      </c>
      <c r="F1152">
        <v>63337</v>
      </c>
      <c r="G1152">
        <v>4</v>
      </c>
      <c r="H1152" t="s">
        <v>1256</v>
      </c>
      <c r="I1152" s="1">
        <v>-585800</v>
      </c>
      <c r="J1152" s="1">
        <v>-3535400</v>
      </c>
      <c r="K1152">
        <v>11</v>
      </c>
      <c r="L1152">
        <v>512</v>
      </c>
      <c r="M1152" t="s">
        <v>16</v>
      </c>
    </row>
    <row r="1153" spans="1:13" x14ac:dyDescent="0.35">
      <c r="A1153">
        <v>240720</v>
      </c>
      <c r="B1153">
        <v>9830</v>
      </c>
      <c r="C1153" t="s">
        <v>1245</v>
      </c>
      <c r="D1153" t="s">
        <v>1212</v>
      </c>
      <c r="E1153" t="s">
        <v>1245</v>
      </c>
      <c r="F1153">
        <v>27132</v>
      </c>
      <c r="G1153">
        <v>1</v>
      </c>
      <c r="H1153" t="s">
        <v>16</v>
      </c>
      <c r="I1153" s="1">
        <v>-511500</v>
      </c>
      <c r="J1153" s="1">
        <v>-3663400</v>
      </c>
      <c r="K1153">
        <v>4</v>
      </c>
      <c r="L1153">
        <v>788</v>
      </c>
      <c r="M1153" t="s">
        <v>16</v>
      </c>
    </row>
    <row r="1154" spans="1:13" x14ac:dyDescent="0.35">
      <c r="A1154">
        <v>240725</v>
      </c>
      <c r="B1154">
        <v>57924</v>
      </c>
      <c r="C1154" t="s">
        <v>1307</v>
      </c>
      <c r="D1154" t="s">
        <v>1212</v>
      </c>
      <c r="E1154" t="s">
        <v>1219</v>
      </c>
      <c r="F1154">
        <v>3459</v>
      </c>
      <c r="G1154">
        <v>1</v>
      </c>
      <c r="H1154" t="s">
        <v>16</v>
      </c>
      <c r="I1154" s="1">
        <v>-640600</v>
      </c>
      <c r="J1154" s="1">
        <v>-3832400</v>
      </c>
      <c r="K1154">
        <v>306</v>
      </c>
      <c r="L1154">
        <v>31</v>
      </c>
      <c r="M1154" t="s">
        <v>16</v>
      </c>
    </row>
    <row r="1155" spans="1:13" x14ac:dyDescent="0.35">
      <c r="A1155">
        <v>240730</v>
      </c>
      <c r="B1155">
        <v>9849</v>
      </c>
      <c r="C1155" t="s">
        <v>1308</v>
      </c>
      <c r="D1155" t="s">
        <v>1212</v>
      </c>
      <c r="E1155" t="s">
        <v>1221</v>
      </c>
      <c r="F1155">
        <v>8112</v>
      </c>
      <c r="G1155">
        <v>1</v>
      </c>
      <c r="H1155" t="s">
        <v>16</v>
      </c>
      <c r="I1155" s="1">
        <v>-629400</v>
      </c>
      <c r="J1155" s="1">
        <v>-3816700</v>
      </c>
      <c r="K1155">
        <v>230</v>
      </c>
      <c r="L1155">
        <v>345</v>
      </c>
      <c r="M1155" t="s">
        <v>16</v>
      </c>
    </row>
    <row r="1156" spans="1:13" x14ac:dyDescent="0.35">
      <c r="A1156">
        <v>240740</v>
      </c>
      <c r="B1156">
        <v>9857</v>
      </c>
      <c r="C1156" t="s">
        <v>1309</v>
      </c>
      <c r="D1156" t="s">
        <v>1212</v>
      </c>
      <c r="E1156" t="s">
        <v>1223</v>
      </c>
      <c r="F1156">
        <v>8089</v>
      </c>
      <c r="G1156">
        <v>1</v>
      </c>
      <c r="H1156" t="s">
        <v>16</v>
      </c>
      <c r="I1156" s="1">
        <v>-608800</v>
      </c>
      <c r="J1156" s="1">
        <v>-3791100</v>
      </c>
      <c r="K1156">
        <v>703</v>
      </c>
      <c r="L1156">
        <v>169</v>
      </c>
      <c r="M1156" t="s">
        <v>16</v>
      </c>
    </row>
    <row r="1157" spans="1:13" x14ac:dyDescent="0.35">
      <c r="A1157">
        <v>240750</v>
      </c>
      <c r="B1157">
        <v>9865</v>
      </c>
      <c r="C1157" t="s">
        <v>1310</v>
      </c>
      <c r="D1157" t="s">
        <v>1212</v>
      </c>
      <c r="E1157" t="s">
        <v>1311</v>
      </c>
      <c r="F1157">
        <v>8969</v>
      </c>
      <c r="G1157">
        <v>1</v>
      </c>
      <c r="H1157" t="s">
        <v>16</v>
      </c>
      <c r="I1157" s="1">
        <v>-551600</v>
      </c>
      <c r="J1157" s="1">
        <v>-3526200</v>
      </c>
      <c r="K1157">
        <v>7</v>
      </c>
      <c r="L1157">
        <v>131</v>
      </c>
      <c r="M1157" t="s">
        <v>16</v>
      </c>
    </row>
    <row r="1158" spans="1:13" x14ac:dyDescent="0.35">
      <c r="A1158">
        <v>240760</v>
      </c>
      <c r="B1158">
        <v>9725</v>
      </c>
      <c r="C1158" t="s">
        <v>1312</v>
      </c>
      <c r="D1158" t="s">
        <v>1212</v>
      </c>
      <c r="E1158" t="s">
        <v>1233</v>
      </c>
      <c r="F1158">
        <v>3795</v>
      </c>
      <c r="G1158">
        <v>1</v>
      </c>
      <c r="H1158" t="s">
        <v>16</v>
      </c>
      <c r="I1158" s="1">
        <v>-607900</v>
      </c>
      <c r="J1158" s="1">
        <v>-3751400</v>
      </c>
      <c r="K1158">
        <v>181</v>
      </c>
      <c r="L1158">
        <v>135</v>
      </c>
      <c r="M1158" t="s">
        <v>16</v>
      </c>
    </row>
    <row r="1159" spans="1:13" x14ac:dyDescent="0.35">
      <c r="A1159">
        <v>240770</v>
      </c>
      <c r="B1159">
        <v>9873</v>
      </c>
      <c r="C1159" t="s">
        <v>1313</v>
      </c>
      <c r="D1159" t="s">
        <v>1212</v>
      </c>
      <c r="E1159" t="s">
        <v>1231</v>
      </c>
      <c r="F1159">
        <v>12393</v>
      </c>
      <c r="G1159">
        <v>1</v>
      </c>
      <c r="H1159" t="s">
        <v>16</v>
      </c>
      <c r="I1159" s="1">
        <v>-648600</v>
      </c>
      <c r="J1159" s="1">
        <v>-3528800</v>
      </c>
      <c r="K1159">
        <v>87</v>
      </c>
      <c r="L1159">
        <v>82</v>
      </c>
      <c r="M1159" t="s">
        <v>16</v>
      </c>
    </row>
    <row r="1160" spans="1:13" x14ac:dyDescent="0.35">
      <c r="A1160">
        <v>240780</v>
      </c>
      <c r="B1160">
        <v>9881</v>
      </c>
      <c r="C1160" t="s">
        <v>1314</v>
      </c>
      <c r="D1160" t="s">
        <v>1212</v>
      </c>
      <c r="E1160" t="s">
        <v>1242</v>
      </c>
      <c r="F1160">
        <v>20590</v>
      </c>
      <c r="G1160">
        <v>4</v>
      </c>
      <c r="H1160" t="s">
        <v>1256</v>
      </c>
      <c r="I1160" s="1">
        <v>-606800</v>
      </c>
      <c r="J1160" s="1">
        <v>-3533200</v>
      </c>
      <c r="K1160">
        <v>52</v>
      </c>
      <c r="L1160">
        <v>199</v>
      </c>
      <c r="M1160" t="s">
        <v>16</v>
      </c>
    </row>
    <row r="1161" spans="1:13" x14ac:dyDescent="0.35">
      <c r="A1161">
        <v>240790</v>
      </c>
      <c r="B1161">
        <v>9890</v>
      </c>
      <c r="C1161" t="s">
        <v>1315</v>
      </c>
      <c r="D1161" t="s">
        <v>1212</v>
      </c>
      <c r="E1161" t="s">
        <v>1237</v>
      </c>
      <c r="F1161">
        <v>2394</v>
      </c>
      <c r="G1161">
        <v>1</v>
      </c>
      <c r="H1161" t="s">
        <v>16</v>
      </c>
      <c r="I1161" s="1">
        <v>-644100</v>
      </c>
      <c r="J1161" s="1">
        <v>-3578300</v>
      </c>
      <c r="K1161">
        <v>501</v>
      </c>
      <c r="L1161">
        <v>71</v>
      </c>
      <c r="M1161" t="s">
        <v>16</v>
      </c>
    </row>
    <row r="1162" spans="1:13" x14ac:dyDescent="0.35">
      <c r="A1162">
        <v>240800</v>
      </c>
      <c r="B1162">
        <v>9903</v>
      </c>
      <c r="C1162" t="s">
        <v>1316</v>
      </c>
      <c r="D1162" t="s">
        <v>1212</v>
      </c>
      <c r="E1162" t="s">
        <v>1229</v>
      </c>
      <c r="F1162">
        <v>234390</v>
      </c>
      <c r="G1162">
        <v>3</v>
      </c>
      <c r="H1162" t="s">
        <v>16</v>
      </c>
      <c r="I1162" s="1">
        <v>-518800</v>
      </c>
      <c r="J1162" s="1">
        <v>-3734400</v>
      </c>
      <c r="K1162">
        <v>16</v>
      </c>
      <c r="L1162">
        <v>2110</v>
      </c>
      <c r="M1162" t="s">
        <v>16</v>
      </c>
    </row>
    <row r="1163" spans="1:13" x14ac:dyDescent="0.35">
      <c r="A1163">
        <v>240810</v>
      </c>
      <c r="B1163">
        <v>9105</v>
      </c>
      <c r="C1163" t="s">
        <v>1264</v>
      </c>
      <c r="D1163" t="s">
        <v>1212</v>
      </c>
      <c r="E1163" t="s">
        <v>1264</v>
      </c>
      <c r="F1163">
        <v>774230</v>
      </c>
      <c r="G1163">
        <v>5</v>
      </c>
      <c r="H1163" t="s">
        <v>1256</v>
      </c>
      <c r="I1163" s="1">
        <v>-579500</v>
      </c>
      <c r="J1163" s="1">
        <v>-3520900</v>
      </c>
      <c r="K1163">
        <v>30</v>
      </c>
      <c r="L1163">
        <v>170</v>
      </c>
      <c r="M1163" t="s">
        <v>16</v>
      </c>
    </row>
    <row r="1164" spans="1:13" x14ac:dyDescent="0.35">
      <c r="A1164">
        <v>240820</v>
      </c>
      <c r="B1164">
        <v>9911</v>
      </c>
      <c r="C1164" t="s">
        <v>1317</v>
      </c>
      <c r="D1164" t="s">
        <v>1212</v>
      </c>
      <c r="E1164" t="s">
        <v>1255</v>
      </c>
      <c r="F1164">
        <v>22906</v>
      </c>
      <c r="G1164">
        <v>4</v>
      </c>
      <c r="H1164" t="s">
        <v>1256</v>
      </c>
      <c r="I1164" s="1">
        <v>-609100</v>
      </c>
      <c r="J1164" s="1">
        <v>-3520900</v>
      </c>
      <c r="K1164">
        <v>20</v>
      </c>
      <c r="L1164">
        <v>306</v>
      </c>
      <c r="M1164" t="s">
        <v>16</v>
      </c>
    </row>
    <row r="1165" spans="1:13" x14ac:dyDescent="0.35">
      <c r="A1165">
        <v>240830</v>
      </c>
      <c r="B1165">
        <v>9920</v>
      </c>
      <c r="C1165" t="s">
        <v>1318</v>
      </c>
      <c r="D1165" t="s">
        <v>1212</v>
      </c>
      <c r="E1165" t="s">
        <v>1242</v>
      </c>
      <c r="F1165">
        <v>35280</v>
      </c>
      <c r="G1165">
        <v>1</v>
      </c>
      <c r="H1165" t="s">
        <v>16</v>
      </c>
      <c r="I1165" s="1">
        <v>-647800</v>
      </c>
      <c r="J1165" s="1">
        <v>-3543400</v>
      </c>
      <c r="K1165">
        <v>73</v>
      </c>
      <c r="L1165">
        <v>277</v>
      </c>
      <c r="M1165" t="s">
        <v>16</v>
      </c>
    </row>
    <row r="1166" spans="1:13" x14ac:dyDescent="0.35">
      <c r="A1166">
        <v>240840</v>
      </c>
      <c r="B1166">
        <v>9938</v>
      </c>
      <c r="C1166" t="s">
        <v>1319</v>
      </c>
      <c r="D1166" t="s">
        <v>1212</v>
      </c>
      <c r="E1166" t="s">
        <v>1223</v>
      </c>
      <c r="F1166">
        <v>4442</v>
      </c>
      <c r="G1166">
        <v>1</v>
      </c>
      <c r="H1166" t="s">
        <v>16</v>
      </c>
      <c r="I1166" s="1">
        <v>-595600</v>
      </c>
      <c r="J1166" s="1">
        <v>-3770600</v>
      </c>
      <c r="K1166">
        <v>164</v>
      </c>
      <c r="L1166">
        <v>141</v>
      </c>
      <c r="M1166" t="s">
        <v>16</v>
      </c>
    </row>
    <row r="1167" spans="1:13" x14ac:dyDescent="0.35">
      <c r="A1167">
        <v>240850</v>
      </c>
      <c r="B1167">
        <v>9946</v>
      </c>
      <c r="C1167" t="s">
        <v>1320</v>
      </c>
      <c r="D1167" t="s">
        <v>1212</v>
      </c>
      <c r="E1167" t="s">
        <v>1213</v>
      </c>
      <c r="F1167">
        <v>4973</v>
      </c>
      <c r="G1167">
        <v>1</v>
      </c>
      <c r="H1167" t="s">
        <v>16</v>
      </c>
      <c r="I1167" s="1">
        <v>-670100</v>
      </c>
      <c r="J1167" s="1">
        <v>-3694600</v>
      </c>
      <c r="K1167">
        <v>223</v>
      </c>
      <c r="L1167">
        <v>253</v>
      </c>
      <c r="M1167" t="s">
        <v>16</v>
      </c>
    </row>
    <row r="1168" spans="1:13" x14ac:dyDescent="0.35">
      <c r="A1168">
        <v>240860</v>
      </c>
      <c r="B1168">
        <v>9954</v>
      </c>
      <c r="C1168" t="s">
        <v>1321</v>
      </c>
      <c r="D1168" t="s">
        <v>1212</v>
      </c>
      <c r="E1168" t="s">
        <v>1221</v>
      </c>
      <c r="F1168">
        <v>3886</v>
      </c>
      <c r="G1168">
        <v>1</v>
      </c>
      <c r="H1168" t="s">
        <v>16</v>
      </c>
      <c r="I1168" s="1">
        <v>-648600</v>
      </c>
      <c r="J1168" s="1">
        <v>-3831300</v>
      </c>
      <c r="K1168">
        <v>373</v>
      </c>
      <c r="L1168">
        <v>81</v>
      </c>
      <c r="M1168" t="s">
        <v>16</v>
      </c>
    </row>
    <row r="1169" spans="1:13" x14ac:dyDescent="0.35">
      <c r="A1169">
        <v>240870</v>
      </c>
      <c r="B1169">
        <v>9962</v>
      </c>
      <c r="C1169" t="s">
        <v>1322</v>
      </c>
      <c r="D1169" t="s">
        <v>1212</v>
      </c>
      <c r="E1169" t="s">
        <v>1233</v>
      </c>
      <c r="F1169">
        <v>3880</v>
      </c>
      <c r="G1169">
        <v>1</v>
      </c>
      <c r="H1169" t="s">
        <v>16</v>
      </c>
      <c r="I1169" s="1">
        <v>-577400</v>
      </c>
      <c r="J1169" s="1">
        <v>-3710100</v>
      </c>
      <c r="K1169">
        <v>75</v>
      </c>
      <c r="L1169">
        <v>410</v>
      </c>
      <c r="M1169" t="s">
        <v>16</v>
      </c>
    </row>
    <row r="1170" spans="1:13" x14ac:dyDescent="0.35">
      <c r="A1170">
        <v>240880</v>
      </c>
      <c r="B1170">
        <v>9970</v>
      </c>
      <c r="C1170" t="s">
        <v>1323</v>
      </c>
      <c r="D1170" t="s">
        <v>1212</v>
      </c>
      <c r="E1170" t="s">
        <v>1239</v>
      </c>
      <c r="F1170">
        <v>4772</v>
      </c>
      <c r="G1170">
        <v>1</v>
      </c>
      <c r="H1170" t="s">
        <v>16</v>
      </c>
      <c r="I1170" s="1">
        <v>-522300</v>
      </c>
      <c r="J1170" s="1">
        <v>-3583800</v>
      </c>
      <c r="K1170">
        <v>71</v>
      </c>
      <c r="L1170">
        <v>274</v>
      </c>
      <c r="M1170" t="s">
        <v>16</v>
      </c>
    </row>
    <row r="1171" spans="1:13" x14ac:dyDescent="0.35">
      <c r="A1171">
        <v>240890</v>
      </c>
      <c r="B1171">
        <v>9989</v>
      </c>
      <c r="C1171" t="s">
        <v>1324</v>
      </c>
      <c r="D1171" t="s">
        <v>1212</v>
      </c>
      <c r="E1171" t="s">
        <v>1213</v>
      </c>
      <c r="F1171">
        <v>19972</v>
      </c>
      <c r="G1171">
        <v>1</v>
      </c>
      <c r="H1171" t="s">
        <v>16</v>
      </c>
      <c r="I1171" s="1">
        <v>-668800</v>
      </c>
      <c r="J1171" s="1">
        <v>-3665800</v>
      </c>
      <c r="K1171">
        <v>266</v>
      </c>
      <c r="L1171">
        <v>513</v>
      </c>
      <c r="M1171" t="s">
        <v>16</v>
      </c>
    </row>
    <row r="1172" spans="1:13" x14ac:dyDescent="0.35">
      <c r="A1172">
        <v>240895</v>
      </c>
      <c r="B1172">
        <v>53910</v>
      </c>
      <c r="C1172" t="s">
        <v>1325</v>
      </c>
      <c r="D1172" t="s">
        <v>1212</v>
      </c>
      <c r="E1172" t="s">
        <v>1311</v>
      </c>
      <c r="F1172">
        <v>9753</v>
      </c>
      <c r="G1172">
        <v>1</v>
      </c>
      <c r="H1172" t="s">
        <v>16</v>
      </c>
      <c r="I1172" s="1">
        <v>-527300</v>
      </c>
      <c r="J1172" s="1">
        <v>-3538300</v>
      </c>
      <c r="K1172">
        <v>30</v>
      </c>
      <c r="L1172">
        <v>150</v>
      </c>
      <c r="M1172" t="s">
        <v>16</v>
      </c>
    </row>
    <row r="1173" spans="1:13" x14ac:dyDescent="0.35">
      <c r="A1173">
        <v>240910</v>
      </c>
      <c r="B1173">
        <v>10006</v>
      </c>
      <c r="C1173" t="s">
        <v>1326</v>
      </c>
      <c r="D1173" t="s">
        <v>1212</v>
      </c>
      <c r="E1173" t="s">
        <v>1242</v>
      </c>
      <c r="F1173">
        <v>10372</v>
      </c>
      <c r="G1173">
        <v>1</v>
      </c>
      <c r="H1173" t="s">
        <v>16</v>
      </c>
      <c r="I1173" s="1">
        <v>-643600</v>
      </c>
      <c r="J1173" s="1">
        <v>-3564300</v>
      </c>
      <c r="K1173">
        <v>189</v>
      </c>
      <c r="L1173">
        <v>42</v>
      </c>
      <c r="M1173" t="s">
        <v>16</v>
      </c>
    </row>
    <row r="1174" spans="1:13" x14ac:dyDescent="0.35">
      <c r="A1174">
        <v>240920</v>
      </c>
      <c r="B1174">
        <v>10014</v>
      </c>
      <c r="C1174" t="s">
        <v>1327</v>
      </c>
      <c r="D1174" t="s">
        <v>1212</v>
      </c>
      <c r="E1174" t="s">
        <v>1242</v>
      </c>
      <c r="F1174">
        <v>2629</v>
      </c>
      <c r="G1174">
        <v>1</v>
      </c>
      <c r="H1174" t="s">
        <v>16</v>
      </c>
      <c r="I1174" s="1">
        <v>-627900</v>
      </c>
      <c r="J1174" s="1">
        <v>-3537800</v>
      </c>
      <c r="K1174">
        <v>65</v>
      </c>
      <c r="L1174">
        <v>41</v>
      </c>
      <c r="M1174" t="s">
        <v>16</v>
      </c>
    </row>
    <row r="1175" spans="1:13" x14ac:dyDescent="0.35">
      <c r="A1175">
        <v>240930</v>
      </c>
      <c r="B1175">
        <v>10022</v>
      </c>
      <c r="C1175" t="s">
        <v>1328</v>
      </c>
      <c r="D1175" t="s">
        <v>1212</v>
      </c>
      <c r="E1175" t="s">
        <v>1223</v>
      </c>
      <c r="F1175">
        <v>11303</v>
      </c>
      <c r="G1175">
        <v>1</v>
      </c>
      <c r="H1175" t="s">
        <v>16</v>
      </c>
      <c r="I1175" s="1">
        <v>-611000</v>
      </c>
      <c r="J1175" s="1">
        <v>-3763700</v>
      </c>
      <c r="K1175">
        <v>248</v>
      </c>
      <c r="L1175">
        <v>319</v>
      </c>
      <c r="M1175" t="s">
        <v>16</v>
      </c>
    </row>
    <row r="1176" spans="1:13" x14ac:dyDescent="0.35">
      <c r="A1176">
        <v>240933</v>
      </c>
      <c r="B1176">
        <v>57932</v>
      </c>
      <c r="C1176" t="s">
        <v>1329</v>
      </c>
      <c r="D1176" t="s">
        <v>1212</v>
      </c>
      <c r="E1176" t="s">
        <v>1242</v>
      </c>
      <c r="F1176">
        <v>4659</v>
      </c>
      <c r="G1176">
        <v>1</v>
      </c>
      <c r="H1176" t="s">
        <v>16</v>
      </c>
      <c r="I1176" s="1">
        <v>-584000</v>
      </c>
      <c r="J1176" s="1">
        <v>-3569500</v>
      </c>
      <c r="K1176">
        <v>115</v>
      </c>
      <c r="L1176">
        <v>219</v>
      </c>
      <c r="M1176" t="s">
        <v>16</v>
      </c>
    </row>
    <row r="1177" spans="1:13" x14ac:dyDescent="0.35">
      <c r="A1177">
        <v>240940</v>
      </c>
      <c r="B1177">
        <v>10030</v>
      </c>
      <c r="C1177" t="s">
        <v>1221</v>
      </c>
      <c r="D1177" t="s">
        <v>1212</v>
      </c>
      <c r="E1177" t="s">
        <v>1221</v>
      </c>
      <c r="F1177">
        <v>26728</v>
      </c>
      <c r="G1177">
        <v>1</v>
      </c>
      <c r="H1177" t="s">
        <v>16</v>
      </c>
      <c r="I1177" s="1">
        <v>-611100</v>
      </c>
      <c r="J1177" s="1">
        <v>-3820900</v>
      </c>
      <c r="K1177">
        <v>193</v>
      </c>
      <c r="L1177">
        <v>259</v>
      </c>
      <c r="M1177" t="s">
        <v>16</v>
      </c>
    </row>
    <row r="1178" spans="1:13" x14ac:dyDescent="0.35">
      <c r="A1178">
        <v>240950</v>
      </c>
      <c r="B1178">
        <v>10049</v>
      </c>
      <c r="C1178" t="s">
        <v>1330</v>
      </c>
      <c r="D1178" t="s">
        <v>1212</v>
      </c>
      <c r="E1178" t="s">
        <v>1311</v>
      </c>
      <c r="F1178">
        <v>3918</v>
      </c>
      <c r="G1178">
        <v>1</v>
      </c>
      <c r="H1178" t="s">
        <v>16</v>
      </c>
      <c r="I1178" s="1">
        <v>-515000</v>
      </c>
      <c r="J1178" s="1">
        <v>-3587900</v>
      </c>
      <c r="K1178">
        <v>25</v>
      </c>
      <c r="L1178">
        <v>221</v>
      </c>
      <c r="M1178" t="s">
        <v>16</v>
      </c>
    </row>
    <row r="1179" spans="1:13" x14ac:dyDescent="0.35">
      <c r="A1179">
        <v>240960</v>
      </c>
      <c r="B1179">
        <v>10057</v>
      </c>
      <c r="C1179" t="s">
        <v>1331</v>
      </c>
      <c r="D1179" t="s">
        <v>1212</v>
      </c>
      <c r="E1179" t="s">
        <v>1217</v>
      </c>
      <c r="F1179">
        <v>2659</v>
      </c>
      <c r="G1179">
        <v>1</v>
      </c>
      <c r="H1179" t="s">
        <v>16</v>
      </c>
      <c r="I1179" s="1">
        <v>-558300</v>
      </c>
      <c r="J1179" s="1">
        <v>-3610500</v>
      </c>
      <c r="K1179">
        <v>168</v>
      </c>
      <c r="L1179">
        <v>294</v>
      </c>
      <c r="M1179" t="s">
        <v>16</v>
      </c>
    </row>
    <row r="1180" spans="1:13" x14ac:dyDescent="0.35">
      <c r="A1180">
        <v>240970</v>
      </c>
      <c r="B1180">
        <v>10065</v>
      </c>
      <c r="C1180" t="s">
        <v>1332</v>
      </c>
      <c r="D1180" t="s">
        <v>1212</v>
      </c>
      <c r="E1180" t="s">
        <v>1217</v>
      </c>
      <c r="F1180">
        <v>7405</v>
      </c>
      <c r="G1180">
        <v>1</v>
      </c>
      <c r="H1180" t="s">
        <v>16</v>
      </c>
      <c r="I1180" s="1">
        <v>-552200</v>
      </c>
      <c r="J1180" s="1">
        <v>-3638800</v>
      </c>
      <c r="K1180">
        <v>95</v>
      </c>
      <c r="L1180">
        <v>952</v>
      </c>
      <c r="M1180" t="s">
        <v>16</v>
      </c>
    </row>
    <row r="1181" spans="1:13" x14ac:dyDescent="0.35">
      <c r="A1181">
        <v>240980</v>
      </c>
      <c r="B1181">
        <v>10073</v>
      </c>
      <c r="C1181" t="s">
        <v>1333</v>
      </c>
      <c r="D1181" t="s">
        <v>1212</v>
      </c>
      <c r="E1181" t="s">
        <v>1231</v>
      </c>
      <c r="F1181">
        <v>13673</v>
      </c>
      <c r="G1181">
        <v>1</v>
      </c>
      <c r="H1181" t="s">
        <v>16</v>
      </c>
      <c r="I1181" s="1">
        <v>-643900</v>
      </c>
      <c r="J1181" s="1">
        <v>-3522100</v>
      </c>
      <c r="K1181">
        <v>22</v>
      </c>
      <c r="L1181">
        <v>192</v>
      </c>
      <c r="M1181" t="s">
        <v>16</v>
      </c>
    </row>
    <row r="1182" spans="1:13" x14ac:dyDescent="0.35">
      <c r="A1182">
        <v>240990</v>
      </c>
      <c r="B1182">
        <v>10081</v>
      </c>
      <c r="C1182" t="s">
        <v>1334</v>
      </c>
      <c r="D1182" t="s">
        <v>1212</v>
      </c>
      <c r="E1182" t="s">
        <v>1215</v>
      </c>
      <c r="F1182">
        <v>12505</v>
      </c>
      <c r="G1182">
        <v>1</v>
      </c>
      <c r="H1182" t="s">
        <v>16</v>
      </c>
      <c r="I1182" s="1">
        <v>-526000</v>
      </c>
      <c r="J1182" s="1">
        <v>-3672200</v>
      </c>
      <c r="K1182">
        <v>16</v>
      </c>
      <c r="L1182">
        <v>419</v>
      </c>
      <c r="M1182" t="s">
        <v>16</v>
      </c>
    </row>
    <row r="1183" spans="1:13" x14ac:dyDescent="0.35">
      <c r="A1183">
        <v>241000</v>
      </c>
      <c r="B1183">
        <v>10090</v>
      </c>
      <c r="C1183" t="s">
        <v>1335</v>
      </c>
      <c r="D1183" t="s">
        <v>1212</v>
      </c>
      <c r="E1183" t="s">
        <v>1221</v>
      </c>
      <c r="F1183">
        <v>3381</v>
      </c>
      <c r="G1183">
        <v>1</v>
      </c>
      <c r="H1183" t="s">
        <v>16</v>
      </c>
      <c r="I1183" s="1">
        <v>-626900</v>
      </c>
      <c r="J1183" s="1">
        <v>-3804300</v>
      </c>
      <c r="K1183">
        <v>265</v>
      </c>
      <c r="L1183">
        <v>82</v>
      </c>
      <c r="M1183" t="s">
        <v>16</v>
      </c>
    </row>
    <row r="1184" spans="1:13" x14ac:dyDescent="0.35">
      <c r="A1184">
        <v>241010</v>
      </c>
      <c r="B1184">
        <v>10103</v>
      </c>
      <c r="C1184" t="s">
        <v>1336</v>
      </c>
      <c r="D1184" t="s">
        <v>1212</v>
      </c>
      <c r="E1184" t="s">
        <v>1239</v>
      </c>
      <c r="F1184">
        <v>12288</v>
      </c>
      <c r="G1184">
        <v>1</v>
      </c>
      <c r="H1184" t="s">
        <v>16</v>
      </c>
      <c r="I1184" s="1">
        <v>-562300</v>
      </c>
      <c r="J1184" s="1">
        <v>-3566300</v>
      </c>
      <c r="K1184">
        <v>82</v>
      </c>
      <c r="L1184">
        <v>230</v>
      </c>
      <c r="M1184" t="s">
        <v>16</v>
      </c>
    </row>
    <row r="1185" spans="1:13" x14ac:dyDescent="0.35">
      <c r="A1185">
        <v>241020</v>
      </c>
      <c r="B1185">
        <v>10111</v>
      </c>
      <c r="C1185" t="s">
        <v>1337</v>
      </c>
      <c r="D1185" t="s">
        <v>1212</v>
      </c>
      <c r="E1185" t="s">
        <v>1221</v>
      </c>
      <c r="F1185">
        <v>6855</v>
      </c>
      <c r="G1185">
        <v>1</v>
      </c>
      <c r="H1185" t="s">
        <v>16</v>
      </c>
      <c r="I1185" s="1">
        <v>-602400</v>
      </c>
      <c r="J1185" s="1">
        <v>-3798800</v>
      </c>
      <c r="K1185">
        <v>642</v>
      </c>
      <c r="L1185">
        <v>110</v>
      </c>
      <c r="M1185" t="s">
        <v>16</v>
      </c>
    </row>
    <row r="1186" spans="1:13" x14ac:dyDescent="0.35">
      <c r="A1186">
        <v>241025</v>
      </c>
      <c r="B1186">
        <v>56758</v>
      </c>
      <c r="C1186" t="s">
        <v>1338</v>
      </c>
      <c r="D1186" t="s">
        <v>1212</v>
      </c>
      <c r="E1186" t="s">
        <v>1215</v>
      </c>
      <c r="F1186">
        <v>4792</v>
      </c>
      <c r="G1186">
        <v>1</v>
      </c>
      <c r="H1186" t="s">
        <v>16</v>
      </c>
      <c r="I1186" s="1">
        <v>-506800</v>
      </c>
      <c r="J1186" s="1">
        <v>-3678200</v>
      </c>
      <c r="K1186">
        <v>5</v>
      </c>
      <c r="L1186">
        <v>318</v>
      </c>
      <c r="M1186" t="s">
        <v>16</v>
      </c>
    </row>
    <row r="1187" spans="1:13" x14ac:dyDescent="0.35">
      <c r="A1187">
        <v>241030</v>
      </c>
      <c r="B1187">
        <v>10120</v>
      </c>
      <c r="C1187" t="s">
        <v>708</v>
      </c>
      <c r="D1187" t="s">
        <v>1212</v>
      </c>
      <c r="E1187" t="s">
        <v>1242</v>
      </c>
      <c r="F1187">
        <v>8283</v>
      </c>
      <c r="G1187">
        <v>1</v>
      </c>
      <c r="H1187" t="s">
        <v>16</v>
      </c>
      <c r="I1187" s="1">
        <v>-610600</v>
      </c>
      <c r="J1187" s="1">
        <v>-3571300</v>
      </c>
      <c r="K1187">
        <v>129</v>
      </c>
      <c r="L1187">
        <v>167</v>
      </c>
      <c r="M1187" t="s">
        <v>16</v>
      </c>
    </row>
    <row r="1188" spans="1:13" x14ac:dyDescent="0.35">
      <c r="A1188">
        <v>241040</v>
      </c>
      <c r="B1188">
        <v>10138</v>
      </c>
      <c r="C1188" t="s">
        <v>1339</v>
      </c>
      <c r="D1188" t="s">
        <v>1212</v>
      </c>
      <c r="E1188" t="s">
        <v>1311</v>
      </c>
      <c r="F1188">
        <v>8030</v>
      </c>
      <c r="G1188">
        <v>1</v>
      </c>
      <c r="H1188" t="s">
        <v>16</v>
      </c>
      <c r="I1188" s="1">
        <v>-546700</v>
      </c>
      <c r="J1188" s="1">
        <v>-3555600</v>
      </c>
      <c r="K1188">
        <v>40</v>
      </c>
      <c r="L1188">
        <v>504</v>
      </c>
      <c r="M1188" t="s">
        <v>16</v>
      </c>
    </row>
    <row r="1189" spans="1:13" x14ac:dyDescent="0.35">
      <c r="A1189">
        <v>241050</v>
      </c>
      <c r="B1189">
        <v>10146</v>
      </c>
      <c r="C1189" t="s">
        <v>1340</v>
      </c>
      <c r="D1189" t="s">
        <v>1212</v>
      </c>
      <c r="E1189" t="s">
        <v>1221</v>
      </c>
      <c r="F1189">
        <v>4608</v>
      </c>
      <c r="G1189">
        <v>1</v>
      </c>
      <c r="H1189" t="s">
        <v>16</v>
      </c>
      <c r="I1189" s="1">
        <v>-619500</v>
      </c>
      <c r="J1189" s="1">
        <v>-3822600</v>
      </c>
      <c r="K1189">
        <v>227</v>
      </c>
      <c r="L1189">
        <v>78</v>
      </c>
      <c r="M1189" t="s">
        <v>16</v>
      </c>
    </row>
    <row r="1190" spans="1:13" x14ac:dyDescent="0.35">
      <c r="A1190">
        <v>241060</v>
      </c>
      <c r="B1190">
        <v>10154</v>
      </c>
      <c r="C1190" t="s">
        <v>1341</v>
      </c>
      <c r="D1190" t="s">
        <v>1212</v>
      </c>
      <c r="E1190" t="s">
        <v>1223</v>
      </c>
      <c r="F1190">
        <v>3131</v>
      </c>
      <c r="G1190">
        <v>1</v>
      </c>
      <c r="H1190" t="s">
        <v>16</v>
      </c>
      <c r="I1190" s="1">
        <v>-607600</v>
      </c>
      <c r="J1190" s="1">
        <v>-3771700</v>
      </c>
      <c r="K1190">
        <v>193</v>
      </c>
      <c r="L1190">
        <v>100</v>
      </c>
      <c r="M1190" t="s">
        <v>16</v>
      </c>
    </row>
    <row r="1191" spans="1:13" x14ac:dyDescent="0.35">
      <c r="A1191">
        <v>241070</v>
      </c>
      <c r="B1191">
        <v>10162</v>
      </c>
      <c r="C1191" t="s">
        <v>1342</v>
      </c>
      <c r="D1191" t="s">
        <v>1212</v>
      </c>
      <c r="E1191" t="s">
        <v>1221</v>
      </c>
      <c r="F1191">
        <v>3025</v>
      </c>
      <c r="G1191">
        <v>1</v>
      </c>
      <c r="H1191" t="s">
        <v>16</v>
      </c>
      <c r="I1191" s="1">
        <v>-593600</v>
      </c>
      <c r="J1191" s="1">
        <v>-3794600</v>
      </c>
      <c r="K1191">
        <v>163</v>
      </c>
      <c r="L1191">
        <v>127</v>
      </c>
      <c r="M1191" t="s">
        <v>16</v>
      </c>
    </row>
    <row r="1192" spans="1:13" x14ac:dyDescent="0.35">
      <c r="A1192">
        <v>241080</v>
      </c>
      <c r="B1192">
        <v>10170</v>
      </c>
      <c r="C1192" t="s">
        <v>1343</v>
      </c>
      <c r="D1192" t="s">
        <v>1212</v>
      </c>
      <c r="E1192" t="s">
        <v>1219</v>
      </c>
      <c r="F1192">
        <v>4292</v>
      </c>
      <c r="G1192">
        <v>1</v>
      </c>
      <c r="H1192" t="s">
        <v>16</v>
      </c>
      <c r="I1192" s="1">
        <v>-626300</v>
      </c>
      <c r="J1192" s="1">
        <v>-3831600</v>
      </c>
      <c r="K1192">
        <v>273</v>
      </c>
      <c r="L1192">
        <v>128</v>
      </c>
      <c r="M1192" t="s">
        <v>16</v>
      </c>
    </row>
    <row r="1193" spans="1:13" x14ac:dyDescent="0.35">
      <c r="A1193">
        <v>241090</v>
      </c>
      <c r="B1193">
        <v>10189</v>
      </c>
      <c r="C1193" t="s">
        <v>1344</v>
      </c>
      <c r="D1193" t="s">
        <v>1212</v>
      </c>
      <c r="E1193" t="s">
        <v>1242</v>
      </c>
      <c r="F1193">
        <v>6824</v>
      </c>
      <c r="G1193">
        <v>1</v>
      </c>
      <c r="H1193" t="s">
        <v>16</v>
      </c>
      <c r="I1193" s="1">
        <v>-581500</v>
      </c>
      <c r="J1193" s="1">
        <v>-3582500</v>
      </c>
      <c r="K1193">
        <v>118</v>
      </c>
      <c r="L1193">
        <v>262</v>
      </c>
      <c r="M1193" t="s">
        <v>16</v>
      </c>
    </row>
    <row r="1194" spans="1:13" x14ac:dyDescent="0.35">
      <c r="A1194">
        <v>241100</v>
      </c>
      <c r="B1194">
        <v>10197</v>
      </c>
      <c r="C1194" t="s">
        <v>1345</v>
      </c>
      <c r="D1194" t="s">
        <v>1212</v>
      </c>
      <c r="E1194" t="s">
        <v>1221</v>
      </c>
      <c r="F1194">
        <v>4569</v>
      </c>
      <c r="G1194">
        <v>1</v>
      </c>
      <c r="H1194" t="s">
        <v>16</v>
      </c>
      <c r="I1194" s="1">
        <v>-578800</v>
      </c>
      <c r="J1194" s="1">
        <v>-3806000</v>
      </c>
      <c r="K1194">
        <v>188</v>
      </c>
      <c r="L1194">
        <v>154</v>
      </c>
      <c r="M1194" t="s">
        <v>16</v>
      </c>
    </row>
    <row r="1195" spans="1:13" x14ac:dyDescent="0.35">
      <c r="A1195">
        <v>241105</v>
      </c>
      <c r="B1195">
        <v>57940</v>
      </c>
      <c r="C1195" t="s">
        <v>1346</v>
      </c>
      <c r="D1195" t="s">
        <v>1212</v>
      </c>
      <c r="E1195" t="s">
        <v>1229</v>
      </c>
      <c r="F1195">
        <v>3750</v>
      </c>
      <c r="G1195">
        <v>1</v>
      </c>
      <c r="H1195" t="s">
        <v>16</v>
      </c>
      <c r="I1195" s="1">
        <v>-483700</v>
      </c>
      <c r="J1195" s="1">
        <v>-3725300</v>
      </c>
      <c r="K1195">
        <v>5</v>
      </c>
      <c r="L1195">
        <v>162</v>
      </c>
      <c r="M1195" t="s">
        <v>16</v>
      </c>
    </row>
    <row r="1196" spans="1:13" x14ac:dyDescent="0.35">
      <c r="A1196">
        <v>241110</v>
      </c>
      <c r="B1196">
        <v>10200</v>
      </c>
      <c r="C1196" t="s">
        <v>1347</v>
      </c>
      <c r="D1196" t="s">
        <v>1212</v>
      </c>
      <c r="E1196" t="s">
        <v>1237</v>
      </c>
      <c r="F1196">
        <v>3625</v>
      </c>
      <c r="G1196">
        <v>1</v>
      </c>
      <c r="H1196" t="s">
        <v>16</v>
      </c>
      <c r="I1196" s="1">
        <v>-588100</v>
      </c>
      <c r="J1196" s="1">
        <v>-3593500</v>
      </c>
      <c r="K1196">
        <v>168</v>
      </c>
      <c r="L1196">
        <v>125</v>
      </c>
      <c r="M1196" t="s">
        <v>16</v>
      </c>
    </row>
    <row r="1197" spans="1:13" x14ac:dyDescent="0.35">
      <c r="A1197">
        <v>241120</v>
      </c>
      <c r="B1197">
        <v>10219</v>
      </c>
      <c r="C1197" t="s">
        <v>1348</v>
      </c>
      <c r="D1197" t="s">
        <v>1212</v>
      </c>
      <c r="E1197" t="s">
        <v>1237</v>
      </c>
      <c r="F1197">
        <v>33736</v>
      </c>
      <c r="G1197">
        <v>1</v>
      </c>
      <c r="H1197" t="s">
        <v>16</v>
      </c>
      <c r="I1197" s="1">
        <v>-622900</v>
      </c>
      <c r="J1197" s="1">
        <v>-3602300</v>
      </c>
      <c r="K1197">
        <v>236</v>
      </c>
      <c r="L1197">
        <v>624</v>
      </c>
      <c r="M1197" t="s">
        <v>16</v>
      </c>
    </row>
    <row r="1198" spans="1:13" x14ac:dyDescent="0.35">
      <c r="A1198">
        <v>241140</v>
      </c>
      <c r="B1198">
        <v>10235</v>
      </c>
      <c r="C1198" t="s">
        <v>1349</v>
      </c>
      <c r="D1198" t="s">
        <v>1212</v>
      </c>
      <c r="E1198" t="s">
        <v>1241</v>
      </c>
      <c r="F1198">
        <v>14312</v>
      </c>
      <c r="G1198">
        <v>1</v>
      </c>
      <c r="H1198" t="s">
        <v>16</v>
      </c>
      <c r="I1198" s="1">
        <v>-595800</v>
      </c>
      <c r="J1198" s="1">
        <v>-3665600</v>
      </c>
      <c r="K1198">
        <v>141</v>
      </c>
      <c r="L1198">
        <v>1420</v>
      </c>
      <c r="M1198" t="s">
        <v>16</v>
      </c>
    </row>
    <row r="1199" spans="1:13" x14ac:dyDescent="0.35">
      <c r="A1199">
        <v>241142</v>
      </c>
      <c r="B1199">
        <v>10227</v>
      </c>
      <c r="C1199" t="s">
        <v>1350</v>
      </c>
      <c r="D1199" t="s">
        <v>1212</v>
      </c>
      <c r="E1199" t="s">
        <v>1213</v>
      </c>
      <c r="F1199">
        <v>2729</v>
      </c>
      <c r="G1199">
        <v>1</v>
      </c>
      <c r="H1199" t="s">
        <v>16</v>
      </c>
      <c r="I1199" s="1">
        <v>-677100</v>
      </c>
      <c r="J1199" s="1">
        <v>-3673300</v>
      </c>
      <c r="K1199">
        <v>336</v>
      </c>
      <c r="L1199">
        <v>188</v>
      </c>
      <c r="M1199" t="s">
        <v>16</v>
      </c>
    </row>
    <row r="1200" spans="1:13" x14ac:dyDescent="0.35">
      <c r="A1200">
        <v>241150</v>
      </c>
      <c r="B1200">
        <v>10243</v>
      </c>
      <c r="C1200" t="s">
        <v>1351</v>
      </c>
      <c r="D1200" t="s">
        <v>1212</v>
      </c>
      <c r="E1200" t="s">
        <v>1242</v>
      </c>
      <c r="F1200">
        <v>21263</v>
      </c>
      <c r="G1200">
        <v>1</v>
      </c>
      <c r="H1200" t="s">
        <v>16</v>
      </c>
      <c r="I1200" s="1">
        <v>-631100</v>
      </c>
      <c r="J1200" s="1">
        <v>-3547900</v>
      </c>
      <c r="K1200">
        <v>92</v>
      </c>
      <c r="L1200">
        <v>301</v>
      </c>
      <c r="M1200" t="s">
        <v>16</v>
      </c>
    </row>
    <row r="1201" spans="1:13" x14ac:dyDescent="0.35">
      <c r="A1201">
        <v>241160</v>
      </c>
      <c r="B1201">
        <v>10251</v>
      </c>
      <c r="C1201" t="s">
        <v>1352</v>
      </c>
      <c r="D1201" t="s">
        <v>1212</v>
      </c>
      <c r="E1201" t="s">
        <v>1245</v>
      </c>
      <c r="F1201">
        <v>3529</v>
      </c>
      <c r="G1201">
        <v>1</v>
      </c>
      <c r="H1201" t="s">
        <v>16</v>
      </c>
      <c r="I1201" s="1">
        <v>-509300</v>
      </c>
      <c r="J1201" s="1">
        <v>-3595900</v>
      </c>
      <c r="K1201">
        <v>0</v>
      </c>
      <c r="L1201">
        <v>288</v>
      </c>
      <c r="M1201" t="s">
        <v>16</v>
      </c>
    </row>
    <row r="1202" spans="1:13" x14ac:dyDescent="0.35">
      <c r="A1202">
        <v>241170</v>
      </c>
      <c r="B1202">
        <v>10260</v>
      </c>
      <c r="C1202" t="s">
        <v>1353</v>
      </c>
      <c r="D1202" t="s">
        <v>1212</v>
      </c>
      <c r="E1202" t="s">
        <v>1237</v>
      </c>
      <c r="F1202">
        <v>3702</v>
      </c>
      <c r="G1202">
        <v>1</v>
      </c>
      <c r="H1202" t="s">
        <v>16</v>
      </c>
      <c r="I1202" s="1">
        <v>-634200</v>
      </c>
      <c r="J1202" s="1">
        <v>-3608700</v>
      </c>
      <c r="K1202">
        <v>279</v>
      </c>
      <c r="L1202">
        <v>190</v>
      </c>
      <c r="M1202" t="s">
        <v>16</v>
      </c>
    </row>
    <row r="1203" spans="1:13" x14ac:dyDescent="0.35">
      <c r="A1203">
        <v>241180</v>
      </c>
      <c r="B1203">
        <v>10278</v>
      </c>
      <c r="C1203" t="s">
        <v>1354</v>
      </c>
      <c r="D1203" t="s">
        <v>1212</v>
      </c>
      <c r="E1203" t="s">
        <v>1248</v>
      </c>
      <c r="F1203">
        <v>3381</v>
      </c>
      <c r="G1203">
        <v>1</v>
      </c>
      <c r="H1203" t="s">
        <v>16</v>
      </c>
      <c r="I1203" s="1">
        <v>-637600</v>
      </c>
      <c r="J1203" s="1">
        <v>-3718400</v>
      </c>
      <c r="K1203">
        <v>139</v>
      </c>
      <c r="L1203">
        <v>404</v>
      </c>
      <c r="M1203" t="s">
        <v>16</v>
      </c>
    </row>
    <row r="1204" spans="1:13" x14ac:dyDescent="0.35">
      <c r="A1204">
        <v>241190</v>
      </c>
      <c r="B1204">
        <v>10286</v>
      </c>
      <c r="C1204" t="s">
        <v>1355</v>
      </c>
      <c r="D1204" t="s">
        <v>1212</v>
      </c>
      <c r="E1204" t="s">
        <v>1221</v>
      </c>
      <c r="F1204">
        <v>3669</v>
      </c>
      <c r="G1204">
        <v>1</v>
      </c>
      <c r="H1204" t="s">
        <v>16</v>
      </c>
      <c r="I1204" s="1">
        <v>-597500</v>
      </c>
      <c r="J1204" s="1">
        <v>-3815200</v>
      </c>
      <c r="K1204">
        <v>181</v>
      </c>
      <c r="L1204">
        <v>75</v>
      </c>
      <c r="M1204" t="s">
        <v>16</v>
      </c>
    </row>
    <row r="1205" spans="1:13" x14ac:dyDescent="0.35">
      <c r="A1205">
        <v>241200</v>
      </c>
      <c r="B1205">
        <v>10294</v>
      </c>
      <c r="C1205" t="s">
        <v>1190</v>
      </c>
      <c r="D1205" t="s">
        <v>1212</v>
      </c>
      <c r="E1205" t="s">
        <v>1255</v>
      </c>
      <c r="F1205">
        <v>77363</v>
      </c>
      <c r="G1205">
        <v>4</v>
      </c>
      <c r="H1205" t="s">
        <v>1256</v>
      </c>
      <c r="I1205" s="1">
        <v>-579300</v>
      </c>
      <c r="J1205" s="1">
        <v>-3532900</v>
      </c>
      <c r="K1205">
        <v>15</v>
      </c>
      <c r="L1205">
        <v>251</v>
      </c>
      <c r="M1205" t="s">
        <v>16</v>
      </c>
    </row>
    <row r="1206" spans="1:13" x14ac:dyDescent="0.35">
      <c r="A1206">
        <v>241210</v>
      </c>
      <c r="B1206">
        <v>10308</v>
      </c>
      <c r="C1206" t="s">
        <v>1356</v>
      </c>
      <c r="D1206" t="s">
        <v>1212</v>
      </c>
      <c r="E1206" t="s">
        <v>1248</v>
      </c>
      <c r="F1206">
        <v>5765</v>
      </c>
      <c r="G1206">
        <v>1</v>
      </c>
      <c r="H1206" t="s">
        <v>16</v>
      </c>
      <c r="I1206" s="1">
        <v>-671800</v>
      </c>
      <c r="J1206" s="1">
        <v>-3720100</v>
      </c>
      <c r="K1206">
        <v>187</v>
      </c>
      <c r="L1206">
        <v>277</v>
      </c>
      <c r="M1206" t="s">
        <v>16</v>
      </c>
    </row>
    <row r="1207" spans="1:13" x14ac:dyDescent="0.35">
      <c r="A1207">
        <v>241220</v>
      </c>
      <c r="B1207">
        <v>10316</v>
      </c>
      <c r="C1207" t="s">
        <v>1357</v>
      </c>
      <c r="D1207" t="s">
        <v>1212</v>
      </c>
      <c r="E1207" t="s">
        <v>1255</v>
      </c>
      <c r="F1207">
        <v>36990</v>
      </c>
      <c r="G1207">
        <v>4</v>
      </c>
      <c r="H1207" t="s">
        <v>1256</v>
      </c>
      <c r="I1207" s="1">
        <v>-607500</v>
      </c>
      <c r="J1207" s="1">
        <v>-3523800</v>
      </c>
      <c r="K1207">
        <v>58</v>
      </c>
      <c r="L1207">
        <v>293</v>
      </c>
      <c r="M1207" t="s">
        <v>16</v>
      </c>
    </row>
    <row r="1208" spans="1:13" x14ac:dyDescent="0.35">
      <c r="A1208">
        <v>241230</v>
      </c>
      <c r="B1208">
        <v>10324</v>
      </c>
      <c r="C1208" t="s">
        <v>1358</v>
      </c>
      <c r="D1208" t="s">
        <v>1212</v>
      </c>
      <c r="E1208" t="s">
        <v>1237</v>
      </c>
      <c r="F1208">
        <v>11744</v>
      </c>
      <c r="G1208">
        <v>1</v>
      </c>
      <c r="H1208" t="s">
        <v>16</v>
      </c>
      <c r="I1208" s="1">
        <v>-631600</v>
      </c>
      <c r="J1208" s="1">
        <v>-3571400</v>
      </c>
      <c r="K1208">
        <v>149</v>
      </c>
      <c r="L1208">
        <v>341</v>
      </c>
      <c r="M1208" t="s">
        <v>16</v>
      </c>
    </row>
    <row r="1209" spans="1:13" x14ac:dyDescent="0.35">
      <c r="A1209">
        <v>241240</v>
      </c>
      <c r="B1209">
        <v>10332</v>
      </c>
      <c r="C1209" t="s">
        <v>1359</v>
      </c>
      <c r="D1209" t="s">
        <v>1212</v>
      </c>
      <c r="E1209" t="s">
        <v>1213</v>
      </c>
      <c r="F1209">
        <v>3925</v>
      </c>
      <c r="G1209">
        <v>1</v>
      </c>
      <c r="H1209" t="s">
        <v>16</v>
      </c>
      <c r="I1209" s="1">
        <v>-644900</v>
      </c>
      <c r="J1209" s="1">
        <v>-3687800</v>
      </c>
      <c r="K1209">
        <v>207</v>
      </c>
      <c r="L1209">
        <v>174</v>
      </c>
      <c r="M1209" t="s">
        <v>16</v>
      </c>
    </row>
    <row r="1210" spans="1:13" x14ac:dyDescent="0.35">
      <c r="A1210">
        <v>241250</v>
      </c>
      <c r="B1210">
        <v>10340</v>
      </c>
      <c r="C1210" t="s">
        <v>1360</v>
      </c>
      <c r="D1210" t="s">
        <v>1212</v>
      </c>
      <c r="E1210" t="s">
        <v>1219</v>
      </c>
      <c r="F1210">
        <v>22579</v>
      </c>
      <c r="G1210">
        <v>1</v>
      </c>
      <c r="H1210" t="s">
        <v>16</v>
      </c>
      <c r="I1210" s="1">
        <v>-621200</v>
      </c>
      <c r="J1210" s="1">
        <v>-3849700</v>
      </c>
      <c r="K1210">
        <v>679</v>
      </c>
      <c r="L1210">
        <v>171</v>
      </c>
      <c r="M1210" t="s">
        <v>16</v>
      </c>
    </row>
    <row r="1211" spans="1:13" x14ac:dyDescent="0.35">
      <c r="A1211">
        <v>241255</v>
      </c>
      <c r="B1211">
        <v>57959</v>
      </c>
      <c r="C1211" t="s">
        <v>1361</v>
      </c>
      <c r="D1211" t="s">
        <v>1212</v>
      </c>
      <c r="E1211" t="s">
        <v>1311</v>
      </c>
      <c r="F1211">
        <v>8810</v>
      </c>
      <c r="G1211">
        <v>1</v>
      </c>
      <c r="H1211" t="s">
        <v>16</v>
      </c>
      <c r="I1211" s="1">
        <v>-512500</v>
      </c>
      <c r="J1211" s="1">
        <v>-3563900</v>
      </c>
      <c r="K1211">
        <v>18</v>
      </c>
      <c r="L1211">
        <v>342</v>
      </c>
      <c r="M1211" t="s">
        <v>16</v>
      </c>
    </row>
    <row r="1212" spans="1:13" x14ac:dyDescent="0.35">
      <c r="A1212">
        <v>241260</v>
      </c>
      <c r="B1212">
        <v>10359</v>
      </c>
      <c r="C1212" t="s">
        <v>1362</v>
      </c>
      <c r="D1212" t="s">
        <v>1212</v>
      </c>
      <c r="E1212" t="s">
        <v>1242</v>
      </c>
      <c r="F1212">
        <v>14483</v>
      </c>
      <c r="G1212">
        <v>1</v>
      </c>
      <c r="H1212" t="s">
        <v>16</v>
      </c>
      <c r="I1212" s="1">
        <v>-589500</v>
      </c>
      <c r="J1212" s="1">
        <v>-3576300</v>
      </c>
      <c r="K1212">
        <v>91</v>
      </c>
      <c r="L1212">
        <v>240</v>
      </c>
      <c r="M1212" t="s">
        <v>16</v>
      </c>
    </row>
    <row r="1213" spans="1:13" x14ac:dyDescent="0.35">
      <c r="A1213">
        <v>241270</v>
      </c>
      <c r="B1213">
        <v>10367</v>
      </c>
      <c r="C1213" t="s">
        <v>1363</v>
      </c>
      <c r="D1213" t="s">
        <v>1212</v>
      </c>
      <c r="E1213" t="s">
        <v>1242</v>
      </c>
      <c r="F1213">
        <v>6433</v>
      </c>
      <c r="G1213">
        <v>1</v>
      </c>
      <c r="H1213" t="s">
        <v>16</v>
      </c>
      <c r="I1213" s="1">
        <v>-589800</v>
      </c>
      <c r="J1213" s="1">
        <v>-3563400</v>
      </c>
      <c r="K1213">
        <v>61</v>
      </c>
      <c r="L1213">
        <v>195</v>
      </c>
      <c r="M1213" t="s">
        <v>16</v>
      </c>
    </row>
    <row r="1214" spans="1:13" x14ac:dyDescent="0.35">
      <c r="A1214">
        <v>241280</v>
      </c>
      <c r="B1214">
        <v>10375</v>
      </c>
      <c r="C1214" t="s">
        <v>1364</v>
      </c>
      <c r="D1214" t="s">
        <v>1212</v>
      </c>
      <c r="E1214" t="s">
        <v>1215</v>
      </c>
      <c r="F1214">
        <v>8116</v>
      </c>
      <c r="G1214">
        <v>1</v>
      </c>
      <c r="H1214" t="s">
        <v>16</v>
      </c>
      <c r="I1214" s="1">
        <v>-579900</v>
      </c>
      <c r="J1214" s="1">
        <v>-3692100</v>
      </c>
      <c r="K1214">
        <v>69</v>
      </c>
      <c r="L1214">
        <v>469</v>
      </c>
      <c r="M1214" t="s">
        <v>16</v>
      </c>
    </row>
    <row r="1215" spans="1:13" x14ac:dyDescent="0.35">
      <c r="A1215">
        <v>241290</v>
      </c>
      <c r="B1215">
        <v>10383</v>
      </c>
      <c r="C1215" t="s">
        <v>1365</v>
      </c>
      <c r="D1215" t="s">
        <v>1212</v>
      </c>
      <c r="E1215" t="s">
        <v>1237</v>
      </c>
      <c r="F1215">
        <v>11115</v>
      </c>
      <c r="G1215">
        <v>1</v>
      </c>
      <c r="H1215" t="s">
        <v>16</v>
      </c>
      <c r="I1215" s="1">
        <v>-597300</v>
      </c>
      <c r="J1215" s="1">
        <v>-3607500</v>
      </c>
      <c r="K1215">
        <v>159</v>
      </c>
      <c r="L1215">
        <v>862</v>
      </c>
      <c r="M1215" t="s">
        <v>16</v>
      </c>
    </row>
    <row r="1216" spans="1:13" x14ac:dyDescent="0.35">
      <c r="A1216">
        <v>241300</v>
      </c>
      <c r="B1216">
        <v>10391</v>
      </c>
      <c r="C1216" t="s">
        <v>1366</v>
      </c>
      <c r="D1216" t="s">
        <v>1212</v>
      </c>
      <c r="E1216" t="s">
        <v>1241</v>
      </c>
      <c r="F1216">
        <v>5819</v>
      </c>
      <c r="G1216">
        <v>1</v>
      </c>
      <c r="H1216" t="s">
        <v>16</v>
      </c>
      <c r="I1216" s="1">
        <v>-621600</v>
      </c>
      <c r="J1216" s="1">
        <v>-3668400</v>
      </c>
      <c r="K1216">
        <v>323</v>
      </c>
      <c r="L1216">
        <v>197</v>
      </c>
      <c r="M1216" t="s">
        <v>16</v>
      </c>
    </row>
    <row r="1217" spans="1:13" x14ac:dyDescent="0.35">
      <c r="A1217">
        <v>241310</v>
      </c>
      <c r="B1217">
        <v>10405</v>
      </c>
      <c r="C1217" t="s">
        <v>1367</v>
      </c>
      <c r="D1217" t="s">
        <v>1212</v>
      </c>
      <c r="E1217" t="s">
        <v>1242</v>
      </c>
      <c r="F1217">
        <v>5906</v>
      </c>
      <c r="G1217">
        <v>1</v>
      </c>
      <c r="H1217" t="s">
        <v>16</v>
      </c>
      <c r="I1217" s="1">
        <v>-603600</v>
      </c>
      <c r="J1217" s="1">
        <v>-3569300</v>
      </c>
      <c r="K1217">
        <v>113</v>
      </c>
      <c r="L1217">
        <v>167</v>
      </c>
      <c r="M1217" t="s">
        <v>16</v>
      </c>
    </row>
    <row r="1218" spans="1:13" x14ac:dyDescent="0.35">
      <c r="A1218">
        <v>241320</v>
      </c>
      <c r="B1218">
        <v>10413</v>
      </c>
      <c r="C1218" t="s">
        <v>1368</v>
      </c>
      <c r="D1218" t="s">
        <v>1212</v>
      </c>
      <c r="E1218" t="s">
        <v>1231</v>
      </c>
      <c r="F1218">
        <v>3690</v>
      </c>
      <c r="G1218">
        <v>1</v>
      </c>
      <c r="H1218" t="s">
        <v>16</v>
      </c>
      <c r="I1218" s="1">
        <v>-616300</v>
      </c>
      <c r="J1218" s="1">
        <v>-3512300</v>
      </c>
      <c r="K1218">
        <v>4</v>
      </c>
      <c r="L1218">
        <v>26</v>
      </c>
      <c r="M1218" t="s">
        <v>16</v>
      </c>
    </row>
    <row r="1219" spans="1:13" x14ac:dyDescent="0.35">
      <c r="A1219">
        <v>241330</v>
      </c>
      <c r="B1219">
        <v>10421</v>
      </c>
      <c r="C1219" t="s">
        <v>1369</v>
      </c>
      <c r="D1219" t="s">
        <v>1212</v>
      </c>
      <c r="E1219" t="s">
        <v>1237</v>
      </c>
      <c r="F1219">
        <v>5801</v>
      </c>
      <c r="G1219">
        <v>1</v>
      </c>
      <c r="H1219" t="s">
        <v>16</v>
      </c>
      <c r="I1219" s="1">
        <v>-641700</v>
      </c>
      <c r="J1219" s="1">
        <v>-3570400</v>
      </c>
      <c r="K1219">
        <v>401</v>
      </c>
      <c r="L1219">
        <v>96</v>
      </c>
      <c r="M1219" t="s">
        <v>16</v>
      </c>
    </row>
    <row r="1220" spans="1:13" x14ac:dyDescent="0.35">
      <c r="A1220">
        <v>241335</v>
      </c>
      <c r="B1220">
        <v>47074</v>
      </c>
      <c r="C1220" t="s">
        <v>1370</v>
      </c>
      <c r="D1220" t="s">
        <v>1212</v>
      </c>
      <c r="E1220" t="s">
        <v>1229</v>
      </c>
      <c r="F1220">
        <v>9216</v>
      </c>
      <c r="G1220">
        <v>1</v>
      </c>
      <c r="H1220" t="s">
        <v>16</v>
      </c>
      <c r="I1220" s="1">
        <v>-517000</v>
      </c>
      <c r="J1220" s="1">
        <v>-3702900</v>
      </c>
      <c r="K1220">
        <v>215</v>
      </c>
      <c r="L1220">
        <v>616</v>
      </c>
      <c r="M1220" t="s">
        <v>16</v>
      </c>
    </row>
    <row r="1221" spans="1:13" x14ac:dyDescent="0.35">
      <c r="A1221">
        <v>241340</v>
      </c>
      <c r="B1221">
        <v>10430</v>
      </c>
      <c r="C1221" t="s">
        <v>1371</v>
      </c>
      <c r="D1221" t="s">
        <v>1212</v>
      </c>
      <c r="E1221" t="s">
        <v>1248</v>
      </c>
      <c r="F1221">
        <v>7241</v>
      </c>
      <c r="G1221">
        <v>1</v>
      </c>
      <c r="H1221" t="s">
        <v>16</v>
      </c>
      <c r="I1221" s="1">
        <v>-666600</v>
      </c>
      <c r="J1221" s="1">
        <v>-3739700</v>
      </c>
      <c r="K1221">
        <v>167</v>
      </c>
      <c r="L1221">
        <v>562</v>
      </c>
      <c r="M1221" t="s">
        <v>16</v>
      </c>
    </row>
    <row r="1222" spans="1:13" x14ac:dyDescent="0.35">
      <c r="A1222">
        <v>241350</v>
      </c>
      <c r="B1222">
        <v>10448</v>
      </c>
      <c r="C1222" t="s">
        <v>1372</v>
      </c>
      <c r="D1222" t="s">
        <v>1212</v>
      </c>
      <c r="E1222" t="s">
        <v>1242</v>
      </c>
      <c r="F1222">
        <v>6740</v>
      </c>
      <c r="G1222">
        <v>1</v>
      </c>
      <c r="H1222" t="s">
        <v>16</v>
      </c>
      <c r="I1222" s="1">
        <v>-627600</v>
      </c>
      <c r="J1222" s="1">
        <v>-3549900</v>
      </c>
      <c r="K1222">
        <v>90</v>
      </c>
      <c r="L1222">
        <v>193</v>
      </c>
      <c r="M1222" t="s">
        <v>16</v>
      </c>
    </row>
    <row r="1223" spans="1:13" x14ac:dyDescent="0.35">
      <c r="A1223">
        <v>241355</v>
      </c>
      <c r="B1223">
        <v>57967</v>
      </c>
      <c r="C1223" t="s">
        <v>1373</v>
      </c>
      <c r="D1223" t="s">
        <v>1212</v>
      </c>
      <c r="E1223" t="s">
        <v>1223</v>
      </c>
      <c r="F1223">
        <v>4360</v>
      </c>
      <c r="G1223">
        <v>1</v>
      </c>
      <c r="H1223" t="s">
        <v>16</v>
      </c>
      <c r="I1223" s="1">
        <v>-611000</v>
      </c>
      <c r="J1223" s="1">
        <v>-3795600</v>
      </c>
      <c r="K1223">
        <v>615</v>
      </c>
      <c r="L1223">
        <v>122</v>
      </c>
      <c r="M1223" t="s">
        <v>16</v>
      </c>
    </row>
    <row r="1224" spans="1:13" x14ac:dyDescent="0.35">
      <c r="A1224">
        <v>241360</v>
      </c>
      <c r="B1224">
        <v>10456</v>
      </c>
      <c r="C1224" t="s">
        <v>1374</v>
      </c>
      <c r="D1224" t="s">
        <v>1212</v>
      </c>
      <c r="E1224" t="s">
        <v>1221</v>
      </c>
      <c r="F1224">
        <v>5671</v>
      </c>
      <c r="G1224">
        <v>1</v>
      </c>
      <c r="H1224" t="s">
        <v>16</v>
      </c>
      <c r="I1224" s="1">
        <v>-577700</v>
      </c>
      <c r="J1224" s="1">
        <v>-3795800</v>
      </c>
      <c r="K1224">
        <v>147</v>
      </c>
      <c r="L1224">
        <v>157</v>
      </c>
      <c r="M1224" t="s">
        <v>16</v>
      </c>
    </row>
    <row r="1225" spans="1:13" x14ac:dyDescent="0.35">
      <c r="A1225">
        <v>241370</v>
      </c>
      <c r="B1225">
        <v>10464</v>
      </c>
      <c r="C1225" t="s">
        <v>755</v>
      </c>
      <c r="D1225" t="s">
        <v>1212</v>
      </c>
      <c r="E1225" t="s">
        <v>1237</v>
      </c>
      <c r="F1225">
        <v>5212</v>
      </c>
      <c r="G1225">
        <v>1</v>
      </c>
      <c r="H1225" t="s">
        <v>16</v>
      </c>
      <c r="I1225" s="1">
        <v>-610400</v>
      </c>
      <c r="J1225" s="1">
        <v>-3591100</v>
      </c>
      <c r="K1225">
        <v>175</v>
      </c>
      <c r="L1225">
        <v>213</v>
      </c>
      <c r="M1225" t="s">
        <v>16</v>
      </c>
    </row>
    <row r="1226" spans="1:13" x14ac:dyDescent="0.35">
      <c r="A1226">
        <v>241380</v>
      </c>
      <c r="B1226">
        <v>10472</v>
      </c>
      <c r="C1226" t="s">
        <v>1375</v>
      </c>
      <c r="D1226" t="s">
        <v>1212</v>
      </c>
      <c r="E1226" t="s">
        <v>1221</v>
      </c>
      <c r="F1226">
        <v>2278</v>
      </c>
      <c r="G1226">
        <v>1</v>
      </c>
      <c r="H1226" t="s">
        <v>16</v>
      </c>
      <c r="I1226" s="1">
        <v>-593000</v>
      </c>
      <c r="J1226" s="1">
        <v>-3804500</v>
      </c>
      <c r="K1226">
        <v>139</v>
      </c>
      <c r="L1226">
        <v>124</v>
      </c>
      <c r="M1226" t="s">
        <v>16</v>
      </c>
    </row>
    <row r="1227" spans="1:13" x14ac:dyDescent="0.35">
      <c r="A1227">
        <v>241390</v>
      </c>
      <c r="B1227">
        <v>10480</v>
      </c>
      <c r="C1227" t="s">
        <v>1376</v>
      </c>
      <c r="D1227" t="s">
        <v>1212</v>
      </c>
      <c r="E1227" t="s">
        <v>1311</v>
      </c>
      <c r="F1227">
        <v>11768</v>
      </c>
      <c r="G1227">
        <v>1</v>
      </c>
      <c r="H1227" t="s">
        <v>16</v>
      </c>
      <c r="I1227" s="1">
        <v>-562200</v>
      </c>
      <c r="J1227" s="1">
        <v>-3559700</v>
      </c>
      <c r="K1227">
        <v>41</v>
      </c>
      <c r="L1227">
        <v>352</v>
      </c>
      <c r="M1227" t="s">
        <v>16</v>
      </c>
    </row>
    <row r="1228" spans="1:13" x14ac:dyDescent="0.35">
      <c r="A1228">
        <v>241400</v>
      </c>
      <c r="B1228">
        <v>10499</v>
      </c>
      <c r="C1228" t="s">
        <v>1377</v>
      </c>
      <c r="D1228" t="s">
        <v>1212</v>
      </c>
      <c r="E1228" t="s">
        <v>1237</v>
      </c>
      <c r="F1228">
        <v>13081</v>
      </c>
      <c r="G1228">
        <v>1</v>
      </c>
      <c r="H1228" t="s">
        <v>16</v>
      </c>
      <c r="I1228" s="1">
        <v>-619900</v>
      </c>
      <c r="J1228" s="1">
        <v>-3580200</v>
      </c>
      <c r="K1228">
        <v>186</v>
      </c>
      <c r="L1228">
        <v>356</v>
      </c>
      <c r="M1228" t="s">
        <v>16</v>
      </c>
    </row>
    <row r="1229" spans="1:13" x14ac:dyDescent="0.35">
      <c r="A1229">
        <v>241410</v>
      </c>
      <c r="B1229">
        <v>10502</v>
      </c>
      <c r="C1229" t="s">
        <v>1378</v>
      </c>
      <c r="D1229" t="s">
        <v>1212</v>
      </c>
      <c r="E1229" t="s">
        <v>1221</v>
      </c>
      <c r="F1229">
        <v>9311</v>
      </c>
      <c r="G1229">
        <v>1</v>
      </c>
      <c r="H1229" t="s">
        <v>16</v>
      </c>
      <c r="I1229" s="1">
        <v>-646500</v>
      </c>
      <c r="J1229" s="1">
        <v>-3818000</v>
      </c>
      <c r="K1229">
        <v>340</v>
      </c>
      <c r="L1229">
        <v>223</v>
      </c>
      <c r="M1229" t="s">
        <v>16</v>
      </c>
    </row>
    <row r="1230" spans="1:13" x14ac:dyDescent="0.35">
      <c r="A1230">
        <v>241415</v>
      </c>
      <c r="B1230">
        <v>57975</v>
      </c>
      <c r="C1230" t="s">
        <v>1379</v>
      </c>
      <c r="D1230" t="s">
        <v>1212</v>
      </c>
      <c r="E1230" t="s">
        <v>1241</v>
      </c>
      <c r="F1230">
        <v>5120</v>
      </c>
      <c r="G1230">
        <v>1</v>
      </c>
      <c r="H1230" t="s">
        <v>16</v>
      </c>
      <c r="I1230" s="1">
        <v>-614800</v>
      </c>
      <c r="J1230" s="1">
        <v>-3671900</v>
      </c>
      <c r="K1230">
        <v>730</v>
      </c>
      <c r="L1230">
        <v>74</v>
      </c>
      <c r="M1230" t="s">
        <v>16</v>
      </c>
    </row>
    <row r="1231" spans="1:13" x14ac:dyDescent="0.35">
      <c r="A1231">
        <v>241420</v>
      </c>
      <c r="B1231">
        <v>10510</v>
      </c>
      <c r="C1231" t="s">
        <v>1380</v>
      </c>
      <c r="D1231" t="s">
        <v>1212</v>
      </c>
      <c r="E1231" t="s">
        <v>1231</v>
      </c>
      <c r="F1231">
        <v>10959</v>
      </c>
      <c r="G1231">
        <v>1</v>
      </c>
      <c r="H1231" t="s">
        <v>16</v>
      </c>
      <c r="I1231" s="1">
        <v>-618700</v>
      </c>
      <c r="J1231" s="1">
        <v>-3509200</v>
      </c>
      <c r="K1231">
        <v>38</v>
      </c>
      <c r="L1231">
        <v>101</v>
      </c>
      <c r="M1231" t="s">
        <v>16</v>
      </c>
    </row>
    <row r="1232" spans="1:13" x14ac:dyDescent="0.35">
      <c r="A1232">
        <v>241430</v>
      </c>
      <c r="B1232">
        <v>10529</v>
      </c>
      <c r="C1232" t="s">
        <v>1381</v>
      </c>
      <c r="D1232" t="s">
        <v>1212</v>
      </c>
      <c r="E1232" t="s">
        <v>1248</v>
      </c>
      <c r="F1232">
        <v>2295</v>
      </c>
      <c r="G1232">
        <v>1</v>
      </c>
      <c r="H1232" t="s">
        <v>16</v>
      </c>
      <c r="I1232" s="1">
        <v>-646500</v>
      </c>
      <c r="J1232" s="1">
        <v>-3727400</v>
      </c>
      <c r="K1232">
        <v>161</v>
      </c>
      <c r="L1232">
        <v>135</v>
      </c>
      <c r="M1232" t="s">
        <v>16</v>
      </c>
    </row>
    <row r="1233" spans="1:13" x14ac:dyDescent="0.35">
      <c r="A1233">
        <v>241440</v>
      </c>
      <c r="B1233">
        <v>10537</v>
      </c>
      <c r="C1233" t="s">
        <v>1382</v>
      </c>
      <c r="D1233" t="s">
        <v>1212</v>
      </c>
      <c r="E1233" t="s">
        <v>1311</v>
      </c>
      <c r="F1233">
        <v>29436</v>
      </c>
      <c r="G1233">
        <v>1</v>
      </c>
      <c r="H1233" t="s">
        <v>16</v>
      </c>
      <c r="I1233" s="1">
        <v>-519900</v>
      </c>
      <c r="J1233" s="1">
        <v>-3546100</v>
      </c>
      <c r="K1233">
        <v>2</v>
      </c>
      <c r="L1233">
        <v>839</v>
      </c>
      <c r="M1233" t="s">
        <v>16</v>
      </c>
    </row>
    <row r="1234" spans="1:13" x14ac:dyDescent="0.35">
      <c r="A1234">
        <v>241445</v>
      </c>
      <c r="B1234">
        <v>57983</v>
      </c>
      <c r="C1234" t="s">
        <v>1383</v>
      </c>
      <c r="D1234" t="s">
        <v>1212</v>
      </c>
      <c r="E1234" t="s">
        <v>1233</v>
      </c>
      <c r="F1234">
        <v>3272</v>
      </c>
      <c r="G1234">
        <v>1</v>
      </c>
      <c r="H1234" t="s">
        <v>16</v>
      </c>
      <c r="I1234" s="1">
        <v>-586700</v>
      </c>
      <c r="J1234" s="1">
        <v>-3718900</v>
      </c>
      <c r="K1234">
        <v>100</v>
      </c>
      <c r="L1234">
        <v>268</v>
      </c>
      <c r="M1234" t="s">
        <v>16</v>
      </c>
    </row>
    <row r="1235" spans="1:13" x14ac:dyDescent="0.35">
      <c r="A1235">
        <v>241450</v>
      </c>
      <c r="B1235">
        <v>10545</v>
      </c>
      <c r="C1235" t="s">
        <v>1223</v>
      </c>
      <c r="D1235" t="s">
        <v>1212</v>
      </c>
      <c r="E1235" t="s">
        <v>1223</v>
      </c>
      <c r="F1235">
        <v>10640</v>
      </c>
      <c r="G1235">
        <v>1</v>
      </c>
      <c r="H1235" t="s">
        <v>16</v>
      </c>
      <c r="I1235" s="1">
        <v>-599100</v>
      </c>
      <c r="J1235" s="1">
        <v>-3781400</v>
      </c>
      <c r="K1235">
        <v>166</v>
      </c>
      <c r="L1235">
        <v>213</v>
      </c>
      <c r="M1235" t="s">
        <v>16</v>
      </c>
    </row>
    <row r="1236" spans="1:13" x14ac:dyDescent="0.35">
      <c r="A1236">
        <v>241460</v>
      </c>
      <c r="B1236">
        <v>10553</v>
      </c>
      <c r="C1236" t="s">
        <v>1384</v>
      </c>
      <c r="D1236" t="s">
        <v>1212</v>
      </c>
      <c r="E1236" t="s">
        <v>1233</v>
      </c>
      <c r="F1236">
        <v>12719</v>
      </c>
      <c r="G1236">
        <v>1</v>
      </c>
      <c r="H1236" t="s">
        <v>16</v>
      </c>
      <c r="I1236" s="1">
        <v>-564200</v>
      </c>
      <c r="J1236" s="1">
        <v>-3725800</v>
      </c>
      <c r="K1236">
        <v>47</v>
      </c>
      <c r="L1236">
        <v>881</v>
      </c>
      <c r="M1236" t="s">
        <v>16</v>
      </c>
    </row>
    <row r="1237" spans="1:13" x14ac:dyDescent="0.35">
      <c r="A1237">
        <v>241470</v>
      </c>
      <c r="B1237">
        <v>10561</v>
      </c>
      <c r="C1237" t="s">
        <v>1385</v>
      </c>
      <c r="D1237" t="s">
        <v>1212</v>
      </c>
      <c r="E1237" t="s">
        <v>1242</v>
      </c>
      <c r="F1237">
        <v>5276</v>
      </c>
      <c r="G1237">
        <v>1</v>
      </c>
      <c r="H1237" t="s">
        <v>16</v>
      </c>
      <c r="I1237" s="1">
        <v>-634800</v>
      </c>
      <c r="J1237" s="1">
        <v>-3537600</v>
      </c>
      <c r="K1237">
        <v>59</v>
      </c>
      <c r="L1237">
        <v>67</v>
      </c>
      <c r="M1237" t="s">
        <v>16</v>
      </c>
    </row>
    <row r="1238" spans="1:13" x14ac:dyDescent="0.35">
      <c r="A1238">
        <v>241475</v>
      </c>
      <c r="B1238">
        <v>53899</v>
      </c>
      <c r="C1238" t="s">
        <v>1386</v>
      </c>
      <c r="D1238" t="s">
        <v>1212</v>
      </c>
      <c r="E1238" t="s">
        <v>1219</v>
      </c>
      <c r="F1238">
        <v>3494</v>
      </c>
      <c r="G1238">
        <v>1</v>
      </c>
      <c r="H1238" t="s">
        <v>16</v>
      </c>
      <c r="I1238" s="1">
        <v>-632600</v>
      </c>
      <c r="J1238" s="1">
        <v>-3848400</v>
      </c>
      <c r="K1238">
        <v>650</v>
      </c>
      <c r="L1238">
        <v>71</v>
      </c>
      <c r="M1238" t="s">
        <v>16</v>
      </c>
    </row>
    <row r="1239" spans="1:13" x14ac:dyDescent="0.35">
      <c r="A1239">
        <v>241480</v>
      </c>
      <c r="B1239">
        <v>10570</v>
      </c>
      <c r="C1239" t="s">
        <v>1387</v>
      </c>
      <c r="D1239" t="s">
        <v>1212</v>
      </c>
      <c r="E1239" t="s">
        <v>1242</v>
      </c>
      <c r="F1239">
        <v>10313</v>
      </c>
      <c r="G1239">
        <v>1</v>
      </c>
      <c r="H1239" t="s">
        <v>16</v>
      </c>
      <c r="I1239" s="1">
        <v>-604400</v>
      </c>
      <c r="J1239" s="1">
        <v>-3542800</v>
      </c>
      <c r="K1239">
        <v>94</v>
      </c>
      <c r="L1239">
        <v>92</v>
      </c>
      <c r="M1239" t="s">
        <v>16</v>
      </c>
    </row>
    <row r="1240" spans="1:13" x14ac:dyDescent="0.35">
      <c r="A1240">
        <v>241490</v>
      </c>
      <c r="B1240">
        <v>10588</v>
      </c>
      <c r="C1240" t="s">
        <v>1388</v>
      </c>
      <c r="D1240" t="s">
        <v>1212</v>
      </c>
      <c r="E1240" t="s">
        <v>1221</v>
      </c>
      <c r="F1240">
        <v>1769</v>
      </c>
      <c r="G1240">
        <v>1</v>
      </c>
      <c r="H1240" t="s">
        <v>16</v>
      </c>
      <c r="I1240" s="1">
        <v>-599400</v>
      </c>
      <c r="J1240" s="1">
        <v>-3794400</v>
      </c>
      <c r="K1240">
        <v>200</v>
      </c>
      <c r="L1240">
        <v>37</v>
      </c>
      <c r="M1240" t="s">
        <v>16</v>
      </c>
    </row>
    <row r="1241" spans="1:13" x14ac:dyDescent="0.35">
      <c r="A1241">
        <v>241500</v>
      </c>
      <c r="B1241">
        <v>10596</v>
      </c>
      <c r="C1241" t="s">
        <v>1389</v>
      </c>
      <c r="D1241" t="s">
        <v>1212</v>
      </c>
      <c r="E1241" t="s">
        <v>1231</v>
      </c>
      <c r="F1241">
        <v>2647</v>
      </c>
      <c r="G1241">
        <v>1</v>
      </c>
      <c r="H1241" t="s">
        <v>16</v>
      </c>
      <c r="I1241" s="1">
        <v>-631400</v>
      </c>
      <c r="J1241" s="1">
        <v>-3507700</v>
      </c>
      <c r="K1241">
        <v>40</v>
      </c>
      <c r="L1241">
        <v>47</v>
      </c>
      <c r="M1241" t="s">
        <v>16</v>
      </c>
    </row>
    <row r="1242" spans="1:13" x14ac:dyDescent="0.35">
      <c r="A1242">
        <v>250010</v>
      </c>
      <c r="B1242">
        <v>10715</v>
      </c>
      <c r="C1242" t="s">
        <v>780</v>
      </c>
      <c r="D1242" t="s">
        <v>1390</v>
      </c>
      <c r="E1242" t="s">
        <v>1391</v>
      </c>
      <c r="F1242">
        <v>9224</v>
      </c>
      <c r="G1242">
        <v>1</v>
      </c>
      <c r="H1242" t="s">
        <v>16</v>
      </c>
      <c r="I1242" s="1">
        <v>-751200</v>
      </c>
      <c r="J1242" s="1">
        <v>-3764100</v>
      </c>
      <c r="K1242">
        <v>735</v>
      </c>
      <c r="L1242">
        <v>220</v>
      </c>
      <c r="M1242" t="s">
        <v>16</v>
      </c>
    </row>
    <row r="1243" spans="1:13" x14ac:dyDescent="0.35">
      <c r="A1243">
        <v>250020</v>
      </c>
      <c r="B1243">
        <v>10723</v>
      </c>
      <c r="C1243" t="s">
        <v>1392</v>
      </c>
      <c r="D1243" t="s">
        <v>1390</v>
      </c>
      <c r="E1243" t="s">
        <v>1393</v>
      </c>
      <c r="F1243">
        <v>5629</v>
      </c>
      <c r="G1243">
        <v>1</v>
      </c>
      <c r="H1243" t="s">
        <v>16</v>
      </c>
      <c r="I1243" s="1">
        <v>-709200</v>
      </c>
      <c r="J1243" s="1">
        <v>-3817100</v>
      </c>
      <c r="K1243">
        <v>262</v>
      </c>
      <c r="L1243">
        <v>344</v>
      </c>
      <c r="M1243" t="s">
        <v>16</v>
      </c>
    </row>
    <row r="1244" spans="1:13" x14ac:dyDescent="0.35">
      <c r="A1244">
        <v>250030</v>
      </c>
      <c r="B1244">
        <v>10731</v>
      </c>
      <c r="C1244" t="s">
        <v>1394</v>
      </c>
      <c r="D1244" t="s">
        <v>1390</v>
      </c>
      <c r="E1244" t="s">
        <v>1395</v>
      </c>
      <c r="F1244">
        <v>27448</v>
      </c>
      <c r="G1244">
        <v>1</v>
      </c>
      <c r="H1244" t="s">
        <v>16</v>
      </c>
      <c r="I1244" s="1">
        <v>-708900</v>
      </c>
      <c r="J1244" s="1">
        <v>-3563500</v>
      </c>
      <c r="K1244">
        <v>143</v>
      </c>
      <c r="L1244">
        <v>320</v>
      </c>
      <c r="M1244" t="s">
        <v>16</v>
      </c>
    </row>
    <row r="1245" spans="1:13" x14ac:dyDescent="0.35">
      <c r="A1245">
        <v>250040</v>
      </c>
      <c r="B1245">
        <v>10740</v>
      </c>
      <c r="C1245" t="s">
        <v>1396</v>
      </c>
      <c r="D1245" t="s">
        <v>1390</v>
      </c>
      <c r="E1245" t="s">
        <v>1395</v>
      </c>
      <c r="F1245">
        <v>19163</v>
      </c>
      <c r="G1245">
        <v>1</v>
      </c>
      <c r="H1245" t="s">
        <v>16</v>
      </c>
      <c r="I1245" s="1">
        <v>-707100</v>
      </c>
      <c r="J1245" s="1">
        <v>-3575800</v>
      </c>
      <c r="K1245">
        <v>530</v>
      </c>
      <c r="L1245">
        <v>122</v>
      </c>
      <c r="M1245" t="s">
        <v>16</v>
      </c>
    </row>
    <row r="1246" spans="1:13" x14ac:dyDescent="0.35">
      <c r="A1246">
        <v>250050</v>
      </c>
      <c r="B1246">
        <v>10758</v>
      </c>
      <c r="C1246" t="s">
        <v>1397</v>
      </c>
      <c r="D1246" t="s">
        <v>1390</v>
      </c>
      <c r="E1246" t="s">
        <v>1398</v>
      </c>
      <c r="F1246">
        <v>13025</v>
      </c>
      <c r="G1246">
        <v>1</v>
      </c>
      <c r="H1246" t="s">
        <v>16</v>
      </c>
      <c r="I1246" s="1">
        <v>-695000</v>
      </c>
      <c r="J1246" s="1">
        <v>-3554500</v>
      </c>
      <c r="K1246">
        <v>133</v>
      </c>
      <c r="L1246">
        <v>85</v>
      </c>
      <c r="M1246" t="s">
        <v>16</v>
      </c>
    </row>
    <row r="1247" spans="1:13" x14ac:dyDescent="0.35">
      <c r="A1247">
        <v>250053</v>
      </c>
      <c r="B1247">
        <v>57991</v>
      </c>
      <c r="C1247" t="s">
        <v>1399</v>
      </c>
      <c r="D1247" t="s">
        <v>1390</v>
      </c>
      <c r="E1247" t="s">
        <v>1400</v>
      </c>
      <c r="F1247">
        <v>5068</v>
      </c>
      <c r="G1247">
        <v>1</v>
      </c>
      <c r="H1247" t="s">
        <v>16</v>
      </c>
      <c r="I1247" s="1">
        <v>-774400</v>
      </c>
      <c r="J1247" s="1">
        <v>-3605600</v>
      </c>
      <c r="K1247">
        <v>500</v>
      </c>
      <c r="L1247">
        <v>305</v>
      </c>
      <c r="M1247" t="s">
        <v>16</v>
      </c>
    </row>
    <row r="1248" spans="1:13" x14ac:dyDescent="0.35">
      <c r="A1248">
        <v>250057</v>
      </c>
      <c r="B1248">
        <v>58009</v>
      </c>
      <c r="C1248" t="s">
        <v>1401</v>
      </c>
      <c r="D1248" t="s">
        <v>1390</v>
      </c>
      <c r="E1248" t="s">
        <v>1402</v>
      </c>
      <c r="F1248">
        <v>2342</v>
      </c>
      <c r="G1248">
        <v>1</v>
      </c>
      <c r="H1248" t="s">
        <v>16</v>
      </c>
      <c r="I1248" s="1">
        <v>-681600</v>
      </c>
      <c r="J1248" s="1">
        <v>-3592200</v>
      </c>
      <c r="K1248">
        <v>470</v>
      </c>
      <c r="L1248">
        <v>220</v>
      </c>
      <c r="M1248" t="s">
        <v>16</v>
      </c>
    </row>
    <row r="1249" spans="1:13" x14ac:dyDescent="0.35">
      <c r="A1249">
        <v>250060</v>
      </c>
      <c r="B1249">
        <v>10766</v>
      </c>
      <c r="C1249" t="s">
        <v>1403</v>
      </c>
      <c r="D1249" t="s">
        <v>1390</v>
      </c>
      <c r="E1249" t="s">
        <v>1231</v>
      </c>
      <c r="F1249">
        <v>18183</v>
      </c>
      <c r="G1249">
        <v>1</v>
      </c>
      <c r="H1249" t="s">
        <v>16</v>
      </c>
      <c r="I1249" s="1">
        <v>-743900</v>
      </c>
      <c r="J1249" s="1">
        <v>-3491400</v>
      </c>
      <c r="K1249">
        <v>49</v>
      </c>
      <c r="L1249">
        <v>182</v>
      </c>
      <c r="M1249" t="s">
        <v>16</v>
      </c>
    </row>
    <row r="1250" spans="1:13" x14ac:dyDescent="0.35">
      <c r="A1250">
        <v>250070</v>
      </c>
      <c r="B1250">
        <v>10774</v>
      </c>
      <c r="C1250" t="s">
        <v>1404</v>
      </c>
      <c r="D1250" t="s">
        <v>1390</v>
      </c>
      <c r="E1250" t="s">
        <v>1405</v>
      </c>
      <c r="F1250">
        <v>17773</v>
      </c>
      <c r="G1250">
        <v>1</v>
      </c>
      <c r="H1250" t="s">
        <v>16</v>
      </c>
      <c r="I1250" s="1">
        <v>-672900</v>
      </c>
      <c r="J1250" s="1">
        <v>-3844900</v>
      </c>
      <c r="K1250">
        <v>245</v>
      </c>
      <c r="L1250">
        <v>474</v>
      </c>
      <c r="M1250" t="s">
        <v>16</v>
      </c>
    </row>
    <row r="1251" spans="1:13" x14ac:dyDescent="0.35">
      <c r="A1251">
        <v>250073</v>
      </c>
      <c r="B1251">
        <v>56146</v>
      </c>
      <c r="C1251" t="s">
        <v>1406</v>
      </c>
      <c r="D1251" t="s">
        <v>1390</v>
      </c>
      <c r="E1251" t="s">
        <v>1407</v>
      </c>
      <c r="F1251">
        <v>2007</v>
      </c>
      <c r="G1251">
        <v>1</v>
      </c>
      <c r="H1251" t="s">
        <v>16</v>
      </c>
      <c r="I1251" s="1">
        <v>-756800</v>
      </c>
      <c r="J1251" s="1">
        <v>-3706400</v>
      </c>
      <c r="K1251">
        <v>635</v>
      </c>
      <c r="L1251">
        <v>121</v>
      </c>
      <c r="M1251" t="s">
        <v>16</v>
      </c>
    </row>
    <row r="1252" spans="1:13" x14ac:dyDescent="0.35">
      <c r="A1252">
        <v>250077</v>
      </c>
      <c r="B1252">
        <v>56154</v>
      </c>
      <c r="C1252" t="s">
        <v>1408</v>
      </c>
      <c r="D1252" t="s">
        <v>1390</v>
      </c>
      <c r="E1252" t="s">
        <v>1409</v>
      </c>
      <c r="F1252">
        <v>7323</v>
      </c>
      <c r="G1252">
        <v>1</v>
      </c>
      <c r="H1252" t="s">
        <v>16</v>
      </c>
      <c r="I1252" s="1">
        <v>-678400</v>
      </c>
      <c r="J1252" s="1">
        <v>-3808700</v>
      </c>
      <c r="K1252">
        <v>214</v>
      </c>
      <c r="L1252">
        <v>229</v>
      </c>
      <c r="M1252" t="s">
        <v>16</v>
      </c>
    </row>
    <row r="1253" spans="1:13" x14ac:dyDescent="0.35">
      <c r="A1253">
        <v>250080</v>
      </c>
      <c r="B1253">
        <v>10782</v>
      </c>
      <c r="C1253" t="s">
        <v>1410</v>
      </c>
      <c r="D1253" t="s">
        <v>1390</v>
      </c>
      <c r="E1253" t="s">
        <v>1398</v>
      </c>
      <c r="F1253">
        <v>17376</v>
      </c>
      <c r="G1253">
        <v>1</v>
      </c>
      <c r="H1253" t="s">
        <v>16</v>
      </c>
      <c r="I1253" s="1">
        <v>-685300</v>
      </c>
      <c r="J1253" s="1">
        <v>-3538100</v>
      </c>
      <c r="K1253">
        <v>57</v>
      </c>
      <c r="L1253">
        <v>229</v>
      </c>
      <c r="M1253" t="s">
        <v>16</v>
      </c>
    </row>
    <row r="1254" spans="1:13" x14ac:dyDescent="0.35">
      <c r="A1254">
        <v>250090</v>
      </c>
      <c r="B1254">
        <v>10790</v>
      </c>
      <c r="C1254" t="s">
        <v>1411</v>
      </c>
      <c r="D1254" t="s">
        <v>1390</v>
      </c>
      <c r="E1254" t="s">
        <v>1402</v>
      </c>
      <c r="F1254">
        <v>12356</v>
      </c>
      <c r="G1254">
        <v>1</v>
      </c>
      <c r="H1254" t="s">
        <v>16</v>
      </c>
      <c r="I1254" s="1">
        <v>-682800</v>
      </c>
      <c r="J1254" s="1">
        <v>-3575800</v>
      </c>
      <c r="K1254">
        <v>467</v>
      </c>
      <c r="L1254">
        <v>88</v>
      </c>
      <c r="M1254" t="s">
        <v>16</v>
      </c>
    </row>
    <row r="1255" spans="1:13" x14ac:dyDescent="0.35">
      <c r="A1255">
        <v>250100</v>
      </c>
      <c r="B1255">
        <v>10804</v>
      </c>
      <c r="C1255" t="s">
        <v>1412</v>
      </c>
      <c r="D1255" t="s">
        <v>1390</v>
      </c>
      <c r="E1255" t="s">
        <v>1413</v>
      </c>
      <c r="F1255">
        <v>19191</v>
      </c>
      <c r="G1255">
        <v>1</v>
      </c>
      <c r="H1255" t="s">
        <v>16</v>
      </c>
      <c r="I1255" s="1">
        <v>-655800</v>
      </c>
      <c r="J1255" s="1">
        <v>-3574200</v>
      </c>
      <c r="K1255">
        <v>570</v>
      </c>
      <c r="L1255">
        <v>245</v>
      </c>
      <c r="M1255" t="s">
        <v>16</v>
      </c>
    </row>
    <row r="1256" spans="1:13" x14ac:dyDescent="0.35">
      <c r="A1256">
        <v>250110</v>
      </c>
      <c r="B1256">
        <v>10812</v>
      </c>
      <c r="C1256" t="s">
        <v>1414</v>
      </c>
      <c r="D1256" t="s">
        <v>1390</v>
      </c>
      <c r="E1256" t="s">
        <v>1395</v>
      </c>
      <c r="F1256">
        <v>24992</v>
      </c>
      <c r="G1256">
        <v>1</v>
      </c>
      <c r="H1256" t="s">
        <v>16</v>
      </c>
      <c r="I1256" s="1">
        <v>-696300</v>
      </c>
      <c r="J1256" s="1">
        <v>-3569200</v>
      </c>
      <c r="K1256">
        <v>618</v>
      </c>
      <c r="L1256">
        <v>269</v>
      </c>
      <c r="M1256" t="s">
        <v>16</v>
      </c>
    </row>
    <row r="1257" spans="1:13" x14ac:dyDescent="0.35">
      <c r="A1257">
        <v>250115</v>
      </c>
      <c r="B1257">
        <v>58017</v>
      </c>
      <c r="C1257" t="s">
        <v>1415</v>
      </c>
      <c r="D1257" t="s">
        <v>1390</v>
      </c>
      <c r="E1257" t="s">
        <v>1416</v>
      </c>
      <c r="F1257">
        <v>2096</v>
      </c>
      <c r="G1257">
        <v>1</v>
      </c>
      <c r="H1257" t="s">
        <v>16</v>
      </c>
      <c r="I1257" s="1">
        <v>-712300</v>
      </c>
      <c r="J1257" s="1">
        <v>-3694100</v>
      </c>
      <c r="K1257">
        <v>371</v>
      </c>
      <c r="L1257">
        <v>96</v>
      </c>
      <c r="M1257" t="s">
        <v>16</v>
      </c>
    </row>
    <row r="1258" spans="1:13" x14ac:dyDescent="0.35">
      <c r="A1258">
        <v>250120</v>
      </c>
      <c r="B1258">
        <v>10820</v>
      </c>
      <c r="C1258" t="s">
        <v>1417</v>
      </c>
      <c r="D1258" t="s">
        <v>1390</v>
      </c>
      <c r="E1258" t="s">
        <v>1418</v>
      </c>
      <c r="F1258">
        <v>6234</v>
      </c>
      <c r="G1258">
        <v>1</v>
      </c>
      <c r="H1258" t="s">
        <v>16</v>
      </c>
      <c r="I1258" s="1">
        <v>-704800</v>
      </c>
      <c r="J1258" s="1">
        <v>-3593100</v>
      </c>
      <c r="K1258">
        <v>695</v>
      </c>
      <c r="L1258">
        <v>33</v>
      </c>
      <c r="M1258" t="s">
        <v>16</v>
      </c>
    </row>
    <row r="1259" spans="1:13" x14ac:dyDescent="0.35">
      <c r="A1259">
        <v>250130</v>
      </c>
      <c r="B1259">
        <v>10839</v>
      </c>
      <c r="C1259" t="s">
        <v>1419</v>
      </c>
      <c r="D1259" t="s">
        <v>1390</v>
      </c>
      <c r="E1259" t="s">
        <v>1420</v>
      </c>
      <c r="F1259">
        <v>19174</v>
      </c>
      <c r="G1259">
        <v>1</v>
      </c>
      <c r="H1259" t="s">
        <v>16</v>
      </c>
      <c r="I1259" s="1">
        <v>-754500</v>
      </c>
      <c r="J1259" s="1">
        <v>-3570800</v>
      </c>
      <c r="K1259">
        <v>363</v>
      </c>
      <c r="L1259">
        <v>374</v>
      </c>
      <c r="M1259" t="s">
        <v>16</v>
      </c>
    </row>
    <row r="1260" spans="1:13" x14ac:dyDescent="0.35">
      <c r="A1260">
        <v>250135</v>
      </c>
      <c r="B1260">
        <v>58025</v>
      </c>
      <c r="C1260" t="s">
        <v>1421</v>
      </c>
      <c r="D1260" t="s">
        <v>1390</v>
      </c>
      <c r="E1260" t="s">
        <v>1407</v>
      </c>
      <c r="F1260">
        <v>3336</v>
      </c>
      <c r="G1260">
        <v>1</v>
      </c>
      <c r="H1260" t="s">
        <v>16</v>
      </c>
      <c r="I1260" s="1">
        <v>-707400</v>
      </c>
      <c r="J1260" s="1">
        <v>-3673100</v>
      </c>
      <c r="K1260">
        <v>573</v>
      </c>
      <c r="L1260">
        <v>126</v>
      </c>
      <c r="M1260" t="s">
        <v>16</v>
      </c>
    </row>
    <row r="1261" spans="1:13" x14ac:dyDescent="0.35">
      <c r="A1261">
        <v>250140</v>
      </c>
      <c r="B1261">
        <v>10847</v>
      </c>
      <c r="C1261" t="s">
        <v>1422</v>
      </c>
      <c r="D1261" t="s">
        <v>1390</v>
      </c>
      <c r="E1261" t="s">
        <v>1423</v>
      </c>
      <c r="F1261">
        <v>7630</v>
      </c>
      <c r="G1261">
        <v>1</v>
      </c>
      <c r="H1261" t="s">
        <v>16</v>
      </c>
      <c r="I1261" s="1">
        <v>-668800</v>
      </c>
      <c r="J1261" s="1">
        <v>-3493600</v>
      </c>
      <c r="K1261">
        <v>2</v>
      </c>
      <c r="L1261">
        <v>102</v>
      </c>
      <c r="M1261" t="s">
        <v>16</v>
      </c>
    </row>
    <row r="1262" spans="1:13" x14ac:dyDescent="0.35">
      <c r="A1262">
        <v>250150</v>
      </c>
      <c r="B1262">
        <v>10855</v>
      </c>
      <c r="C1262" t="s">
        <v>1424</v>
      </c>
      <c r="D1262" t="s">
        <v>1390</v>
      </c>
      <c r="E1262" t="s">
        <v>1395</v>
      </c>
      <c r="F1262">
        <v>21670</v>
      </c>
      <c r="G1262">
        <v>1</v>
      </c>
      <c r="H1262" t="s">
        <v>16</v>
      </c>
      <c r="I1262" s="1">
        <v>-675000</v>
      </c>
      <c r="J1262" s="1">
        <v>-3563300</v>
      </c>
      <c r="K1262">
        <v>520</v>
      </c>
      <c r="L1262">
        <v>257</v>
      </c>
      <c r="M1262" t="s">
        <v>16</v>
      </c>
    </row>
    <row r="1263" spans="1:13" x14ac:dyDescent="0.35">
      <c r="A1263">
        <v>250153</v>
      </c>
      <c r="B1263">
        <v>58033</v>
      </c>
      <c r="C1263" t="s">
        <v>1235</v>
      </c>
      <c r="D1263" t="s">
        <v>1390</v>
      </c>
      <c r="E1263" t="s">
        <v>1425</v>
      </c>
      <c r="F1263">
        <v>3864</v>
      </c>
      <c r="G1263">
        <v>1</v>
      </c>
      <c r="H1263" t="s">
        <v>16</v>
      </c>
      <c r="I1263" s="1">
        <v>-664300</v>
      </c>
      <c r="J1263" s="1">
        <v>-3625400</v>
      </c>
      <c r="K1263">
        <v>626</v>
      </c>
      <c r="L1263">
        <v>50</v>
      </c>
      <c r="M1263" t="s">
        <v>16</v>
      </c>
    </row>
    <row r="1264" spans="1:13" x14ac:dyDescent="0.35">
      <c r="A1264">
        <v>250157</v>
      </c>
      <c r="B1264">
        <v>58041</v>
      </c>
      <c r="C1264" t="s">
        <v>1426</v>
      </c>
      <c r="D1264" t="s">
        <v>1390</v>
      </c>
      <c r="E1264" t="s">
        <v>1400</v>
      </c>
      <c r="F1264">
        <v>8619</v>
      </c>
      <c r="G1264">
        <v>1</v>
      </c>
      <c r="H1264" t="s">
        <v>16</v>
      </c>
      <c r="I1264" s="1">
        <v>-752000</v>
      </c>
      <c r="J1264" s="1">
        <v>-3600000</v>
      </c>
      <c r="K1264">
        <v>350</v>
      </c>
      <c r="L1264">
        <v>369</v>
      </c>
      <c r="M1264" t="s">
        <v>16</v>
      </c>
    </row>
    <row r="1265" spans="1:13" x14ac:dyDescent="0.35">
      <c r="A1265">
        <v>250160</v>
      </c>
      <c r="B1265">
        <v>10863</v>
      </c>
      <c r="C1265" t="s">
        <v>1427</v>
      </c>
      <c r="D1265" t="s">
        <v>1390</v>
      </c>
      <c r="E1265" t="s">
        <v>1402</v>
      </c>
      <c r="F1265">
        <v>12848</v>
      </c>
      <c r="G1265">
        <v>1</v>
      </c>
      <c r="H1265" t="s">
        <v>16</v>
      </c>
      <c r="I1265" s="1">
        <v>-672000</v>
      </c>
      <c r="J1265" s="1">
        <v>-3606100</v>
      </c>
      <c r="K1265">
        <v>457</v>
      </c>
      <c r="L1265">
        <v>825</v>
      </c>
      <c r="M1265" t="s">
        <v>16</v>
      </c>
    </row>
    <row r="1266" spans="1:13" x14ac:dyDescent="0.35">
      <c r="A1266">
        <v>250170</v>
      </c>
      <c r="B1266">
        <v>10871</v>
      </c>
      <c r="C1266" t="s">
        <v>1428</v>
      </c>
      <c r="D1266" t="s">
        <v>1390</v>
      </c>
      <c r="E1266" t="s">
        <v>1400</v>
      </c>
      <c r="F1266">
        <v>5435</v>
      </c>
      <c r="G1266">
        <v>1</v>
      </c>
      <c r="H1266" t="s">
        <v>16</v>
      </c>
      <c r="I1266" s="1">
        <v>-775100</v>
      </c>
      <c r="J1266" s="1">
        <v>-3631800</v>
      </c>
      <c r="K1266">
        <v>486</v>
      </c>
      <c r="L1266">
        <v>595</v>
      </c>
      <c r="M1266" t="s">
        <v>16</v>
      </c>
    </row>
    <row r="1267" spans="1:13" x14ac:dyDescent="0.35">
      <c r="A1267">
        <v>250180</v>
      </c>
      <c r="B1267">
        <v>10880</v>
      </c>
      <c r="C1267" t="s">
        <v>1429</v>
      </c>
      <c r="D1267" t="s">
        <v>1390</v>
      </c>
      <c r="E1267" t="s">
        <v>1430</v>
      </c>
      <c r="F1267">
        <v>92891</v>
      </c>
      <c r="G1267">
        <v>4</v>
      </c>
      <c r="H1267" t="s">
        <v>1431</v>
      </c>
      <c r="I1267" s="1">
        <v>-712500</v>
      </c>
      <c r="J1267" s="1">
        <v>-3493200</v>
      </c>
      <c r="K1267">
        <v>11</v>
      </c>
      <c r="L1267">
        <v>31</v>
      </c>
      <c r="M1267" t="s">
        <v>16</v>
      </c>
    </row>
    <row r="1268" spans="1:13" x14ac:dyDescent="0.35">
      <c r="A1268">
        <v>250190</v>
      </c>
      <c r="B1268">
        <v>10898</v>
      </c>
      <c r="C1268" t="s">
        <v>224</v>
      </c>
      <c r="D1268" t="s">
        <v>1390</v>
      </c>
      <c r="E1268" t="s">
        <v>1398</v>
      </c>
      <c r="F1268">
        <v>17173</v>
      </c>
      <c r="G1268">
        <v>1</v>
      </c>
      <c r="H1268" t="s">
        <v>16</v>
      </c>
      <c r="I1268" s="1">
        <v>-674700</v>
      </c>
      <c r="J1268" s="1">
        <v>-3551900</v>
      </c>
      <c r="K1268">
        <v>149</v>
      </c>
      <c r="L1268">
        <v>100</v>
      </c>
      <c r="M1268" t="s">
        <v>16</v>
      </c>
    </row>
    <row r="1269" spans="1:13" x14ac:dyDescent="0.35">
      <c r="A1269">
        <v>250200</v>
      </c>
      <c r="B1269">
        <v>10901</v>
      </c>
      <c r="C1269" t="s">
        <v>1432</v>
      </c>
      <c r="D1269" t="s">
        <v>1390</v>
      </c>
      <c r="E1269" t="s">
        <v>1433</v>
      </c>
      <c r="F1269">
        <v>7040</v>
      </c>
      <c r="G1269">
        <v>1</v>
      </c>
      <c r="H1269" t="s">
        <v>16</v>
      </c>
      <c r="I1269" s="1">
        <v>-618900</v>
      </c>
      <c r="J1269" s="1">
        <v>-3753600</v>
      </c>
      <c r="K1269">
        <v>176</v>
      </c>
      <c r="L1269">
        <v>603</v>
      </c>
      <c r="M1269" t="s">
        <v>16</v>
      </c>
    </row>
    <row r="1270" spans="1:13" x14ac:dyDescent="0.35">
      <c r="A1270">
        <v>250205</v>
      </c>
      <c r="B1270">
        <v>58050</v>
      </c>
      <c r="C1270" t="s">
        <v>1434</v>
      </c>
      <c r="D1270" t="s">
        <v>1390</v>
      </c>
      <c r="E1270" t="s">
        <v>1405</v>
      </c>
      <c r="F1270">
        <v>3164</v>
      </c>
      <c r="G1270">
        <v>1</v>
      </c>
      <c r="H1270" t="s">
        <v>16</v>
      </c>
      <c r="I1270" s="1">
        <v>-645200</v>
      </c>
      <c r="J1270" s="1">
        <v>-3855100</v>
      </c>
      <c r="K1270">
        <v>700</v>
      </c>
      <c r="L1270">
        <v>50</v>
      </c>
      <c r="M1270" t="s">
        <v>16</v>
      </c>
    </row>
    <row r="1271" spans="1:13" x14ac:dyDescent="0.35">
      <c r="A1271">
        <v>250210</v>
      </c>
      <c r="B1271">
        <v>10910</v>
      </c>
      <c r="C1271" t="s">
        <v>1435</v>
      </c>
      <c r="D1271" t="s">
        <v>1390</v>
      </c>
      <c r="E1271" t="s">
        <v>1436</v>
      </c>
      <c r="F1271">
        <v>5800</v>
      </c>
      <c r="G1271">
        <v>1</v>
      </c>
      <c r="H1271" t="s">
        <v>16</v>
      </c>
      <c r="I1271" s="1">
        <v>-741400</v>
      </c>
      <c r="J1271" s="1">
        <v>-3821600</v>
      </c>
      <c r="K1271">
        <v>303</v>
      </c>
      <c r="L1271">
        <v>132</v>
      </c>
      <c r="M1271" t="s">
        <v>16</v>
      </c>
    </row>
    <row r="1272" spans="1:13" x14ac:dyDescent="0.35">
      <c r="A1272">
        <v>250215</v>
      </c>
      <c r="B1272">
        <v>56162</v>
      </c>
      <c r="C1272" t="s">
        <v>170</v>
      </c>
      <c r="D1272" t="s">
        <v>1390</v>
      </c>
      <c r="E1272" t="s">
        <v>1437</v>
      </c>
      <c r="F1272">
        <v>5673</v>
      </c>
      <c r="G1272">
        <v>1</v>
      </c>
      <c r="H1272" t="s">
        <v>16</v>
      </c>
      <c r="I1272" s="1">
        <v>-725900</v>
      </c>
      <c r="J1272" s="1">
        <v>-3624000</v>
      </c>
      <c r="K1272">
        <v>493</v>
      </c>
      <c r="L1272">
        <v>476</v>
      </c>
      <c r="M1272" t="s">
        <v>16</v>
      </c>
    </row>
    <row r="1273" spans="1:13" x14ac:dyDescent="0.35">
      <c r="A1273">
        <v>250220</v>
      </c>
      <c r="B1273">
        <v>10928</v>
      </c>
      <c r="C1273" t="s">
        <v>819</v>
      </c>
      <c r="D1273" t="s">
        <v>1390</v>
      </c>
      <c r="E1273" t="s">
        <v>1405</v>
      </c>
      <c r="F1273">
        <v>2233</v>
      </c>
      <c r="G1273">
        <v>1</v>
      </c>
      <c r="H1273" t="s">
        <v>16</v>
      </c>
      <c r="I1273" s="1">
        <v>-681700</v>
      </c>
      <c r="J1273" s="1">
        <v>-3865000</v>
      </c>
      <c r="K1273">
        <v>318</v>
      </c>
      <c r="L1273">
        <v>47</v>
      </c>
      <c r="M1273" t="s">
        <v>16</v>
      </c>
    </row>
    <row r="1274" spans="1:13" x14ac:dyDescent="0.35">
      <c r="A1274">
        <v>250230</v>
      </c>
      <c r="B1274">
        <v>10936</v>
      </c>
      <c r="C1274" t="s">
        <v>1438</v>
      </c>
      <c r="D1274" t="s">
        <v>1390</v>
      </c>
      <c r="E1274" t="s">
        <v>1433</v>
      </c>
      <c r="F1274">
        <v>5152</v>
      </c>
      <c r="G1274">
        <v>1</v>
      </c>
      <c r="H1274" t="s">
        <v>16</v>
      </c>
      <c r="I1274" s="1">
        <v>-644500</v>
      </c>
      <c r="J1274" s="1">
        <v>-3792900</v>
      </c>
      <c r="K1274">
        <v>312</v>
      </c>
      <c r="L1274">
        <v>184</v>
      </c>
      <c r="M1274" t="s">
        <v>16</v>
      </c>
    </row>
    <row r="1275" spans="1:13" x14ac:dyDescent="0.35">
      <c r="A1275">
        <v>250240</v>
      </c>
      <c r="B1275">
        <v>10944</v>
      </c>
      <c r="C1275" t="s">
        <v>1439</v>
      </c>
      <c r="D1275" t="s">
        <v>1390</v>
      </c>
      <c r="E1275" t="s">
        <v>1405</v>
      </c>
      <c r="F1275">
        <v>10253</v>
      </c>
      <c r="G1275">
        <v>1</v>
      </c>
      <c r="H1275" t="s">
        <v>16</v>
      </c>
      <c r="I1275" s="1">
        <v>-731300</v>
      </c>
      <c r="J1275" s="1">
        <v>-3851500</v>
      </c>
      <c r="K1275">
        <v>593</v>
      </c>
      <c r="L1275">
        <v>228</v>
      </c>
      <c r="M1275" t="s">
        <v>16</v>
      </c>
    </row>
    <row r="1276" spans="1:13" x14ac:dyDescent="0.35">
      <c r="A1276">
        <v>250250</v>
      </c>
      <c r="B1276">
        <v>10952</v>
      </c>
      <c r="C1276" t="s">
        <v>1440</v>
      </c>
      <c r="D1276" t="s">
        <v>1390</v>
      </c>
      <c r="E1276" t="s">
        <v>1400</v>
      </c>
      <c r="F1276">
        <v>15877</v>
      </c>
      <c r="G1276">
        <v>1</v>
      </c>
      <c r="H1276" t="s">
        <v>16</v>
      </c>
      <c r="I1276" s="1">
        <v>-748200</v>
      </c>
      <c r="J1276" s="1">
        <v>-3613500</v>
      </c>
      <c r="K1276">
        <v>355</v>
      </c>
      <c r="L1276">
        <v>424</v>
      </c>
      <c r="M1276" t="s">
        <v>16</v>
      </c>
    </row>
    <row r="1277" spans="1:13" x14ac:dyDescent="0.35">
      <c r="A1277">
        <v>250260</v>
      </c>
      <c r="B1277">
        <v>10960</v>
      </c>
      <c r="C1277" t="s">
        <v>1441</v>
      </c>
      <c r="D1277" t="s">
        <v>1390</v>
      </c>
      <c r="E1277" t="s">
        <v>1393</v>
      </c>
      <c r="F1277">
        <v>6334</v>
      </c>
      <c r="G1277">
        <v>1</v>
      </c>
      <c r="H1277" t="s">
        <v>16</v>
      </c>
      <c r="I1277" s="1">
        <v>-718100</v>
      </c>
      <c r="J1277" s="1">
        <v>-3814900</v>
      </c>
      <c r="K1277">
        <v>313</v>
      </c>
      <c r="L1277">
        <v>192</v>
      </c>
      <c r="M1277" t="s">
        <v>16</v>
      </c>
    </row>
    <row r="1278" spans="1:13" x14ac:dyDescent="0.35">
      <c r="A1278">
        <v>250270</v>
      </c>
      <c r="B1278">
        <v>10979</v>
      </c>
      <c r="C1278" t="s">
        <v>1442</v>
      </c>
      <c r="D1278" t="s">
        <v>1390</v>
      </c>
      <c r="E1278" t="s">
        <v>1395</v>
      </c>
      <c r="F1278">
        <v>5009</v>
      </c>
      <c r="G1278">
        <v>1</v>
      </c>
      <c r="H1278" t="s">
        <v>16</v>
      </c>
      <c r="I1278" s="1">
        <v>-680100</v>
      </c>
      <c r="J1278" s="1">
        <v>-3562600</v>
      </c>
      <c r="K1278">
        <v>368</v>
      </c>
      <c r="L1278">
        <v>25</v>
      </c>
      <c r="M1278" t="s">
        <v>16</v>
      </c>
    </row>
    <row r="1279" spans="1:13" x14ac:dyDescent="0.35">
      <c r="A1279">
        <v>250280</v>
      </c>
      <c r="B1279">
        <v>10987</v>
      </c>
      <c r="C1279" t="s">
        <v>1443</v>
      </c>
      <c r="D1279" t="s">
        <v>1390</v>
      </c>
      <c r="E1279" t="s">
        <v>1433</v>
      </c>
      <c r="F1279">
        <v>12424</v>
      </c>
      <c r="G1279">
        <v>1</v>
      </c>
      <c r="H1279" t="s">
        <v>16</v>
      </c>
      <c r="I1279" s="1">
        <v>-634900</v>
      </c>
      <c r="J1279" s="1">
        <v>-3749800</v>
      </c>
      <c r="K1279">
        <v>199</v>
      </c>
      <c r="L1279">
        <v>398</v>
      </c>
      <c r="M1279" t="s">
        <v>16</v>
      </c>
    </row>
    <row r="1280" spans="1:13" x14ac:dyDescent="0.35">
      <c r="A1280">
        <v>250290</v>
      </c>
      <c r="B1280">
        <v>10995</v>
      </c>
      <c r="C1280" t="s">
        <v>1444</v>
      </c>
      <c r="D1280" t="s">
        <v>1390</v>
      </c>
      <c r="E1280" t="s">
        <v>1433</v>
      </c>
      <c r="F1280">
        <v>5743</v>
      </c>
      <c r="G1280">
        <v>1</v>
      </c>
      <c r="H1280" t="s">
        <v>16</v>
      </c>
      <c r="I1280" s="1">
        <v>-637700</v>
      </c>
      <c r="J1280" s="1">
        <v>-3782500</v>
      </c>
      <c r="K1280">
        <v>328</v>
      </c>
      <c r="L1280">
        <v>93</v>
      </c>
      <c r="M1280" t="s">
        <v>16</v>
      </c>
    </row>
    <row r="1281" spans="1:13" x14ac:dyDescent="0.35">
      <c r="A1281">
        <v>250300</v>
      </c>
      <c r="B1281">
        <v>11002</v>
      </c>
      <c r="C1281" t="s">
        <v>1445</v>
      </c>
      <c r="D1281" t="s">
        <v>1390</v>
      </c>
      <c r="E1281" t="s">
        <v>1231</v>
      </c>
      <c r="F1281">
        <v>19388</v>
      </c>
      <c r="G1281">
        <v>1</v>
      </c>
      <c r="H1281" t="s">
        <v>16</v>
      </c>
      <c r="I1281" s="1">
        <v>-751600</v>
      </c>
      <c r="J1281" s="1">
        <v>-3490800</v>
      </c>
      <c r="K1281">
        <v>29</v>
      </c>
      <c r="L1281">
        <v>150</v>
      </c>
      <c r="M1281" t="s">
        <v>16</v>
      </c>
    </row>
    <row r="1282" spans="1:13" x14ac:dyDescent="0.35">
      <c r="A1282">
        <v>250310</v>
      </c>
      <c r="B1282">
        <v>11010</v>
      </c>
      <c r="C1282" t="s">
        <v>1446</v>
      </c>
      <c r="D1282" t="s">
        <v>1390</v>
      </c>
      <c r="E1282" t="s">
        <v>1400</v>
      </c>
      <c r="F1282">
        <v>4907</v>
      </c>
      <c r="G1282">
        <v>1</v>
      </c>
      <c r="H1282" t="s">
        <v>16</v>
      </c>
      <c r="I1282" s="1">
        <v>-748900</v>
      </c>
      <c r="J1282" s="1">
        <v>-3628700</v>
      </c>
      <c r="K1282">
        <v>388</v>
      </c>
      <c r="L1282">
        <v>400</v>
      </c>
      <c r="M1282" t="s">
        <v>16</v>
      </c>
    </row>
    <row r="1283" spans="1:13" x14ac:dyDescent="0.35">
      <c r="A1283">
        <v>250320</v>
      </c>
      <c r="B1283">
        <v>11029</v>
      </c>
      <c r="C1283" t="s">
        <v>1447</v>
      </c>
      <c r="D1283" t="s">
        <v>1390</v>
      </c>
      <c r="E1283" t="s">
        <v>1430</v>
      </c>
      <c r="F1283">
        <v>49728</v>
      </c>
      <c r="G1283">
        <v>4</v>
      </c>
      <c r="H1283" t="s">
        <v>1431</v>
      </c>
      <c r="I1283" s="1">
        <v>-698100</v>
      </c>
      <c r="J1283" s="1">
        <v>-3483400</v>
      </c>
      <c r="K1283">
        <v>3</v>
      </c>
      <c r="L1283">
        <v>31</v>
      </c>
      <c r="M1283" t="s">
        <v>16</v>
      </c>
    </row>
    <row r="1284" spans="1:13" x14ac:dyDescent="0.35">
      <c r="A1284">
        <v>250330</v>
      </c>
      <c r="B1284">
        <v>11037</v>
      </c>
      <c r="C1284" t="s">
        <v>1448</v>
      </c>
      <c r="D1284" t="s">
        <v>1390</v>
      </c>
      <c r="E1284" t="s">
        <v>1405</v>
      </c>
      <c r="F1284">
        <v>8388</v>
      </c>
      <c r="G1284">
        <v>1</v>
      </c>
      <c r="H1284" t="s">
        <v>16</v>
      </c>
      <c r="I1284" s="1">
        <v>-692700</v>
      </c>
      <c r="J1284" s="1">
        <v>-3867400</v>
      </c>
      <c r="K1284">
        <v>319</v>
      </c>
      <c r="L1284">
        <v>172</v>
      </c>
      <c r="M1284" t="s">
        <v>16</v>
      </c>
    </row>
    <row r="1285" spans="1:13" x14ac:dyDescent="0.35">
      <c r="A1285">
        <v>250340</v>
      </c>
      <c r="B1285">
        <v>11045</v>
      </c>
      <c r="C1285" t="s">
        <v>1449</v>
      </c>
      <c r="D1285" t="s">
        <v>1390</v>
      </c>
      <c r="E1285" t="s">
        <v>1416</v>
      </c>
      <c r="F1285">
        <v>3485</v>
      </c>
      <c r="G1285">
        <v>1</v>
      </c>
      <c r="H1285" t="s">
        <v>16</v>
      </c>
      <c r="I1285" s="1">
        <v>-712900</v>
      </c>
      <c r="J1285" s="1">
        <v>-3715700</v>
      </c>
      <c r="K1285">
        <v>272</v>
      </c>
      <c r="L1285">
        <v>233</v>
      </c>
      <c r="M1285" t="s">
        <v>16</v>
      </c>
    </row>
    <row r="1286" spans="1:13" x14ac:dyDescent="0.35">
      <c r="A1286">
        <v>250350</v>
      </c>
      <c r="B1286">
        <v>11053</v>
      </c>
      <c r="C1286" t="s">
        <v>1450</v>
      </c>
      <c r="D1286" t="s">
        <v>1390</v>
      </c>
      <c r="E1286" t="s">
        <v>1413</v>
      </c>
      <c r="F1286">
        <v>17108</v>
      </c>
      <c r="G1286">
        <v>1</v>
      </c>
      <c r="H1286" t="s">
        <v>16</v>
      </c>
      <c r="I1286" s="1">
        <v>-664200</v>
      </c>
      <c r="J1286" s="1">
        <v>-3579000</v>
      </c>
      <c r="K1286">
        <v>536</v>
      </c>
      <c r="L1286">
        <v>181</v>
      </c>
      <c r="M1286" t="s">
        <v>16</v>
      </c>
    </row>
    <row r="1287" spans="1:13" x14ac:dyDescent="0.35">
      <c r="A1287">
        <v>250355</v>
      </c>
      <c r="B1287">
        <v>58068</v>
      </c>
      <c r="C1287" t="s">
        <v>1451</v>
      </c>
      <c r="D1287" t="s">
        <v>1390</v>
      </c>
      <c r="E1287" t="s">
        <v>1391</v>
      </c>
      <c r="F1287">
        <v>6787</v>
      </c>
      <c r="G1287">
        <v>1</v>
      </c>
      <c r="H1287" t="s">
        <v>16</v>
      </c>
      <c r="I1287" s="1">
        <v>-721100</v>
      </c>
      <c r="J1287" s="1">
        <v>-3705800</v>
      </c>
      <c r="K1287">
        <v>645</v>
      </c>
      <c r="L1287">
        <v>142</v>
      </c>
      <c r="M1287" t="s">
        <v>16</v>
      </c>
    </row>
    <row r="1288" spans="1:13" x14ac:dyDescent="0.35">
      <c r="A1288">
        <v>250360</v>
      </c>
      <c r="B1288">
        <v>11061</v>
      </c>
      <c r="C1288" t="s">
        <v>1452</v>
      </c>
      <c r="D1288" t="s">
        <v>1390</v>
      </c>
      <c r="E1288" t="s">
        <v>1398</v>
      </c>
      <c r="F1288">
        <v>7314</v>
      </c>
      <c r="G1288">
        <v>1</v>
      </c>
      <c r="H1288" t="s">
        <v>16</v>
      </c>
      <c r="I1288" s="1">
        <v>-655400</v>
      </c>
      <c r="J1288" s="1">
        <v>-3541100</v>
      </c>
      <c r="K1288">
        <v>150</v>
      </c>
      <c r="L1288">
        <v>127</v>
      </c>
      <c r="M1288" t="s">
        <v>16</v>
      </c>
    </row>
    <row r="1289" spans="1:13" x14ac:dyDescent="0.35">
      <c r="A1289">
        <v>250370</v>
      </c>
      <c r="B1289">
        <v>11070</v>
      </c>
      <c r="C1289" t="s">
        <v>1405</v>
      </c>
      <c r="D1289" t="s">
        <v>1390</v>
      </c>
      <c r="E1289" t="s">
        <v>1405</v>
      </c>
      <c r="F1289">
        <v>56051</v>
      </c>
      <c r="G1289">
        <v>2</v>
      </c>
      <c r="H1289" t="s">
        <v>16</v>
      </c>
      <c r="I1289" s="1">
        <v>-689000</v>
      </c>
      <c r="J1289" s="1">
        <v>-3856200</v>
      </c>
      <c r="K1289">
        <v>298</v>
      </c>
      <c r="L1289">
        <v>586</v>
      </c>
      <c r="M1289" t="s">
        <v>16</v>
      </c>
    </row>
    <row r="1290" spans="1:13" x14ac:dyDescent="0.35">
      <c r="A1290">
        <v>250375</v>
      </c>
      <c r="B1290">
        <v>58076</v>
      </c>
      <c r="C1290" t="s">
        <v>1453</v>
      </c>
      <c r="D1290" t="s">
        <v>1390</v>
      </c>
      <c r="E1290" t="s">
        <v>1409</v>
      </c>
      <c r="F1290">
        <v>3057</v>
      </c>
      <c r="G1290">
        <v>1</v>
      </c>
      <c r="H1290" t="s">
        <v>16</v>
      </c>
      <c r="I1290" s="1">
        <v>-696100</v>
      </c>
      <c r="J1290" s="1">
        <v>-3780600</v>
      </c>
      <c r="K1290">
        <v>261</v>
      </c>
      <c r="L1290">
        <v>287</v>
      </c>
      <c r="M1290" t="s">
        <v>16</v>
      </c>
    </row>
    <row r="1291" spans="1:13" x14ac:dyDescent="0.35">
      <c r="A1291">
        <v>250380</v>
      </c>
      <c r="B1291">
        <v>11088</v>
      </c>
      <c r="C1291" t="s">
        <v>1454</v>
      </c>
      <c r="D1291" t="s">
        <v>1390</v>
      </c>
      <c r="E1291" t="s">
        <v>1455</v>
      </c>
      <c r="F1291">
        <v>5363</v>
      </c>
      <c r="G1291">
        <v>1</v>
      </c>
      <c r="H1291" t="s">
        <v>16</v>
      </c>
      <c r="I1291" s="1">
        <v>-710300</v>
      </c>
      <c r="J1291" s="1">
        <v>-3532600</v>
      </c>
      <c r="K1291">
        <v>75</v>
      </c>
      <c r="L1291">
        <v>55</v>
      </c>
      <c r="M1291" t="s">
        <v>16</v>
      </c>
    </row>
    <row r="1292" spans="1:13" x14ac:dyDescent="0.35">
      <c r="A1292">
        <v>250390</v>
      </c>
      <c r="B1292">
        <v>11096</v>
      </c>
      <c r="C1292" t="s">
        <v>1456</v>
      </c>
      <c r="D1292" t="s">
        <v>1390</v>
      </c>
      <c r="E1292" t="s">
        <v>1407</v>
      </c>
      <c r="F1292">
        <v>5761</v>
      </c>
      <c r="G1292">
        <v>1</v>
      </c>
      <c r="H1292" t="s">
        <v>16</v>
      </c>
      <c r="I1292" s="1">
        <v>-788900</v>
      </c>
      <c r="J1292" s="1">
        <v>-3682300</v>
      </c>
      <c r="K1292">
        <v>521</v>
      </c>
      <c r="L1292">
        <v>603</v>
      </c>
      <c r="M1292" t="s">
        <v>16</v>
      </c>
    </row>
    <row r="1293" spans="1:13" x14ac:dyDescent="0.35">
      <c r="A1293">
        <v>250400</v>
      </c>
      <c r="B1293">
        <v>11100</v>
      </c>
      <c r="C1293" t="s">
        <v>1437</v>
      </c>
      <c r="D1293" t="s">
        <v>1390</v>
      </c>
      <c r="E1293" t="s">
        <v>1437</v>
      </c>
      <c r="F1293">
        <v>371060</v>
      </c>
      <c r="G1293">
        <v>3</v>
      </c>
      <c r="H1293" t="s">
        <v>16</v>
      </c>
      <c r="I1293" s="1">
        <v>-723100</v>
      </c>
      <c r="J1293" s="1">
        <v>-3588100</v>
      </c>
      <c r="K1293">
        <v>551</v>
      </c>
      <c r="L1293">
        <v>620</v>
      </c>
      <c r="M1293" t="s">
        <v>16</v>
      </c>
    </row>
    <row r="1294" spans="1:13" x14ac:dyDescent="0.35">
      <c r="A1294">
        <v>250403</v>
      </c>
      <c r="B1294">
        <v>56170</v>
      </c>
      <c r="C1294" t="s">
        <v>1457</v>
      </c>
      <c r="D1294" t="s">
        <v>1390</v>
      </c>
      <c r="E1294" t="s">
        <v>1423</v>
      </c>
      <c r="F1294">
        <v>5207</v>
      </c>
      <c r="G1294">
        <v>1</v>
      </c>
      <c r="H1294" t="s">
        <v>16</v>
      </c>
      <c r="I1294" s="1">
        <v>-691600</v>
      </c>
      <c r="J1294" s="1">
        <v>-3517200</v>
      </c>
      <c r="K1294">
        <v>101</v>
      </c>
      <c r="L1294">
        <v>78</v>
      </c>
      <c r="M1294" t="s">
        <v>16</v>
      </c>
    </row>
    <row r="1295" spans="1:13" x14ac:dyDescent="0.35">
      <c r="A1295">
        <v>250407</v>
      </c>
      <c r="B1295">
        <v>58084</v>
      </c>
      <c r="C1295" t="s">
        <v>1251</v>
      </c>
      <c r="D1295" t="s">
        <v>1390</v>
      </c>
      <c r="E1295" t="s">
        <v>1400</v>
      </c>
      <c r="F1295">
        <v>3824</v>
      </c>
      <c r="G1295">
        <v>1</v>
      </c>
      <c r="H1295" t="s">
        <v>16</v>
      </c>
      <c r="I1295" s="1">
        <v>-772700</v>
      </c>
      <c r="J1295" s="1">
        <v>-3649200</v>
      </c>
      <c r="K1295">
        <v>451</v>
      </c>
      <c r="L1295">
        <v>445</v>
      </c>
      <c r="M1295" t="s">
        <v>16</v>
      </c>
    </row>
    <row r="1296" spans="1:13" x14ac:dyDescent="0.35">
      <c r="A1296">
        <v>250410</v>
      </c>
      <c r="B1296">
        <v>11118</v>
      </c>
      <c r="C1296" t="s">
        <v>1458</v>
      </c>
      <c r="D1296" t="s">
        <v>1390</v>
      </c>
      <c r="E1296" t="s">
        <v>1405</v>
      </c>
      <c r="F1296">
        <v>2389</v>
      </c>
      <c r="G1296">
        <v>1</v>
      </c>
      <c r="H1296" t="s">
        <v>16</v>
      </c>
      <c r="I1296" s="1">
        <v>-703900</v>
      </c>
      <c r="J1296" s="1">
        <v>-3834400</v>
      </c>
      <c r="K1296">
        <v>372</v>
      </c>
      <c r="L1296">
        <v>72</v>
      </c>
      <c r="M1296" t="s">
        <v>16</v>
      </c>
    </row>
    <row r="1297" spans="1:13" x14ac:dyDescent="0.35">
      <c r="A1297">
        <v>250415</v>
      </c>
      <c r="B1297">
        <v>56189</v>
      </c>
      <c r="C1297" t="s">
        <v>1459</v>
      </c>
      <c r="D1297" t="s">
        <v>1390</v>
      </c>
      <c r="E1297" t="s">
        <v>1413</v>
      </c>
      <c r="F1297">
        <v>6762</v>
      </c>
      <c r="G1297">
        <v>1</v>
      </c>
      <c r="H1297" t="s">
        <v>16</v>
      </c>
      <c r="I1297" s="1">
        <v>-678300</v>
      </c>
      <c r="J1297" s="1">
        <v>-3582100</v>
      </c>
      <c r="K1297">
        <v>0</v>
      </c>
      <c r="L1297">
        <v>201</v>
      </c>
      <c r="M1297" t="s">
        <v>16</v>
      </c>
    </row>
    <row r="1298" spans="1:13" x14ac:dyDescent="0.35">
      <c r="A1298">
        <v>250420</v>
      </c>
      <c r="B1298">
        <v>11126</v>
      </c>
      <c r="C1298" t="s">
        <v>1460</v>
      </c>
      <c r="D1298" t="s">
        <v>1390</v>
      </c>
      <c r="E1298" t="s">
        <v>1393</v>
      </c>
      <c r="F1298">
        <v>4849</v>
      </c>
      <c r="G1298">
        <v>1</v>
      </c>
      <c r="H1298" t="s">
        <v>16</v>
      </c>
      <c r="I1298" s="1">
        <v>-712600</v>
      </c>
      <c r="J1298" s="1">
        <v>-3760900</v>
      </c>
      <c r="K1298">
        <v>287</v>
      </c>
      <c r="L1298">
        <v>529</v>
      </c>
      <c r="M1298" t="s">
        <v>16</v>
      </c>
    </row>
    <row r="1299" spans="1:13" x14ac:dyDescent="0.35">
      <c r="A1299">
        <v>250430</v>
      </c>
      <c r="B1299">
        <v>11134</v>
      </c>
      <c r="C1299" t="s">
        <v>1461</v>
      </c>
      <c r="D1299" t="s">
        <v>1390</v>
      </c>
      <c r="E1299" t="s">
        <v>1433</v>
      </c>
      <c r="F1299">
        <v>27548</v>
      </c>
      <c r="G1299">
        <v>1</v>
      </c>
      <c r="H1299" t="s">
        <v>16</v>
      </c>
      <c r="I1299" s="1">
        <v>-634400</v>
      </c>
      <c r="J1299" s="1">
        <v>-3774700</v>
      </c>
      <c r="K1299">
        <v>272</v>
      </c>
      <c r="L1299">
        <v>552</v>
      </c>
      <c r="M1299" t="s">
        <v>16</v>
      </c>
    </row>
    <row r="1300" spans="1:13" x14ac:dyDescent="0.35">
      <c r="A1300">
        <v>250435</v>
      </c>
      <c r="B1300">
        <v>56197</v>
      </c>
      <c r="C1300" t="s">
        <v>1462</v>
      </c>
      <c r="D1300" t="s">
        <v>1390</v>
      </c>
      <c r="E1300" t="s">
        <v>1400</v>
      </c>
      <c r="F1300">
        <v>4467</v>
      </c>
      <c r="G1300">
        <v>1</v>
      </c>
      <c r="H1300" t="s">
        <v>16</v>
      </c>
      <c r="I1300" s="1">
        <v>-742000</v>
      </c>
      <c r="J1300" s="1">
        <v>-3602700</v>
      </c>
      <c r="K1300">
        <v>405</v>
      </c>
      <c r="L1300">
        <v>118</v>
      </c>
      <c r="M1300" t="s">
        <v>16</v>
      </c>
    </row>
    <row r="1301" spans="1:13" x14ac:dyDescent="0.35">
      <c r="A1301">
        <v>250440</v>
      </c>
      <c r="B1301">
        <v>11142</v>
      </c>
      <c r="C1301" t="s">
        <v>1463</v>
      </c>
      <c r="D1301" t="s">
        <v>1390</v>
      </c>
      <c r="E1301" t="s">
        <v>1436</v>
      </c>
      <c r="F1301">
        <v>17496</v>
      </c>
      <c r="G1301">
        <v>1</v>
      </c>
      <c r="H1301" t="s">
        <v>16</v>
      </c>
      <c r="I1301" s="1">
        <v>-756200</v>
      </c>
      <c r="J1301" s="1">
        <v>-3850900</v>
      </c>
      <c r="K1301">
        <v>376</v>
      </c>
      <c r="L1301">
        <v>579</v>
      </c>
      <c r="M1301" t="s">
        <v>16</v>
      </c>
    </row>
    <row r="1302" spans="1:13" x14ac:dyDescent="0.35">
      <c r="A1302">
        <v>250450</v>
      </c>
      <c r="B1302">
        <v>11150</v>
      </c>
      <c r="C1302" t="s">
        <v>1464</v>
      </c>
      <c r="D1302" t="s">
        <v>1390</v>
      </c>
      <c r="E1302" t="s">
        <v>1409</v>
      </c>
      <c r="F1302">
        <v>6702</v>
      </c>
      <c r="G1302">
        <v>1</v>
      </c>
      <c r="H1302" t="s">
        <v>16</v>
      </c>
      <c r="I1302" s="1">
        <v>-691000</v>
      </c>
      <c r="J1302" s="1">
        <v>-3760100</v>
      </c>
      <c r="K1302">
        <v>253</v>
      </c>
      <c r="L1302">
        <v>280</v>
      </c>
      <c r="M1302" t="s">
        <v>16</v>
      </c>
    </row>
    <row r="1303" spans="1:13" x14ac:dyDescent="0.35">
      <c r="A1303">
        <v>250460</v>
      </c>
      <c r="B1303">
        <v>11169</v>
      </c>
      <c r="C1303" t="s">
        <v>1465</v>
      </c>
      <c r="D1303" t="s">
        <v>1390</v>
      </c>
      <c r="E1303" t="s">
        <v>1430</v>
      </c>
      <c r="F1303">
        <v>19925</v>
      </c>
      <c r="G1303">
        <v>4</v>
      </c>
      <c r="H1303" t="s">
        <v>1431</v>
      </c>
      <c r="I1303" s="1">
        <v>-726000</v>
      </c>
      <c r="J1303" s="1">
        <v>-3490800</v>
      </c>
      <c r="K1303">
        <v>112</v>
      </c>
      <c r="L1303">
        <v>172</v>
      </c>
      <c r="M1303" t="s">
        <v>16</v>
      </c>
    </row>
    <row r="1304" spans="1:13" x14ac:dyDescent="0.35">
      <c r="A1304">
        <v>250470</v>
      </c>
      <c r="B1304">
        <v>11177</v>
      </c>
      <c r="C1304" t="s">
        <v>1466</v>
      </c>
      <c r="D1304" t="s">
        <v>1390</v>
      </c>
      <c r="E1304" t="s">
        <v>1407</v>
      </c>
      <c r="F1304">
        <v>4770</v>
      </c>
      <c r="G1304">
        <v>1</v>
      </c>
      <c r="H1304" t="s">
        <v>16</v>
      </c>
      <c r="I1304" s="1">
        <v>-779700</v>
      </c>
      <c r="J1304" s="1">
        <v>-3666000</v>
      </c>
      <c r="K1304">
        <v>480</v>
      </c>
      <c r="L1304">
        <v>274</v>
      </c>
      <c r="M1304" t="s">
        <v>16</v>
      </c>
    </row>
    <row r="1305" spans="1:13" x14ac:dyDescent="0.35">
      <c r="A1305">
        <v>250480</v>
      </c>
      <c r="B1305">
        <v>11185</v>
      </c>
      <c r="C1305" t="s">
        <v>1467</v>
      </c>
      <c r="D1305" t="s">
        <v>1390</v>
      </c>
      <c r="E1305" t="s">
        <v>1393</v>
      </c>
      <c r="F1305">
        <v>15236</v>
      </c>
      <c r="G1305">
        <v>1</v>
      </c>
      <c r="H1305" t="s">
        <v>16</v>
      </c>
      <c r="I1305" s="1">
        <v>-701400</v>
      </c>
      <c r="J1305" s="1">
        <v>-3794600</v>
      </c>
      <c r="K1305">
        <v>218</v>
      </c>
      <c r="L1305">
        <v>379</v>
      </c>
      <c r="M1305" t="s">
        <v>16</v>
      </c>
    </row>
    <row r="1306" spans="1:13" x14ac:dyDescent="0.35">
      <c r="A1306">
        <v>250485</v>
      </c>
      <c r="B1306">
        <v>58092</v>
      </c>
      <c r="C1306" t="s">
        <v>1468</v>
      </c>
      <c r="D1306" t="s">
        <v>1390</v>
      </c>
      <c r="E1306" t="s">
        <v>1407</v>
      </c>
      <c r="F1306">
        <v>1705</v>
      </c>
      <c r="G1306">
        <v>1</v>
      </c>
      <c r="H1306" t="s">
        <v>16</v>
      </c>
      <c r="I1306" s="1">
        <v>-762700</v>
      </c>
      <c r="J1306" s="1">
        <v>-3660600</v>
      </c>
      <c r="K1306">
        <v>475</v>
      </c>
      <c r="L1306">
        <v>119</v>
      </c>
      <c r="M1306" t="s">
        <v>16</v>
      </c>
    </row>
    <row r="1307" spans="1:13" x14ac:dyDescent="0.35">
      <c r="A1307">
        <v>250490</v>
      </c>
      <c r="B1307">
        <v>11193</v>
      </c>
      <c r="C1307" t="s">
        <v>1469</v>
      </c>
      <c r="D1307" t="s">
        <v>1390</v>
      </c>
      <c r="E1307" t="s">
        <v>1470</v>
      </c>
      <c r="F1307">
        <v>15281</v>
      </c>
      <c r="G1307">
        <v>4</v>
      </c>
      <c r="H1307" t="s">
        <v>1431</v>
      </c>
      <c r="I1307" s="1">
        <v>-714000</v>
      </c>
      <c r="J1307" s="1">
        <v>-3508600</v>
      </c>
      <c r="K1307">
        <v>19</v>
      </c>
      <c r="L1307">
        <v>195</v>
      </c>
      <c r="M1307" t="s">
        <v>16</v>
      </c>
    </row>
    <row r="1308" spans="1:13" x14ac:dyDescent="0.35">
      <c r="A1308">
        <v>250500</v>
      </c>
      <c r="B1308">
        <v>11207</v>
      </c>
      <c r="C1308" t="s">
        <v>1471</v>
      </c>
      <c r="D1308" t="s">
        <v>1390</v>
      </c>
      <c r="E1308" t="s">
        <v>1425</v>
      </c>
      <c r="F1308">
        <v>6356</v>
      </c>
      <c r="G1308">
        <v>1</v>
      </c>
      <c r="H1308" t="s">
        <v>16</v>
      </c>
      <c r="I1308" s="1">
        <v>-686800</v>
      </c>
      <c r="J1308" s="1">
        <v>-3635100</v>
      </c>
      <c r="K1308">
        <v>555</v>
      </c>
      <c r="L1308">
        <v>136</v>
      </c>
      <c r="M1308" t="s">
        <v>16</v>
      </c>
    </row>
    <row r="1309" spans="1:13" x14ac:dyDescent="0.35">
      <c r="A1309">
        <v>250510</v>
      </c>
      <c r="B1309">
        <v>11215</v>
      </c>
      <c r="C1309" t="s">
        <v>1472</v>
      </c>
      <c r="D1309" t="s">
        <v>1390</v>
      </c>
      <c r="E1309" t="s">
        <v>1402</v>
      </c>
      <c r="F1309">
        <v>20197</v>
      </c>
      <c r="G1309">
        <v>1</v>
      </c>
      <c r="H1309" t="s">
        <v>16</v>
      </c>
      <c r="I1309" s="1">
        <v>-648500</v>
      </c>
      <c r="J1309" s="1">
        <v>-3615700</v>
      </c>
      <c r="K1309">
        <v>649</v>
      </c>
      <c r="L1309">
        <v>735</v>
      </c>
      <c r="M1309" t="s">
        <v>16</v>
      </c>
    </row>
    <row r="1310" spans="1:13" x14ac:dyDescent="0.35">
      <c r="A1310">
        <v>250520</v>
      </c>
      <c r="B1310">
        <v>11223</v>
      </c>
      <c r="C1310" t="s">
        <v>1473</v>
      </c>
      <c r="D1310" t="s">
        <v>1390</v>
      </c>
      <c r="E1310" t="s">
        <v>1398</v>
      </c>
      <c r="F1310">
        <v>7047</v>
      </c>
      <c r="G1310">
        <v>1</v>
      </c>
      <c r="H1310" t="s">
        <v>16</v>
      </c>
      <c r="I1310" s="1">
        <v>-689300</v>
      </c>
      <c r="J1310" s="1">
        <v>-3552300</v>
      </c>
      <c r="K1310">
        <v>90</v>
      </c>
      <c r="L1310">
        <v>39</v>
      </c>
      <c r="M1310" t="s">
        <v>16</v>
      </c>
    </row>
    <row r="1311" spans="1:13" x14ac:dyDescent="0.35">
      <c r="A1311">
        <v>250523</v>
      </c>
      <c r="B1311">
        <v>56200</v>
      </c>
      <c r="C1311" t="s">
        <v>1474</v>
      </c>
      <c r="D1311" t="s">
        <v>1390</v>
      </c>
      <c r="E1311" t="s">
        <v>1423</v>
      </c>
      <c r="F1311">
        <v>6505</v>
      </c>
      <c r="G1311">
        <v>1</v>
      </c>
      <c r="H1311" t="s">
        <v>16</v>
      </c>
      <c r="I1311" s="1">
        <v>-691500</v>
      </c>
      <c r="J1311" s="1">
        <v>-3525200</v>
      </c>
      <c r="K1311">
        <v>75</v>
      </c>
      <c r="L1311">
        <v>109</v>
      </c>
      <c r="M1311" t="s">
        <v>16</v>
      </c>
    </row>
    <row r="1312" spans="1:13" x14ac:dyDescent="0.35">
      <c r="A1312">
        <v>250527</v>
      </c>
      <c r="B1312">
        <v>58106</v>
      </c>
      <c r="C1312" t="s">
        <v>1475</v>
      </c>
      <c r="D1312" t="s">
        <v>1390</v>
      </c>
      <c r="E1312" t="s">
        <v>1423</v>
      </c>
      <c r="F1312">
        <v>5469</v>
      </c>
      <c r="G1312">
        <v>1</v>
      </c>
      <c r="H1312" t="s">
        <v>16</v>
      </c>
      <c r="I1312" s="1">
        <v>-671700</v>
      </c>
      <c r="J1312" s="1">
        <v>-3526900</v>
      </c>
      <c r="K1312">
        <v>75</v>
      </c>
      <c r="L1312">
        <v>85</v>
      </c>
      <c r="M1312" t="s">
        <v>16</v>
      </c>
    </row>
    <row r="1313" spans="1:13" x14ac:dyDescent="0.35">
      <c r="A1313">
        <v>250530</v>
      </c>
      <c r="B1313">
        <v>11231</v>
      </c>
      <c r="C1313" t="s">
        <v>1476</v>
      </c>
      <c r="D1313" t="s">
        <v>1390</v>
      </c>
      <c r="E1313" t="s">
        <v>1436</v>
      </c>
      <c r="F1313">
        <v>2781</v>
      </c>
      <c r="G1313">
        <v>1</v>
      </c>
      <c r="H1313" t="s">
        <v>16</v>
      </c>
      <c r="I1313" s="1">
        <v>-758100</v>
      </c>
      <c r="J1313" s="1">
        <v>-3819800</v>
      </c>
      <c r="K1313">
        <v>338</v>
      </c>
      <c r="L1313">
        <v>180</v>
      </c>
      <c r="M1313" t="s">
        <v>16</v>
      </c>
    </row>
    <row r="1314" spans="1:13" x14ac:dyDescent="0.35">
      <c r="A1314">
        <v>250535</v>
      </c>
      <c r="B1314">
        <v>58114</v>
      </c>
      <c r="C1314" t="s">
        <v>1477</v>
      </c>
      <c r="D1314" t="s">
        <v>1390</v>
      </c>
      <c r="E1314" t="s">
        <v>1402</v>
      </c>
      <c r="F1314">
        <v>4807</v>
      </c>
      <c r="G1314">
        <v>1</v>
      </c>
      <c r="H1314" t="s">
        <v>16</v>
      </c>
      <c r="I1314" s="1">
        <v>-663200</v>
      </c>
      <c r="J1314" s="1">
        <v>-3591000</v>
      </c>
      <c r="K1314">
        <v>0</v>
      </c>
      <c r="L1314">
        <v>109</v>
      </c>
      <c r="M1314" t="s">
        <v>16</v>
      </c>
    </row>
    <row r="1315" spans="1:13" x14ac:dyDescent="0.35">
      <c r="A1315">
        <v>250540</v>
      </c>
      <c r="B1315">
        <v>11240</v>
      </c>
      <c r="C1315" t="s">
        <v>1478</v>
      </c>
      <c r="D1315" t="s">
        <v>1390</v>
      </c>
      <c r="E1315" t="s">
        <v>1391</v>
      </c>
      <c r="F1315">
        <v>7929</v>
      </c>
      <c r="G1315">
        <v>1</v>
      </c>
      <c r="H1315" t="s">
        <v>16</v>
      </c>
      <c r="I1315" s="1">
        <v>-729100</v>
      </c>
      <c r="J1315" s="1">
        <v>-3709400</v>
      </c>
      <c r="K1315">
        <v>591</v>
      </c>
      <c r="L1315">
        <v>179</v>
      </c>
      <c r="M1315" t="s">
        <v>16</v>
      </c>
    </row>
    <row r="1316" spans="1:13" x14ac:dyDescent="0.35">
      <c r="A1316">
        <v>250550</v>
      </c>
      <c r="B1316">
        <v>11258</v>
      </c>
      <c r="C1316" t="s">
        <v>1479</v>
      </c>
      <c r="D1316" t="s">
        <v>1390</v>
      </c>
      <c r="E1316" t="s">
        <v>1409</v>
      </c>
      <c r="F1316">
        <v>3253</v>
      </c>
      <c r="G1316">
        <v>1</v>
      </c>
      <c r="H1316" t="s">
        <v>16</v>
      </c>
      <c r="I1316" s="1">
        <v>-673800</v>
      </c>
      <c r="J1316" s="1">
        <v>-3756700</v>
      </c>
      <c r="K1316">
        <v>240</v>
      </c>
      <c r="L1316">
        <v>61</v>
      </c>
      <c r="M1316" t="s">
        <v>16</v>
      </c>
    </row>
    <row r="1317" spans="1:13" x14ac:dyDescent="0.35">
      <c r="A1317">
        <v>250560</v>
      </c>
      <c r="B1317">
        <v>11266</v>
      </c>
      <c r="C1317" t="s">
        <v>1480</v>
      </c>
      <c r="D1317" t="s">
        <v>1390</v>
      </c>
      <c r="E1317" t="s">
        <v>1436</v>
      </c>
      <c r="F1317">
        <v>6582</v>
      </c>
      <c r="G1317">
        <v>1</v>
      </c>
      <c r="H1317" t="s">
        <v>16</v>
      </c>
      <c r="I1317" s="1">
        <v>-742800</v>
      </c>
      <c r="J1317" s="1">
        <v>-3826400</v>
      </c>
      <c r="K1317">
        <v>315</v>
      </c>
      <c r="L1317">
        <v>269</v>
      </c>
      <c r="M1317" t="s">
        <v>16</v>
      </c>
    </row>
    <row r="1318" spans="1:13" x14ac:dyDescent="0.35">
      <c r="A1318">
        <v>250570</v>
      </c>
      <c r="B1318">
        <v>11274</v>
      </c>
      <c r="C1318" t="s">
        <v>1481</v>
      </c>
      <c r="D1318" t="s">
        <v>1390</v>
      </c>
      <c r="E1318" t="s">
        <v>1413</v>
      </c>
      <c r="F1318">
        <v>10832</v>
      </c>
      <c r="G1318">
        <v>1</v>
      </c>
      <c r="H1318" t="s">
        <v>16</v>
      </c>
      <c r="I1318" s="1">
        <v>-661800</v>
      </c>
      <c r="J1318" s="1">
        <v>-3563200</v>
      </c>
      <c r="K1318">
        <v>421</v>
      </c>
      <c r="L1318">
        <v>132</v>
      </c>
      <c r="M1318" t="s">
        <v>16</v>
      </c>
    </row>
    <row r="1319" spans="1:13" x14ac:dyDescent="0.35">
      <c r="A1319">
        <v>250580</v>
      </c>
      <c r="B1319">
        <v>11282</v>
      </c>
      <c r="C1319" t="s">
        <v>1482</v>
      </c>
      <c r="D1319" t="s">
        <v>1390</v>
      </c>
      <c r="E1319" t="s">
        <v>1398</v>
      </c>
      <c r="F1319">
        <v>3748</v>
      </c>
      <c r="G1319">
        <v>1</v>
      </c>
      <c r="H1319" t="s">
        <v>16</v>
      </c>
      <c r="I1319" s="1">
        <v>-668500</v>
      </c>
      <c r="J1319" s="1">
        <v>-3541800</v>
      </c>
      <c r="K1319">
        <v>144</v>
      </c>
      <c r="L1319">
        <v>26</v>
      </c>
      <c r="M1319" t="s">
        <v>16</v>
      </c>
    </row>
    <row r="1320" spans="1:13" x14ac:dyDescent="0.35">
      <c r="A1320">
        <v>250590</v>
      </c>
      <c r="B1320">
        <v>11290</v>
      </c>
      <c r="C1320" t="s">
        <v>1483</v>
      </c>
      <c r="D1320" t="s">
        <v>1390</v>
      </c>
      <c r="E1320" t="s">
        <v>1393</v>
      </c>
      <c r="F1320">
        <v>3257</v>
      </c>
      <c r="G1320">
        <v>1</v>
      </c>
      <c r="H1320" t="s">
        <v>16</v>
      </c>
      <c r="I1320" s="1">
        <v>-710800</v>
      </c>
      <c r="J1320" s="1">
        <v>-3771600</v>
      </c>
      <c r="K1320">
        <v>268</v>
      </c>
      <c r="L1320">
        <v>240</v>
      </c>
      <c r="M1320" t="s">
        <v>16</v>
      </c>
    </row>
    <row r="1321" spans="1:13" x14ac:dyDescent="0.35">
      <c r="A1321">
        <v>250600</v>
      </c>
      <c r="B1321">
        <v>11304</v>
      </c>
      <c r="C1321" t="s">
        <v>1418</v>
      </c>
      <c r="D1321" t="s">
        <v>1390</v>
      </c>
      <c r="E1321" t="s">
        <v>1418</v>
      </c>
      <c r="F1321">
        <v>29801</v>
      </c>
      <c r="G1321">
        <v>1</v>
      </c>
      <c r="H1321" t="s">
        <v>16</v>
      </c>
      <c r="I1321" s="1">
        <v>-702300</v>
      </c>
      <c r="J1321" s="1">
        <v>-3586000</v>
      </c>
      <c r="K1321">
        <v>631</v>
      </c>
      <c r="L1321">
        <v>165</v>
      </c>
      <c r="M1321" t="s">
        <v>16</v>
      </c>
    </row>
    <row r="1322" spans="1:13" x14ac:dyDescent="0.35">
      <c r="A1322">
        <v>250610</v>
      </c>
      <c r="B1322">
        <v>11312</v>
      </c>
      <c r="C1322" t="s">
        <v>1484</v>
      </c>
      <c r="D1322" t="s">
        <v>1390</v>
      </c>
      <c r="E1322" t="s">
        <v>1437</v>
      </c>
      <c r="F1322">
        <v>11830</v>
      </c>
      <c r="G1322">
        <v>1</v>
      </c>
      <c r="H1322" t="s">
        <v>16</v>
      </c>
      <c r="I1322" s="1">
        <v>-735500</v>
      </c>
      <c r="J1322" s="1">
        <v>-3577500</v>
      </c>
      <c r="K1322">
        <v>505</v>
      </c>
      <c r="L1322">
        <v>162</v>
      </c>
      <c r="M1322" t="s">
        <v>16</v>
      </c>
    </row>
    <row r="1323" spans="1:13" x14ac:dyDescent="0.35">
      <c r="A1323">
        <v>250620</v>
      </c>
      <c r="B1323">
        <v>11320</v>
      </c>
      <c r="C1323" t="s">
        <v>1485</v>
      </c>
      <c r="D1323" t="s">
        <v>1390</v>
      </c>
      <c r="E1323" t="s">
        <v>1425</v>
      </c>
      <c r="F1323">
        <v>2935</v>
      </c>
      <c r="G1323">
        <v>1</v>
      </c>
      <c r="H1323" t="s">
        <v>16</v>
      </c>
      <c r="I1323" s="1">
        <v>-640300</v>
      </c>
      <c r="J1323" s="1">
        <v>-3645600</v>
      </c>
      <c r="K1323">
        <v>369</v>
      </c>
      <c r="L1323">
        <v>244</v>
      </c>
      <c r="M1323" t="s">
        <v>16</v>
      </c>
    </row>
    <row r="1324" spans="1:13" x14ac:dyDescent="0.35">
      <c r="A1324">
        <v>250625</v>
      </c>
      <c r="B1324">
        <v>58122</v>
      </c>
      <c r="C1324" t="s">
        <v>1486</v>
      </c>
      <c r="D1324" t="s">
        <v>1390</v>
      </c>
      <c r="E1324" t="s">
        <v>1420</v>
      </c>
      <c r="F1324">
        <v>8236</v>
      </c>
      <c r="G1324">
        <v>1</v>
      </c>
      <c r="H1324" t="s">
        <v>16</v>
      </c>
      <c r="I1324" s="1">
        <v>-758300</v>
      </c>
      <c r="J1324" s="1">
        <v>-3579100</v>
      </c>
      <c r="K1324">
        <v>400</v>
      </c>
      <c r="L1324">
        <v>192</v>
      </c>
      <c r="M1324" t="s">
        <v>16</v>
      </c>
    </row>
    <row r="1325" spans="1:13" x14ac:dyDescent="0.35">
      <c r="A1325">
        <v>250630</v>
      </c>
      <c r="B1325">
        <v>11339</v>
      </c>
      <c r="C1325" t="s">
        <v>1398</v>
      </c>
      <c r="D1325" t="s">
        <v>1390</v>
      </c>
      <c r="E1325" t="s">
        <v>1398</v>
      </c>
      <c r="F1325">
        <v>54200</v>
      </c>
      <c r="G1325">
        <v>2</v>
      </c>
      <c r="H1325" t="s">
        <v>16</v>
      </c>
      <c r="I1325" s="1">
        <v>-685500</v>
      </c>
      <c r="J1325" s="1">
        <v>-3549000</v>
      </c>
      <c r="K1325">
        <v>97</v>
      </c>
      <c r="L1325">
        <v>180</v>
      </c>
      <c r="M1325" t="s">
        <v>16</v>
      </c>
    </row>
    <row r="1326" spans="1:13" x14ac:dyDescent="0.35">
      <c r="A1326">
        <v>250640</v>
      </c>
      <c r="B1326">
        <v>11347</v>
      </c>
      <c r="C1326" t="s">
        <v>1487</v>
      </c>
      <c r="D1326" t="s">
        <v>1390</v>
      </c>
      <c r="E1326" t="s">
        <v>1455</v>
      </c>
      <c r="F1326">
        <v>13209</v>
      </c>
      <c r="G1326">
        <v>1</v>
      </c>
      <c r="H1326" t="s">
        <v>16</v>
      </c>
      <c r="I1326" s="1">
        <v>-712400</v>
      </c>
      <c r="J1326" s="1">
        <v>-3542400</v>
      </c>
      <c r="K1326">
        <v>104</v>
      </c>
      <c r="L1326">
        <v>309</v>
      </c>
      <c r="M1326" t="s">
        <v>16</v>
      </c>
    </row>
    <row r="1327" spans="1:13" x14ac:dyDescent="0.35">
      <c r="A1327">
        <v>250650</v>
      </c>
      <c r="B1327">
        <v>11355</v>
      </c>
      <c r="C1327" t="s">
        <v>1488</v>
      </c>
      <c r="D1327" t="s">
        <v>1390</v>
      </c>
      <c r="E1327" t="s">
        <v>1400</v>
      </c>
      <c r="F1327">
        <v>2985</v>
      </c>
      <c r="G1327">
        <v>1</v>
      </c>
      <c r="H1327" t="s">
        <v>16</v>
      </c>
      <c r="I1327" s="1">
        <v>-724700</v>
      </c>
      <c r="J1327" s="1">
        <v>-3648900</v>
      </c>
      <c r="K1327">
        <v>491</v>
      </c>
      <c r="L1327">
        <v>343</v>
      </c>
      <c r="M1327" t="s">
        <v>16</v>
      </c>
    </row>
    <row r="1328" spans="1:13" x14ac:dyDescent="0.35">
      <c r="A1328">
        <v>250660</v>
      </c>
      <c r="B1328">
        <v>11363</v>
      </c>
      <c r="C1328" t="s">
        <v>1489</v>
      </c>
      <c r="D1328" t="s">
        <v>1390</v>
      </c>
      <c r="E1328" t="s">
        <v>1436</v>
      </c>
      <c r="F1328">
        <v>6139</v>
      </c>
      <c r="G1328">
        <v>1</v>
      </c>
      <c r="H1328" t="s">
        <v>16</v>
      </c>
      <c r="I1328" s="1">
        <v>-750100</v>
      </c>
      <c r="J1328" s="1">
        <v>-3840500</v>
      </c>
      <c r="K1328">
        <v>341</v>
      </c>
      <c r="L1328">
        <v>244</v>
      </c>
      <c r="M1328" t="s">
        <v>16</v>
      </c>
    </row>
    <row r="1329" spans="1:13" x14ac:dyDescent="0.35">
      <c r="A1329">
        <v>250670</v>
      </c>
      <c r="B1329">
        <v>11371</v>
      </c>
      <c r="C1329" t="s">
        <v>1490</v>
      </c>
      <c r="D1329" t="s">
        <v>1390</v>
      </c>
      <c r="E1329" t="s">
        <v>1391</v>
      </c>
      <c r="F1329">
        <v>11451</v>
      </c>
      <c r="G1329">
        <v>1</v>
      </c>
      <c r="H1329" t="s">
        <v>16</v>
      </c>
      <c r="I1329" s="1">
        <v>-739000</v>
      </c>
      <c r="J1329" s="1">
        <v>-3750900</v>
      </c>
      <c r="K1329">
        <v>763</v>
      </c>
      <c r="L1329">
        <v>399</v>
      </c>
      <c r="M1329" t="s">
        <v>16</v>
      </c>
    </row>
    <row r="1330" spans="1:13" x14ac:dyDescent="0.35">
      <c r="A1330">
        <v>250680</v>
      </c>
      <c r="B1330">
        <v>11380</v>
      </c>
      <c r="C1330" t="s">
        <v>1491</v>
      </c>
      <c r="D1330" t="s">
        <v>1390</v>
      </c>
      <c r="E1330" t="s">
        <v>1455</v>
      </c>
      <c r="F1330">
        <v>18168</v>
      </c>
      <c r="G1330">
        <v>1</v>
      </c>
      <c r="H1330" t="s">
        <v>16</v>
      </c>
      <c r="I1330" s="1">
        <v>-726800</v>
      </c>
      <c r="J1330" s="1">
        <v>-3561300</v>
      </c>
      <c r="K1330">
        <v>0</v>
      </c>
      <c r="L1330">
        <v>287</v>
      </c>
      <c r="M1330" t="s">
        <v>16</v>
      </c>
    </row>
    <row r="1331" spans="1:13" x14ac:dyDescent="0.35">
      <c r="A1331">
        <v>250690</v>
      </c>
      <c r="B1331">
        <v>11398</v>
      </c>
      <c r="C1331" t="s">
        <v>1455</v>
      </c>
      <c r="D1331" t="s">
        <v>1390</v>
      </c>
      <c r="E1331" t="s">
        <v>1455</v>
      </c>
      <c r="F1331">
        <v>24752</v>
      </c>
      <c r="G1331">
        <v>1</v>
      </c>
      <c r="H1331" t="s">
        <v>16</v>
      </c>
      <c r="I1331" s="1">
        <v>-732900</v>
      </c>
      <c r="J1331" s="1">
        <v>-3533300</v>
      </c>
      <c r="K1331">
        <v>45</v>
      </c>
      <c r="L1331">
        <v>218</v>
      </c>
      <c r="M1331" t="s">
        <v>16</v>
      </c>
    </row>
    <row r="1332" spans="1:13" x14ac:dyDescent="0.35">
      <c r="A1332">
        <v>250700</v>
      </c>
      <c r="B1332">
        <v>11401</v>
      </c>
      <c r="C1332" t="s">
        <v>1436</v>
      </c>
      <c r="D1332" t="s">
        <v>1390</v>
      </c>
      <c r="E1332" t="s">
        <v>1436</v>
      </c>
      <c r="F1332">
        <v>22425</v>
      </c>
      <c r="G1332">
        <v>1</v>
      </c>
      <c r="H1332" t="s">
        <v>16</v>
      </c>
      <c r="I1332" s="1">
        <v>-730400</v>
      </c>
      <c r="J1332" s="1">
        <v>-3815000</v>
      </c>
      <c r="K1332">
        <v>291</v>
      </c>
      <c r="L1332">
        <v>468</v>
      </c>
      <c r="M1332" t="s">
        <v>16</v>
      </c>
    </row>
    <row r="1333" spans="1:13" x14ac:dyDescent="0.35">
      <c r="A1333">
        <v>250710</v>
      </c>
      <c r="B1333">
        <v>11410</v>
      </c>
      <c r="C1333" t="s">
        <v>1492</v>
      </c>
      <c r="D1333" t="s">
        <v>1390</v>
      </c>
      <c r="E1333" t="s">
        <v>1423</v>
      </c>
      <c r="F1333">
        <v>15966</v>
      </c>
      <c r="G1333">
        <v>1</v>
      </c>
      <c r="H1333" t="s">
        <v>16</v>
      </c>
      <c r="I1333" s="1">
        <v>-683000</v>
      </c>
      <c r="J1333" s="1">
        <v>-3524700</v>
      </c>
      <c r="K1333">
        <v>81</v>
      </c>
      <c r="L1333">
        <v>146</v>
      </c>
      <c r="M1333" t="s">
        <v>16</v>
      </c>
    </row>
    <row r="1334" spans="1:13" x14ac:dyDescent="0.35">
      <c r="A1334">
        <v>250720</v>
      </c>
      <c r="B1334">
        <v>11428</v>
      </c>
      <c r="C1334" t="s">
        <v>1493</v>
      </c>
      <c r="D1334" t="s">
        <v>1390</v>
      </c>
      <c r="E1334" t="s">
        <v>1455</v>
      </c>
      <c r="F1334">
        <v>9841</v>
      </c>
      <c r="G1334">
        <v>1</v>
      </c>
      <c r="H1334" t="s">
        <v>16</v>
      </c>
      <c r="I1334" s="1">
        <v>-737500</v>
      </c>
      <c r="J1334" s="1">
        <v>-3562800</v>
      </c>
      <c r="K1334">
        <v>117</v>
      </c>
      <c r="L1334">
        <v>244</v>
      </c>
      <c r="M1334" t="s">
        <v>16</v>
      </c>
    </row>
    <row r="1335" spans="1:13" x14ac:dyDescent="0.35">
      <c r="A1335">
        <v>250730</v>
      </c>
      <c r="B1335">
        <v>11436</v>
      </c>
      <c r="C1335" t="s">
        <v>1494</v>
      </c>
      <c r="D1335" t="s">
        <v>1390</v>
      </c>
      <c r="E1335" t="s">
        <v>1423</v>
      </c>
      <c r="F1335">
        <v>13708</v>
      </c>
      <c r="G1335">
        <v>1</v>
      </c>
      <c r="H1335" t="s">
        <v>16</v>
      </c>
      <c r="I1335" s="1">
        <v>-661200</v>
      </c>
      <c r="J1335" s="1">
        <v>-3529300</v>
      </c>
      <c r="K1335">
        <v>170</v>
      </c>
      <c r="L1335">
        <v>253</v>
      </c>
      <c r="M1335" t="s">
        <v>16</v>
      </c>
    </row>
    <row r="1336" spans="1:13" x14ac:dyDescent="0.35">
      <c r="A1336">
        <v>250740</v>
      </c>
      <c r="B1336">
        <v>11444</v>
      </c>
      <c r="C1336" t="s">
        <v>1495</v>
      </c>
      <c r="D1336" t="s">
        <v>1390</v>
      </c>
      <c r="E1336" t="s">
        <v>1433</v>
      </c>
      <c r="F1336">
        <v>7825</v>
      </c>
      <c r="G1336">
        <v>1</v>
      </c>
      <c r="H1336" t="s">
        <v>16</v>
      </c>
      <c r="I1336" s="1">
        <v>-655400</v>
      </c>
      <c r="J1336" s="1">
        <v>-3780900</v>
      </c>
      <c r="K1336">
        <v>233</v>
      </c>
      <c r="L1336">
        <v>179</v>
      </c>
      <c r="M1336" t="s">
        <v>16</v>
      </c>
    </row>
    <row r="1337" spans="1:13" x14ac:dyDescent="0.35">
      <c r="A1337">
        <v>250750</v>
      </c>
      <c r="B1337">
        <v>10707</v>
      </c>
      <c r="C1337" t="s">
        <v>1496</v>
      </c>
      <c r="D1337" t="s">
        <v>1390</v>
      </c>
      <c r="E1337" t="s">
        <v>1430</v>
      </c>
      <c r="F1337">
        <v>674762</v>
      </c>
      <c r="G1337">
        <v>5</v>
      </c>
      <c r="H1337" t="s">
        <v>1431</v>
      </c>
      <c r="I1337" s="1">
        <v>-711500</v>
      </c>
      <c r="J1337" s="1">
        <v>-3486300</v>
      </c>
      <c r="K1337">
        <v>47</v>
      </c>
      <c r="L1337">
        <v>210</v>
      </c>
      <c r="M1337" t="s">
        <v>16</v>
      </c>
    </row>
    <row r="1338" spans="1:13" x14ac:dyDescent="0.35">
      <c r="A1338">
        <v>250760</v>
      </c>
      <c r="B1338">
        <v>11452</v>
      </c>
      <c r="C1338" t="s">
        <v>1497</v>
      </c>
      <c r="D1338" t="s">
        <v>1390</v>
      </c>
      <c r="E1338" t="s">
        <v>1455</v>
      </c>
      <c r="F1338">
        <v>7618</v>
      </c>
      <c r="G1338">
        <v>1</v>
      </c>
      <c r="H1338" t="s">
        <v>16</v>
      </c>
      <c r="I1338" s="1">
        <v>-717200</v>
      </c>
      <c r="J1338" s="1">
        <v>-3558300</v>
      </c>
      <c r="K1338">
        <v>145</v>
      </c>
      <c r="L1338">
        <v>82</v>
      </c>
      <c r="M1338" t="s">
        <v>16</v>
      </c>
    </row>
    <row r="1339" spans="1:13" x14ac:dyDescent="0.35">
      <c r="A1339">
        <v>250770</v>
      </c>
      <c r="B1339">
        <v>11460</v>
      </c>
      <c r="C1339" t="s">
        <v>1498</v>
      </c>
      <c r="D1339" t="s">
        <v>1390</v>
      </c>
      <c r="E1339" t="s">
        <v>1425</v>
      </c>
      <c r="F1339">
        <v>15899</v>
      </c>
      <c r="G1339">
        <v>1</v>
      </c>
      <c r="H1339" t="s">
        <v>16</v>
      </c>
      <c r="I1339" s="1">
        <v>-706800</v>
      </c>
      <c r="J1339" s="1">
        <v>-3657800</v>
      </c>
      <c r="K1339">
        <v>553</v>
      </c>
      <c r="L1339">
        <v>467</v>
      </c>
      <c r="M1339" t="s">
        <v>16</v>
      </c>
    </row>
    <row r="1340" spans="1:13" x14ac:dyDescent="0.35">
      <c r="A1340">
        <v>250780</v>
      </c>
      <c r="B1340">
        <v>11479</v>
      </c>
      <c r="C1340" t="s">
        <v>1499</v>
      </c>
      <c r="D1340" t="s">
        <v>1390</v>
      </c>
      <c r="E1340" t="s">
        <v>1500</v>
      </c>
      <c r="F1340">
        <v>6486</v>
      </c>
      <c r="G1340">
        <v>1</v>
      </c>
      <c r="H1340" t="s">
        <v>16</v>
      </c>
      <c r="I1340" s="1">
        <v>-699700</v>
      </c>
      <c r="J1340" s="1">
        <v>-3671300</v>
      </c>
      <c r="K1340">
        <v>590</v>
      </c>
      <c r="L1340">
        <v>170</v>
      </c>
      <c r="M1340" t="s">
        <v>16</v>
      </c>
    </row>
    <row r="1341" spans="1:13" x14ac:dyDescent="0.35">
      <c r="A1341">
        <v>250790</v>
      </c>
      <c r="B1341">
        <v>11487</v>
      </c>
      <c r="C1341" t="s">
        <v>1501</v>
      </c>
      <c r="D1341" t="s">
        <v>1390</v>
      </c>
      <c r="E1341" t="s">
        <v>1470</v>
      </c>
      <c r="F1341">
        <v>10240</v>
      </c>
      <c r="G1341">
        <v>1</v>
      </c>
      <c r="H1341" t="s">
        <v>16</v>
      </c>
      <c r="I1341" s="1">
        <v>-737300</v>
      </c>
      <c r="J1341" s="1">
        <v>-3523800</v>
      </c>
      <c r="K1341">
        <v>119</v>
      </c>
      <c r="L1341">
        <v>78</v>
      </c>
      <c r="M1341" t="s">
        <v>16</v>
      </c>
    </row>
    <row r="1342" spans="1:13" x14ac:dyDescent="0.35">
      <c r="A1342">
        <v>250800</v>
      </c>
      <c r="B1342">
        <v>11495</v>
      </c>
      <c r="C1342" t="s">
        <v>1502</v>
      </c>
      <c r="D1342" t="s">
        <v>1390</v>
      </c>
      <c r="E1342" t="s">
        <v>1391</v>
      </c>
      <c r="F1342">
        <v>10222</v>
      </c>
      <c r="G1342">
        <v>1</v>
      </c>
      <c r="H1342" t="s">
        <v>16</v>
      </c>
      <c r="I1342" s="1">
        <v>-753700</v>
      </c>
      <c r="J1342" s="1">
        <v>-3781900</v>
      </c>
      <c r="K1342">
        <v>580</v>
      </c>
      <c r="L1342">
        <v>403</v>
      </c>
      <c r="M1342" t="s">
        <v>16</v>
      </c>
    </row>
    <row r="1343" spans="1:13" x14ac:dyDescent="0.35">
      <c r="A1343">
        <v>250810</v>
      </c>
      <c r="B1343">
        <v>11509</v>
      </c>
      <c r="C1343" t="s">
        <v>1503</v>
      </c>
      <c r="D1343" t="s">
        <v>1390</v>
      </c>
      <c r="E1343" t="s">
        <v>1433</v>
      </c>
      <c r="F1343">
        <v>4807</v>
      </c>
      <c r="G1343">
        <v>1</v>
      </c>
      <c r="H1343" t="s">
        <v>16</v>
      </c>
      <c r="I1343" s="1">
        <v>-657100</v>
      </c>
      <c r="J1343" s="1">
        <v>-3791600</v>
      </c>
      <c r="K1343">
        <v>273</v>
      </c>
      <c r="L1343">
        <v>177</v>
      </c>
      <c r="M1343" t="s">
        <v>16</v>
      </c>
    </row>
    <row r="1344" spans="1:13" x14ac:dyDescent="0.35">
      <c r="A1344">
        <v>250820</v>
      </c>
      <c r="B1344">
        <v>11517</v>
      </c>
      <c r="C1344" t="s">
        <v>1504</v>
      </c>
      <c r="D1344" t="s">
        <v>1390</v>
      </c>
      <c r="E1344" t="s">
        <v>1398</v>
      </c>
      <c r="F1344">
        <v>7258</v>
      </c>
      <c r="G1344">
        <v>1</v>
      </c>
      <c r="H1344" t="s">
        <v>16</v>
      </c>
      <c r="I1344" s="1">
        <v>-667300</v>
      </c>
      <c r="J1344" s="1">
        <v>-3537900</v>
      </c>
      <c r="K1344">
        <v>154</v>
      </c>
      <c r="L1344">
        <v>84</v>
      </c>
      <c r="M1344" t="s">
        <v>16</v>
      </c>
    </row>
    <row r="1345" spans="1:13" x14ac:dyDescent="0.35">
      <c r="A1345">
        <v>250830</v>
      </c>
      <c r="B1345">
        <v>11525</v>
      </c>
      <c r="C1345" t="s">
        <v>1505</v>
      </c>
      <c r="D1345" t="s">
        <v>1390</v>
      </c>
      <c r="E1345" t="s">
        <v>1437</v>
      </c>
      <c r="F1345">
        <v>24937</v>
      </c>
      <c r="G1345">
        <v>1</v>
      </c>
      <c r="H1345" t="s">
        <v>16</v>
      </c>
      <c r="I1345" s="1">
        <v>-717100</v>
      </c>
      <c r="J1345" s="1">
        <v>-3585400</v>
      </c>
      <c r="K1345">
        <v>634</v>
      </c>
      <c r="L1345">
        <v>109</v>
      </c>
      <c r="M1345" t="s">
        <v>16</v>
      </c>
    </row>
    <row r="1346" spans="1:13" x14ac:dyDescent="0.35">
      <c r="A1346">
        <v>250840</v>
      </c>
      <c r="B1346">
        <v>11533</v>
      </c>
      <c r="C1346" t="s">
        <v>1506</v>
      </c>
      <c r="D1346" t="s">
        <v>1390</v>
      </c>
      <c r="E1346" t="s">
        <v>1409</v>
      </c>
      <c r="F1346">
        <v>2834</v>
      </c>
      <c r="G1346">
        <v>1</v>
      </c>
      <c r="H1346" t="s">
        <v>16</v>
      </c>
      <c r="I1346" s="1">
        <v>-651600</v>
      </c>
      <c r="J1346" s="1">
        <v>-3818000</v>
      </c>
      <c r="K1346">
        <v>336</v>
      </c>
      <c r="L1346">
        <v>102</v>
      </c>
      <c r="M1346" t="s">
        <v>16</v>
      </c>
    </row>
    <row r="1347" spans="1:13" x14ac:dyDescent="0.35">
      <c r="A1347">
        <v>250850</v>
      </c>
      <c r="B1347">
        <v>11541</v>
      </c>
      <c r="C1347" t="s">
        <v>1507</v>
      </c>
      <c r="D1347" t="s">
        <v>1390</v>
      </c>
      <c r="E1347" t="s">
        <v>1407</v>
      </c>
      <c r="F1347">
        <v>7105</v>
      </c>
      <c r="G1347">
        <v>1</v>
      </c>
      <c r="H1347" t="s">
        <v>16</v>
      </c>
      <c r="I1347" s="1">
        <v>-737400</v>
      </c>
      <c r="J1347" s="1">
        <v>-3694600</v>
      </c>
      <c r="K1347">
        <v>584</v>
      </c>
      <c r="L1347">
        <v>283</v>
      </c>
      <c r="M1347" t="s">
        <v>16</v>
      </c>
    </row>
    <row r="1348" spans="1:13" x14ac:dyDescent="0.35">
      <c r="A1348">
        <v>250855</v>
      </c>
      <c r="B1348">
        <v>56219</v>
      </c>
      <c r="C1348" t="s">
        <v>1508</v>
      </c>
      <c r="D1348" t="s">
        <v>1390</v>
      </c>
      <c r="E1348" t="s">
        <v>1398</v>
      </c>
      <c r="F1348">
        <v>3816</v>
      </c>
      <c r="G1348">
        <v>1</v>
      </c>
      <c r="H1348" t="s">
        <v>16</v>
      </c>
      <c r="I1348" s="1">
        <v>-661400</v>
      </c>
      <c r="J1348" s="1">
        <v>-3544300</v>
      </c>
      <c r="K1348">
        <v>140</v>
      </c>
      <c r="L1348">
        <v>37</v>
      </c>
      <c r="M1348" t="s">
        <v>16</v>
      </c>
    </row>
    <row r="1349" spans="1:13" x14ac:dyDescent="0.35">
      <c r="A1349">
        <v>250860</v>
      </c>
      <c r="B1349">
        <v>11550</v>
      </c>
      <c r="C1349" t="s">
        <v>1509</v>
      </c>
      <c r="D1349" t="s">
        <v>1390</v>
      </c>
      <c r="E1349" t="s">
        <v>1430</v>
      </c>
      <c r="F1349">
        <v>10943</v>
      </c>
      <c r="G1349">
        <v>4</v>
      </c>
      <c r="H1349" t="s">
        <v>1431</v>
      </c>
      <c r="I1349" s="1">
        <v>-690000</v>
      </c>
      <c r="J1349" s="1">
        <v>-3486900</v>
      </c>
      <c r="K1349">
        <v>3</v>
      </c>
      <c r="L1349">
        <v>89</v>
      </c>
      <c r="M1349" t="s">
        <v>16</v>
      </c>
    </row>
    <row r="1350" spans="1:13" x14ac:dyDescent="0.35">
      <c r="A1350">
        <v>250870</v>
      </c>
      <c r="B1350">
        <v>11568</v>
      </c>
      <c r="C1350" t="s">
        <v>1510</v>
      </c>
      <c r="D1350" t="s">
        <v>1390</v>
      </c>
      <c r="E1350" t="s">
        <v>1416</v>
      </c>
      <c r="F1350">
        <v>4017</v>
      </c>
      <c r="G1350">
        <v>1</v>
      </c>
      <c r="H1350" t="s">
        <v>16</v>
      </c>
      <c r="I1350" s="1">
        <v>-725900</v>
      </c>
      <c r="J1350" s="1">
        <v>-3742700</v>
      </c>
      <c r="K1350">
        <v>414</v>
      </c>
      <c r="L1350">
        <v>177</v>
      </c>
      <c r="M1350" t="s">
        <v>16</v>
      </c>
    </row>
    <row r="1351" spans="1:13" x14ac:dyDescent="0.35">
      <c r="A1351">
        <v>250880</v>
      </c>
      <c r="B1351">
        <v>11576</v>
      </c>
      <c r="C1351" t="s">
        <v>1511</v>
      </c>
      <c r="D1351" t="s">
        <v>1390</v>
      </c>
      <c r="E1351" t="s">
        <v>1409</v>
      </c>
      <c r="F1351">
        <v>5634</v>
      </c>
      <c r="G1351">
        <v>1</v>
      </c>
      <c r="H1351" t="s">
        <v>16</v>
      </c>
      <c r="I1351" s="1">
        <v>-690400</v>
      </c>
      <c r="J1351" s="1">
        <v>-3752200</v>
      </c>
      <c r="K1351">
        <v>257</v>
      </c>
      <c r="L1351">
        <v>156</v>
      </c>
      <c r="M1351" t="s">
        <v>16</v>
      </c>
    </row>
    <row r="1352" spans="1:13" x14ac:dyDescent="0.35">
      <c r="A1352">
        <v>250890</v>
      </c>
      <c r="B1352">
        <v>11584</v>
      </c>
      <c r="C1352" t="s">
        <v>1512</v>
      </c>
      <c r="D1352" t="s">
        <v>1390</v>
      </c>
      <c r="E1352" t="s">
        <v>1423</v>
      </c>
      <c r="F1352">
        <v>40283</v>
      </c>
      <c r="G1352">
        <v>4</v>
      </c>
      <c r="H1352" t="s">
        <v>1431</v>
      </c>
      <c r="I1352" s="1">
        <v>-683900</v>
      </c>
      <c r="J1352" s="1">
        <v>-3512600</v>
      </c>
      <c r="K1352">
        <v>35</v>
      </c>
      <c r="L1352">
        <v>348</v>
      </c>
      <c r="M1352" t="s">
        <v>16</v>
      </c>
    </row>
    <row r="1353" spans="1:13" x14ac:dyDescent="0.35">
      <c r="A1353">
        <v>250900</v>
      </c>
      <c r="B1353">
        <v>11592</v>
      </c>
      <c r="C1353" t="s">
        <v>1513</v>
      </c>
      <c r="D1353" t="s">
        <v>1390</v>
      </c>
      <c r="E1353" t="s">
        <v>1391</v>
      </c>
      <c r="F1353">
        <v>10986</v>
      </c>
      <c r="G1353">
        <v>1</v>
      </c>
      <c r="H1353" t="s">
        <v>16</v>
      </c>
      <c r="I1353" s="1">
        <v>-770600</v>
      </c>
      <c r="J1353" s="1">
        <v>-3815400</v>
      </c>
      <c r="K1353">
        <v>757</v>
      </c>
      <c r="L1353">
        <v>352</v>
      </c>
      <c r="M1353" t="s">
        <v>16</v>
      </c>
    </row>
    <row r="1354" spans="1:13" x14ac:dyDescent="0.35">
      <c r="A1354">
        <v>250905</v>
      </c>
      <c r="B1354">
        <v>58130</v>
      </c>
      <c r="C1354" t="s">
        <v>1514</v>
      </c>
      <c r="D1354" t="s">
        <v>1390</v>
      </c>
      <c r="E1354" t="s">
        <v>1423</v>
      </c>
      <c r="F1354">
        <v>7287</v>
      </c>
      <c r="G1354">
        <v>1</v>
      </c>
      <c r="H1354" t="s">
        <v>16</v>
      </c>
      <c r="I1354" s="1">
        <v>-677000</v>
      </c>
      <c r="J1354" s="1">
        <v>-3501500</v>
      </c>
      <c r="K1354">
        <v>89</v>
      </c>
      <c r="L1354">
        <v>122</v>
      </c>
      <c r="M1354" t="s">
        <v>16</v>
      </c>
    </row>
    <row r="1355" spans="1:13" x14ac:dyDescent="0.35">
      <c r="A1355">
        <v>250910</v>
      </c>
      <c r="B1355">
        <v>11606</v>
      </c>
      <c r="C1355" t="s">
        <v>1515</v>
      </c>
      <c r="D1355" t="s">
        <v>1390</v>
      </c>
      <c r="E1355" t="s">
        <v>1470</v>
      </c>
      <c r="F1355">
        <v>20526</v>
      </c>
      <c r="G1355">
        <v>1</v>
      </c>
      <c r="H1355" t="s">
        <v>16</v>
      </c>
      <c r="I1355" s="1">
        <v>-706000</v>
      </c>
      <c r="J1355" s="1">
        <v>-3531900</v>
      </c>
      <c r="K1355">
        <v>143</v>
      </c>
      <c r="L1355">
        <v>154</v>
      </c>
      <c r="M1355" t="s">
        <v>16</v>
      </c>
    </row>
    <row r="1356" spans="1:13" x14ac:dyDescent="0.35">
      <c r="A1356">
        <v>250915</v>
      </c>
      <c r="B1356">
        <v>56227</v>
      </c>
      <c r="C1356" t="s">
        <v>1516</v>
      </c>
      <c r="D1356" t="s">
        <v>1390</v>
      </c>
      <c r="E1356" t="s">
        <v>1409</v>
      </c>
      <c r="F1356">
        <v>6214</v>
      </c>
      <c r="G1356">
        <v>1</v>
      </c>
      <c r="H1356" t="s">
        <v>16</v>
      </c>
      <c r="I1356" s="1">
        <v>-684200</v>
      </c>
      <c r="J1356" s="1">
        <v>-3834700</v>
      </c>
      <c r="K1356">
        <v>300</v>
      </c>
      <c r="L1356">
        <v>63</v>
      </c>
      <c r="M1356" t="s">
        <v>16</v>
      </c>
    </row>
    <row r="1357" spans="1:13" x14ac:dyDescent="0.35">
      <c r="A1357">
        <v>250920</v>
      </c>
      <c r="B1357">
        <v>11614</v>
      </c>
      <c r="C1357" t="s">
        <v>1517</v>
      </c>
      <c r="D1357" t="s">
        <v>1390</v>
      </c>
      <c r="E1357" t="s">
        <v>1437</v>
      </c>
      <c r="F1357">
        <v>12494</v>
      </c>
      <c r="G1357">
        <v>1</v>
      </c>
      <c r="H1357" t="s">
        <v>16</v>
      </c>
      <c r="I1357" s="1">
        <v>-720000</v>
      </c>
      <c r="J1357" s="1">
        <v>-3578900</v>
      </c>
      <c r="K1357">
        <v>541</v>
      </c>
      <c r="L1357">
        <v>205</v>
      </c>
      <c r="M1357" t="s">
        <v>16</v>
      </c>
    </row>
    <row r="1358" spans="1:13" x14ac:dyDescent="0.35">
      <c r="A1358">
        <v>250930</v>
      </c>
      <c r="B1358">
        <v>11622</v>
      </c>
      <c r="C1358" t="s">
        <v>1518</v>
      </c>
      <c r="D1358" t="s">
        <v>1390</v>
      </c>
      <c r="E1358" t="s">
        <v>1423</v>
      </c>
      <c r="F1358">
        <v>6984</v>
      </c>
      <c r="G1358">
        <v>1</v>
      </c>
      <c r="H1358" t="s">
        <v>16</v>
      </c>
      <c r="I1358" s="1">
        <v>-660100</v>
      </c>
      <c r="J1358" s="1">
        <v>-3505100</v>
      </c>
      <c r="K1358">
        <v>14</v>
      </c>
      <c r="L1358">
        <v>174</v>
      </c>
      <c r="M1358" t="s">
        <v>16</v>
      </c>
    </row>
    <row r="1359" spans="1:13" x14ac:dyDescent="0.35">
      <c r="A1359">
        <v>250933</v>
      </c>
      <c r="B1359">
        <v>56235</v>
      </c>
      <c r="C1359" t="s">
        <v>1519</v>
      </c>
      <c r="D1359" t="s">
        <v>1390</v>
      </c>
      <c r="E1359" t="s">
        <v>1395</v>
      </c>
      <c r="F1359">
        <v>4178</v>
      </c>
      <c r="G1359">
        <v>1</v>
      </c>
      <c r="H1359" t="s">
        <v>16</v>
      </c>
      <c r="I1359" s="1">
        <v>-712500</v>
      </c>
      <c r="J1359" s="1">
        <v>-3576700</v>
      </c>
      <c r="K1359">
        <v>300</v>
      </c>
      <c r="L1359">
        <v>38</v>
      </c>
      <c r="M1359" t="s">
        <v>16</v>
      </c>
    </row>
    <row r="1360" spans="1:13" x14ac:dyDescent="0.35">
      <c r="A1360">
        <v>250937</v>
      </c>
      <c r="B1360">
        <v>58149</v>
      </c>
      <c r="C1360" t="s">
        <v>1520</v>
      </c>
      <c r="D1360" t="s">
        <v>1390</v>
      </c>
      <c r="E1360" t="s">
        <v>1433</v>
      </c>
      <c r="F1360">
        <v>2601</v>
      </c>
      <c r="G1360">
        <v>1</v>
      </c>
      <c r="H1360" t="s">
        <v>16</v>
      </c>
      <c r="I1360" s="1">
        <v>-653400</v>
      </c>
      <c r="J1360" s="1">
        <v>-3772500</v>
      </c>
      <c r="K1360">
        <v>225</v>
      </c>
      <c r="L1360">
        <v>83</v>
      </c>
      <c r="M1360" t="s">
        <v>16</v>
      </c>
    </row>
    <row r="1361" spans="1:13" x14ac:dyDescent="0.35">
      <c r="A1361">
        <v>250939</v>
      </c>
      <c r="B1361">
        <v>58157</v>
      </c>
      <c r="C1361" t="s">
        <v>1521</v>
      </c>
      <c r="D1361" t="s">
        <v>1390</v>
      </c>
      <c r="E1361" t="s">
        <v>1391</v>
      </c>
      <c r="F1361">
        <v>5785</v>
      </c>
      <c r="G1361">
        <v>1</v>
      </c>
      <c r="H1361" t="s">
        <v>16</v>
      </c>
      <c r="I1361" s="1">
        <v>-726700</v>
      </c>
      <c r="J1361" s="1">
        <v>-3735100</v>
      </c>
      <c r="K1361">
        <v>815</v>
      </c>
      <c r="L1361">
        <v>83</v>
      </c>
      <c r="M1361" t="s">
        <v>16</v>
      </c>
    </row>
    <row r="1362" spans="1:13" x14ac:dyDescent="0.35">
      <c r="A1362">
        <v>250940</v>
      </c>
      <c r="B1362">
        <v>11630</v>
      </c>
      <c r="C1362" t="s">
        <v>1522</v>
      </c>
      <c r="D1362" t="s">
        <v>1390</v>
      </c>
      <c r="E1362" t="s">
        <v>1455</v>
      </c>
      <c r="F1362">
        <v>12305</v>
      </c>
      <c r="G1362">
        <v>1</v>
      </c>
      <c r="H1362" t="s">
        <v>16</v>
      </c>
      <c r="I1362" s="1">
        <v>-729900</v>
      </c>
      <c r="J1362" s="1">
        <v>-3547900</v>
      </c>
      <c r="K1362">
        <v>117</v>
      </c>
      <c r="L1362">
        <v>218</v>
      </c>
      <c r="M1362" t="s">
        <v>16</v>
      </c>
    </row>
    <row r="1363" spans="1:13" x14ac:dyDescent="0.35">
      <c r="A1363">
        <v>250950</v>
      </c>
      <c r="B1363">
        <v>11649</v>
      </c>
      <c r="C1363" t="s">
        <v>1523</v>
      </c>
      <c r="D1363" t="s">
        <v>1390</v>
      </c>
      <c r="E1363" t="s">
        <v>1418</v>
      </c>
      <c r="F1363">
        <v>4558</v>
      </c>
      <c r="G1363">
        <v>1</v>
      </c>
      <c r="H1363" t="s">
        <v>16</v>
      </c>
      <c r="I1363" s="1">
        <v>-708800</v>
      </c>
      <c r="J1363" s="1">
        <v>-3595900</v>
      </c>
      <c r="K1363">
        <v>713</v>
      </c>
      <c r="L1363">
        <v>25</v>
      </c>
      <c r="M1363" t="s">
        <v>16</v>
      </c>
    </row>
    <row r="1364" spans="1:13" x14ac:dyDescent="0.35">
      <c r="A1364">
        <v>250960</v>
      </c>
      <c r="B1364">
        <v>11657</v>
      </c>
      <c r="C1364" t="s">
        <v>1524</v>
      </c>
      <c r="D1364" t="s">
        <v>1390</v>
      </c>
      <c r="E1364" t="s">
        <v>1405</v>
      </c>
      <c r="F1364">
        <v>4345</v>
      </c>
      <c r="G1364">
        <v>1</v>
      </c>
      <c r="H1364" t="s">
        <v>16</v>
      </c>
      <c r="I1364" s="1">
        <v>-721500</v>
      </c>
      <c r="J1364" s="1">
        <v>-3858600</v>
      </c>
      <c r="K1364">
        <v>718</v>
      </c>
      <c r="L1364">
        <v>116</v>
      </c>
      <c r="M1364" t="s">
        <v>16</v>
      </c>
    </row>
    <row r="1365" spans="1:13" x14ac:dyDescent="0.35">
      <c r="A1365">
        <v>250970</v>
      </c>
      <c r="B1365">
        <v>11665</v>
      </c>
      <c r="C1365" t="s">
        <v>1525</v>
      </c>
      <c r="D1365" t="s">
        <v>1390</v>
      </c>
      <c r="E1365" t="s">
        <v>1407</v>
      </c>
      <c r="F1365">
        <v>29980</v>
      </c>
      <c r="G1365">
        <v>1</v>
      </c>
      <c r="H1365" t="s">
        <v>16</v>
      </c>
      <c r="I1365" s="1">
        <v>-788900</v>
      </c>
      <c r="J1365" s="1">
        <v>-3712000</v>
      </c>
      <c r="K1365">
        <v>599</v>
      </c>
      <c r="L1365">
        <v>986</v>
      </c>
      <c r="M1365" t="s">
        <v>16</v>
      </c>
    </row>
    <row r="1366" spans="1:13" x14ac:dyDescent="0.35">
      <c r="A1366">
        <v>250980</v>
      </c>
      <c r="B1366">
        <v>11673</v>
      </c>
      <c r="C1366" t="s">
        <v>1151</v>
      </c>
      <c r="D1366" t="s">
        <v>1390</v>
      </c>
      <c r="E1366" t="s">
        <v>1398</v>
      </c>
      <c r="F1366">
        <v>9317</v>
      </c>
      <c r="G1366">
        <v>1</v>
      </c>
      <c r="H1366" t="s">
        <v>16</v>
      </c>
      <c r="I1366" s="1">
        <v>-702400</v>
      </c>
      <c r="J1366" s="1">
        <v>-3546200</v>
      </c>
      <c r="K1366">
        <v>99</v>
      </c>
      <c r="L1366">
        <v>192</v>
      </c>
      <c r="M1366" t="s">
        <v>16</v>
      </c>
    </row>
    <row r="1367" spans="1:13" x14ac:dyDescent="0.35">
      <c r="A1367">
        <v>250990</v>
      </c>
      <c r="B1367">
        <v>11681</v>
      </c>
      <c r="C1367" t="s">
        <v>1526</v>
      </c>
      <c r="D1367" t="s">
        <v>1390</v>
      </c>
      <c r="E1367" t="s">
        <v>1420</v>
      </c>
      <c r="F1367">
        <v>10216</v>
      </c>
      <c r="G1367">
        <v>1</v>
      </c>
      <c r="H1367" t="s">
        <v>16</v>
      </c>
      <c r="I1367" s="1">
        <v>-764100</v>
      </c>
      <c r="J1367" s="1">
        <v>-3555000</v>
      </c>
      <c r="K1367">
        <v>331</v>
      </c>
      <c r="L1367">
        <v>192</v>
      </c>
      <c r="M1367" t="s">
        <v>16</v>
      </c>
    </row>
    <row r="1368" spans="1:13" x14ac:dyDescent="0.35">
      <c r="A1368">
        <v>251000</v>
      </c>
      <c r="B1368">
        <v>11690</v>
      </c>
      <c r="C1368" t="s">
        <v>1527</v>
      </c>
      <c r="D1368" t="s">
        <v>1390</v>
      </c>
      <c r="E1368" t="s">
        <v>1409</v>
      </c>
      <c r="F1368">
        <v>6933</v>
      </c>
      <c r="G1368">
        <v>1</v>
      </c>
      <c r="H1368" t="s">
        <v>16</v>
      </c>
      <c r="I1368" s="1">
        <v>-691600</v>
      </c>
      <c r="J1368" s="1">
        <v>-3832500</v>
      </c>
      <c r="K1368">
        <v>272</v>
      </c>
      <c r="L1368">
        <v>173</v>
      </c>
      <c r="M1368" t="s">
        <v>16</v>
      </c>
    </row>
    <row r="1369" spans="1:13" x14ac:dyDescent="0.35">
      <c r="A1369">
        <v>251010</v>
      </c>
      <c r="B1369">
        <v>11703</v>
      </c>
      <c r="C1369" t="s">
        <v>1528</v>
      </c>
      <c r="D1369" t="s">
        <v>1390</v>
      </c>
      <c r="E1369" t="s">
        <v>1402</v>
      </c>
      <c r="F1369">
        <v>10032</v>
      </c>
      <c r="G1369">
        <v>1</v>
      </c>
      <c r="H1369" t="s">
        <v>16</v>
      </c>
      <c r="I1369" s="1">
        <v>-645500</v>
      </c>
      <c r="J1369" s="1">
        <v>-3620300</v>
      </c>
      <c r="K1369">
        <v>666</v>
      </c>
      <c r="L1369">
        <v>58</v>
      </c>
      <c r="M1369" t="s">
        <v>16</v>
      </c>
    </row>
    <row r="1370" spans="1:13" x14ac:dyDescent="0.35">
      <c r="A1370">
        <v>251020</v>
      </c>
      <c r="B1370">
        <v>11711</v>
      </c>
      <c r="C1370" t="s">
        <v>489</v>
      </c>
      <c r="D1370" t="s">
        <v>1390</v>
      </c>
      <c r="E1370" t="s">
        <v>1393</v>
      </c>
      <c r="F1370">
        <v>6280</v>
      </c>
      <c r="G1370">
        <v>1</v>
      </c>
      <c r="H1370" t="s">
        <v>16</v>
      </c>
      <c r="I1370" s="1">
        <v>-748000</v>
      </c>
      <c r="J1370" s="1">
        <v>-3804200</v>
      </c>
      <c r="K1370">
        <v>319</v>
      </c>
      <c r="L1370">
        <v>84</v>
      </c>
      <c r="M1370" t="s">
        <v>16</v>
      </c>
    </row>
    <row r="1371" spans="1:13" x14ac:dyDescent="0.35">
      <c r="A1371">
        <v>251030</v>
      </c>
      <c r="B1371">
        <v>11720</v>
      </c>
      <c r="C1371" t="s">
        <v>1529</v>
      </c>
      <c r="D1371" t="s">
        <v>1390</v>
      </c>
      <c r="E1371" t="s">
        <v>1425</v>
      </c>
      <c r="F1371">
        <v>3934</v>
      </c>
      <c r="G1371">
        <v>1</v>
      </c>
      <c r="H1371" t="s">
        <v>16</v>
      </c>
      <c r="I1371" s="1">
        <v>-667800</v>
      </c>
      <c r="J1371" s="1">
        <v>-3642100</v>
      </c>
      <c r="K1371">
        <v>560</v>
      </c>
      <c r="L1371">
        <v>310</v>
      </c>
      <c r="M1371" t="s">
        <v>16</v>
      </c>
    </row>
    <row r="1372" spans="1:13" x14ac:dyDescent="0.35">
      <c r="A1372">
        <v>251040</v>
      </c>
      <c r="B1372">
        <v>11738</v>
      </c>
      <c r="C1372" t="s">
        <v>1530</v>
      </c>
      <c r="D1372" t="s">
        <v>1390</v>
      </c>
      <c r="E1372" t="s">
        <v>1393</v>
      </c>
      <c r="F1372">
        <v>7450</v>
      </c>
      <c r="G1372">
        <v>1</v>
      </c>
      <c r="H1372" t="s">
        <v>16</v>
      </c>
      <c r="I1372" s="1">
        <v>-722800</v>
      </c>
      <c r="J1372" s="1">
        <v>-3775100</v>
      </c>
      <c r="K1372">
        <v>267</v>
      </c>
      <c r="L1372">
        <v>596</v>
      </c>
      <c r="M1372" t="s">
        <v>16</v>
      </c>
    </row>
    <row r="1373" spans="1:13" x14ac:dyDescent="0.35">
      <c r="A1373">
        <v>251050</v>
      </c>
      <c r="B1373">
        <v>11746</v>
      </c>
      <c r="C1373" t="s">
        <v>1531</v>
      </c>
      <c r="D1373" t="s">
        <v>1390</v>
      </c>
      <c r="E1373" t="s">
        <v>1402</v>
      </c>
      <c r="F1373">
        <v>3489</v>
      </c>
      <c r="G1373">
        <v>1</v>
      </c>
      <c r="H1373" t="s">
        <v>16</v>
      </c>
      <c r="I1373" s="1">
        <v>-699100</v>
      </c>
      <c r="J1373" s="1">
        <v>-3624400</v>
      </c>
      <c r="K1373">
        <v>559</v>
      </c>
      <c r="L1373">
        <v>317</v>
      </c>
      <c r="M1373" t="s">
        <v>16</v>
      </c>
    </row>
    <row r="1374" spans="1:13" x14ac:dyDescent="0.35">
      <c r="A1374">
        <v>251060</v>
      </c>
      <c r="B1374">
        <v>11754</v>
      </c>
      <c r="C1374" t="s">
        <v>1532</v>
      </c>
      <c r="D1374" t="s">
        <v>1390</v>
      </c>
      <c r="E1374" t="s">
        <v>1407</v>
      </c>
      <c r="F1374">
        <v>2974</v>
      </c>
      <c r="G1374">
        <v>1</v>
      </c>
      <c r="H1374" t="s">
        <v>16</v>
      </c>
      <c r="I1374" s="1">
        <v>-762000</v>
      </c>
      <c r="J1374" s="1">
        <v>-3715200</v>
      </c>
      <c r="K1374">
        <v>591</v>
      </c>
      <c r="L1374">
        <v>129</v>
      </c>
      <c r="M1374" t="s">
        <v>16</v>
      </c>
    </row>
    <row r="1375" spans="1:13" x14ac:dyDescent="0.35">
      <c r="A1375">
        <v>251065</v>
      </c>
      <c r="B1375">
        <v>58165</v>
      </c>
      <c r="C1375" t="s">
        <v>1533</v>
      </c>
      <c r="D1375" t="s">
        <v>1390</v>
      </c>
      <c r="E1375" t="s">
        <v>1407</v>
      </c>
      <c r="F1375">
        <v>1245</v>
      </c>
      <c r="G1375">
        <v>1</v>
      </c>
      <c r="H1375" t="s">
        <v>16</v>
      </c>
      <c r="I1375" s="1">
        <v>-732100</v>
      </c>
      <c r="J1375" s="1">
        <v>-3665600</v>
      </c>
      <c r="K1375">
        <v>495</v>
      </c>
      <c r="L1375">
        <v>128</v>
      </c>
      <c r="M1375" t="s">
        <v>16</v>
      </c>
    </row>
    <row r="1376" spans="1:13" x14ac:dyDescent="0.35">
      <c r="A1376">
        <v>251070</v>
      </c>
      <c r="B1376">
        <v>11762</v>
      </c>
      <c r="C1376" t="s">
        <v>1327</v>
      </c>
      <c r="D1376" t="s">
        <v>1390</v>
      </c>
      <c r="E1376" t="s">
        <v>1416</v>
      </c>
      <c r="F1376">
        <v>2124</v>
      </c>
      <c r="G1376">
        <v>1</v>
      </c>
      <c r="H1376" t="s">
        <v>16</v>
      </c>
      <c r="I1376" s="1">
        <v>-713800</v>
      </c>
      <c r="J1376" s="1">
        <v>-3704900</v>
      </c>
      <c r="K1376">
        <v>305</v>
      </c>
      <c r="L1376">
        <v>111</v>
      </c>
      <c r="M1376" t="s">
        <v>16</v>
      </c>
    </row>
    <row r="1377" spans="1:13" x14ac:dyDescent="0.35">
      <c r="A1377">
        <v>251080</v>
      </c>
      <c r="B1377">
        <v>11770</v>
      </c>
      <c r="C1377" t="s">
        <v>1416</v>
      </c>
      <c r="D1377" t="s">
        <v>1390</v>
      </c>
      <c r="E1377" t="s">
        <v>1416</v>
      </c>
      <c r="F1377">
        <v>97276</v>
      </c>
      <c r="G1377">
        <v>2</v>
      </c>
      <c r="H1377" t="s">
        <v>16</v>
      </c>
      <c r="I1377" s="1">
        <v>-702400</v>
      </c>
      <c r="J1377" s="1">
        <v>-3728000</v>
      </c>
      <c r="K1377">
        <v>242</v>
      </c>
      <c r="L1377">
        <v>512</v>
      </c>
      <c r="M1377" t="s">
        <v>16</v>
      </c>
    </row>
    <row r="1378" spans="1:13" x14ac:dyDescent="0.35">
      <c r="A1378">
        <v>251090</v>
      </c>
      <c r="B1378">
        <v>11789</v>
      </c>
      <c r="C1378" t="s">
        <v>1534</v>
      </c>
      <c r="D1378" t="s">
        <v>1390</v>
      </c>
      <c r="E1378" t="s">
        <v>1409</v>
      </c>
      <c r="F1378">
        <v>11619</v>
      </c>
      <c r="G1378">
        <v>1</v>
      </c>
      <c r="H1378" t="s">
        <v>16</v>
      </c>
      <c r="I1378" s="1">
        <v>-659400</v>
      </c>
      <c r="J1378" s="1">
        <v>-3762400</v>
      </c>
      <c r="K1378">
        <v>160</v>
      </c>
      <c r="L1378">
        <v>576</v>
      </c>
      <c r="M1378" t="s">
        <v>16</v>
      </c>
    </row>
    <row r="1379" spans="1:13" x14ac:dyDescent="0.35">
      <c r="A1379">
        <v>251100</v>
      </c>
      <c r="B1379">
        <v>11797</v>
      </c>
      <c r="C1379" t="s">
        <v>1166</v>
      </c>
      <c r="D1379" t="s">
        <v>1390</v>
      </c>
      <c r="E1379" t="s">
        <v>1436</v>
      </c>
      <c r="F1379">
        <v>3743</v>
      </c>
      <c r="G1379">
        <v>1</v>
      </c>
      <c r="H1379" t="s">
        <v>16</v>
      </c>
      <c r="I1379" s="1">
        <v>-742700</v>
      </c>
      <c r="J1379" s="1">
        <v>-3806800</v>
      </c>
      <c r="K1379">
        <v>299</v>
      </c>
      <c r="L1379">
        <v>193</v>
      </c>
      <c r="M1379" t="s">
        <v>16</v>
      </c>
    </row>
    <row r="1380" spans="1:13" x14ac:dyDescent="0.35">
      <c r="A1380">
        <v>251110</v>
      </c>
      <c r="B1380">
        <v>11800</v>
      </c>
      <c r="C1380" t="s">
        <v>1535</v>
      </c>
      <c r="D1380" t="s">
        <v>1390</v>
      </c>
      <c r="E1380" t="s">
        <v>1425</v>
      </c>
      <c r="F1380">
        <v>6810</v>
      </c>
      <c r="G1380">
        <v>1</v>
      </c>
      <c r="H1380" t="s">
        <v>16</v>
      </c>
      <c r="I1380" s="1">
        <v>-675700</v>
      </c>
      <c r="J1380" s="1">
        <v>-3648000</v>
      </c>
      <c r="K1380">
        <v>516</v>
      </c>
      <c r="L1380">
        <v>351</v>
      </c>
      <c r="M1380" t="s">
        <v>16</v>
      </c>
    </row>
    <row r="1381" spans="1:13" x14ac:dyDescent="0.35">
      <c r="A1381">
        <v>251120</v>
      </c>
      <c r="B1381">
        <v>11819</v>
      </c>
      <c r="C1381" t="s">
        <v>1536</v>
      </c>
      <c r="D1381" t="s">
        <v>1390</v>
      </c>
      <c r="E1381" t="s">
        <v>1231</v>
      </c>
      <c r="F1381">
        <v>26279</v>
      </c>
      <c r="G1381">
        <v>1</v>
      </c>
      <c r="H1381" t="s">
        <v>16</v>
      </c>
      <c r="I1381" s="1">
        <v>-740200</v>
      </c>
      <c r="J1381" s="1">
        <v>-3511600</v>
      </c>
      <c r="K1381">
        <v>177</v>
      </c>
      <c r="L1381">
        <v>401</v>
      </c>
      <c r="M1381" t="s">
        <v>16</v>
      </c>
    </row>
    <row r="1382" spans="1:13" x14ac:dyDescent="0.35">
      <c r="A1382">
        <v>251130</v>
      </c>
      <c r="B1382">
        <v>11827</v>
      </c>
      <c r="C1382" t="s">
        <v>1537</v>
      </c>
      <c r="D1382" t="s">
        <v>1390</v>
      </c>
      <c r="E1382" t="s">
        <v>1393</v>
      </c>
      <c r="F1382">
        <v>15881</v>
      </c>
      <c r="G1382">
        <v>1</v>
      </c>
      <c r="H1382" t="s">
        <v>16</v>
      </c>
      <c r="I1382" s="1">
        <v>-719800</v>
      </c>
      <c r="J1382" s="1">
        <v>-3792900</v>
      </c>
      <c r="K1382">
        <v>269</v>
      </c>
      <c r="L1382">
        <v>564</v>
      </c>
      <c r="M1382" t="s">
        <v>16</v>
      </c>
    </row>
    <row r="1383" spans="1:13" x14ac:dyDescent="0.35">
      <c r="A1383">
        <v>251140</v>
      </c>
      <c r="B1383">
        <v>11835</v>
      </c>
      <c r="C1383" t="s">
        <v>1538</v>
      </c>
      <c r="D1383" t="s">
        <v>1390</v>
      </c>
      <c r="E1383" t="s">
        <v>1425</v>
      </c>
      <c r="F1383">
        <v>18716</v>
      </c>
      <c r="G1383">
        <v>1</v>
      </c>
      <c r="H1383" t="s">
        <v>16</v>
      </c>
      <c r="I1383" s="1">
        <v>-655500</v>
      </c>
      <c r="J1383" s="1">
        <v>-3634900</v>
      </c>
      <c r="K1383">
        <v>439</v>
      </c>
      <c r="L1383">
        <v>665</v>
      </c>
      <c r="M1383" t="s">
        <v>16</v>
      </c>
    </row>
    <row r="1384" spans="1:13" x14ac:dyDescent="0.35">
      <c r="A1384">
        <v>251150</v>
      </c>
      <c r="B1384">
        <v>11843</v>
      </c>
      <c r="C1384" t="s">
        <v>1539</v>
      </c>
      <c r="D1384" t="s">
        <v>1390</v>
      </c>
      <c r="E1384" t="s">
        <v>1470</v>
      </c>
      <c r="F1384">
        <v>11301</v>
      </c>
      <c r="G1384">
        <v>1</v>
      </c>
      <c r="H1384" t="s">
        <v>16</v>
      </c>
      <c r="I1384" s="1">
        <v>-726700</v>
      </c>
      <c r="J1384" s="1">
        <v>-3526000</v>
      </c>
      <c r="K1384">
        <v>35</v>
      </c>
      <c r="L1384">
        <v>101</v>
      </c>
      <c r="M1384" t="s">
        <v>16</v>
      </c>
    </row>
    <row r="1385" spans="1:13" x14ac:dyDescent="0.35">
      <c r="A1385">
        <v>251160</v>
      </c>
      <c r="B1385">
        <v>11851</v>
      </c>
      <c r="C1385" t="s">
        <v>1335</v>
      </c>
      <c r="D1385" t="s">
        <v>1390</v>
      </c>
      <c r="E1385" t="s">
        <v>1395</v>
      </c>
      <c r="F1385">
        <v>6936</v>
      </c>
      <c r="G1385">
        <v>1</v>
      </c>
      <c r="H1385" t="s">
        <v>16</v>
      </c>
      <c r="I1385" s="1">
        <v>-690200</v>
      </c>
      <c r="J1385" s="1">
        <v>-3562300</v>
      </c>
      <c r="K1385">
        <v>334</v>
      </c>
      <c r="L1385">
        <v>64</v>
      </c>
      <c r="M1385" t="s">
        <v>16</v>
      </c>
    </row>
    <row r="1386" spans="1:13" x14ac:dyDescent="0.35">
      <c r="A1386">
        <v>251170</v>
      </c>
      <c r="B1386">
        <v>11860</v>
      </c>
      <c r="C1386" t="s">
        <v>1540</v>
      </c>
      <c r="D1386" t="s">
        <v>1390</v>
      </c>
      <c r="E1386" t="s">
        <v>1398</v>
      </c>
      <c r="F1386">
        <v>5319</v>
      </c>
      <c r="G1386">
        <v>1</v>
      </c>
      <c r="H1386" t="s">
        <v>16</v>
      </c>
      <c r="I1386" s="1">
        <v>-684400</v>
      </c>
      <c r="J1386" s="1">
        <v>-3553100</v>
      </c>
      <c r="K1386">
        <v>133</v>
      </c>
      <c r="L1386">
        <v>43</v>
      </c>
      <c r="M1386" t="s">
        <v>16</v>
      </c>
    </row>
    <row r="1387" spans="1:13" x14ac:dyDescent="0.35">
      <c r="A1387">
        <v>251180</v>
      </c>
      <c r="B1387">
        <v>11878</v>
      </c>
      <c r="C1387" t="s">
        <v>1541</v>
      </c>
      <c r="D1387" t="s">
        <v>1390</v>
      </c>
      <c r="E1387" t="s">
        <v>1398</v>
      </c>
      <c r="F1387">
        <v>10232</v>
      </c>
      <c r="G1387">
        <v>1</v>
      </c>
      <c r="H1387" t="s">
        <v>16</v>
      </c>
      <c r="I1387" s="1">
        <v>-678000</v>
      </c>
      <c r="J1387" s="1">
        <v>-3549900</v>
      </c>
      <c r="K1387">
        <v>99</v>
      </c>
      <c r="L1387">
        <v>79</v>
      </c>
      <c r="M1387" t="s">
        <v>16</v>
      </c>
    </row>
    <row r="1388" spans="1:13" x14ac:dyDescent="0.35">
      <c r="A1388">
        <v>251190</v>
      </c>
      <c r="B1388">
        <v>11886</v>
      </c>
      <c r="C1388" t="s">
        <v>1542</v>
      </c>
      <c r="D1388" t="s">
        <v>1390</v>
      </c>
      <c r="E1388" t="s">
        <v>1231</v>
      </c>
      <c r="F1388">
        <v>16140</v>
      </c>
      <c r="G1388">
        <v>1</v>
      </c>
      <c r="H1388" t="s">
        <v>16</v>
      </c>
      <c r="I1388" s="1">
        <v>-747100</v>
      </c>
      <c r="J1388" s="1">
        <v>-3480900</v>
      </c>
      <c r="K1388">
        <v>3</v>
      </c>
      <c r="L1388">
        <v>136</v>
      </c>
      <c r="M1388" t="s">
        <v>16</v>
      </c>
    </row>
    <row r="1389" spans="1:13" x14ac:dyDescent="0.35">
      <c r="A1389">
        <v>251200</v>
      </c>
      <c r="B1389">
        <v>11894</v>
      </c>
      <c r="C1389" t="s">
        <v>1543</v>
      </c>
      <c r="D1389" t="s">
        <v>1390</v>
      </c>
      <c r="E1389" t="s">
        <v>1402</v>
      </c>
      <c r="F1389">
        <v>15956</v>
      </c>
      <c r="G1389">
        <v>1</v>
      </c>
      <c r="H1389" t="s">
        <v>16</v>
      </c>
      <c r="I1389" s="1">
        <v>-707700</v>
      </c>
      <c r="J1389" s="1">
        <v>-3606100</v>
      </c>
      <c r="K1389">
        <v>646</v>
      </c>
      <c r="L1389">
        <v>629</v>
      </c>
      <c r="M1389" t="s">
        <v>16</v>
      </c>
    </row>
    <row r="1390" spans="1:13" x14ac:dyDescent="0.35">
      <c r="A1390">
        <v>251203</v>
      </c>
      <c r="B1390">
        <v>58173</v>
      </c>
      <c r="C1390" t="s">
        <v>1544</v>
      </c>
      <c r="D1390" t="s">
        <v>1390</v>
      </c>
      <c r="E1390" t="s">
        <v>1405</v>
      </c>
      <c r="F1390">
        <v>3919</v>
      </c>
      <c r="G1390">
        <v>1</v>
      </c>
      <c r="H1390" t="s">
        <v>16</v>
      </c>
      <c r="I1390" s="1">
        <v>-640300</v>
      </c>
      <c r="J1390" s="1">
        <v>-3849500</v>
      </c>
      <c r="K1390">
        <v>470</v>
      </c>
      <c r="L1390">
        <v>97</v>
      </c>
      <c r="M1390" t="s">
        <v>16</v>
      </c>
    </row>
    <row r="1391" spans="1:13" x14ac:dyDescent="0.35">
      <c r="A1391">
        <v>251207</v>
      </c>
      <c r="B1391">
        <v>58181</v>
      </c>
      <c r="C1391" t="s">
        <v>1545</v>
      </c>
      <c r="D1391" t="s">
        <v>1390</v>
      </c>
      <c r="E1391" t="s">
        <v>1405</v>
      </c>
      <c r="F1391">
        <v>3959</v>
      </c>
      <c r="G1391">
        <v>1</v>
      </c>
      <c r="H1391" t="s">
        <v>16</v>
      </c>
      <c r="I1391" s="1">
        <v>-657500</v>
      </c>
      <c r="J1391" s="1">
        <v>-3851200</v>
      </c>
      <c r="K1391">
        <v>280</v>
      </c>
      <c r="L1391">
        <v>97</v>
      </c>
      <c r="M1391" t="s">
        <v>16</v>
      </c>
    </row>
    <row r="1392" spans="1:13" x14ac:dyDescent="0.35">
      <c r="A1392">
        <v>251210</v>
      </c>
      <c r="B1392">
        <v>11908</v>
      </c>
      <c r="C1392" t="s">
        <v>1546</v>
      </c>
      <c r="D1392" t="s">
        <v>1390</v>
      </c>
      <c r="E1392" t="s">
        <v>1409</v>
      </c>
      <c r="F1392">
        <v>31524</v>
      </c>
      <c r="G1392">
        <v>1</v>
      </c>
      <c r="H1392" t="s">
        <v>16</v>
      </c>
      <c r="I1392" s="1">
        <v>-677000</v>
      </c>
      <c r="J1392" s="1">
        <v>-3780200</v>
      </c>
      <c r="K1392">
        <v>184</v>
      </c>
      <c r="L1392">
        <v>888</v>
      </c>
      <c r="M1392" t="s">
        <v>16</v>
      </c>
    </row>
    <row r="1393" spans="1:13" x14ac:dyDescent="0.35">
      <c r="A1393">
        <v>251220</v>
      </c>
      <c r="B1393">
        <v>11916</v>
      </c>
      <c r="C1393" t="s">
        <v>1547</v>
      </c>
      <c r="D1393" t="s">
        <v>1390</v>
      </c>
      <c r="E1393" t="s">
        <v>1407</v>
      </c>
      <c r="F1393">
        <v>3896</v>
      </c>
      <c r="G1393">
        <v>1</v>
      </c>
      <c r="H1393" t="s">
        <v>16</v>
      </c>
      <c r="I1393" s="1">
        <v>-769100</v>
      </c>
      <c r="J1393" s="1">
        <v>-3708000</v>
      </c>
      <c r="K1393">
        <v>577</v>
      </c>
      <c r="L1393">
        <v>192</v>
      </c>
      <c r="M1393" t="s">
        <v>16</v>
      </c>
    </row>
    <row r="1394" spans="1:13" x14ac:dyDescent="0.35">
      <c r="A1394">
        <v>251230</v>
      </c>
      <c r="B1394">
        <v>11924</v>
      </c>
      <c r="C1394" t="s">
        <v>1548</v>
      </c>
      <c r="D1394" t="s">
        <v>1390</v>
      </c>
      <c r="E1394" t="s">
        <v>1391</v>
      </c>
      <c r="F1394">
        <v>19330</v>
      </c>
      <c r="G1394">
        <v>1</v>
      </c>
      <c r="H1394" t="s">
        <v>16</v>
      </c>
      <c r="I1394" s="1">
        <v>-773700</v>
      </c>
      <c r="J1394" s="1">
        <v>-3799300</v>
      </c>
      <c r="K1394">
        <v>683</v>
      </c>
      <c r="L1394">
        <v>368</v>
      </c>
      <c r="M1394" t="s">
        <v>16</v>
      </c>
    </row>
    <row r="1395" spans="1:13" x14ac:dyDescent="0.35">
      <c r="A1395">
        <v>251240</v>
      </c>
      <c r="B1395">
        <v>11932</v>
      </c>
      <c r="C1395" t="s">
        <v>1549</v>
      </c>
      <c r="D1395" t="s">
        <v>1390</v>
      </c>
      <c r="E1395" t="s">
        <v>1437</v>
      </c>
      <c r="F1395">
        <v>12881</v>
      </c>
      <c r="G1395">
        <v>1</v>
      </c>
      <c r="H1395" t="s">
        <v>16</v>
      </c>
      <c r="I1395" s="1">
        <v>-716100</v>
      </c>
      <c r="J1395" s="1">
        <v>-3596100</v>
      </c>
      <c r="K1395">
        <v>657</v>
      </c>
      <c r="L1395">
        <v>73</v>
      </c>
      <c r="M1395" t="s">
        <v>16</v>
      </c>
    </row>
    <row r="1396" spans="1:13" x14ac:dyDescent="0.35">
      <c r="A1396">
        <v>251250</v>
      </c>
      <c r="B1396">
        <v>11940</v>
      </c>
      <c r="C1396" t="s">
        <v>1550</v>
      </c>
      <c r="D1396" t="s">
        <v>1390</v>
      </c>
      <c r="E1396" t="s">
        <v>1437</v>
      </c>
      <c r="F1396">
        <v>38883</v>
      </c>
      <c r="G1396">
        <v>1</v>
      </c>
      <c r="H1396" t="s">
        <v>16</v>
      </c>
      <c r="I1396" s="1">
        <v>-735800</v>
      </c>
      <c r="J1396" s="1">
        <v>-3589800</v>
      </c>
      <c r="K1396">
        <v>450</v>
      </c>
      <c r="L1396">
        <v>409</v>
      </c>
      <c r="M1396" t="s">
        <v>16</v>
      </c>
    </row>
    <row r="1397" spans="1:13" x14ac:dyDescent="0.35">
      <c r="A1397">
        <v>251260</v>
      </c>
      <c r="B1397">
        <v>11959</v>
      </c>
      <c r="C1397" t="s">
        <v>1551</v>
      </c>
      <c r="D1397" t="s">
        <v>1390</v>
      </c>
      <c r="E1397" t="s">
        <v>1416</v>
      </c>
      <c r="F1397">
        <v>1433</v>
      </c>
      <c r="G1397">
        <v>1</v>
      </c>
      <c r="H1397" t="s">
        <v>16</v>
      </c>
      <c r="I1397" s="1">
        <v>-703100</v>
      </c>
      <c r="J1397" s="1">
        <v>-3714900</v>
      </c>
      <c r="K1397">
        <v>293</v>
      </c>
      <c r="L1397">
        <v>116</v>
      </c>
      <c r="M1397" t="s">
        <v>16</v>
      </c>
    </row>
    <row r="1398" spans="1:13" x14ac:dyDescent="0.35">
      <c r="A1398">
        <v>251270</v>
      </c>
      <c r="B1398">
        <v>11967</v>
      </c>
      <c r="C1398" t="s">
        <v>1552</v>
      </c>
      <c r="D1398" t="s">
        <v>1390</v>
      </c>
      <c r="E1398" t="s">
        <v>1402</v>
      </c>
      <c r="F1398">
        <v>16748</v>
      </c>
      <c r="G1398">
        <v>1</v>
      </c>
      <c r="H1398" t="s">
        <v>16</v>
      </c>
      <c r="I1398" s="1">
        <v>-690300</v>
      </c>
      <c r="J1398" s="1">
        <v>-3583400</v>
      </c>
      <c r="K1398">
        <v>593</v>
      </c>
      <c r="L1398">
        <v>178</v>
      </c>
      <c r="M1398" t="s">
        <v>16</v>
      </c>
    </row>
    <row r="1399" spans="1:13" x14ac:dyDescent="0.35">
      <c r="A1399">
        <v>251272</v>
      </c>
      <c r="B1399">
        <v>56243</v>
      </c>
      <c r="C1399" t="s">
        <v>1553</v>
      </c>
      <c r="D1399" t="s">
        <v>1390</v>
      </c>
      <c r="E1399" t="s">
        <v>1423</v>
      </c>
      <c r="F1399">
        <v>5588</v>
      </c>
      <c r="G1399">
        <v>1</v>
      </c>
      <c r="H1399" t="s">
        <v>16</v>
      </c>
      <c r="I1399" s="1">
        <v>-663300</v>
      </c>
      <c r="J1399" s="1">
        <v>-3529700</v>
      </c>
      <c r="K1399">
        <v>80</v>
      </c>
      <c r="L1399">
        <v>73</v>
      </c>
      <c r="M1399" t="s">
        <v>16</v>
      </c>
    </row>
    <row r="1400" spans="1:13" x14ac:dyDescent="0.35">
      <c r="A1400">
        <v>251274</v>
      </c>
      <c r="B1400">
        <v>56251</v>
      </c>
      <c r="C1400" t="s">
        <v>713</v>
      </c>
      <c r="D1400" t="s">
        <v>1390</v>
      </c>
      <c r="E1400" t="s">
        <v>1413</v>
      </c>
      <c r="F1400">
        <v>3405</v>
      </c>
      <c r="G1400">
        <v>1</v>
      </c>
      <c r="H1400" t="s">
        <v>16</v>
      </c>
      <c r="I1400" s="1">
        <v>-655000</v>
      </c>
      <c r="J1400" s="1">
        <v>-3564600</v>
      </c>
      <c r="K1400">
        <v>0</v>
      </c>
      <c r="L1400">
        <v>90</v>
      </c>
      <c r="M1400" t="s">
        <v>16</v>
      </c>
    </row>
    <row r="1401" spans="1:13" x14ac:dyDescent="0.35">
      <c r="A1401">
        <v>251275</v>
      </c>
      <c r="B1401">
        <v>56260</v>
      </c>
      <c r="C1401" t="s">
        <v>1554</v>
      </c>
      <c r="D1401" t="s">
        <v>1390</v>
      </c>
      <c r="E1401" t="s">
        <v>1455</v>
      </c>
      <c r="F1401">
        <v>4172</v>
      </c>
      <c r="G1401">
        <v>1</v>
      </c>
      <c r="H1401" t="s">
        <v>16</v>
      </c>
      <c r="I1401" s="1">
        <v>-724300</v>
      </c>
      <c r="J1401" s="1">
        <v>-3566600</v>
      </c>
      <c r="K1401">
        <v>0</v>
      </c>
      <c r="L1401">
        <v>38</v>
      </c>
      <c r="M1401" t="s">
        <v>16</v>
      </c>
    </row>
    <row r="1402" spans="1:13" x14ac:dyDescent="0.35">
      <c r="A1402">
        <v>251276</v>
      </c>
      <c r="B1402">
        <v>58190</v>
      </c>
      <c r="C1402" t="s">
        <v>1555</v>
      </c>
      <c r="D1402" t="s">
        <v>1390</v>
      </c>
      <c r="E1402" t="s">
        <v>1470</v>
      </c>
      <c r="F1402">
        <v>4239</v>
      </c>
      <c r="G1402">
        <v>1</v>
      </c>
      <c r="H1402" t="s">
        <v>16</v>
      </c>
      <c r="I1402" s="1">
        <v>-714200</v>
      </c>
      <c r="J1402" s="1">
        <v>-3529100</v>
      </c>
      <c r="K1402">
        <v>82</v>
      </c>
      <c r="L1402">
        <v>39</v>
      </c>
      <c r="M1402" t="s">
        <v>16</v>
      </c>
    </row>
    <row r="1403" spans="1:13" x14ac:dyDescent="0.35">
      <c r="A1403">
        <v>251278</v>
      </c>
      <c r="B1403">
        <v>58203</v>
      </c>
      <c r="C1403" t="s">
        <v>1556</v>
      </c>
      <c r="D1403" t="s">
        <v>1390</v>
      </c>
      <c r="E1403" t="s">
        <v>1400</v>
      </c>
      <c r="F1403">
        <v>1524</v>
      </c>
      <c r="G1403">
        <v>1</v>
      </c>
      <c r="H1403" t="s">
        <v>16</v>
      </c>
      <c r="I1403" s="1">
        <v>-769300</v>
      </c>
      <c r="J1403" s="1">
        <v>-3615700</v>
      </c>
      <c r="K1403">
        <v>440</v>
      </c>
      <c r="L1403">
        <v>91</v>
      </c>
      <c r="M1403" t="s">
        <v>16</v>
      </c>
    </row>
    <row r="1404" spans="1:13" x14ac:dyDescent="0.35">
      <c r="A1404">
        <v>251280</v>
      </c>
      <c r="B1404">
        <v>11975</v>
      </c>
      <c r="C1404" t="s">
        <v>1557</v>
      </c>
      <c r="D1404" t="s">
        <v>1390</v>
      </c>
      <c r="E1404" t="s">
        <v>1433</v>
      </c>
      <c r="F1404">
        <v>8057</v>
      </c>
      <c r="G1404">
        <v>1</v>
      </c>
      <c r="H1404" t="s">
        <v>16</v>
      </c>
      <c r="I1404" s="1">
        <v>-644300</v>
      </c>
      <c r="J1404" s="1">
        <v>-3765100</v>
      </c>
      <c r="K1404">
        <v>198</v>
      </c>
      <c r="L1404">
        <v>264</v>
      </c>
      <c r="M1404" t="s">
        <v>16</v>
      </c>
    </row>
    <row r="1405" spans="1:13" x14ac:dyDescent="0.35">
      <c r="A1405">
        <v>251290</v>
      </c>
      <c r="B1405">
        <v>11983</v>
      </c>
      <c r="C1405" t="s">
        <v>1558</v>
      </c>
      <c r="D1405" t="s">
        <v>1390</v>
      </c>
      <c r="E1405" t="s">
        <v>1423</v>
      </c>
      <c r="F1405">
        <v>23023</v>
      </c>
      <c r="G1405">
        <v>4</v>
      </c>
      <c r="H1405" t="s">
        <v>1431</v>
      </c>
      <c r="I1405" s="1">
        <v>-680300</v>
      </c>
      <c r="J1405" s="1">
        <v>-3508100</v>
      </c>
      <c r="K1405">
        <v>11</v>
      </c>
      <c r="L1405">
        <v>466</v>
      </c>
      <c r="M1405" t="s">
        <v>16</v>
      </c>
    </row>
    <row r="1406" spans="1:13" x14ac:dyDescent="0.35">
      <c r="A1406">
        <v>251300</v>
      </c>
      <c r="B1406">
        <v>11991</v>
      </c>
      <c r="C1406" t="s">
        <v>1559</v>
      </c>
      <c r="D1406" t="s">
        <v>1390</v>
      </c>
      <c r="E1406" t="s">
        <v>1500</v>
      </c>
      <c r="F1406">
        <v>3367</v>
      </c>
      <c r="G1406">
        <v>1</v>
      </c>
      <c r="H1406" t="s">
        <v>16</v>
      </c>
      <c r="I1406" s="1">
        <v>-710300</v>
      </c>
      <c r="J1406" s="1">
        <v>-3684500</v>
      </c>
      <c r="K1406">
        <v>420</v>
      </c>
      <c r="L1406">
        <v>184</v>
      </c>
      <c r="M1406" t="s">
        <v>16</v>
      </c>
    </row>
    <row r="1407" spans="1:13" x14ac:dyDescent="0.35">
      <c r="A1407">
        <v>251310</v>
      </c>
      <c r="B1407">
        <v>12009</v>
      </c>
      <c r="C1407" t="s">
        <v>1560</v>
      </c>
      <c r="D1407" t="s">
        <v>1390</v>
      </c>
      <c r="E1407" t="s">
        <v>1455</v>
      </c>
      <c r="F1407">
        <v>12526</v>
      </c>
      <c r="G1407">
        <v>1</v>
      </c>
      <c r="H1407" t="s">
        <v>16</v>
      </c>
      <c r="I1407" s="1">
        <v>-735700</v>
      </c>
      <c r="J1407" s="1">
        <v>-3544100</v>
      </c>
      <c r="K1407">
        <v>58</v>
      </c>
      <c r="L1407">
        <v>196</v>
      </c>
      <c r="M1407" t="s">
        <v>16</v>
      </c>
    </row>
    <row r="1408" spans="1:13" x14ac:dyDescent="0.35">
      <c r="A1408">
        <v>251315</v>
      </c>
      <c r="B1408">
        <v>58211</v>
      </c>
      <c r="C1408" t="s">
        <v>1561</v>
      </c>
      <c r="D1408" t="s">
        <v>1390</v>
      </c>
      <c r="E1408" t="s">
        <v>1420</v>
      </c>
      <c r="F1408">
        <v>7016</v>
      </c>
      <c r="G1408">
        <v>1</v>
      </c>
      <c r="H1408" t="s">
        <v>16</v>
      </c>
      <c r="I1408" s="1">
        <v>-773900</v>
      </c>
      <c r="J1408" s="1">
        <v>-3587900</v>
      </c>
      <c r="K1408">
        <v>0</v>
      </c>
      <c r="L1408">
        <v>227</v>
      </c>
      <c r="M1408" t="s">
        <v>16</v>
      </c>
    </row>
    <row r="1409" spans="1:13" x14ac:dyDescent="0.35">
      <c r="A1409">
        <v>251320</v>
      </c>
      <c r="B1409">
        <v>12017</v>
      </c>
      <c r="C1409" t="s">
        <v>1348</v>
      </c>
      <c r="D1409" t="s">
        <v>1390</v>
      </c>
      <c r="E1409" t="s">
        <v>1409</v>
      </c>
      <c r="F1409">
        <v>6480</v>
      </c>
      <c r="G1409">
        <v>1</v>
      </c>
      <c r="H1409" t="s">
        <v>16</v>
      </c>
      <c r="I1409" s="1">
        <v>-653300</v>
      </c>
      <c r="J1409" s="1">
        <v>-3806200</v>
      </c>
      <c r="K1409">
        <v>314</v>
      </c>
      <c r="L1409">
        <v>210</v>
      </c>
      <c r="M1409" t="s">
        <v>16</v>
      </c>
    </row>
    <row r="1410" spans="1:13" x14ac:dyDescent="0.35">
      <c r="A1410">
        <v>251330</v>
      </c>
      <c r="B1410">
        <v>12025</v>
      </c>
      <c r="C1410" t="s">
        <v>718</v>
      </c>
      <c r="D1410" t="s">
        <v>1390</v>
      </c>
      <c r="E1410" t="s">
        <v>1405</v>
      </c>
      <c r="F1410">
        <v>6028</v>
      </c>
      <c r="G1410">
        <v>1</v>
      </c>
      <c r="H1410" t="s">
        <v>16</v>
      </c>
      <c r="I1410" s="1">
        <v>-672000</v>
      </c>
      <c r="J1410" s="1">
        <v>-3863800</v>
      </c>
      <c r="K1410">
        <v>287</v>
      </c>
      <c r="L1410">
        <v>210</v>
      </c>
      <c r="M1410" t="s">
        <v>16</v>
      </c>
    </row>
    <row r="1411" spans="1:13" x14ac:dyDescent="0.35">
      <c r="A1411">
        <v>251335</v>
      </c>
      <c r="B1411">
        <v>56278</v>
      </c>
      <c r="C1411" t="s">
        <v>719</v>
      </c>
      <c r="D1411" t="s">
        <v>1390</v>
      </c>
      <c r="E1411" t="s">
        <v>1436</v>
      </c>
      <c r="F1411">
        <v>3707</v>
      </c>
      <c r="G1411">
        <v>1</v>
      </c>
      <c r="H1411" t="s">
        <v>16</v>
      </c>
      <c r="I1411" s="1">
        <v>-762100</v>
      </c>
      <c r="J1411" s="1">
        <v>-3855400</v>
      </c>
      <c r="K1411">
        <v>0</v>
      </c>
      <c r="L1411">
        <v>324</v>
      </c>
      <c r="M1411" t="s">
        <v>16</v>
      </c>
    </row>
    <row r="1412" spans="1:13" x14ac:dyDescent="0.35">
      <c r="A1412">
        <v>251340</v>
      </c>
      <c r="B1412">
        <v>12033</v>
      </c>
      <c r="C1412" t="s">
        <v>720</v>
      </c>
      <c r="D1412" t="s">
        <v>1390</v>
      </c>
      <c r="E1412" t="s">
        <v>1500</v>
      </c>
      <c r="F1412">
        <v>14292</v>
      </c>
      <c r="G1412">
        <v>1</v>
      </c>
      <c r="H1412" t="s">
        <v>16</v>
      </c>
      <c r="I1412" s="1">
        <v>-687200</v>
      </c>
      <c r="J1412" s="1">
        <v>-3691900</v>
      </c>
      <c r="K1412">
        <v>299</v>
      </c>
      <c r="L1412">
        <v>455</v>
      </c>
      <c r="M1412" t="s">
        <v>16</v>
      </c>
    </row>
    <row r="1413" spans="1:13" x14ac:dyDescent="0.35">
      <c r="A1413">
        <v>251350</v>
      </c>
      <c r="B1413">
        <v>12041</v>
      </c>
      <c r="C1413" t="s">
        <v>1562</v>
      </c>
      <c r="D1413" t="s">
        <v>1390</v>
      </c>
      <c r="E1413" t="s">
        <v>1436</v>
      </c>
      <c r="F1413">
        <v>5609</v>
      </c>
      <c r="G1413">
        <v>1</v>
      </c>
      <c r="H1413" t="s">
        <v>16</v>
      </c>
      <c r="I1413" s="1">
        <v>-755500</v>
      </c>
      <c r="J1413" s="1">
        <v>-3833200</v>
      </c>
      <c r="K1413">
        <v>350</v>
      </c>
      <c r="L1413">
        <v>402</v>
      </c>
      <c r="M1413" t="s">
        <v>16</v>
      </c>
    </row>
    <row r="1414" spans="1:13" x14ac:dyDescent="0.35">
      <c r="A1414">
        <v>251360</v>
      </c>
      <c r="B1414">
        <v>12050</v>
      </c>
      <c r="C1414" t="s">
        <v>1563</v>
      </c>
      <c r="D1414" t="s">
        <v>1390</v>
      </c>
      <c r="E1414" t="s">
        <v>1393</v>
      </c>
      <c r="F1414">
        <v>7610</v>
      </c>
      <c r="G1414">
        <v>1</v>
      </c>
      <c r="H1414" t="s">
        <v>16</v>
      </c>
      <c r="I1414" s="1">
        <v>-738400</v>
      </c>
      <c r="J1414" s="1">
        <v>-3798600</v>
      </c>
      <c r="K1414">
        <v>322</v>
      </c>
      <c r="L1414">
        <v>353</v>
      </c>
      <c r="M1414" t="s">
        <v>16</v>
      </c>
    </row>
    <row r="1415" spans="1:13" x14ac:dyDescent="0.35">
      <c r="A1415">
        <v>251365</v>
      </c>
      <c r="B1415">
        <v>58220</v>
      </c>
      <c r="C1415" t="s">
        <v>332</v>
      </c>
      <c r="D1415" t="s">
        <v>1390</v>
      </c>
      <c r="E1415" t="s">
        <v>1405</v>
      </c>
      <c r="F1415">
        <v>2660</v>
      </c>
      <c r="G1415">
        <v>1</v>
      </c>
      <c r="H1415" t="s">
        <v>16</v>
      </c>
      <c r="I1415" s="1">
        <v>-649000</v>
      </c>
      <c r="J1415" s="1">
        <v>-3847600</v>
      </c>
      <c r="K1415">
        <v>345</v>
      </c>
      <c r="L1415">
        <v>74</v>
      </c>
      <c r="M1415" t="s">
        <v>16</v>
      </c>
    </row>
    <row r="1416" spans="1:13" x14ac:dyDescent="0.35">
      <c r="A1416">
        <v>251370</v>
      </c>
      <c r="B1416">
        <v>12068</v>
      </c>
      <c r="C1416" t="s">
        <v>723</v>
      </c>
      <c r="D1416" t="s">
        <v>1390</v>
      </c>
      <c r="E1416" t="s">
        <v>1430</v>
      </c>
      <c r="F1416">
        <v>122454</v>
      </c>
      <c r="G1416">
        <v>4</v>
      </c>
      <c r="H1416" t="s">
        <v>1431</v>
      </c>
      <c r="I1416" s="1">
        <v>-711400</v>
      </c>
      <c r="J1416" s="1">
        <v>-3497800</v>
      </c>
      <c r="K1416">
        <v>16</v>
      </c>
      <c r="L1416">
        <v>726</v>
      </c>
      <c r="M1416" t="s">
        <v>16</v>
      </c>
    </row>
    <row r="1417" spans="1:13" x14ac:dyDescent="0.35">
      <c r="A1417">
        <v>251380</v>
      </c>
      <c r="B1417">
        <v>12076</v>
      </c>
      <c r="C1417" t="s">
        <v>1564</v>
      </c>
      <c r="D1417" t="s">
        <v>1390</v>
      </c>
      <c r="E1417" t="s">
        <v>1416</v>
      </c>
      <c r="F1417">
        <v>4644</v>
      </c>
      <c r="G1417">
        <v>1</v>
      </c>
      <c r="H1417" t="s">
        <v>16</v>
      </c>
      <c r="I1417" s="1">
        <v>-711600</v>
      </c>
      <c r="J1417" s="1">
        <v>-3745200</v>
      </c>
      <c r="K1417">
        <v>306</v>
      </c>
      <c r="L1417">
        <v>357</v>
      </c>
      <c r="M1417" t="s">
        <v>16</v>
      </c>
    </row>
    <row r="1418" spans="1:13" x14ac:dyDescent="0.35">
      <c r="A1418">
        <v>251385</v>
      </c>
      <c r="B1418">
        <v>58238</v>
      </c>
      <c r="C1418" t="s">
        <v>1565</v>
      </c>
      <c r="D1418" t="s">
        <v>1390</v>
      </c>
      <c r="E1418" t="s">
        <v>1400</v>
      </c>
      <c r="F1418">
        <v>2641</v>
      </c>
      <c r="G1418">
        <v>1</v>
      </c>
      <c r="H1418" t="s">
        <v>16</v>
      </c>
      <c r="I1418" s="1">
        <v>-721800</v>
      </c>
      <c r="J1418" s="1">
        <v>-3663300</v>
      </c>
      <c r="K1418">
        <v>523</v>
      </c>
      <c r="L1418">
        <v>225</v>
      </c>
      <c r="M1418" t="s">
        <v>16</v>
      </c>
    </row>
    <row r="1419" spans="1:13" x14ac:dyDescent="0.35">
      <c r="A1419">
        <v>251390</v>
      </c>
      <c r="B1419">
        <v>12084</v>
      </c>
      <c r="C1419" t="s">
        <v>728</v>
      </c>
      <c r="D1419" t="s">
        <v>1390</v>
      </c>
      <c r="E1419" t="s">
        <v>1433</v>
      </c>
      <c r="F1419">
        <v>29196</v>
      </c>
      <c r="G1419">
        <v>1</v>
      </c>
      <c r="H1419" t="s">
        <v>16</v>
      </c>
      <c r="I1419" s="1">
        <v>-648600</v>
      </c>
      <c r="J1419" s="1">
        <v>-3745100</v>
      </c>
      <c r="K1419">
        <v>141</v>
      </c>
      <c r="L1419">
        <v>248</v>
      </c>
      <c r="M1419" t="s">
        <v>16</v>
      </c>
    </row>
    <row r="1420" spans="1:13" x14ac:dyDescent="0.35">
      <c r="A1420">
        <v>251392</v>
      </c>
      <c r="B1420">
        <v>56286</v>
      </c>
      <c r="C1420" t="s">
        <v>1566</v>
      </c>
      <c r="D1420" t="s">
        <v>1390</v>
      </c>
      <c r="E1420" t="s">
        <v>1409</v>
      </c>
      <c r="F1420">
        <v>4049</v>
      </c>
      <c r="G1420">
        <v>1</v>
      </c>
      <c r="H1420" t="s">
        <v>16</v>
      </c>
      <c r="I1420" s="1">
        <v>-690100</v>
      </c>
      <c r="J1420" s="1">
        <v>-3772900</v>
      </c>
      <c r="K1420">
        <v>251</v>
      </c>
      <c r="L1420">
        <v>195</v>
      </c>
      <c r="M1420" t="s">
        <v>16</v>
      </c>
    </row>
    <row r="1421" spans="1:13" x14ac:dyDescent="0.35">
      <c r="A1421">
        <v>251394</v>
      </c>
      <c r="B1421">
        <v>58246</v>
      </c>
      <c r="C1421" t="s">
        <v>1567</v>
      </c>
      <c r="D1421" t="s">
        <v>1390</v>
      </c>
      <c r="E1421" t="s">
        <v>1400</v>
      </c>
      <c r="F1421">
        <v>2265</v>
      </c>
      <c r="G1421">
        <v>1</v>
      </c>
      <c r="H1421" t="s">
        <v>16</v>
      </c>
      <c r="I1421" s="1">
        <v>-763600</v>
      </c>
      <c r="J1421" s="1">
        <v>-3643300</v>
      </c>
      <c r="K1421">
        <v>400</v>
      </c>
      <c r="L1421">
        <v>222</v>
      </c>
      <c r="M1421" t="s">
        <v>16</v>
      </c>
    </row>
    <row r="1422" spans="1:13" x14ac:dyDescent="0.35">
      <c r="A1422">
        <v>251396</v>
      </c>
      <c r="B1422">
        <v>56294</v>
      </c>
      <c r="C1422" t="s">
        <v>1568</v>
      </c>
      <c r="D1422" t="s">
        <v>1390</v>
      </c>
      <c r="E1422" t="s">
        <v>1409</v>
      </c>
      <c r="F1422">
        <v>2719</v>
      </c>
      <c r="G1422">
        <v>1</v>
      </c>
      <c r="H1422" t="s">
        <v>16</v>
      </c>
      <c r="I1422" s="1">
        <v>-681400</v>
      </c>
      <c r="J1422" s="1">
        <v>-3794200</v>
      </c>
      <c r="K1422">
        <v>190</v>
      </c>
      <c r="L1422">
        <v>169</v>
      </c>
      <c r="M1422" t="s">
        <v>16</v>
      </c>
    </row>
    <row r="1423" spans="1:13" x14ac:dyDescent="0.35">
      <c r="A1423">
        <v>251398</v>
      </c>
      <c r="B1423">
        <v>58254</v>
      </c>
      <c r="C1423" t="s">
        <v>1569</v>
      </c>
      <c r="D1423" t="s">
        <v>1390</v>
      </c>
      <c r="E1423" t="s">
        <v>1409</v>
      </c>
      <c r="F1423">
        <v>3442</v>
      </c>
      <c r="G1423">
        <v>1</v>
      </c>
      <c r="H1423" t="s">
        <v>16</v>
      </c>
      <c r="I1423" s="1">
        <v>-661900</v>
      </c>
      <c r="J1423" s="1">
        <v>-3809400</v>
      </c>
      <c r="K1423">
        <v>285</v>
      </c>
      <c r="L1423">
        <v>95</v>
      </c>
      <c r="M1423" t="s">
        <v>16</v>
      </c>
    </row>
    <row r="1424" spans="1:13" x14ac:dyDescent="0.35">
      <c r="A1424">
        <v>251400</v>
      </c>
      <c r="B1424">
        <v>12092</v>
      </c>
      <c r="C1424" t="s">
        <v>1570</v>
      </c>
      <c r="D1424" t="s">
        <v>1390</v>
      </c>
      <c r="E1424" t="s">
        <v>1400</v>
      </c>
      <c r="F1424">
        <v>4438</v>
      </c>
      <c r="G1424">
        <v>1</v>
      </c>
      <c r="H1424" t="s">
        <v>16</v>
      </c>
      <c r="I1424" s="1">
        <v>-739100</v>
      </c>
      <c r="J1424" s="1">
        <v>-3653300</v>
      </c>
      <c r="K1424">
        <v>458</v>
      </c>
      <c r="L1424">
        <v>701</v>
      </c>
      <c r="M1424" t="s">
        <v>16</v>
      </c>
    </row>
    <row r="1425" spans="1:13" x14ac:dyDescent="0.35">
      <c r="A1425">
        <v>251410</v>
      </c>
      <c r="B1425">
        <v>12106</v>
      </c>
      <c r="C1425" t="s">
        <v>1571</v>
      </c>
      <c r="D1425" t="s">
        <v>1390</v>
      </c>
      <c r="E1425" t="s">
        <v>1407</v>
      </c>
      <c r="F1425">
        <v>4578</v>
      </c>
      <c r="G1425">
        <v>1</v>
      </c>
      <c r="H1425" t="s">
        <v>16</v>
      </c>
      <c r="I1425" s="1">
        <v>-807900</v>
      </c>
      <c r="J1425" s="1">
        <v>-3684800</v>
      </c>
      <c r="K1425">
        <v>577</v>
      </c>
      <c r="L1425">
        <v>816</v>
      </c>
      <c r="M1425" t="s">
        <v>16</v>
      </c>
    </row>
    <row r="1426" spans="1:13" x14ac:dyDescent="0.35">
      <c r="A1426">
        <v>251420</v>
      </c>
      <c r="B1426">
        <v>12114</v>
      </c>
      <c r="C1426" t="s">
        <v>1572</v>
      </c>
      <c r="D1426" t="s">
        <v>1390</v>
      </c>
      <c r="E1426" t="s">
        <v>1409</v>
      </c>
      <c r="F1426">
        <v>7810</v>
      </c>
      <c r="G1426">
        <v>1</v>
      </c>
      <c r="H1426" t="s">
        <v>16</v>
      </c>
      <c r="I1426" s="1">
        <v>-694100</v>
      </c>
      <c r="J1426" s="1">
        <v>-3816200</v>
      </c>
      <c r="K1426">
        <v>257</v>
      </c>
      <c r="L1426">
        <v>304</v>
      </c>
      <c r="M1426" t="s">
        <v>16</v>
      </c>
    </row>
    <row r="1427" spans="1:13" x14ac:dyDescent="0.35">
      <c r="A1427">
        <v>251430</v>
      </c>
      <c r="B1427">
        <v>12122</v>
      </c>
      <c r="C1427" t="s">
        <v>1573</v>
      </c>
      <c r="D1427" t="s">
        <v>1390</v>
      </c>
      <c r="E1427" t="s">
        <v>1436</v>
      </c>
      <c r="F1427">
        <v>5942</v>
      </c>
      <c r="G1427">
        <v>1</v>
      </c>
      <c r="H1427" t="s">
        <v>16</v>
      </c>
      <c r="I1427" s="1">
        <v>-724900</v>
      </c>
      <c r="J1427" s="1">
        <v>-3830100</v>
      </c>
      <c r="K1427">
        <v>610</v>
      </c>
      <c r="L1427">
        <v>176</v>
      </c>
      <c r="M1427" t="s">
        <v>16</v>
      </c>
    </row>
    <row r="1428" spans="1:13" x14ac:dyDescent="0.35">
      <c r="A1428">
        <v>251440</v>
      </c>
      <c r="B1428">
        <v>12130</v>
      </c>
      <c r="C1428" t="s">
        <v>1574</v>
      </c>
      <c r="D1428" t="s">
        <v>1390</v>
      </c>
      <c r="E1428" t="s">
        <v>1416</v>
      </c>
      <c r="F1428">
        <v>4913</v>
      </c>
      <c r="G1428">
        <v>1</v>
      </c>
      <c r="H1428" t="s">
        <v>16</v>
      </c>
      <c r="I1428" s="1">
        <v>-684700</v>
      </c>
      <c r="J1428" s="1">
        <v>-3732600</v>
      </c>
      <c r="K1428">
        <v>208</v>
      </c>
      <c r="L1428">
        <v>725</v>
      </c>
      <c r="M1428" t="s">
        <v>16</v>
      </c>
    </row>
    <row r="1429" spans="1:13" x14ac:dyDescent="0.35">
      <c r="A1429">
        <v>251445</v>
      </c>
      <c r="B1429">
        <v>56308</v>
      </c>
      <c r="C1429" t="s">
        <v>1575</v>
      </c>
      <c r="D1429" t="s">
        <v>1390</v>
      </c>
      <c r="E1429" t="s">
        <v>1470</v>
      </c>
      <c r="F1429">
        <v>5482</v>
      </c>
      <c r="G1429">
        <v>1</v>
      </c>
      <c r="H1429" t="s">
        <v>16</v>
      </c>
      <c r="I1429" s="1">
        <v>-725100</v>
      </c>
      <c r="J1429" s="1">
        <v>-3538400</v>
      </c>
      <c r="K1429">
        <v>140</v>
      </c>
      <c r="L1429">
        <v>98</v>
      </c>
      <c r="M1429" t="s">
        <v>16</v>
      </c>
    </row>
    <row r="1430" spans="1:13" x14ac:dyDescent="0.35">
      <c r="A1430">
        <v>251450</v>
      </c>
      <c r="B1430">
        <v>12149</v>
      </c>
      <c r="C1430" t="s">
        <v>1576</v>
      </c>
      <c r="D1430" t="s">
        <v>1390</v>
      </c>
      <c r="E1430" t="s">
        <v>1405</v>
      </c>
      <c r="F1430">
        <v>18898</v>
      </c>
      <c r="G1430">
        <v>1</v>
      </c>
      <c r="H1430" t="s">
        <v>16</v>
      </c>
      <c r="I1430" s="1">
        <v>-712100</v>
      </c>
      <c r="J1430" s="1">
        <v>-3850200</v>
      </c>
      <c r="K1430">
        <v>342</v>
      </c>
      <c r="L1430">
        <v>677</v>
      </c>
      <c r="M1430" t="s">
        <v>16</v>
      </c>
    </row>
    <row r="1431" spans="1:13" x14ac:dyDescent="0.35">
      <c r="A1431">
        <v>251455</v>
      </c>
      <c r="B1431">
        <v>58262</v>
      </c>
      <c r="C1431" t="s">
        <v>1577</v>
      </c>
      <c r="D1431" t="s">
        <v>1390</v>
      </c>
      <c r="E1431" t="s">
        <v>1391</v>
      </c>
      <c r="F1431">
        <v>4644</v>
      </c>
      <c r="G1431">
        <v>1</v>
      </c>
      <c r="H1431" t="s">
        <v>16</v>
      </c>
      <c r="I1431" s="1">
        <v>-773800</v>
      </c>
      <c r="J1431" s="1">
        <v>-3809400</v>
      </c>
      <c r="K1431">
        <v>720</v>
      </c>
      <c r="L1431">
        <v>158</v>
      </c>
      <c r="M1431" t="s">
        <v>16</v>
      </c>
    </row>
    <row r="1432" spans="1:13" x14ac:dyDescent="0.35">
      <c r="A1432">
        <v>251460</v>
      </c>
      <c r="B1432">
        <v>12157</v>
      </c>
      <c r="C1432" t="s">
        <v>1578</v>
      </c>
      <c r="D1432" t="s">
        <v>1390</v>
      </c>
      <c r="E1432" t="s">
        <v>1416</v>
      </c>
      <c r="F1432">
        <v>3180</v>
      </c>
      <c r="G1432">
        <v>1</v>
      </c>
      <c r="H1432" t="s">
        <v>16</v>
      </c>
      <c r="I1432" s="1">
        <v>-716300</v>
      </c>
      <c r="J1432" s="1">
        <v>-3730900</v>
      </c>
      <c r="K1432">
        <v>278</v>
      </c>
      <c r="L1432">
        <v>152</v>
      </c>
      <c r="M1432" t="s">
        <v>16</v>
      </c>
    </row>
    <row r="1433" spans="1:13" x14ac:dyDescent="0.35">
      <c r="A1433">
        <v>251465</v>
      </c>
      <c r="B1433">
        <v>58270</v>
      </c>
      <c r="C1433" t="s">
        <v>1579</v>
      </c>
      <c r="D1433" t="s">
        <v>1390</v>
      </c>
      <c r="E1433" t="s">
        <v>1433</v>
      </c>
      <c r="F1433">
        <v>1647</v>
      </c>
      <c r="G1433">
        <v>1</v>
      </c>
      <c r="H1433" t="s">
        <v>16</v>
      </c>
      <c r="I1433" s="1">
        <v>-621300</v>
      </c>
      <c r="J1433" s="1">
        <v>-3735200</v>
      </c>
      <c r="K1433">
        <v>147</v>
      </c>
      <c r="L1433">
        <v>253</v>
      </c>
      <c r="M1433" t="s">
        <v>16</v>
      </c>
    </row>
    <row r="1434" spans="1:13" x14ac:dyDescent="0.35">
      <c r="A1434">
        <v>251470</v>
      </c>
      <c r="B1434">
        <v>12165</v>
      </c>
      <c r="C1434" t="s">
        <v>1580</v>
      </c>
      <c r="D1434" t="s">
        <v>1390</v>
      </c>
      <c r="E1434" t="s">
        <v>1500</v>
      </c>
      <c r="F1434">
        <v>3986</v>
      </c>
      <c r="G1434">
        <v>1</v>
      </c>
      <c r="H1434" t="s">
        <v>16</v>
      </c>
      <c r="I1434" s="1">
        <v>-677600</v>
      </c>
      <c r="J1434" s="1">
        <v>-3679900</v>
      </c>
      <c r="K1434">
        <v>333</v>
      </c>
      <c r="L1434">
        <v>206</v>
      </c>
      <c r="M1434" t="s">
        <v>16</v>
      </c>
    </row>
    <row r="1435" spans="1:13" x14ac:dyDescent="0.35">
      <c r="A1435">
        <v>251480</v>
      </c>
      <c r="B1435">
        <v>12173</v>
      </c>
      <c r="C1435" t="s">
        <v>1581</v>
      </c>
      <c r="D1435" t="s">
        <v>1390</v>
      </c>
      <c r="E1435" t="s">
        <v>1407</v>
      </c>
      <c r="F1435">
        <v>3973</v>
      </c>
      <c r="G1435">
        <v>1</v>
      </c>
      <c r="H1435" t="s">
        <v>16</v>
      </c>
      <c r="I1435" s="1">
        <v>-739100</v>
      </c>
      <c r="J1435" s="1">
        <v>-3680800</v>
      </c>
      <c r="K1435">
        <v>527</v>
      </c>
      <c r="L1435">
        <v>417</v>
      </c>
      <c r="M1435" t="s">
        <v>16</v>
      </c>
    </row>
    <row r="1436" spans="1:13" x14ac:dyDescent="0.35">
      <c r="A1436">
        <v>251490</v>
      </c>
      <c r="B1436">
        <v>12181</v>
      </c>
      <c r="C1436" t="s">
        <v>1582</v>
      </c>
      <c r="D1436" t="s">
        <v>1390</v>
      </c>
      <c r="E1436" t="s">
        <v>1500</v>
      </c>
      <c r="F1436">
        <v>7782</v>
      </c>
      <c r="G1436">
        <v>1</v>
      </c>
      <c r="H1436" t="s">
        <v>16</v>
      </c>
      <c r="I1436" s="1">
        <v>-692700</v>
      </c>
      <c r="J1436" s="1">
        <v>-3709600</v>
      </c>
      <c r="K1436">
        <v>263</v>
      </c>
      <c r="L1436">
        <v>530</v>
      </c>
      <c r="M1436" t="s">
        <v>16</v>
      </c>
    </row>
    <row r="1437" spans="1:13" x14ac:dyDescent="0.35">
      <c r="A1437">
        <v>251500</v>
      </c>
      <c r="B1437">
        <v>12190</v>
      </c>
      <c r="C1437" t="s">
        <v>1583</v>
      </c>
      <c r="D1437" t="s">
        <v>1390</v>
      </c>
      <c r="E1437" t="s">
        <v>1470</v>
      </c>
      <c r="F1437">
        <v>6568</v>
      </c>
      <c r="G1437">
        <v>1</v>
      </c>
      <c r="H1437" t="s">
        <v>16</v>
      </c>
      <c r="I1437" s="1">
        <v>-725000</v>
      </c>
      <c r="J1437" s="1">
        <v>-3521000</v>
      </c>
      <c r="K1437">
        <v>45</v>
      </c>
      <c r="L1437">
        <v>92</v>
      </c>
      <c r="M1437" t="s">
        <v>16</v>
      </c>
    </row>
    <row r="1438" spans="1:13" x14ac:dyDescent="0.35">
      <c r="A1438">
        <v>251510</v>
      </c>
      <c r="B1438">
        <v>12203</v>
      </c>
      <c r="C1438" t="s">
        <v>1584</v>
      </c>
      <c r="D1438" t="s">
        <v>1390</v>
      </c>
      <c r="E1438" t="s">
        <v>1418</v>
      </c>
      <c r="F1438">
        <v>10908</v>
      </c>
      <c r="G1438">
        <v>1</v>
      </c>
      <c r="H1438" t="s">
        <v>16</v>
      </c>
      <c r="I1438" s="1">
        <v>-708300</v>
      </c>
      <c r="J1438" s="1">
        <v>-3583500</v>
      </c>
      <c r="K1438">
        <v>641</v>
      </c>
      <c r="L1438">
        <v>49</v>
      </c>
      <c r="M1438" t="s">
        <v>16</v>
      </c>
    </row>
    <row r="1439" spans="1:13" x14ac:dyDescent="0.35">
      <c r="A1439">
        <v>251520</v>
      </c>
      <c r="B1439">
        <v>12211</v>
      </c>
      <c r="C1439" t="s">
        <v>1585</v>
      </c>
      <c r="D1439" t="s">
        <v>1390</v>
      </c>
      <c r="E1439" t="s">
        <v>1407</v>
      </c>
      <c r="F1439">
        <v>3061</v>
      </c>
      <c r="G1439">
        <v>1</v>
      </c>
      <c r="H1439" t="s">
        <v>16</v>
      </c>
      <c r="I1439" s="1">
        <v>-815200</v>
      </c>
      <c r="J1439" s="1">
        <v>-3701000</v>
      </c>
      <c r="K1439">
        <v>594</v>
      </c>
      <c r="L1439">
        <v>460</v>
      </c>
      <c r="M1439" t="s">
        <v>16</v>
      </c>
    </row>
    <row r="1440" spans="1:13" x14ac:dyDescent="0.35">
      <c r="A1440">
        <v>251530</v>
      </c>
      <c r="B1440">
        <v>12220</v>
      </c>
      <c r="C1440" t="s">
        <v>1586</v>
      </c>
      <c r="D1440" t="s">
        <v>1390</v>
      </c>
      <c r="E1440" t="s">
        <v>1470</v>
      </c>
      <c r="F1440">
        <v>46363</v>
      </c>
      <c r="G1440">
        <v>1</v>
      </c>
      <c r="H1440" t="s">
        <v>16</v>
      </c>
      <c r="I1440" s="1">
        <v>-709500</v>
      </c>
      <c r="J1440" s="1">
        <v>-3523300</v>
      </c>
      <c r="K1440">
        <v>123</v>
      </c>
      <c r="L1440">
        <v>316</v>
      </c>
      <c r="M1440" t="s">
        <v>16</v>
      </c>
    </row>
    <row r="1441" spans="1:13" x14ac:dyDescent="0.35">
      <c r="A1441">
        <v>251540</v>
      </c>
      <c r="B1441">
        <v>12238</v>
      </c>
      <c r="C1441" t="s">
        <v>1587</v>
      </c>
      <c r="D1441" t="s">
        <v>1390</v>
      </c>
      <c r="E1441" t="s">
        <v>1425</v>
      </c>
      <c r="F1441">
        <v>9737</v>
      </c>
      <c r="G1441">
        <v>1</v>
      </c>
      <c r="H1441" t="s">
        <v>16</v>
      </c>
      <c r="I1441" s="1">
        <v>-693400</v>
      </c>
      <c r="J1441" s="1">
        <v>-3640200</v>
      </c>
      <c r="K1441">
        <v>631</v>
      </c>
      <c r="L1441">
        <v>276</v>
      </c>
      <c r="M1441" t="s">
        <v>16</v>
      </c>
    </row>
    <row r="1442" spans="1:13" x14ac:dyDescent="0.35">
      <c r="A1442">
        <v>251550</v>
      </c>
      <c r="B1442">
        <v>12246</v>
      </c>
      <c r="C1442" t="s">
        <v>1588</v>
      </c>
      <c r="D1442" t="s">
        <v>1390</v>
      </c>
      <c r="E1442" t="s">
        <v>1407</v>
      </c>
      <c r="F1442">
        <v>12413</v>
      </c>
      <c r="G1442">
        <v>1</v>
      </c>
      <c r="H1442" t="s">
        <v>16</v>
      </c>
      <c r="I1442" s="1">
        <v>-748300</v>
      </c>
      <c r="J1442" s="1">
        <v>-3666500</v>
      </c>
      <c r="K1442">
        <v>493</v>
      </c>
      <c r="L1442">
        <v>737</v>
      </c>
      <c r="M1442" t="s">
        <v>16</v>
      </c>
    </row>
    <row r="1443" spans="1:13" x14ac:dyDescent="0.35">
      <c r="A1443">
        <v>251560</v>
      </c>
      <c r="B1443">
        <v>12254</v>
      </c>
      <c r="C1443" t="s">
        <v>1589</v>
      </c>
      <c r="D1443" t="s">
        <v>1390</v>
      </c>
      <c r="E1443" t="s">
        <v>1398</v>
      </c>
      <c r="F1443">
        <v>3130</v>
      </c>
      <c r="G1443">
        <v>1</v>
      </c>
      <c r="H1443" t="s">
        <v>16</v>
      </c>
      <c r="I1443" s="1">
        <v>-668700</v>
      </c>
      <c r="J1443" s="1">
        <v>-3544400</v>
      </c>
      <c r="K1443">
        <v>331</v>
      </c>
      <c r="L1443">
        <v>28</v>
      </c>
      <c r="M1443" t="s">
        <v>16</v>
      </c>
    </row>
    <row r="1444" spans="1:13" x14ac:dyDescent="0.35">
      <c r="A1444">
        <v>251570</v>
      </c>
      <c r="B1444">
        <v>12262</v>
      </c>
      <c r="C1444" t="s">
        <v>1590</v>
      </c>
      <c r="D1444" t="s">
        <v>1390</v>
      </c>
      <c r="E1444" t="s">
        <v>1436</v>
      </c>
      <c r="F1444">
        <v>3038</v>
      </c>
      <c r="G1444">
        <v>1</v>
      </c>
      <c r="H1444" t="s">
        <v>16</v>
      </c>
      <c r="I1444" s="1">
        <v>-721500</v>
      </c>
      <c r="J1444" s="1">
        <v>-3837000</v>
      </c>
      <c r="K1444">
        <v>593</v>
      </c>
      <c r="L1444">
        <v>83</v>
      </c>
      <c r="M1444" t="s">
        <v>16</v>
      </c>
    </row>
    <row r="1445" spans="1:13" x14ac:dyDescent="0.35">
      <c r="A1445">
        <v>251580</v>
      </c>
      <c r="B1445">
        <v>12270</v>
      </c>
      <c r="C1445" t="s">
        <v>1591</v>
      </c>
      <c r="D1445" t="s">
        <v>1390</v>
      </c>
      <c r="E1445" t="s">
        <v>1437</v>
      </c>
      <c r="F1445">
        <v>7651</v>
      </c>
      <c r="G1445">
        <v>1</v>
      </c>
      <c r="H1445" t="s">
        <v>16</v>
      </c>
      <c r="I1445" s="1">
        <v>-717800</v>
      </c>
      <c r="J1445" s="1">
        <v>-3567500</v>
      </c>
      <c r="K1445">
        <v>391</v>
      </c>
      <c r="L1445">
        <v>55</v>
      </c>
      <c r="M1445" t="s">
        <v>16</v>
      </c>
    </row>
    <row r="1446" spans="1:13" x14ac:dyDescent="0.35">
      <c r="A1446">
        <v>251590</v>
      </c>
      <c r="B1446">
        <v>12289</v>
      </c>
      <c r="C1446" t="s">
        <v>1592</v>
      </c>
      <c r="D1446" t="s">
        <v>1390</v>
      </c>
      <c r="E1446" t="s">
        <v>1395</v>
      </c>
      <c r="F1446">
        <v>6602</v>
      </c>
      <c r="G1446">
        <v>1</v>
      </c>
      <c r="H1446" t="s">
        <v>16</v>
      </c>
      <c r="I1446" s="1">
        <v>-682000</v>
      </c>
      <c r="J1446" s="1">
        <v>-3563300</v>
      </c>
      <c r="K1446">
        <v>533</v>
      </c>
      <c r="L1446">
        <v>75</v>
      </c>
      <c r="M1446" t="s">
        <v>16</v>
      </c>
    </row>
    <row r="1447" spans="1:13" x14ac:dyDescent="0.35">
      <c r="A1447">
        <v>251593</v>
      </c>
      <c r="B1447">
        <v>56316</v>
      </c>
      <c r="C1447" t="s">
        <v>1593</v>
      </c>
      <c r="D1447" t="s">
        <v>1390</v>
      </c>
      <c r="E1447" t="s">
        <v>1398</v>
      </c>
      <c r="F1447">
        <v>4213</v>
      </c>
      <c r="G1447">
        <v>1</v>
      </c>
      <c r="H1447" t="s">
        <v>16</v>
      </c>
      <c r="I1447" s="1">
        <v>-675100</v>
      </c>
      <c r="J1447" s="1">
        <v>-3544200</v>
      </c>
      <c r="K1447">
        <v>135</v>
      </c>
      <c r="L1447">
        <v>32</v>
      </c>
      <c r="M1447" t="s">
        <v>16</v>
      </c>
    </row>
    <row r="1448" spans="1:13" x14ac:dyDescent="0.35">
      <c r="A1448">
        <v>251597</v>
      </c>
      <c r="B1448">
        <v>58289</v>
      </c>
      <c r="C1448" t="s">
        <v>1594</v>
      </c>
      <c r="D1448" t="s">
        <v>1390</v>
      </c>
      <c r="E1448" t="s">
        <v>1470</v>
      </c>
      <c r="F1448">
        <v>7340</v>
      </c>
      <c r="G1448">
        <v>1</v>
      </c>
      <c r="H1448" t="s">
        <v>16</v>
      </c>
      <c r="I1448" s="1">
        <v>-714400</v>
      </c>
      <c r="J1448" s="1">
        <v>-3523900</v>
      </c>
      <c r="K1448">
        <v>82</v>
      </c>
      <c r="L1448">
        <v>63</v>
      </c>
      <c r="M1448" t="s">
        <v>16</v>
      </c>
    </row>
    <row r="1449" spans="1:13" x14ac:dyDescent="0.35">
      <c r="A1449">
        <v>251600</v>
      </c>
      <c r="B1449">
        <v>12297</v>
      </c>
      <c r="C1449" t="s">
        <v>1595</v>
      </c>
      <c r="D1449" t="s">
        <v>1390</v>
      </c>
      <c r="E1449" t="s">
        <v>1413</v>
      </c>
      <c r="F1449">
        <v>27346</v>
      </c>
      <c r="G1449">
        <v>1</v>
      </c>
      <c r="H1449" t="s">
        <v>16</v>
      </c>
      <c r="I1449" s="1">
        <v>-677800</v>
      </c>
      <c r="J1449" s="1">
        <v>-3569700</v>
      </c>
      <c r="K1449">
        <v>626</v>
      </c>
      <c r="L1449">
        <v>265</v>
      </c>
      <c r="M1449" t="s">
        <v>16</v>
      </c>
    </row>
    <row r="1450" spans="1:13" x14ac:dyDescent="0.35">
      <c r="A1450">
        <v>251610</v>
      </c>
      <c r="B1450">
        <v>12300</v>
      </c>
      <c r="C1450" t="s">
        <v>1596</v>
      </c>
      <c r="D1450" t="s">
        <v>1390</v>
      </c>
      <c r="E1450" t="s">
        <v>1402</v>
      </c>
      <c r="F1450">
        <v>13128</v>
      </c>
      <c r="G1450">
        <v>1</v>
      </c>
      <c r="H1450" t="s">
        <v>16</v>
      </c>
      <c r="I1450" s="1">
        <v>-705700</v>
      </c>
      <c r="J1450" s="1">
        <v>-3636300</v>
      </c>
      <c r="K1450">
        <v>521</v>
      </c>
      <c r="L1450">
        <v>560</v>
      </c>
      <c r="M1450" t="s">
        <v>16</v>
      </c>
    </row>
    <row r="1451" spans="1:13" x14ac:dyDescent="0.35">
      <c r="A1451">
        <v>251615</v>
      </c>
      <c r="B1451">
        <v>58297</v>
      </c>
      <c r="C1451" t="s">
        <v>1597</v>
      </c>
      <c r="D1451" t="s">
        <v>1390</v>
      </c>
      <c r="E1451" t="s">
        <v>1402</v>
      </c>
      <c r="F1451">
        <v>2965</v>
      </c>
      <c r="G1451">
        <v>1</v>
      </c>
      <c r="H1451" t="s">
        <v>16</v>
      </c>
      <c r="I1451" s="1">
        <v>-676900</v>
      </c>
      <c r="J1451" s="1">
        <v>-3625400</v>
      </c>
      <c r="K1451">
        <v>580</v>
      </c>
      <c r="L1451">
        <v>154</v>
      </c>
      <c r="M1451" t="s">
        <v>16</v>
      </c>
    </row>
    <row r="1452" spans="1:13" x14ac:dyDescent="0.35">
      <c r="A1452">
        <v>251620</v>
      </c>
      <c r="B1452">
        <v>12319</v>
      </c>
      <c r="C1452" t="s">
        <v>1409</v>
      </c>
      <c r="D1452" t="s">
        <v>1390</v>
      </c>
      <c r="E1452" t="s">
        <v>1409</v>
      </c>
      <c r="F1452">
        <v>63783</v>
      </c>
      <c r="G1452">
        <v>2</v>
      </c>
      <c r="H1452" t="s">
        <v>16</v>
      </c>
      <c r="I1452" s="1">
        <v>-676100</v>
      </c>
      <c r="J1452" s="1">
        <v>-3823100</v>
      </c>
      <c r="K1452">
        <v>220</v>
      </c>
      <c r="L1452">
        <v>842</v>
      </c>
      <c r="M1452" t="s">
        <v>16</v>
      </c>
    </row>
    <row r="1453" spans="1:13" x14ac:dyDescent="0.35">
      <c r="A1453">
        <v>251630</v>
      </c>
      <c r="B1453">
        <v>12327</v>
      </c>
      <c r="C1453" t="s">
        <v>1598</v>
      </c>
      <c r="D1453" t="s">
        <v>1390</v>
      </c>
      <c r="E1453" t="s">
        <v>1407</v>
      </c>
      <c r="F1453">
        <v>16456</v>
      </c>
      <c r="G1453">
        <v>1</v>
      </c>
      <c r="H1453" t="s">
        <v>16</v>
      </c>
      <c r="I1453" s="1">
        <v>-767200</v>
      </c>
      <c r="J1453" s="1">
        <v>-3688000</v>
      </c>
      <c r="K1453">
        <v>532</v>
      </c>
      <c r="L1453">
        <v>838</v>
      </c>
      <c r="M1453" t="s">
        <v>16</v>
      </c>
    </row>
    <row r="1454" spans="1:13" x14ac:dyDescent="0.35">
      <c r="A1454">
        <v>251640</v>
      </c>
      <c r="B1454">
        <v>12335</v>
      </c>
      <c r="C1454" t="s">
        <v>1599</v>
      </c>
      <c r="D1454" t="s">
        <v>1390</v>
      </c>
      <c r="E1454" t="s">
        <v>1413</v>
      </c>
      <c r="F1454">
        <v>9549</v>
      </c>
      <c r="G1454">
        <v>1</v>
      </c>
      <c r="H1454" t="s">
        <v>16</v>
      </c>
      <c r="I1454" s="1">
        <v>-648800</v>
      </c>
      <c r="J1454" s="1">
        <v>-3563700</v>
      </c>
      <c r="K1454">
        <v>168</v>
      </c>
      <c r="L1454">
        <v>246</v>
      </c>
      <c r="M1454" t="s">
        <v>16</v>
      </c>
    </row>
    <row r="1455" spans="1:13" x14ac:dyDescent="0.35">
      <c r="A1455">
        <v>251650</v>
      </c>
      <c r="B1455">
        <v>12343</v>
      </c>
      <c r="C1455" t="s">
        <v>1600</v>
      </c>
      <c r="D1455" t="s">
        <v>1390</v>
      </c>
      <c r="E1455" t="s">
        <v>1407</v>
      </c>
      <c r="F1455">
        <v>14715</v>
      </c>
      <c r="G1455">
        <v>1</v>
      </c>
      <c r="H1455" t="s">
        <v>16</v>
      </c>
      <c r="I1455" s="1">
        <v>-720700</v>
      </c>
      <c r="J1455" s="1">
        <v>-3682700</v>
      </c>
      <c r="K1455">
        <v>532</v>
      </c>
      <c r="L1455">
        <v>639</v>
      </c>
      <c r="M1455" t="s">
        <v>16</v>
      </c>
    </row>
    <row r="1456" spans="1:13" x14ac:dyDescent="0.35">
      <c r="A1456">
        <v>251660</v>
      </c>
      <c r="B1456">
        <v>12351</v>
      </c>
      <c r="C1456" t="s">
        <v>1601</v>
      </c>
      <c r="D1456" t="s">
        <v>1390</v>
      </c>
      <c r="E1456" t="s">
        <v>1391</v>
      </c>
      <c r="F1456">
        <v>14021</v>
      </c>
      <c r="G1456">
        <v>1</v>
      </c>
      <c r="H1456" t="s">
        <v>16</v>
      </c>
      <c r="I1456" s="1">
        <v>-763600</v>
      </c>
      <c r="J1456" s="1">
        <v>-3787800</v>
      </c>
      <c r="K1456">
        <v>724</v>
      </c>
      <c r="L1456">
        <v>228</v>
      </c>
      <c r="M1456" t="s">
        <v>16</v>
      </c>
    </row>
    <row r="1457" spans="1:13" x14ac:dyDescent="0.35">
      <c r="A1457">
        <v>251670</v>
      </c>
      <c r="B1457">
        <v>12360</v>
      </c>
      <c r="C1457" t="s">
        <v>1602</v>
      </c>
      <c r="D1457" t="s">
        <v>1390</v>
      </c>
      <c r="E1457" t="s">
        <v>1391</v>
      </c>
      <c r="F1457">
        <v>13685</v>
      </c>
      <c r="G1457">
        <v>1</v>
      </c>
      <c r="H1457" t="s">
        <v>16</v>
      </c>
      <c r="I1457" s="1">
        <v>-722300</v>
      </c>
      <c r="J1457" s="1">
        <v>-3725400</v>
      </c>
      <c r="K1457">
        <v>768</v>
      </c>
      <c r="L1457">
        <v>114</v>
      </c>
      <c r="M1457" t="s">
        <v>16</v>
      </c>
    </row>
    <row r="1458" spans="1:13" x14ac:dyDescent="0.35">
      <c r="A1458">
        <v>251675</v>
      </c>
      <c r="B1458">
        <v>58300</v>
      </c>
      <c r="C1458" t="s">
        <v>1603</v>
      </c>
      <c r="D1458" t="s">
        <v>1390</v>
      </c>
      <c r="E1458" t="s">
        <v>1425</v>
      </c>
      <c r="F1458">
        <v>2806</v>
      </c>
      <c r="G1458">
        <v>1</v>
      </c>
      <c r="H1458" t="s">
        <v>16</v>
      </c>
      <c r="I1458" s="1">
        <v>-694200</v>
      </c>
      <c r="J1458" s="1">
        <v>-3662900</v>
      </c>
      <c r="K1458">
        <v>610</v>
      </c>
      <c r="L1458">
        <v>105</v>
      </c>
      <c r="M1458" t="s">
        <v>16</v>
      </c>
    </row>
    <row r="1459" spans="1:13" x14ac:dyDescent="0.35">
      <c r="A1459">
        <v>251680</v>
      </c>
      <c r="B1459">
        <v>12378</v>
      </c>
      <c r="C1459" t="s">
        <v>1604</v>
      </c>
      <c r="D1459" t="s">
        <v>1390</v>
      </c>
      <c r="E1459" t="s">
        <v>1405</v>
      </c>
      <c r="F1459">
        <v>9624</v>
      </c>
      <c r="G1459">
        <v>1</v>
      </c>
      <c r="H1459" t="s">
        <v>16</v>
      </c>
      <c r="I1459" s="1">
        <v>-657900</v>
      </c>
      <c r="J1459" s="1">
        <v>-3859700</v>
      </c>
      <c r="K1459">
        <v>310</v>
      </c>
      <c r="L1459">
        <v>222</v>
      </c>
      <c r="M1459" t="s">
        <v>16</v>
      </c>
    </row>
    <row r="1460" spans="1:13" x14ac:dyDescent="0.35">
      <c r="A1460">
        <v>251690</v>
      </c>
      <c r="B1460">
        <v>12386</v>
      </c>
      <c r="C1460" t="s">
        <v>1605</v>
      </c>
      <c r="D1460" t="s">
        <v>1390</v>
      </c>
      <c r="E1460" t="s">
        <v>1405</v>
      </c>
      <c r="F1460">
        <v>14454</v>
      </c>
      <c r="G1460">
        <v>1</v>
      </c>
      <c r="H1460" t="s">
        <v>16</v>
      </c>
      <c r="I1460" s="1">
        <v>-651800</v>
      </c>
      <c r="J1460" s="1">
        <v>-3841200</v>
      </c>
      <c r="K1460">
        <v>301</v>
      </c>
      <c r="L1460">
        <v>294</v>
      </c>
      <c r="M1460" t="s">
        <v>16</v>
      </c>
    </row>
    <row r="1461" spans="1:13" x14ac:dyDescent="0.35">
      <c r="A1461">
        <v>251700</v>
      </c>
      <c r="B1461">
        <v>12394</v>
      </c>
      <c r="C1461" t="s">
        <v>1420</v>
      </c>
      <c r="D1461" t="s">
        <v>1390</v>
      </c>
      <c r="E1461" t="s">
        <v>1420</v>
      </c>
      <c r="F1461">
        <v>9173</v>
      </c>
      <c r="G1461">
        <v>1</v>
      </c>
      <c r="H1461" t="s">
        <v>16</v>
      </c>
      <c r="I1461" s="1">
        <v>-769600</v>
      </c>
      <c r="J1461" s="1">
        <v>-3566400</v>
      </c>
      <c r="K1461">
        <v>541</v>
      </c>
      <c r="L1461">
        <v>180</v>
      </c>
      <c r="M1461" t="s">
        <v>16</v>
      </c>
    </row>
    <row r="1462" spans="1:13" x14ac:dyDescent="0.35">
      <c r="A1462">
        <v>251710</v>
      </c>
      <c r="B1462">
        <v>12408</v>
      </c>
      <c r="C1462" t="s">
        <v>1385</v>
      </c>
      <c r="D1462" t="s">
        <v>1390</v>
      </c>
      <c r="E1462" t="s">
        <v>1500</v>
      </c>
      <c r="F1462">
        <v>2457</v>
      </c>
      <c r="G1462">
        <v>1</v>
      </c>
      <c r="H1462" t="s">
        <v>16</v>
      </c>
      <c r="I1462" s="1">
        <v>-677200</v>
      </c>
      <c r="J1462" s="1">
        <v>-3699200</v>
      </c>
      <c r="K1462">
        <v>265</v>
      </c>
      <c r="L1462">
        <v>190</v>
      </c>
      <c r="M1462" t="s">
        <v>16</v>
      </c>
    </row>
    <row r="1463" spans="1:13" x14ac:dyDescent="0.35">
      <c r="A1463">
        <v>251720</v>
      </c>
      <c r="B1463">
        <v>58319</v>
      </c>
      <c r="C1463" t="s">
        <v>1606</v>
      </c>
      <c r="D1463" t="s">
        <v>1390</v>
      </c>
      <c r="E1463" t="s">
        <v>1409</v>
      </c>
      <c r="F1463">
        <v>4756</v>
      </c>
      <c r="G1463">
        <v>1</v>
      </c>
      <c r="H1463" t="s">
        <v>16</v>
      </c>
      <c r="I1463" s="1">
        <v>-650700</v>
      </c>
      <c r="J1463" s="1">
        <v>-3825600</v>
      </c>
      <c r="K1463">
        <v>414</v>
      </c>
      <c r="L1463">
        <v>146</v>
      </c>
      <c r="M1463" t="s">
        <v>16</v>
      </c>
    </row>
    <row r="1464" spans="1:13" x14ac:dyDescent="0.35">
      <c r="A1464">
        <v>251740</v>
      </c>
      <c r="B1464">
        <v>58327</v>
      </c>
      <c r="C1464" t="s">
        <v>1607</v>
      </c>
      <c r="D1464" t="s">
        <v>1390</v>
      </c>
      <c r="E1464" t="s">
        <v>1407</v>
      </c>
      <c r="F1464">
        <v>2024</v>
      </c>
      <c r="G1464">
        <v>1</v>
      </c>
      <c r="H1464" t="s">
        <v>16</v>
      </c>
      <c r="I1464" s="1">
        <v>-807600</v>
      </c>
      <c r="J1464" s="1">
        <v>-3709800</v>
      </c>
      <c r="K1464">
        <v>632</v>
      </c>
      <c r="L1464">
        <v>109</v>
      </c>
      <c r="M1464" t="s">
        <v>16</v>
      </c>
    </row>
    <row r="1465" spans="1:13" x14ac:dyDescent="0.35">
      <c r="A1465">
        <v>260005</v>
      </c>
      <c r="B1465">
        <v>14141</v>
      </c>
      <c r="C1465" t="s">
        <v>1608</v>
      </c>
      <c r="D1465" t="s">
        <v>1609</v>
      </c>
      <c r="E1465" t="s">
        <v>1610</v>
      </c>
      <c r="F1465">
        <v>92217</v>
      </c>
      <c r="G1465">
        <v>4</v>
      </c>
      <c r="H1465" t="s">
        <v>1611</v>
      </c>
      <c r="I1465" s="1">
        <v>-791200</v>
      </c>
      <c r="J1465" s="1">
        <v>-3490300</v>
      </c>
      <c r="K1465">
        <v>19</v>
      </c>
      <c r="L1465">
        <v>125</v>
      </c>
      <c r="M1465" t="s">
        <v>16</v>
      </c>
    </row>
    <row r="1466" spans="1:13" x14ac:dyDescent="0.35">
      <c r="A1466">
        <v>260010</v>
      </c>
      <c r="B1466">
        <v>12513</v>
      </c>
      <c r="C1466" t="s">
        <v>1612</v>
      </c>
      <c r="D1466" t="s">
        <v>1609</v>
      </c>
      <c r="E1466" t="s">
        <v>1613</v>
      </c>
      <c r="F1466">
        <v>34047</v>
      </c>
      <c r="G1466">
        <v>1</v>
      </c>
      <c r="H1466" t="s">
        <v>16</v>
      </c>
      <c r="I1466" s="1">
        <v>-775100</v>
      </c>
      <c r="J1466" s="1">
        <v>-3763900</v>
      </c>
      <c r="K1466">
        <v>514</v>
      </c>
      <c r="L1466">
        <v>377</v>
      </c>
      <c r="M1466" t="s">
        <v>16</v>
      </c>
    </row>
    <row r="1467" spans="1:13" x14ac:dyDescent="0.35">
      <c r="A1467">
        <v>260020</v>
      </c>
      <c r="B1467">
        <v>12521</v>
      </c>
      <c r="C1467" t="s">
        <v>1614</v>
      </c>
      <c r="D1467" t="s">
        <v>1609</v>
      </c>
      <c r="E1467" t="s">
        <v>1615</v>
      </c>
      <c r="F1467">
        <v>16471</v>
      </c>
      <c r="G1467">
        <v>1</v>
      </c>
      <c r="H1467" t="s">
        <v>16</v>
      </c>
      <c r="I1467" s="1">
        <v>-851500</v>
      </c>
      <c r="J1467" s="1">
        <v>-4100500</v>
      </c>
      <c r="K1467">
        <v>522</v>
      </c>
      <c r="L1467">
        <v>1490</v>
      </c>
      <c r="M1467" t="s">
        <v>16</v>
      </c>
    </row>
    <row r="1468" spans="1:13" x14ac:dyDescent="0.35">
      <c r="A1468">
        <v>260030</v>
      </c>
      <c r="B1468">
        <v>12530</v>
      </c>
      <c r="C1468" t="s">
        <v>1616</v>
      </c>
      <c r="D1468" t="s">
        <v>1609</v>
      </c>
      <c r="E1468" t="s">
        <v>1617</v>
      </c>
      <c r="F1468">
        <v>21456</v>
      </c>
      <c r="G1468">
        <v>1</v>
      </c>
      <c r="H1468" t="s">
        <v>16</v>
      </c>
      <c r="I1468" s="1">
        <v>-845800</v>
      </c>
      <c r="J1468" s="1">
        <v>-3594500</v>
      </c>
      <c r="K1468">
        <v>427</v>
      </c>
      <c r="L1468">
        <v>201</v>
      </c>
      <c r="M1468" t="s">
        <v>16</v>
      </c>
    </row>
    <row r="1469" spans="1:13" x14ac:dyDescent="0.35">
      <c r="A1469">
        <v>260040</v>
      </c>
      <c r="B1469">
        <v>12548</v>
      </c>
      <c r="C1469" t="s">
        <v>1618</v>
      </c>
      <c r="D1469" t="s">
        <v>1609</v>
      </c>
      <c r="E1469" t="s">
        <v>1619</v>
      </c>
      <c r="F1469">
        <v>50000</v>
      </c>
      <c r="G1469">
        <v>1</v>
      </c>
      <c r="H1469" t="s">
        <v>16</v>
      </c>
      <c r="I1469" s="1">
        <v>-870700</v>
      </c>
      <c r="J1469" s="1">
        <v>-3553100</v>
      </c>
      <c r="K1469">
        <v>93</v>
      </c>
      <c r="L1469">
        <v>543</v>
      </c>
      <c r="M1469" t="s">
        <v>16</v>
      </c>
    </row>
    <row r="1470" spans="1:13" x14ac:dyDescent="0.35">
      <c r="A1470">
        <v>260050</v>
      </c>
      <c r="B1470">
        <v>12556</v>
      </c>
      <c r="C1470" t="s">
        <v>1620</v>
      </c>
      <c r="D1470" t="s">
        <v>1609</v>
      </c>
      <c r="E1470" t="s">
        <v>1621</v>
      </c>
      <c r="F1470">
        <v>37992</v>
      </c>
      <c r="G1470">
        <v>1</v>
      </c>
      <c r="H1470" t="s">
        <v>16</v>
      </c>
      <c r="I1470" s="1">
        <v>-911100</v>
      </c>
      <c r="J1470" s="1">
        <v>-3712300</v>
      </c>
      <c r="K1470">
        <v>376</v>
      </c>
      <c r="L1470">
        <v>885</v>
      </c>
      <c r="M1470" t="s">
        <v>16</v>
      </c>
    </row>
    <row r="1471" spans="1:13" x14ac:dyDescent="0.35">
      <c r="A1471">
        <v>260060</v>
      </c>
      <c r="B1471">
        <v>12564</v>
      </c>
      <c r="C1471" t="s">
        <v>1397</v>
      </c>
      <c r="D1471" t="s">
        <v>1609</v>
      </c>
      <c r="E1471" t="s">
        <v>1622</v>
      </c>
      <c r="F1471">
        <v>14016</v>
      </c>
      <c r="G1471">
        <v>1</v>
      </c>
      <c r="H1471" t="s">
        <v>16</v>
      </c>
      <c r="I1471" s="1">
        <v>-846600</v>
      </c>
      <c r="J1471" s="1">
        <v>-3677600</v>
      </c>
      <c r="K1471">
        <v>726</v>
      </c>
      <c r="L1471">
        <v>200</v>
      </c>
      <c r="M1471" t="s">
        <v>16</v>
      </c>
    </row>
    <row r="1472" spans="1:13" x14ac:dyDescent="0.35">
      <c r="A1472">
        <v>260070</v>
      </c>
      <c r="B1472">
        <v>12572</v>
      </c>
      <c r="C1472" t="s">
        <v>1623</v>
      </c>
      <c r="D1472" t="s">
        <v>1609</v>
      </c>
      <c r="E1472" t="s">
        <v>1624</v>
      </c>
      <c r="F1472">
        <v>34740</v>
      </c>
      <c r="G1472">
        <v>1</v>
      </c>
      <c r="H1472" t="s">
        <v>16</v>
      </c>
      <c r="I1472" s="1">
        <v>-760300</v>
      </c>
      <c r="J1472" s="1">
        <v>-3523100</v>
      </c>
      <c r="K1472">
        <v>123</v>
      </c>
      <c r="L1472">
        <v>272</v>
      </c>
      <c r="M1472" t="s">
        <v>16</v>
      </c>
    </row>
    <row r="1473" spans="1:13" x14ac:dyDescent="0.35">
      <c r="A1473">
        <v>260080</v>
      </c>
      <c r="B1473">
        <v>12580</v>
      </c>
      <c r="C1473" t="s">
        <v>1625</v>
      </c>
      <c r="D1473" t="s">
        <v>1609</v>
      </c>
      <c r="E1473" t="s">
        <v>1617</v>
      </c>
      <c r="F1473">
        <v>50000</v>
      </c>
      <c r="G1473">
        <v>1</v>
      </c>
      <c r="H1473" t="s">
        <v>16</v>
      </c>
      <c r="I1473" s="1">
        <v>-849000</v>
      </c>
      <c r="J1473" s="1">
        <v>-3605900</v>
      </c>
      <c r="K1473">
        <v>454</v>
      </c>
      <c r="L1473">
        <v>454</v>
      </c>
      <c r="M1473" t="s">
        <v>16</v>
      </c>
    </row>
    <row r="1474" spans="1:13" x14ac:dyDescent="0.35">
      <c r="A1474">
        <v>260090</v>
      </c>
      <c r="B1474">
        <v>12599</v>
      </c>
      <c r="C1474" t="s">
        <v>1626</v>
      </c>
      <c r="D1474" t="s">
        <v>1609</v>
      </c>
      <c r="E1474" t="s">
        <v>1619</v>
      </c>
      <c r="F1474">
        <v>20149</v>
      </c>
      <c r="G1474">
        <v>1</v>
      </c>
      <c r="H1474" t="s">
        <v>16</v>
      </c>
      <c r="I1474" s="1">
        <v>-838300</v>
      </c>
      <c r="J1474" s="1">
        <v>-3545300</v>
      </c>
      <c r="K1474">
        <v>289</v>
      </c>
      <c r="L1474">
        <v>234</v>
      </c>
      <c r="M1474" t="s">
        <v>16</v>
      </c>
    </row>
    <row r="1475" spans="1:13" x14ac:dyDescent="0.35">
      <c r="A1475">
        <v>260100</v>
      </c>
      <c r="B1475">
        <v>12602</v>
      </c>
      <c r="C1475" t="s">
        <v>1627</v>
      </c>
      <c r="D1475" t="s">
        <v>1609</v>
      </c>
      <c r="E1475" t="s">
        <v>1628</v>
      </c>
      <c r="F1475">
        <v>9836</v>
      </c>
      <c r="G1475">
        <v>1</v>
      </c>
      <c r="H1475" t="s">
        <v>16</v>
      </c>
      <c r="I1475" s="1">
        <v>-889000</v>
      </c>
      <c r="J1475" s="1">
        <v>-3628600</v>
      </c>
      <c r="K1475">
        <v>631</v>
      </c>
      <c r="L1475">
        <v>118</v>
      </c>
      <c r="M1475" t="s">
        <v>16</v>
      </c>
    </row>
    <row r="1476" spans="1:13" x14ac:dyDescent="0.35">
      <c r="A1476">
        <v>260105</v>
      </c>
      <c r="B1476">
        <v>54194</v>
      </c>
      <c r="C1476" t="s">
        <v>1629</v>
      </c>
      <c r="D1476" t="s">
        <v>1609</v>
      </c>
      <c r="E1476" t="s">
        <v>1630</v>
      </c>
      <c r="F1476">
        <v>16520</v>
      </c>
      <c r="G1476">
        <v>4</v>
      </c>
      <c r="H1476" t="s">
        <v>1611</v>
      </c>
      <c r="I1476" s="1">
        <v>-779000</v>
      </c>
      <c r="J1476" s="1">
        <v>-3509100</v>
      </c>
      <c r="K1476">
        <v>160</v>
      </c>
      <c r="L1476">
        <v>96</v>
      </c>
      <c r="M1476" t="s">
        <v>16</v>
      </c>
    </row>
    <row r="1477" spans="1:13" x14ac:dyDescent="0.35">
      <c r="A1477">
        <v>260110</v>
      </c>
      <c r="B1477">
        <v>12610</v>
      </c>
      <c r="C1477" t="s">
        <v>1631</v>
      </c>
      <c r="D1477" t="s">
        <v>1609</v>
      </c>
      <c r="E1477" t="s">
        <v>1631</v>
      </c>
      <c r="F1477">
        <v>75878</v>
      </c>
      <c r="G1477">
        <v>2</v>
      </c>
      <c r="H1477" t="s">
        <v>16</v>
      </c>
      <c r="I1477" s="1">
        <v>-757600</v>
      </c>
      <c r="J1477" s="1">
        <v>-4049800</v>
      </c>
      <c r="K1477">
        <v>622</v>
      </c>
      <c r="L1477">
        <v>1847</v>
      </c>
      <c r="M1477" t="s">
        <v>16</v>
      </c>
    </row>
    <row r="1478" spans="1:13" x14ac:dyDescent="0.35">
      <c r="A1478">
        <v>260120</v>
      </c>
      <c r="B1478">
        <v>12629</v>
      </c>
      <c r="C1478" t="s">
        <v>1632</v>
      </c>
      <c r="D1478" t="s">
        <v>1609</v>
      </c>
      <c r="E1478" t="s">
        <v>1633</v>
      </c>
      <c r="F1478">
        <v>64863</v>
      </c>
      <c r="G1478">
        <v>2</v>
      </c>
      <c r="H1478" t="s">
        <v>16</v>
      </c>
      <c r="I1478" s="1">
        <v>-841900</v>
      </c>
      <c r="J1478" s="1">
        <v>-3705400</v>
      </c>
      <c r="K1478">
        <v>663</v>
      </c>
      <c r="L1478">
        <v>353</v>
      </c>
      <c r="M1478" t="s">
        <v>16</v>
      </c>
    </row>
    <row r="1479" spans="1:13" x14ac:dyDescent="0.35">
      <c r="A1479">
        <v>260130</v>
      </c>
      <c r="B1479">
        <v>12637</v>
      </c>
      <c r="C1479" t="s">
        <v>1634</v>
      </c>
      <c r="D1479" t="s">
        <v>1609</v>
      </c>
      <c r="E1479" t="s">
        <v>1617</v>
      </c>
      <c r="F1479">
        <v>50000</v>
      </c>
      <c r="G1479">
        <v>1</v>
      </c>
      <c r="H1479" t="s">
        <v>16</v>
      </c>
      <c r="I1479" s="1">
        <v>-842000</v>
      </c>
      <c r="J1479" s="1">
        <v>-3565800</v>
      </c>
      <c r="K1479">
        <v>482</v>
      </c>
      <c r="L1479">
        <v>114</v>
      </c>
      <c r="M1479" t="s">
        <v>16</v>
      </c>
    </row>
    <row r="1480" spans="1:13" x14ac:dyDescent="0.35">
      <c r="A1480">
        <v>260140</v>
      </c>
      <c r="B1480">
        <v>12645</v>
      </c>
      <c r="C1480" t="s">
        <v>1635</v>
      </c>
      <c r="D1480" t="s">
        <v>1609</v>
      </c>
      <c r="E1480" t="s">
        <v>1619</v>
      </c>
      <c r="F1480">
        <v>50000</v>
      </c>
      <c r="G1480">
        <v>1</v>
      </c>
      <c r="H1480" t="s">
        <v>16</v>
      </c>
      <c r="I1480" s="1">
        <v>-881800</v>
      </c>
      <c r="J1480" s="1">
        <v>-3518600</v>
      </c>
      <c r="K1480">
        <v>22</v>
      </c>
      <c r="L1480">
        <v>233</v>
      </c>
      <c r="M1480" t="s">
        <v>16</v>
      </c>
    </row>
    <row r="1481" spans="1:13" x14ac:dyDescent="0.35">
      <c r="A1481">
        <v>260150</v>
      </c>
      <c r="B1481">
        <v>12653</v>
      </c>
      <c r="C1481" t="s">
        <v>1636</v>
      </c>
      <c r="D1481" t="s">
        <v>1609</v>
      </c>
      <c r="E1481" t="s">
        <v>1619</v>
      </c>
      <c r="F1481">
        <v>50000</v>
      </c>
      <c r="G1481">
        <v>1</v>
      </c>
      <c r="H1481" t="s">
        <v>16</v>
      </c>
      <c r="I1481" s="1">
        <v>-861400</v>
      </c>
      <c r="J1481" s="1">
        <v>-3580900</v>
      </c>
      <c r="K1481">
        <v>227</v>
      </c>
      <c r="L1481">
        <v>69</v>
      </c>
      <c r="M1481" t="s">
        <v>16</v>
      </c>
    </row>
    <row r="1482" spans="1:13" x14ac:dyDescent="0.35">
      <c r="A1482">
        <v>260160</v>
      </c>
      <c r="B1482">
        <v>12661</v>
      </c>
      <c r="C1482" t="s">
        <v>1637</v>
      </c>
      <c r="D1482" t="s">
        <v>1609</v>
      </c>
      <c r="E1482" t="s">
        <v>1638</v>
      </c>
      <c r="F1482">
        <v>20545</v>
      </c>
      <c r="G1482">
        <v>1</v>
      </c>
      <c r="H1482" t="s">
        <v>16</v>
      </c>
      <c r="I1482" s="1">
        <v>-875800</v>
      </c>
      <c r="J1482" s="1">
        <v>-3896400</v>
      </c>
      <c r="K1482">
        <v>305</v>
      </c>
      <c r="L1482">
        <v>1830</v>
      </c>
      <c r="M1482" t="s">
        <v>16</v>
      </c>
    </row>
    <row r="1483" spans="1:13" x14ac:dyDescent="0.35">
      <c r="A1483">
        <v>260170</v>
      </c>
      <c r="B1483">
        <v>12670</v>
      </c>
      <c r="C1483" t="s">
        <v>1639</v>
      </c>
      <c r="D1483" t="s">
        <v>1609</v>
      </c>
      <c r="E1483" t="s">
        <v>1622</v>
      </c>
      <c r="F1483">
        <v>70963</v>
      </c>
      <c r="G1483">
        <v>2</v>
      </c>
      <c r="H1483" t="s">
        <v>16</v>
      </c>
      <c r="I1483" s="1">
        <v>-833600</v>
      </c>
      <c r="J1483" s="1">
        <v>-3642400</v>
      </c>
      <c r="K1483">
        <v>608</v>
      </c>
      <c r="L1483">
        <v>647</v>
      </c>
      <c r="M1483" t="s">
        <v>16</v>
      </c>
    </row>
    <row r="1484" spans="1:13" x14ac:dyDescent="0.35">
      <c r="A1484">
        <v>260180</v>
      </c>
      <c r="B1484">
        <v>12688</v>
      </c>
      <c r="C1484" t="s">
        <v>1640</v>
      </c>
      <c r="D1484" t="s">
        <v>1609</v>
      </c>
      <c r="E1484" t="s">
        <v>1633</v>
      </c>
      <c r="F1484">
        <v>11548</v>
      </c>
      <c r="G1484">
        <v>1</v>
      </c>
      <c r="H1484" t="s">
        <v>16</v>
      </c>
      <c r="I1484" s="1">
        <v>-827600</v>
      </c>
      <c r="J1484" s="1">
        <v>-3803400</v>
      </c>
      <c r="K1484">
        <v>441</v>
      </c>
      <c r="L1484">
        <v>1244</v>
      </c>
      <c r="M1484" t="s">
        <v>16</v>
      </c>
    </row>
    <row r="1485" spans="1:13" x14ac:dyDescent="0.35">
      <c r="A1485">
        <v>260190</v>
      </c>
      <c r="B1485">
        <v>12696</v>
      </c>
      <c r="C1485" t="s">
        <v>1641</v>
      </c>
      <c r="D1485" t="s">
        <v>1609</v>
      </c>
      <c r="E1485" t="s">
        <v>1622</v>
      </c>
      <c r="F1485">
        <v>56629</v>
      </c>
      <c r="G1485">
        <v>2</v>
      </c>
      <c r="H1485" t="s">
        <v>16</v>
      </c>
      <c r="I1485" s="1">
        <v>-823300</v>
      </c>
      <c r="J1485" s="1">
        <v>-3579700</v>
      </c>
      <c r="K1485">
        <v>470</v>
      </c>
      <c r="L1485">
        <v>492</v>
      </c>
      <c r="M1485" t="s">
        <v>16</v>
      </c>
    </row>
    <row r="1486" spans="1:13" x14ac:dyDescent="0.35">
      <c r="A1486">
        <v>260200</v>
      </c>
      <c r="B1486">
        <v>12700</v>
      </c>
      <c r="C1486" t="s">
        <v>1642</v>
      </c>
      <c r="D1486" t="s">
        <v>1609</v>
      </c>
      <c r="E1486" t="s">
        <v>1631</v>
      </c>
      <c r="F1486">
        <v>33381</v>
      </c>
      <c r="G1486">
        <v>1</v>
      </c>
      <c r="H1486" t="s">
        <v>16</v>
      </c>
      <c r="I1486" s="1">
        <v>-777800</v>
      </c>
      <c r="J1486" s="1">
        <v>-3994100</v>
      </c>
      <c r="K1486">
        <v>443</v>
      </c>
      <c r="L1486">
        <v>1553</v>
      </c>
      <c r="M1486" t="s">
        <v>16</v>
      </c>
    </row>
    <row r="1487" spans="1:13" x14ac:dyDescent="0.35">
      <c r="A1487">
        <v>260210</v>
      </c>
      <c r="B1487">
        <v>12718</v>
      </c>
      <c r="C1487" t="s">
        <v>1643</v>
      </c>
      <c r="D1487" t="s">
        <v>1609</v>
      </c>
      <c r="E1487" t="s">
        <v>1628</v>
      </c>
      <c r="F1487">
        <v>43397</v>
      </c>
      <c r="G1487">
        <v>1</v>
      </c>
      <c r="H1487" t="s">
        <v>16</v>
      </c>
      <c r="I1487" s="1">
        <v>-917000</v>
      </c>
      <c r="J1487" s="1">
        <v>-3668000</v>
      </c>
      <c r="K1487">
        <v>654</v>
      </c>
      <c r="L1487">
        <v>786</v>
      </c>
      <c r="M1487" t="s">
        <v>16</v>
      </c>
    </row>
    <row r="1488" spans="1:13" x14ac:dyDescent="0.35">
      <c r="A1488">
        <v>260220</v>
      </c>
      <c r="B1488">
        <v>12726</v>
      </c>
      <c r="C1488" t="s">
        <v>592</v>
      </c>
      <c r="D1488" t="s">
        <v>1609</v>
      </c>
      <c r="E1488" t="s">
        <v>1644</v>
      </c>
      <c r="F1488">
        <v>39023</v>
      </c>
      <c r="G1488">
        <v>1</v>
      </c>
      <c r="H1488" t="s">
        <v>16</v>
      </c>
      <c r="I1488" s="1">
        <v>-779600</v>
      </c>
      <c r="J1488" s="1">
        <v>-3558700</v>
      </c>
      <c r="K1488">
        <v>333</v>
      </c>
      <c r="L1488">
        <v>222</v>
      </c>
      <c r="M1488" t="s">
        <v>16</v>
      </c>
    </row>
    <row r="1489" spans="1:13" x14ac:dyDescent="0.35">
      <c r="A1489">
        <v>260230</v>
      </c>
      <c r="B1489">
        <v>12734</v>
      </c>
      <c r="C1489" t="s">
        <v>228</v>
      </c>
      <c r="D1489" t="s">
        <v>1609</v>
      </c>
      <c r="E1489" t="s">
        <v>1617</v>
      </c>
      <c r="F1489">
        <v>39111</v>
      </c>
      <c r="G1489">
        <v>1</v>
      </c>
      <c r="H1489" t="s">
        <v>16</v>
      </c>
      <c r="I1489" s="1">
        <v>-847000</v>
      </c>
      <c r="J1489" s="1">
        <v>-3572900</v>
      </c>
      <c r="K1489">
        <v>443</v>
      </c>
      <c r="L1489">
        <v>399</v>
      </c>
      <c r="M1489" t="s">
        <v>16</v>
      </c>
    </row>
    <row r="1490" spans="1:13" x14ac:dyDescent="0.35">
      <c r="A1490">
        <v>260240</v>
      </c>
      <c r="B1490">
        <v>12742</v>
      </c>
      <c r="C1490" t="s">
        <v>1645</v>
      </c>
      <c r="D1490" t="s">
        <v>1609</v>
      </c>
      <c r="E1490" t="s">
        <v>1628</v>
      </c>
      <c r="F1490">
        <v>9341</v>
      </c>
      <c r="G1490">
        <v>1</v>
      </c>
      <c r="H1490" t="s">
        <v>16</v>
      </c>
      <c r="I1490" s="1">
        <v>-903000</v>
      </c>
      <c r="J1490" s="1">
        <v>-3656900</v>
      </c>
      <c r="K1490">
        <v>788</v>
      </c>
      <c r="L1490">
        <v>159</v>
      </c>
      <c r="M1490" t="s">
        <v>16</v>
      </c>
    </row>
    <row r="1491" spans="1:13" x14ac:dyDescent="0.35">
      <c r="A1491">
        <v>260250</v>
      </c>
      <c r="B1491">
        <v>12750</v>
      </c>
      <c r="C1491" t="s">
        <v>1243</v>
      </c>
      <c r="D1491" t="s">
        <v>1609</v>
      </c>
      <c r="E1491" t="s">
        <v>1613</v>
      </c>
      <c r="F1491">
        <v>7158</v>
      </c>
      <c r="G1491">
        <v>1</v>
      </c>
      <c r="H1491" t="s">
        <v>16</v>
      </c>
      <c r="I1491" s="1">
        <v>-734900</v>
      </c>
      <c r="J1491" s="1">
        <v>-3728600</v>
      </c>
      <c r="K1491">
        <v>737</v>
      </c>
      <c r="L1491">
        <v>106</v>
      </c>
      <c r="M1491" t="s">
        <v>16</v>
      </c>
    </row>
    <row r="1492" spans="1:13" x14ac:dyDescent="0.35">
      <c r="A1492">
        <v>260260</v>
      </c>
      <c r="B1492">
        <v>12769</v>
      </c>
      <c r="C1492" t="s">
        <v>1646</v>
      </c>
      <c r="D1492" t="s">
        <v>1609</v>
      </c>
      <c r="E1492" t="s">
        <v>1622</v>
      </c>
      <c r="F1492">
        <v>40265</v>
      </c>
      <c r="G1492">
        <v>1</v>
      </c>
      <c r="H1492" t="s">
        <v>16</v>
      </c>
      <c r="I1492" s="1">
        <v>-814600</v>
      </c>
      <c r="J1492" s="1">
        <v>-3637100</v>
      </c>
      <c r="K1492">
        <v>627</v>
      </c>
      <c r="L1492">
        <v>762</v>
      </c>
      <c r="M1492" t="s">
        <v>16</v>
      </c>
    </row>
    <row r="1493" spans="1:13" x14ac:dyDescent="0.35">
      <c r="A1493">
        <v>260270</v>
      </c>
      <c r="B1493">
        <v>12777</v>
      </c>
      <c r="C1493" t="s">
        <v>1647</v>
      </c>
      <c r="D1493" t="s">
        <v>1609</v>
      </c>
      <c r="E1493" t="s">
        <v>1624</v>
      </c>
      <c r="F1493">
        <v>12962</v>
      </c>
      <c r="G1493">
        <v>1</v>
      </c>
      <c r="H1493" t="s">
        <v>16</v>
      </c>
      <c r="I1493" s="1">
        <v>-772600</v>
      </c>
      <c r="J1493" s="1">
        <v>-3532700</v>
      </c>
      <c r="K1493">
        <v>149</v>
      </c>
      <c r="L1493">
        <v>96</v>
      </c>
      <c r="M1493" t="s">
        <v>16</v>
      </c>
    </row>
    <row r="1494" spans="1:13" x14ac:dyDescent="0.35">
      <c r="A1494">
        <v>260280</v>
      </c>
      <c r="B1494">
        <v>12785</v>
      </c>
      <c r="C1494" t="s">
        <v>1648</v>
      </c>
      <c r="D1494" t="s">
        <v>1609</v>
      </c>
      <c r="E1494" t="s">
        <v>1621</v>
      </c>
      <c r="F1494">
        <v>49937</v>
      </c>
      <c r="G1494">
        <v>1</v>
      </c>
      <c r="H1494" t="s">
        <v>16</v>
      </c>
      <c r="I1494" s="1">
        <v>-862300</v>
      </c>
      <c r="J1494" s="1">
        <v>-3715600</v>
      </c>
      <c r="K1494">
        <v>798</v>
      </c>
      <c r="L1494">
        <v>1345</v>
      </c>
      <c r="M1494" t="s">
        <v>16</v>
      </c>
    </row>
    <row r="1495" spans="1:13" x14ac:dyDescent="0.35">
      <c r="A1495">
        <v>260290</v>
      </c>
      <c r="B1495">
        <v>12793</v>
      </c>
      <c r="C1495" t="s">
        <v>1649</v>
      </c>
      <c r="D1495" t="s">
        <v>1609</v>
      </c>
      <c r="E1495" t="s">
        <v>1650</v>
      </c>
      <c r="F1495">
        <v>163139</v>
      </c>
      <c r="G1495">
        <v>4</v>
      </c>
      <c r="H1495" t="s">
        <v>1611</v>
      </c>
      <c r="I1495" s="1">
        <v>-828700</v>
      </c>
      <c r="J1495" s="1">
        <v>-3503500</v>
      </c>
      <c r="K1495">
        <v>29</v>
      </c>
      <c r="L1495">
        <v>447</v>
      </c>
      <c r="M1495" t="s">
        <v>16</v>
      </c>
    </row>
    <row r="1496" spans="1:13" x14ac:dyDescent="0.35">
      <c r="A1496">
        <v>260300</v>
      </c>
      <c r="B1496">
        <v>12807</v>
      </c>
      <c r="C1496" t="s">
        <v>1651</v>
      </c>
      <c r="D1496" t="s">
        <v>1609</v>
      </c>
      <c r="E1496" t="s">
        <v>1615</v>
      </c>
      <c r="F1496">
        <v>28851</v>
      </c>
      <c r="G1496">
        <v>1</v>
      </c>
      <c r="H1496" t="s">
        <v>16</v>
      </c>
      <c r="I1496" s="1">
        <v>-851200</v>
      </c>
      <c r="J1496" s="1">
        <v>-3930700</v>
      </c>
      <c r="K1496">
        <v>325</v>
      </c>
      <c r="L1496">
        <v>1658</v>
      </c>
      <c r="M1496" t="s">
        <v>16</v>
      </c>
    </row>
    <row r="1497" spans="1:13" x14ac:dyDescent="0.35">
      <c r="A1497">
        <v>260310</v>
      </c>
      <c r="B1497">
        <v>12815</v>
      </c>
      <c r="C1497" t="s">
        <v>437</v>
      </c>
      <c r="D1497" t="s">
        <v>1609</v>
      </c>
      <c r="E1497" t="s">
        <v>1622</v>
      </c>
      <c r="F1497">
        <v>17421</v>
      </c>
      <c r="G1497">
        <v>1</v>
      </c>
      <c r="H1497" t="s">
        <v>16</v>
      </c>
      <c r="I1497" s="1">
        <v>-848600</v>
      </c>
      <c r="J1497" s="1">
        <v>-3623300</v>
      </c>
      <c r="K1497">
        <v>536</v>
      </c>
      <c r="L1497">
        <v>179</v>
      </c>
      <c r="M1497" t="s">
        <v>16</v>
      </c>
    </row>
    <row r="1498" spans="1:13" x14ac:dyDescent="0.35">
      <c r="A1498">
        <v>260320</v>
      </c>
      <c r="B1498">
        <v>12823</v>
      </c>
      <c r="C1498" t="s">
        <v>1652</v>
      </c>
      <c r="D1498" t="s">
        <v>1609</v>
      </c>
      <c r="E1498" t="s">
        <v>1628</v>
      </c>
      <c r="F1498">
        <v>50000</v>
      </c>
      <c r="G1498">
        <v>1</v>
      </c>
      <c r="H1498" t="s">
        <v>16</v>
      </c>
      <c r="I1498" s="1">
        <v>-877300</v>
      </c>
      <c r="J1498" s="1">
        <v>-3662300</v>
      </c>
      <c r="K1498">
        <v>849</v>
      </c>
      <c r="L1498">
        <v>330</v>
      </c>
      <c r="M1498" t="s">
        <v>16</v>
      </c>
    </row>
    <row r="1499" spans="1:13" x14ac:dyDescent="0.35">
      <c r="A1499">
        <v>260330</v>
      </c>
      <c r="B1499">
        <v>12831</v>
      </c>
      <c r="C1499" t="s">
        <v>1653</v>
      </c>
      <c r="D1499" t="s">
        <v>1609</v>
      </c>
      <c r="E1499" t="s">
        <v>1628</v>
      </c>
      <c r="F1499">
        <v>11337</v>
      </c>
      <c r="G1499">
        <v>1</v>
      </c>
      <c r="H1499" t="s">
        <v>16</v>
      </c>
      <c r="I1499" s="1">
        <v>-874200</v>
      </c>
      <c r="J1499" s="1">
        <v>-3633400</v>
      </c>
      <c r="K1499">
        <v>643</v>
      </c>
      <c r="L1499">
        <v>114</v>
      </c>
      <c r="M1499" t="s">
        <v>16</v>
      </c>
    </row>
    <row r="1500" spans="1:13" x14ac:dyDescent="0.35">
      <c r="A1500">
        <v>260340</v>
      </c>
      <c r="B1500">
        <v>12840</v>
      </c>
      <c r="C1500" t="s">
        <v>1654</v>
      </c>
      <c r="D1500" t="s">
        <v>1609</v>
      </c>
      <c r="E1500" t="s">
        <v>1613</v>
      </c>
      <c r="F1500">
        <v>7577</v>
      </c>
      <c r="G1500">
        <v>1</v>
      </c>
      <c r="H1500" t="s">
        <v>16</v>
      </c>
      <c r="I1500" s="1">
        <v>-794100</v>
      </c>
      <c r="J1500" s="1">
        <v>-3815000</v>
      </c>
      <c r="K1500">
        <v>446</v>
      </c>
      <c r="L1500">
        <v>221</v>
      </c>
      <c r="M1500" t="s">
        <v>16</v>
      </c>
    </row>
    <row r="1501" spans="1:13" x14ac:dyDescent="0.35">
      <c r="A1501">
        <v>260345</v>
      </c>
      <c r="B1501">
        <v>14150</v>
      </c>
      <c r="C1501" t="s">
        <v>1655</v>
      </c>
      <c r="D1501" t="s">
        <v>1609</v>
      </c>
      <c r="E1501" t="s">
        <v>1610</v>
      </c>
      <c r="F1501">
        <v>136381</v>
      </c>
      <c r="G1501">
        <v>4</v>
      </c>
      <c r="H1501" t="s">
        <v>1611</v>
      </c>
      <c r="I1501" s="1">
        <v>-802200</v>
      </c>
      <c r="J1501" s="1">
        <v>-3498100</v>
      </c>
      <c r="K1501">
        <v>55</v>
      </c>
      <c r="L1501">
        <v>55</v>
      </c>
      <c r="M1501" t="s">
        <v>16</v>
      </c>
    </row>
    <row r="1502" spans="1:13" x14ac:dyDescent="0.35">
      <c r="A1502">
        <v>260350</v>
      </c>
      <c r="B1502">
        <v>12858</v>
      </c>
      <c r="C1502" t="s">
        <v>1656</v>
      </c>
      <c r="D1502" t="s">
        <v>1609</v>
      </c>
      <c r="E1502" t="s">
        <v>1617</v>
      </c>
      <c r="F1502">
        <v>15831</v>
      </c>
      <c r="G1502">
        <v>1</v>
      </c>
      <c r="H1502" t="s">
        <v>16</v>
      </c>
      <c r="I1502" s="1">
        <v>-835900</v>
      </c>
      <c r="J1502" s="1">
        <v>-3576200</v>
      </c>
      <c r="K1502">
        <v>691</v>
      </c>
      <c r="L1502">
        <v>53</v>
      </c>
      <c r="M1502" t="s">
        <v>16</v>
      </c>
    </row>
    <row r="1503" spans="1:13" x14ac:dyDescent="0.35">
      <c r="A1503">
        <v>260360</v>
      </c>
      <c r="B1503">
        <v>12866</v>
      </c>
      <c r="C1503" t="s">
        <v>1657</v>
      </c>
      <c r="D1503" t="s">
        <v>1609</v>
      </c>
      <c r="E1503" t="s">
        <v>1624</v>
      </c>
      <c r="F1503">
        <v>7921</v>
      </c>
      <c r="G1503">
        <v>1</v>
      </c>
      <c r="H1503" t="s">
        <v>16</v>
      </c>
      <c r="I1503" s="1">
        <v>-740700</v>
      </c>
      <c r="J1503" s="1">
        <v>-3527400</v>
      </c>
      <c r="K1503">
        <v>98</v>
      </c>
      <c r="L1503">
        <v>37</v>
      </c>
      <c r="M1503" t="s">
        <v>16</v>
      </c>
    </row>
    <row r="1504" spans="1:13" x14ac:dyDescent="0.35">
      <c r="A1504">
        <v>260370</v>
      </c>
      <c r="B1504">
        <v>12874</v>
      </c>
      <c r="C1504" t="s">
        <v>1658</v>
      </c>
      <c r="D1504" t="s">
        <v>1609</v>
      </c>
      <c r="E1504" t="s">
        <v>1628</v>
      </c>
      <c r="F1504">
        <v>24218</v>
      </c>
      <c r="G1504">
        <v>1</v>
      </c>
      <c r="H1504" t="s">
        <v>16</v>
      </c>
      <c r="I1504" s="1">
        <v>-888200</v>
      </c>
      <c r="J1504" s="1">
        <v>-3619100</v>
      </c>
      <c r="K1504">
        <v>520</v>
      </c>
      <c r="L1504">
        <v>423</v>
      </c>
      <c r="M1504" t="s">
        <v>16</v>
      </c>
    </row>
    <row r="1505" spans="1:13" x14ac:dyDescent="0.35">
      <c r="A1505">
        <v>260380</v>
      </c>
      <c r="B1505">
        <v>12882</v>
      </c>
      <c r="C1505" t="s">
        <v>1659</v>
      </c>
      <c r="D1505" t="s">
        <v>1609</v>
      </c>
      <c r="E1505" t="s">
        <v>1622</v>
      </c>
      <c r="F1505">
        <v>19337</v>
      </c>
      <c r="G1505">
        <v>1</v>
      </c>
      <c r="H1505" t="s">
        <v>16</v>
      </c>
      <c r="I1505" s="1">
        <v>-873500</v>
      </c>
      <c r="J1505" s="1">
        <v>-3662700</v>
      </c>
      <c r="K1505">
        <v>888</v>
      </c>
      <c r="L1505">
        <v>335</v>
      </c>
      <c r="M1505" t="s">
        <v>16</v>
      </c>
    </row>
    <row r="1506" spans="1:13" x14ac:dyDescent="0.35">
      <c r="A1506">
        <v>260390</v>
      </c>
      <c r="B1506">
        <v>12890</v>
      </c>
      <c r="C1506" t="s">
        <v>1660</v>
      </c>
      <c r="D1506" t="s">
        <v>1609</v>
      </c>
      <c r="E1506" t="s">
        <v>1613</v>
      </c>
      <c r="F1506">
        <v>18345</v>
      </c>
      <c r="G1506">
        <v>1</v>
      </c>
      <c r="H1506" t="s">
        <v>16</v>
      </c>
      <c r="I1506" s="1">
        <v>-780500</v>
      </c>
      <c r="J1506" s="1">
        <v>-3779400</v>
      </c>
      <c r="K1506">
        <v>485</v>
      </c>
      <c r="L1506">
        <v>436</v>
      </c>
      <c r="M1506" t="s">
        <v>16</v>
      </c>
    </row>
    <row r="1507" spans="1:13" x14ac:dyDescent="0.35">
      <c r="A1507">
        <v>260392</v>
      </c>
      <c r="B1507">
        <v>50393</v>
      </c>
      <c r="C1507" t="s">
        <v>1661</v>
      </c>
      <c r="D1507" t="s">
        <v>1609</v>
      </c>
      <c r="E1507" t="s">
        <v>1638</v>
      </c>
      <c r="F1507">
        <v>11689</v>
      </c>
      <c r="G1507">
        <v>1</v>
      </c>
      <c r="H1507" t="s">
        <v>16</v>
      </c>
      <c r="I1507" s="1">
        <v>-832200</v>
      </c>
      <c r="J1507" s="1">
        <v>-3874400</v>
      </c>
      <c r="K1507">
        <v>446</v>
      </c>
      <c r="L1507">
        <v>1010</v>
      </c>
      <c r="M1507" t="s">
        <v>16</v>
      </c>
    </row>
    <row r="1508" spans="1:13" x14ac:dyDescent="0.35">
      <c r="A1508">
        <v>260400</v>
      </c>
      <c r="B1508">
        <v>12904</v>
      </c>
      <c r="C1508" t="s">
        <v>1662</v>
      </c>
      <c r="D1508" t="s">
        <v>1609</v>
      </c>
      <c r="E1508" t="s">
        <v>1624</v>
      </c>
      <c r="F1508">
        <v>65390</v>
      </c>
      <c r="G1508">
        <v>2</v>
      </c>
      <c r="H1508" t="s">
        <v>16</v>
      </c>
      <c r="I1508" s="1">
        <v>-785100</v>
      </c>
      <c r="J1508" s="1">
        <v>-3525500</v>
      </c>
      <c r="K1508">
        <v>184</v>
      </c>
      <c r="L1508">
        <v>146</v>
      </c>
      <c r="M1508" t="s">
        <v>16</v>
      </c>
    </row>
    <row r="1509" spans="1:13" x14ac:dyDescent="0.35">
      <c r="A1509">
        <v>260410</v>
      </c>
      <c r="B1509">
        <v>12912</v>
      </c>
      <c r="C1509" t="s">
        <v>1663</v>
      </c>
      <c r="D1509" t="s">
        <v>1609</v>
      </c>
      <c r="E1509" t="s">
        <v>1622</v>
      </c>
      <c r="F1509">
        <v>289086</v>
      </c>
      <c r="G1509">
        <v>3</v>
      </c>
      <c r="H1509" t="s">
        <v>16</v>
      </c>
      <c r="I1509" s="1">
        <v>-828300</v>
      </c>
      <c r="J1509" s="1">
        <v>-3597600</v>
      </c>
      <c r="K1509">
        <v>554</v>
      </c>
      <c r="L1509">
        <v>920</v>
      </c>
      <c r="M1509" t="s">
        <v>16</v>
      </c>
    </row>
    <row r="1510" spans="1:13" x14ac:dyDescent="0.35">
      <c r="A1510">
        <v>260415</v>
      </c>
      <c r="B1510">
        <v>54216</v>
      </c>
      <c r="C1510" t="s">
        <v>1664</v>
      </c>
      <c r="D1510" t="s">
        <v>1609</v>
      </c>
      <c r="E1510" t="s">
        <v>1665</v>
      </c>
      <c r="F1510">
        <v>14103</v>
      </c>
      <c r="G1510">
        <v>1</v>
      </c>
      <c r="H1510" t="s">
        <v>16</v>
      </c>
      <c r="I1510" s="1">
        <v>-774100</v>
      </c>
      <c r="J1510" s="1">
        <v>-3572100</v>
      </c>
      <c r="K1510">
        <v>0</v>
      </c>
      <c r="L1510">
        <v>125</v>
      </c>
      <c r="M1510" t="s">
        <v>16</v>
      </c>
    </row>
    <row r="1511" spans="1:13" x14ac:dyDescent="0.35">
      <c r="A1511">
        <v>260420</v>
      </c>
      <c r="B1511">
        <v>12920</v>
      </c>
      <c r="C1511" t="s">
        <v>1666</v>
      </c>
      <c r="D1511" t="s">
        <v>1609</v>
      </c>
      <c r="E1511" t="s">
        <v>1619</v>
      </c>
      <c r="F1511">
        <v>33479</v>
      </c>
      <c r="G1511">
        <v>1</v>
      </c>
      <c r="H1511" t="s">
        <v>16</v>
      </c>
      <c r="I1511" s="1">
        <v>-866700</v>
      </c>
      <c r="J1511" s="1">
        <v>-3571700</v>
      </c>
      <c r="K1511">
        <v>168</v>
      </c>
      <c r="L1511">
        <v>206</v>
      </c>
      <c r="M1511" t="s">
        <v>16</v>
      </c>
    </row>
    <row r="1512" spans="1:13" x14ac:dyDescent="0.35">
      <c r="A1512">
        <v>260430</v>
      </c>
      <c r="B1512">
        <v>12939</v>
      </c>
      <c r="C1512" t="s">
        <v>1077</v>
      </c>
      <c r="D1512" t="s">
        <v>1609</v>
      </c>
      <c r="E1512" t="s">
        <v>1667</v>
      </c>
      <c r="F1512">
        <v>10240</v>
      </c>
      <c r="G1512">
        <v>1</v>
      </c>
      <c r="H1512" t="s">
        <v>16</v>
      </c>
      <c r="I1512" s="1">
        <v>-772200</v>
      </c>
      <c r="J1512" s="1">
        <v>-3923900</v>
      </c>
      <c r="K1512">
        <v>546</v>
      </c>
      <c r="L1512">
        <v>144</v>
      </c>
      <c r="M1512" t="s">
        <v>16</v>
      </c>
    </row>
    <row r="1513" spans="1:13" x14ac:dyDescent="0.35">
      <c r="A1513">
        <v>260440</v>
      </c>
      <c r="B1513">
        <v>12947</v>
      </c>
      <c r="C1513" t="s">
        <v>1668</v>
      </c>
      <c r="D1513" t="s">
        <v>1609</v>
      </c>
      <c r="E1513" t="s">
        <v>1669</v>
      </c>
      <c r="F1513">
        <v>11636</v>
      </c>
      <c r="G1513">
        <v>1</v>
      </c>
      <c r="H1513" t="s">
        <v>16</v>
      </c>
      <c r="I1513" s="1">
        <v>-800100</v>
      </c>
      <c r="J1513" s="1">
        <v>-3521300</v>
      </c>
      <c r="K1513">
        <v>160</v>
      </c>
      <c r="L1513">
        <v>48</v>
      </c>
      <c r="M1513" t="s">
        <v>16</v>
      </c>
    </row>
    <row r="1514" spans="1:13" x14ac:dyDescent="0.35">
      <c r="A1514">
        <v>260450</v>
      </c>
      <c r="B1514">
        <v>12955</v>
      </c>
      <c r="C1514" t="s">
        <v>1670</v>
      </c>
      <c r="D1514" t="s">
        <v>1609</v>
      </c>
      <c r="E1514" t="s">
        <v>1669</v>
      </c>
      <c r="F1514">
        <v>17563</v>
      </c>
      <c r="G1514">
        <v>1</v>
      </c>
      <c r="H1514" t="s">
        <v>16</v>
      </c>
      <c r="I1514" s="1">
        <v>-823800</v>
      </c>
      <c r="J1514" s="1">
        <v>-3546200</v>
      </c>
      <c r="K1514">
        <v>470</v>
      </c>
      <c r="L1514">
        <v>70</v>
      </c>
      <c r="M1514" t="s">
        <v>16</v>
      </c>
    </row>
    <row r="1515" spans="1:13" x14ac:dyDescent="0.35">
      <c r="A1515">
        <v>260460</v>
      </c>
      <c r="B1515">
        <v>12963</v>
      </c>
      <c r="C1515" t="s">
        <v>1464</v>
      </c>
      <c r="D1515" t="s">
        <v>1609</v>
      </c>
      <c r="E1515" t="s">
        <v>1624</v>
      </c>
      <c r="F1515">
        <v>23211</v>
      </c>
      <c r="G1515">
        <v>1</v>
      </c>
      <c r="H1515" t="s">
        <v>16</v>
      </c>
      <c r="I1515" s="1">
        <v>-758600</v>
      </c>
      <c r="J1515" s="1">
        <v>-3510600</v>
      </c>
      <c r="K1515">
        <v>129</v>
      </c>
      <c r="L1515">
        <v>89</v>
      </c>
      <c r="M1515" t="s">
        <v>16</v>
      </c>
    </row>
    <row r="1516" spans="1:13" x14ac:dyDescent="0.35">
      <c r="A1516">
        <v>260470</v>
      </c>
      <c r="B1516">
        <v>12971</v>
      </c>
      <c r="C1516" t="s">
        <v>1671</v>
      </c>
      <c r="D1516" t="s">
        <v>1609</v>
      </c>
      <c r="E1516" t="s">
        <v>1628</v>
      </c>
      <c r="F1516">
        <v>50000</v>
      </c>
      <c r="G1516">
        <v>1</v>
      </c>
      <c r="H1516" t="s">
        <v>16</v>
      </c>
      <c r="I1516" s="1">
        <v>-912900</v>
      </c>
      <c r="J1516" s="1">
        <v>-3633000</v>
      </c>
      <c r="K1516">
        <v>391</v>
      </c>
      <c r="L1516">
        <v>339</v>
      </c>
      <c r="M1516" t="s">
        <v>16</v>
      </c>
    </row>
    <row r="1517" spans="1:13" x14ac:dyDescent="0.35">
      <c r="A1517">
        <v>260480</v>
      </c>
      <c r="B1517">
        <v>12980</v>
      </c>
      <c r="C1517" t="s">
        <v>1672</v>
      </c>
      <c r="D1517" t="s">
        <v>1609</v>
      </c>
      <c r="E1517" t="s">
        <v>1619</v>
      </c>
      <c r="F1517">
        <v>50000</v>
      </c>
      <c r="G1517">
        <v>1</v>
      </c>
      <c r="H1517" t="s">
        <v>16</v>
      </c>
      <c r="I1517" s="1">
        <v>-847000</v>
      </c>
      <c r="J1517" s="1">
        <v>-3554100</v>
      </c>
      <c r="K1517">
        <v>302</v>
      </c>
      <c r="L1517">
        <v>101</v>
      </c>
      <c r="M1517" t="s">
        <v>16</v>
      </c>
    </row>
    <row r="1518" spans="1:13" x14ac:dyDescent="0.35">
      <c r="A1518">
        <v>260490</v>
      </c>
      <c r="B1518">
        <v>12998</v>
      </c>
      <c r="C1518" t="s">
        <v>1673</v>
      </c>
      <c r="D1518" t="s">
        <v>1609</v>
      </c>
      <c r="E1518" t="s">
        <v>1644</v>
      </c>
      <c r="F1518">
        <v>16388</v>
      </c>
      <c r="G1518">
        <v>1</v>
      </c>
      <c r="H1518" t="s">
        <v>16</v>
      </c>
      <c r="I1518" s="1">
        <v>-800600</v>
      </c>
      <c r="J1518" s="1">
        <v>-3569700</v>
      </c>
      <c r="K1518">
        <v>443</v>
      </c>
      <c r="L1518">
        <v>292</v>
      </c>
      <c r="M1518" t="s">
        <v>16</v>
      </c>
    </row>
    <row r="1519" spans="1:13" x14ac:dyDescent="0.35">
      <c r="A1519">
        <v>260500</v>
      </c>
      <c r="B1519">
        <v>13005</v>
      </c>
      <c r="C1519" t="s">
        <v>1674</v>
      </c>
      <c r="D1519" t="s">
        <v>1609</v>
      </c>
      <c r="E1519" t="s">
        <v>1617</v>
      </c>
      <c r="F1519">
        <v>22106</v>
      </c>
      <c r="G1519">
        <v>1</v>
      </c>
      <c r="H1519" t="s">
        <v>16</v>
      </c>
      <c r="I1519" s="1">
        <v>-861700</v>
      </c>
      <c r="J1519" s="1">
        <v>-3595000</v>
      </c>
      <c r="K1519">
        <v>416</v>
      </c>
      <c r="L1519">
        <v>105</v>
      </c>
      <c r="M1519" t="s">
        <v>16</v>
      </c>
    </row>
    <row r="1520" spans="1:13" x14ac:dyDescent="0.35">
      <c r="A1520">
        <v>260510</v>
      </c>
      <c r="B1520">
        <v>13013</v>
      </c>
      <c r="C1520" t="s">
        <v>1675</v>
      </c>
      <c r="D1520" t="s">
        <v>1609</v>
      </c>
      <c r="E1520" t="s">
        <v>1633</v>
      </c>
      <c r="F1520">
        <v>32157</v>
      </c>
      <c r="G1520">
        <v>1</v>
      </c>
      <c r="H1520" t="s">
        <v>16</v>
      </c>
      <c r="I1520" s="1">
        <v>-808800</v>
      </c>
      <c r="J1520" s="1">
        <v>-3764300</v>
      </c>
      <c r="K1520">
        <v>542</v>
      </c>
      <c r="L1520">
        <v>1404</v>
      </c>
      <c r="M1520" t="s">
        <v>16</v>
      </c>
    </row>
    <row r="1521" spans="1:13" x14ac:dyDescent="0.35">
      <c r="A1521">
        <v>260515</v>
      </c>
      <c r="B1521">
        <v>50407</v>
      </c>
      <c r="C1521" t="s">
        <v>1676</v>
      </c>
      <c r="D1521" t="s">
        <v>1609</v>
      </c>
      <c r="E1521" t="s">
        <v>1615</v>
      </c>
      <c r="F1521">
        <v>15595</v>
      </c>
      <c r="G1521">
        <v>1</v>
      </c>
      <c r="H1521" t="s">
        <v>16</v>
      </c>
      <c r="I1521" s="1">
        <v>-844700</v>
      </c>
      <c r="J1521" s="1">
        <v>-4077100</v>
      </c>
      <c r="K1521">
        <v>492</v>
      </c>
      <c r="L1521">
        <v>1537</v>
      </c>
      <c r="M1521" t="s">
        <v>16</v>
      </c>
    </row>
    <row r="1522" spans="1:13" x14ac:dyDescent="0.35">
      <c r="A1522">
        <v>260520</v>
      </c>
      <c r="B1522">
        <v>13021</v>
      </c>
      <c r="C1522" t="s">
        <v>1677</v>
      </c>
      <c r="D1522" t="s">
        <v>1609</v>
      </c>
      <c r="E1522" t="s">
        <v>1619</v>
      </c>
      <c r="F1522">
        <v>59850</v>
      </c>
      <c r="G1522">
        <v>2</v>
      </c>
      <c r="H1522" t="s">
        <v>16</v>
      </c>
      <c r="I1522" s="1">
        <v>-835900</v>
      </c>
      <c r="J1522" s="1">
        <v>-3522400</v>
      </c>
      <c r="K1522">
        <v>109</v>
      </c>
      <c r="L1522">
        <v>347</v>
      </c>
      <c r="M1522" t="s">
        <v>16</v>
      </c>
    </row>
    <row r="1523" spans="1:13" x14ac:dyDescent="0.35">
      <c r="A1523">
        <v>260530</v>
      </c>
      <c r="B1523">
        <v>13030</v>
      </c>
      <c r="C1523" t="s">
        <v>1678</v>
      </c>
      <c r="D1523" t="s">
        <v>1609</v>
      </c>
      <c r="E1523" t="s">
        <v>1631</v>
      </c>
      <c r="F1523">
        <v>30567</v>
      </c>
      <c r="G1523">
        <v>1</v>
      </c>
      <c r="H1523" t="s">
        <v>16</v>
      </c>
      <c r="I1523" s="1">
        <v>-751200</v>
      </c>
      <c r="J1523" s="1">
        <v>-3972400</v>
      </c>
      <c r="K1523">
        <v>523</v>
      </c>
      <c r="L1523">
        <v>1473</v>
      </c>
      <c r="M1523" t="s">
        <v>16</v>
      </c>
    </row>
    <row r="1524" spans="1:13" x14ac:dyDescent="0.35">
      <c r="A1524">
        <v>260540</v>
      </c>
      <c r="B1524">
        <v>13048</v>
      </c>
      <c r="C1524" t="s">
        <v>1679</v>
      </c>
      <c r="D1524" t="s">
        <v>1609</v>
      </c>
      <c r="E1524" t="s">
        <v>1644</v>
      </c>
      <c r="F1524">
        <v>19276</v>
      </c>
      <c r="G1524">
        <v>1</v>
      </c>
      <c r="H1524" t="s">
        <v>16</v>
      </c>
      <c r="I1524" s="1">
        <v>-795100</v>
      </c>
      <c r="J1524" s="1">
        <v>-3538900</v>
      </c>
      <c r="K1524">
        <v>154</v>
      </c>
      <c r="L1524">
        <v>107</v>
      </c>
      <c r="M1524" t="s">
        <v>16</v>
      </c>
    </row>
    <row r="1525" spans="1:13" x14ac:dyDescent="0.35">
      <c r="A1525">
        <v>260545</v>
      </c>
      <c r="B1525">
        <v>53546</v>
      </c>
      <c r="C1525" t="s">
        <v>1680</v>
      </c>
      <c r="D1525" t="s">
        <v>1609</v>
      </c>
      <c r="E1525" t="s">
        <v>1680</v>
      </c>
      <c r="F1525">
        <v>2801</v>
      </c>
      <c r="G1525">
        <v>1</v>
      </c>
      <c r="H1525" t="s">
        <v>16</v>
      </c>
      <c r="I1525" s="1">
        <v>-384000</v>
      </c>
      <c r="J1525" s="1">
        <v>-3241100</v>
      </c>
      <c r="K1525">
        <v>38</v>
      </c>
      <c r="L1525">
        <v>16</v>
      </c>
      <c r="M1525" t="s">
        <v>16</v>
      </c>
    </row>
    <row r="1526" spans="1:13" x14ac:dyDescent="0.35">
      <c r="A1526">
        <v>260550</v>
      </c>
      <c r="B1526">
        <v>13056</v>
      </c>
      <c r="C1526" t="s">
        <v>1681</v>
      </c>
      <c r="D1526" t="s">
        <v>1609</v>
      </c>
      <c r="E1526" t="s">
        <v>1624</v>
      </c>
      <c r="F1526">
        <v>11002</v>
      </c>
      <c r="G1526">
        <v>1</v>
      </c>
      <c r="H1526" t="s">
        <v>16</v>
      </c>
      <c r="I1526" s="1">
        <v>-744800</v>
      </c>
      <c r="J1526" s="1">
        <v>-3524400</v>
      </c>
      <c r="K1526">
        <v>96</v>
      </c>
      <c r="L1526">
        <v>92</v>
      </c>
      <c r="M1526" t="s">
        <v>16</v>
      </c>
    </row>
    <row r="1527" spans="1:13" x14ac:dyDescent="0.35">
      <c r="A1527">
        <v>260560</v>
      </c>
      <c r="B1527">
        <v>13064</v>
      </c>
      <c r="C1527" t="s">
        <v>1682</v>
      </c>
      <c r="D1527" t="s">
        <v>1609</v>
      </c>
      <c r="E1527" t="s">
        <v>1613</v>
      </c>
      <c r="F1527">
        <v>21962</v>
      </c>
      <c r="G1527">
        <v>1</v>
      </c>
      <c r="H1527" t="s">
        <v>16</v>
      </c>
      <c r="I1527" s="1">
        <v>-786600</v>
      </c>
      <c r="J1527" s="1">
        <v>-3797500</v>
      </c>
      <c r="K1527">
        <v>466</v>
      </c>
      <c r="L1527">
        <v>953</v>
      </c>
      <c r="M1527" t="s">
        <v>16</v>
      </c>
    </row>
    <row r="1528" spans="1:13" x14ac:dyDescent="0.35">
      <c r="A1528">
        <v>260570</v>
      </c>
      <c r="B1528">
        <v>13072</v>
      </c>
      <c r="C1528" t="s">
        <v>1683</v>
      </c>
      <c r="D1528" t="s">
        <v>1609</v>
      </c>
      <c r="E1528" t="s">
        <v>1638</v>
      </c>
      <c r="F1528">
        <v>26648</v>
      </c>
      <c r="G1528">
        <v>1</v>
      </c>
      <c r="H1528" t="s">
        <v>16</v>
      </c>
      <c r="I1528" s="1">
        <v>-860100</v>
      </c>
      <c r="J1528" s="1">
        <v>-3856800</v>
      </c>
      <c r="K1528">
        <v>316</v>
      </c>
      <c r="L1528">
        <v>3643</v>
      </c>
      <c r="M1528" t="s">
        <v>16</v>
      </c>
    </row>
    <row r="1529" spans="1:13" x14ac:dyDescent="0.35">
      <c r="A1529">
        <v>260580</v>
      </c>
      <c r="B1529">
        <v>13080</v>
      </c>
      <c r="C1529" t="s">
        <v>1684</v>
      </c>
      <c r="D1529" t="s">
        <v>1609</v>
      </c>
      <c r="E1529" t="s">
        <v>1665</v>
      </c>
      <c r="F1529">
        <v>14067</v>
      </c>
      <c r="G1529">
        <v>1</v>
      </c>
      <c r="H1529" t="s">
        <v>16</v>
      </c>
      <c r="I1529" s="1">
        <v>-794000</v>
      </c>
      <c r="J1529" s="1">
        <v>-3591200</v>
      </c>
      <c r="K1529">
        <v>370</v>
      </c>
      <c r="L1529">
        <v>212</v>
      </c>
      <c r="M1529" t="s">
        <v>16</v>
      </c>
    </row>
    <row r="1530" spans="1:13" x14ac:dyDescent="0.35">
      <c r="A1530">
        <v>260590</v>
      </c>
      <c r="B1530">
        <v>13099</v>
      </c>
      <c r="C1530" t="s">
        <v>1685</v>
      </c>
      <c r="D1530" t="s">
        <v>1609</v>
      </c>
      <c r="E1530" t="s">
        <v>1619</v>
      </c>
      <c r="F1530">
        <v>50000</v>
      </c>
      <c r="G1530">
        <v>1</v>
      </c>
      <c r="H1530" t="s">
        <v>16</v>
      </c>
      <c r="I1530" s="1">
        <v>-858400</v>
      </c>
      <c r="J1530" s="1">
        <v>-3538700</v>
      </c>
      <c r="K1530">
        <v>101</v>
      </c>
      <c r="L1530">
        <v>257</v>
      </c>
      <c r="M1530" t="s">
        <v>16</v>
      </c>
    </row>
    <row r="1531" spans="1:13" x14ac:dyDescent="0.35">
      <c r="A1531">
        <v>260600</v>
      </c>
      <c r="B1531">
        <v>13102</v>
      </c>
      <c r="C1531" t="s">
        <v>1628</v>
      </c>
      <c r="D1531" t="s">
        <v>1609</v>
      </c>
      <c r="E1531" t="s">
        <v>1628</v>
      </c>
      <c r="F1531">
        <v>124996</v>
      </c>
      <c r="G1531">
        <v>3</v>
      </c>
      <c r="H1531" t="s">
        <v>16</v>
      </c>
      <c r="I1531" s="1">
        <v>-889000</v>
      </c>
      <c r="J1531" s="1">
        <v>-3649300</v>
      </c>
      <c r="K1531">
        <v>842</v>
      </c>
      <c r="L1531">
        <v>472</v>
      </c>
      <c r="M1531" t="s">
        <v>16</v>
      </c>
    </row>
    <row r="1532" spans="1:13" x14ac:dyDescent="0.35">
      <c r="A1532">
        <v>260610</v>
      </c>
      <c r="B1532">
        <v>13110</v>
      </c>
      <c r="C1532" t="s">
        <v>1686</v>
      </c>
      <c r="D1532" t="s">
        <v>1609</v>
      </c>
      <c r="E1532" t="s">
        <v>1669</v>
      </c>
      <c r="F1532">
        <v>27397</v>
      </c>
      <c r="G1532">
        <v>1</v>
      </c>
      <c r="H1532" t="s">
        <v>16</v>
      </c>
      <c r="I1532" s="1">
        <v>-800200</v>
      </c>
      <c r="J1532" s="1">
        <v>-3529300</v>
      </c>
      <c r="K1532">
        <v>158</v>
      </c>
      <c r="L1532">
        <v>231</v>
      </c>
      <c r="M1532" t="s">
        <v>16</v>
      </c>
    </row>
    <row r="1533" spans="1:13" x14ac:dyDescent="0.35">
      <c r="A1533">
        <v>260620</v>
      </c>
      <c r="B1533">
        <v>13129</v>
      </c>
      <c r="C1533" t="s">
        <v>1687</v>
      </c>
      <c r="D1533" t="s">
        <v>1609</v>
      </c>
      <c r="E1533" t="s">
        <v>1624</v>
      </c>
      <c r="F1533">
        <v>71796</v>
      </c>
      <c r="G1533">
        <v>2</v>
      </c>
      <c r="H1533" t="s">
        <v>16</v>
      </c>
      <c r="I1533" s="1">
        <v>-756100</v>
      </c>
      <c r="J1533" s="1">
        <v>-3500300</v>
      </c>
      <c r="K1533">
        <v>13</v>
      </c>
      <c r="L1533">
        <v>501</v>
      </c>
      <c r="M1533" t="s">
        <v>16</v>
      </c>
    </row>
    <row r="1534" spans="1:13" x14ac:dyDescent="0.35">
      <c r="A1534">
        <v>260630</v>
      </c>
      <c r="B1534">
        <v>13137</v>
      </c>
      <c r="C1534" t="s">
        <v>1688</v>
      </c>
      <c r="D1534" t="s">
        <v>1609</v>
      </c>
      <c r="E1534" t="s">
        <v>1631</v>
      </c>
      <c r="F1534">
        <v>6593</v>
      </c>
      <c r="G1534">
        <v>1</v>
      </c>
      <c r="H1534" t="s">
        <v>16</v>
      </c>
      <c r="I1534" s="1">
        <v>-771600</v>
      </c>
      <c r="J1534" s="1">
        <v>-3961500</v>
      </c>
      <c r="K1534">
        <v>447</v>
      </c>
      <c r="L1534">
        <v>521</v>
      </c>
      <c r="M1534" t="s">
        <v>16</v>
      </c>
    </row>
    <row r="1535" spans="1:13" x14ac:dyDescent="0.35">
      <c r="A1535">
        <v>260640</v>
      </c>
      <c r="B1535">
        <v>13145</v>
      </c>
      <c r="C1535" t="s">
        <v>1689</v>
      </c>
      <c r="D1535" t="s">
        <v>1609</v>
      </c>
      <c r="E1535" t="s">
        <v>1622</v>
      </c>
      <c r="F1535">
        <v>71570</v>
      </c>
      <c r="G1535">
        <v>2</v>
      </c>
      <c r="H1535" t="s">
        <v>16</v>
      </c>
      <c r="I1535" s="1">
        <v>-820100</v>
      </c>
      <c r="J1535" s="1">
        <v>-3556500</v>
      </c>
      <c r="K1535">
        <v>447</v>
      </c>
      <c r="L1535">
        <v>513</v>
      </c>
      <c r="M1535" t="s">
        <v>16</v>
      </c>
    </row>
    <row r="1536" spans="1:13" x14ac:dyDescent="0.35">
      <c r="A1536">
        <v>260650</v>
      </c>
      <c r="B1536">
        <v>13153</v>
      </c>
      <c r="C1536" t="s">
        <v>1690</v>
      </c>
      <c r="D1536" t="s">
        <v>1609</v>
      </c>
      <c r="E1536" t="s">
        <v>1628</v>
      </c>
      <c r="F1536">
        <v>17733</v>
      </c>
      <c r="G1536">
        <v>1</v>
      </c>
      <c r="H1536" t="s">
        <v>16</v>
      </c>
      <c r="I1536" s="1">
        <v>-904600</v>
      </c>
      <c r="J1536" s="1">
        <v>-3684600</v>
      </c>
      <c r="K1536">
        <v>487</v>
      </c>
      <c r="L1536">
        <v>635</v>
      </c>
      <c r="M1536" t="s">
        <v>16</v>
      </c>
    </row>
    <row r="1537" spans="1:13" x14ac:dyDescent="0.35">
      <c r="A1537">
        <v>260660</v>
      </c>
      <c r="B1537">
        <v>13161</v>
      </c>
      <c r="C1537" t="s">
        <v>1691</v>
      </c>
      <c r="D1537" t="s">
        <v>1609</v>
      </c>
      <c r="E1537" t="s">
        <v>1633</v>
      </c>
      <c r="F1537">
        <v>27261</v>
      </c>
      <c r="G1537">
        <v>1</v>
      </c>
      <c r="H1537" t="s">
        <v>16</v>
      </c>
      <c r="I1537" s="1">
        <v>-854100</v>
      </c>
      <c r="J1537" s="1">
        <v>-3769000</v>
      </c>
      <c r="K1537">
        <v>401</v>
      </c>
      <c r="L1537">
        <v>2033</v>
      </c>
      <c r="M1537" t="s">
        <v>16</v>
      </c>
    </row>
    <row r="1538" spans="1:13" x14ac:dyDescent="0.35">
      <c r="A1538">
        <v>260670</v>
      </c>
      <c r="B1538">
        <v>13170</v>
      </c>
      <c r="C1538" t="s">
        <v>1692</v>
      </c>
      <c r="D1538" t="s">
        <v>1609</v>
      </c>
      <c r="E1538" t="s">
        <v>1617</v>
      </c>
      <c r="F1538">
        <v>7545</v>
      </c>
      <c r="G1538">
        <v>1</v>
      </c>
      <c r="H1538" t="s">
        <v>16</v>
      </c>
      <c r="I1538" s="1">
        <v>-858100</v>
      </c>
      <c r="J1538" s="1">
        <v>-3617900</v>
      </c>
      <c r="K1538">
        <v>612</v>
      </c>
      <c r="L1538">
        <v>189</v>
      </c>
      <c r="M1538" t="s">
        <v>16</v>
      </c>
    </row>
    <row r="1539" spans="1:13" x14ac:dyDescent="0.35">
      <c r="A1539">
        <v>260680</v>
      </c>
      <c r="B1539">
        <v>13188</v>
      </c>
      <c r="C1539" t="s">
        <v>1693</v>
      </c>
      <c r="D1539" t="s">
        <v>1609</v>
      </c>
      <c r="E1539" t="s">
        <v>1630</v>
      </c>
      <c r="F1539">
        <v>93748</v>
      </c>
      <c r="G1539">
        <v>4</v>
      </c>
      <c r="H1539" t="s">
        <v>1611</v>
      </c>
      <c r="I1539" s="1">
        <v>-783400</v>
      </c>
      <c r="J1539" s="1">
        <v>-3490600</v>
      </c>
      <c r="K1539">
        <v>19</v>
      </c>
      <c r="L1539">
        <v>305</v>
      </c>
      <c r="M1539" t="s">
        <v>16</v>
      </c>
    </row>
    <row r="1540" spans="1:13" x14ac:dyDescent="0.35">
      <c r="A1540">
        <v>260690</v>
      </c>
      <c r="B1540">
        <v>13196</v>
      </c>
      <c r="C1540" t="s">
        <v>1694</v>
      </c>
      <c r="D1540" t="s">
        <v>1609</v>
      </c>
      <c r="E1540" t="s">
        <v>1613</v>
      </c>
      <c r="F1540">
        <v>11880</v>
      </c>
      <c r="G1540">
        <v>1</v>
      </c>
      <c r="H1540" t="s">
        <v>16</v>
      </c>
      <c r="I1540" s="1">
        <v>-783500</v>
      </c>
      <c r="J1540" s="1">
        <v>-3751500</v>
      </c>
      <c r="K1540">
        <v>571</v>
      </c>
      <c r="L1540">
        <v>838</v>
      </c>
      <c r="M1540" t="s">
        <v>16</v>
      </c>
    </row>
    <row r="1541" spans="1:13" x14ac:dyDescent="0.35">
      <c r="A1541">
        <v>260700</v>
      </c>
      <c r="B1541">
        <v>13200</v>
      </c>
      <c r="C1541" t="s">
        <v>1695</v>
      </c>
      <c r="D1541" t="s">
        <v>1609</v>
      </c>
      <c r="E1541" t="s">
        <v>1633</v>
      </c>
      <c r="F1541">
        <v>14036</v>
      </c>
      <c r="G1541">
        <v>1</v>
      </c>
      <c r="H1541" t="s">
        <v>16</v>
      </c>
      <c r="I1541" s="1">
        <v>-890300</v>
      </c>
      <c r="J1541" s="1">
        <v>-3782700</v>
      </c>
      <c r="K1541">
        <v>355</v>
      </c>
      <c r="L1541">
        <v>1182</v>
      </c>
      <c r="M1541" t="s">
        <v>16</v>
      </c>
    </row>
    <row r="1542" spans="1:13" x14ac:dyDescent="0.35">
      <c r="A1542">
        <v>260710</v>
      </c>
      <c r="B1542">
        <v>13218</v>
      </c>
      <c r="C1542" t="s">
        <v>1696</v>
      </c>
      <c r="D1542" t="s">
        <v>1609</v>
      </c>
      <c r="E1542" t="s">
        <v>1613</v>
      </c>
      <c r="F1542">
        <v>4444</v>
      </c>
      <c r="G1542">
        <v>1</v>
      </c>
      <c r="H1542" t="s">
        <v>16</v>
      </c>
      <c r="I1542" s="1">
        <v>-767600</v>
      </c>
      <c r="J1542" s="1">
        <v>-3746000</v>
      </c>
      <c r="K1542">
        <v>534</v>
      </c>
      <c r="L1542">
        <v>243</v>
      </c>
      <c r="M1542" t="s">
        <v>16</v>
      </c>
    </row>
    <row r="1543" spans="1:13" x14ac:dyDescent="0.35">
      <c r="A1543">
        <v>260720</v>
      </c>
      <c r="B1543">
        <v>13226</v>
      </c>
      <c r="C1543" t="s">
        <v>1697</v>
      </c>
      <c r="D1543" t="s">
        <v>1609</v>
      </c>
      <c r="E1543" t="s">
        <v>1650</v>
      </c>
      <c r="F1543">
        <v>70070</v>
      </c>
      <c r="G1543">
        <v>4</v>
      </c>
      <c r="H1543" t="s">
        <v>1611</v>
      </c>
      <c r="I1543" s="1">
        <v>-839900</v>
      </c>
      <c r="J1543" s="1">
        <v>-3506400</v>
      </c>
      <c r="K1543">
        <v>10</v>
      </c>
      <c r="L1543">
        <v>527</v>
      </c>
      <c r="M1543" t="s">
        <v>16</v>
      </c>
    </row>
    <row r="1544" spans="1:13" x14ac:dyDescent="0.35">
      <c r="A1544">
        <v>260730</v>
      </c>
      <c r="B1544">
        <v>13234</v>
      </c>
      <c r="C1544" t="s">
        <v>1698</v>
      </c>
      <c r="D1544" t="s">
        <v>1609</v>
      </c>
      <c r="E1544" t="s">
        <v>1631</v>
      </c>
      <c r="F1544">
        <v>25718</v>
      </c>
      <c r="G1544">
        <v>1</v>
      </c>
      <c r="H1544" t="s">
        <v>16</v>
      </c>
      <c r="I1544" s="1">
        <v>-765200</v>
      </c>
      <c r="J1544" s="1">
        <v>-4014900</v>
      </c>
      <c r="K1544">
        <v>535</v>
      </c>
      <c r="L1544">
        <v>665</v>
      </c>
      <c r="M1544" t="s">
        <v>16</v>
      </c>
    </row>
    <row r="1545" spans="1:13" x14ac:dyDescent="0.35">
      <c r="A1545">
        <v>260740</v>
      </c>
      <c r="B1545">
        <v>13242</v>
      </c>
      <c r="C1545" t="s">
        <v>1699</v>
      </c>
      <c r="D1545" t="s">
        <v>1609</v>
      </c>
      <c r="E1545" t="s">
        <v>1638</v>
      </c>
      <c r="F1545">
        <v>4097</v>
      </c>
      <c r="G1545">
        <v>1</v>
      </c>
      <c r="H1545" t="s">
        <v>16</v>
      </c>
      <c r="I1545" s="1">
        <v>-883400</v>
      </c>
      <c r="J1545" s="1">
        <v>-3870400</v>
      </c>
      <c r="K1545">
        <v>292</v>
      </c>
      <c r="L1545">
        <v>430</v>
      </c>
      <c r="M1545" t="s">
        <v>16</v>
      </c>
    </row>
    <row r="1546" spans="1:13" x14ac:dyDescent="0.35">
      <c r="A1546">
        <v>260750</v>
      </c>
      <c r="B1546">
        <v>13250</v>
      </c>
      <c r="C1546" t="s">
        <v>1700</v>
      </c>
      <c r="D1546" t="s">
        <v>1609</v>
      </c>
      <c r="E1546" t="s">
        <v>1621</v>
      </c>
      <c r="F1546">
        <v>26735</v>
      </c>
      <c r="G1546">
        <v>1</v>
      </c>
      <c r="H1546" t="s">
        <v>16</v>
      </c>
      <c r="I1546" s="1">
        <v>-894800</v>
      </c>
      <c r="J1546" s="1">
        <v>-3742300</v>
      </c>
      <c r="K1546">
        <v>478</v>
      </c>
      <c r="L1546">
        <v>1068</v>
      </c>
      <c r="M1546" t="s">
        <v>16</v>
      </c>
    </row>
    <row r="1547" spans="1:13" x14ac:dyDescent="0.35">
      <c r="A1547">
        <v>260760</v>
      </c>
      <c r="B1547">
        <v>13269</v>
      </c>
      <c r="C1547" t="s">
        <v>1701</v>
      </c>
      <c r="D1547" t="s">
        <v>1609</v>
      </c>
      <c r="E1547" t="s">
        <v>1630</v>
      </c>
      <c r="F1547">
        <v>17573</v>
      </c>
      <c r="G1547">
        <v>4</v>
      </c>
      <c r="H1547" t="s">
        <v>1611</v>
      </c>
      <c r="I1547" s="1">
        <v>-774800</v>
      </c>
      <c r="J1547" s="1">
        <v>-3482600</v>
      </c>
      <c r="K1547">
        <v>3</v>
      </c>
      <c r="L1547">
        <v>65</v>
      </c>
      <c r="M1547" t="s">
        <v>16</v>
      </c>
    </row>
    <row r="1548" spans="1:13" x14ac:dyDescent="0.35">
      <c r="A1548">
        <v>260765</v>
      </c>
      <c r="B1548">
        <v>13986</v>
      </c>
      <c r="C1548" t="s">
        <v>1702</v>
      </c>
      <c r="D1548" t="s">
        <v>1609</v>
      </c>
      <c r="E1548" t="s">
        <v>1624</v>
      </c>
      <c r="F1548">
        <v>34944</v>
      </c>
      <c r="G1548">
        <v>1</v>
      </c>
      <c r="H1548" t="s">
        <v>16</v>
      </c>
      <c r="I1548" s="1">
        <v>-741000</v>
      </c>
      <c r="J1548" s="1">
        <v>-3511300</v>
      </c>
      <c r="K1548">
        <v>179</v>
      </c>
      <c r="L1548">
        <v>304</v>
      </c>
      <c r="M1548" t="s">
        <v>16</v>
      </c>
    </row>
    <row r="1549" spans="1:13" x14ac:dyDescent="0.35">
      <c r="A1549">
        <v>260770</v>
      </c>
      <c r="B1549">
        <v>13277</v>
      </c>
      <c r="C1549" t="s">
        <v>1703</v>
      </c>
      <c r="D1549" t="s">
        <v>1609</v>
      </c>
      <c r="E1549" t="s">
        <v>1613</v>
      </c>
      <c r="F1549">
        <v>13849</v>
      </c>
      <c r="G1549">
        <v>1</v>
      </c>
      <c r="H1549" t="s">
        <v>16</v>
      </c>
      <c r="I1549" s="1">
        <v>-737800</v>
      </c>
      <c r="J1549" s="1">
        <v>-3719000</v>
      </c>
      <c r="K1549">
        <v>637</v>
      </c>
      <c r="L1549">
        <v>404</v>
      </c>
      <c r="M1549" t="s">
        <v>16</v>
      </c>
    </row>
    <row r="1550" spans="1:13" x14ac:dyDescent="0.35">
      <c r="A1550">
        <v>260775</v>
      </c>
      <c r="B1550">
        <v>14168</v>
      </c>
      <c r="C1550" t="s">
        <v>1704</v>
      </c>
      <c r="D1550" t="s">
        <v>1609</v>
      </c>
      <c r="E1550" t="s">
        <v>1630</v>
      </c>
      <c r="F1550">
        <v>22852</v>
      </c>
      <c r="G1550">
        <v>4</v>
      </c>
      <c r="H1550" t="s">
        <v>1611</v>
      </c>
      <c r="I1550" s="1">
        <v>-777600</v>
      </c>
      <c r="J1550" s="1">
        <v>-3489200</v>
      </c>
      <c r="K1550">
        <v>7</v>
      </c>
      <c r="L1550">
        <v>74</v>
      </c>
      <c r="M1550" t="s">
        <v>16</v>
      </c>
    </row>
    <row r="1551" spans="1:13" x14ac:dyDescent="0.35">
      <c r="A1551">
        <v>260780</v>
      </c>
      <c r="B1551">
        <v>13285</v>
      </c>
      <c r="C1551" t="s">
        <v>1705</v>
      </c>
      <c r="D1551" t="s">
        <v>1609</v>
      </c>
      <c r="E1551" t="s">
        <v>1624</v>
      </c>
      <c r="F1551">
        <v>14985</v>
      </c>
      <c r="G1551">
        <v>1</v>
      </c>
      <c r="H1551" t="s">
        <v>16</v>
      </c>
      <c r="I1551" s="1">
        <v>-766800</v>
      </c>
      <c r="J1551" s="1">
        <v>-3510200</v>
      </c>
      <c r="K1551">
        <v>88</v>
      </c>
      <c r="L1551">
        <v>103</v>
      </c>
      <c r="M1551" t="s">
        <v>16</v>
      </c>
    </row>
    <row r="1552" spans="1:13" x14ac:dyDescent="0.35">
      <c r="A1552">
        <v>260790</v>
      </c>
      <c r="B1552">
        <v>13293</v>
      </c>
      <c r="C1552" t="s">
        <v>1706</v>
      </c>
      <c r="D1552" t="s">
        <v>1609</v>
      </c>
      <c r="E1552" t="s">
        <v>1610</v>
      </c>
      <c r="F1552">
        <v>665387</v>
      </c>
      <c r="G1552">
        <v>4</v>
      </c>
      <c r="H1552" t="s">
        <v>1611</v>
      </c>
      <c r="I1552" s="1">
        <v>-811300</v>
      </c>
      <c r="J1552" s="1">
        <v>-3501500</v>
      </c>
      <c r="K1552">
        <v>76</v>
      </c>
      <c r="L1552">
        <v>256</v>
      </c>
      <c r="M1552" t="s">
        <v>16</v>
      </c>
    </row>
    <row r="1553" spans="1:13" x14ac:dyDescent="0.35">
      <c r="A1553">
        <v>260795</v>
      </c>
      <c r="B1553">
        <v>54208</v>
      </c>
      <c r="C1553" t="s">
        <v>1707</v>
      </c>
      <c r="D1553" t="s">
        <v>1609</v>
      </c>
      <c r="E1553" t="s">
        <v>1619</v>
      </c>
      <c r="F1553">
        <v>50000</v>
      </c>
      <c r="G1553">
        <v>1</v>
      </c>
      <c r="H1553" t="s">
        <v>16</v>
      </c>
      <c r="I1553" s="1">
        <v>-872700</v>
      </c>
      <c r="J1553" s="1">
        <v>-3579300</v>
      </c>
      <c r="K1553">
        <v>0</v>
      </c>
      <c r="L1553">
        <v>89</v>
      </c>
      <c r="M1553" t="s">
        <v>16</v>
      </c>
    </row>
    <row r="1554" spans="1:13" x14ac:dyDescent="0.35">
      <c r="A1554">
        <v>260800</v>
      </c>
      <c r="B1554">
        <v>13307</v>
      </c>
      <c r="C1554" t="s">
        <v>1708</v>
      </c>
      <c r="D1554" t="s">
        <v>1609</v>
      </c>
      <c r="E1554" t="s">
        <v>1622</v>
      </c>
      <c r="F1554">
        <v>14813</v>
      </c>
      <c r="G1554">
        <v>1</v>
      </c>
      <c r="H1554" t="s">
        <v>16</v>
      </c>
      <c r="I1554" s="1">
        <v>-799000</v>
      </c>
      <c r="J1554" s="1">
        <v>-3649600</v>
      </c>
      <c r="K1554">
        <v>516</v>
      </c>
      <c r="L1554">
        <v>719</v>
      </c>
      <c r="M1554" t="s">
        <v>16</v>
      </c>
    </row>
    <row r="1555" spans="1:13" x14ac:dyDescent="0.35">
      <c r="A1555">
        <v>260805</v>
      </c>
      <c r="B1555">
        <v>54224</v>
      </c>
      <c r="C1555" t="s">
        <v>652</v>
      </c>
      <c r="D1555" t="s">
        <v>1609</v>
      </c>
      <c r="E1555" t="s">
        <v>1638</v>
      </c>
      <c r="F1555">
        <v>13797</v>
      </c>
      <c r="G1555">
        <v>1</v>
      </c>
      <c r="H1555" t="s">
        <v>16</v>
      </c>
      <c r="I1555" s="1">
        <v>-918300</v>
      </c>
      <c r="J1555" s="1">
        <v>-3826900</v>
      </c>
      <c r="K1555">
        <v>280</v>
      </c>
      <c r="L1555">
        <v>277</v>
      </c>
      <c r="M1555" t="s">
        <v>16</v>
      </c>
    </row>
    <row r="1556" spans="1:13" x14ac:dyDescent="0.35">
      <c r="A1556">
        <v>260810</v>
      </c>
      <c r="B1556">
        <v>13315</v>
      </c>
      <c r="C1556" t="s">
        <v>1709</v>
      </c>
      <c r="D1556" t="s">
        <v>1609</v>
      </c>
      <c r="E1556" t="s">
        <v>1644</v>
      </c>
      <c r="F1556">
        <v>28488</v>
      </c>
      <c r="G1556">
        <v>1</v>
      </c>
      <c r="H1556" t="s">
        <v>16</v>
      </c>
      <c r="I1556" s="1">
        <v>-785600</v>
      </c>
      <c r="J1556" s="1">
        <v>-3558800</v>
      </c>
      <c r="K1556">
        <v>328</v>
      </c>
      <c r="L1556">
        <v>133</v>
      </c>
      <c r="M1556" t="s">
        <v>16</v>
      </c>
    </row>
    <row r="1557" spans="1:13" x14ac:dyDescent="0.35">
      <c r="A1557">
        <v>260820</v>
      </c>
      <c r="B1557">
        <v>13323</v>
      </c>
      <c r="C1557" t="s">
        <v>1710</v>
      </c>
      <c r="D1557" t="s">
        <v>1609</v>
      </c>
      <c r="E1557" t="s">
        <v>1619</v>
      </c>
      <c r="F1557">
        <v>50000</v>
      </c>
      <c r="G1557">
        <v>1</v>
      </c>
      <c r="H1557" t="s">
        <v>16</v>
      </c>
      <c r="I1557" s="1">
        <v>-862400</v>
      </c>
      <c r="J1557" s="1">
        <v>-3553300</v>
      </c>
      <c r="K1557">
        <v>152</v>
      </c>
      <c r="L1557">
        <v>121</v>
      </c>
      <c r="M1557" t="s">
        <v>16</v>
      </c>
    </row>
    <row r="1558" spans="1:13" x14ac:dyDescent="0.35">
      <c r="A1558">
        <v>260825</v>
      </c>
      <c r="B1558">
        <v>50415</v>
      </c>
      <c r="C1558" t="s">
        <v>1711</v>
      </c>
      <c r="D1558" t="s">
        <v>1609</v>
      </c>
      <c r="E1558" t="s">
        <v>1628</v>
      </c>
      <c r="F1558">
        <v>10500</v>
      </c>
      <c r="G1558">
        <v>1</v>
      </c>
      <c r="H1558" t="s">
        <v>16</v>
      </c>
      <c r="I1558" s="1">
        <v>-870600</v>
      </c>
      <c r="J1558" s="1">
        <v>-3648900</v>
      </c>
      <c r="K1558">
        <v>820</v>
      </c>
      <c r="L1558">
        <v>120</v>
      </c>
      <c r="M1558" t="s">
        <v>16</v>
      </c>
    </row>
    <row r="1559" spans="1:13" x14ac:dyDescent="0.35">
      <c r="A1559">
        <v>260830</v>
      </c>
      <c r="B1559">
        <v>13331</v>
      </c>
      <c r="C1559" t="s">
        <v>1712</v>
      </c>
      <c r="D1559" t="s">
        <v>1609</v>
      </c>
      <c r="E1559" t="s">
        <v>1628</v>
      </c>
      <c r="F1559">
        <v>13628</v>
      </c>
      <c r="G1559">
        <v>1</v>
      </c>
      <c r="H1559" t="s">
        <v>16</v>
      </c>
      <c r="I1559" s="1">
        <v>-871200</v>
      </c>
      <c r="J1559" s="1">
        <v>-3641500</v>
      </c>
      <c r="K1559">
        <v>782</v>
      </c>
      <c r="L1559">
        <v>112</v>
      </c>
      <c r="M1559" t="s">
        <v>16</v>
      </c>
    </row>
    <row r="1560" spans="1:13" x14ac:dyDescent="0.35">
      <c r="A1560">
        <v>260840</v>
      </c>
      <c r="B1560">
        <v>13340</v>
      </c>
      <c r="C1560" t="s">
        <v>897</v>
      </c>
      <c r="D1560" t="s">
        <v>1609</v>
      </c>
      <c r="E1560" t="s">
        <v>1628</v>
      </c>
      <c r="F1560">
        <v>50000</v>
      </c>
      <c r="G1560">
        <v>1</v>
      </c>
      <c r="H1560" t="s">
        <v>16</v>
      </c>
      <c r="I1560" s="1">
        <v>-871800</v>
      </c>
      <c r="J1560" s="1">
        <v>-3613600</v>
      </c>
      <c r="K1560">
        <v>723</v>
      </c>
      <c r="L1560">
        <v>148</v>
      </c>
      <c r="M1560" t="s">
        <v>16</v>
      </c>
    </row>
    <row r="1561" spans="1:13" x14ac:dyDescent="0.35">
      <c r="A1561">
        <v>260845</v>
      </c>
      <c r="B1561">
        <v>50423</v>
      </c>
      <c r="C1561" t="s">
        <v>1713</v>
      </c>
      <c r="D1561" t="s">
        <v>1609</v>
      </c>
      <c r="E1561" t="s">
        <v>1624</v>
      </c>
      <c r="F1561">
        <v>14380</v>
      </c>
      <c r="G1561">
        <v>1</v>
      </c>
      <c r="H1561" t="s">
        <v>16</v>
      </c>
      <c r="I1561" s="1">
        <v>-784500</v>
      </c>
      <c r="J1561" s="1">
        <v>-3532000</v>
      </c>
      <c r="K1561">
        <v>128</v>
      </c>
      <c r="L1561">
        <v>69</v>
      </c>
      <c r="M1561" t="s">
        <v>16</v>
      </c>
    </row>
    <row r="1562" spans="1:13" x14ac:dyDescent="0.35">
      <c r="A1562">
        <v>260850</v>
      </c>
      <c r="B1562">
        <v>13358</v>
      </c>
      <c r="C1562" t="s">
        <v>1714</v>
      </c>
      <c r="D1562" t="s">
        <v>1609</v>
      </c>
      <c r="E1562" t="s">
        <v>1624</v>
      </c>
      <c r="F1562">
        <v>19987</v>
      </c>
      <c r="G1562">
        <v>1</v>
      </c>
      <c r="H1562" t="s">
        <v>16</v>
      </c>
      <c r="I1562" s="1">
        <v>-793600</v>
      </c>
      <c r="J1562" s="1">
        <v>-3529000</v>
      </c>
      <c r="K1562">
        <v>183</v>
      </c>
      <c r="L1562">
        <v>57</v>
      </c>
      <c r="M1562" t="s">
        <v>16</v>
      </c>
    </row>
    <row r="1563" spans="1:13" x14ac:dyDescent="0.35">
      <c r="A1563">
        <v>260860</v>
      </c>
      <c r="B1563">
        <v>13366</v>
      </c>
      <c r="C1563" t="s">
        <v>1715</v>
      </c>
      <c r="D1563" t="s">
        <v>1609</v>
      </c>
      <c r="E1563" t="s">
        <v>1628</v>
      </c>
      <c r="F1563">
        <v>11655</v>
      </c>
      <c r="G1563">
        <v>1</v>
      </c>
      <c r="H1563" t="s">
        <v>16</v>
      </c>
      <c r="I1563" s="1">
        <v>-912700</v>
      </c>
      <c r="J1563" s="1">
        <v>-3645900</v>
      </c>
      <c r="K1563">
        <v>653</v>
      </c>
      <c r="L1563">
        <v>198</v>
      </c>
      <c r="M1563" t="s">
        <v>16</v>
      </c>
    </row>
    <row r="1564" spans="1:13" x14ac:dyDescent="0.35">
      <c r="A1564">
        <v>260870</v>
      </c>
      <c r="B1564">
        <v>13374</v>
      </c>
      <c r="C1564" t="s">
        <v>1716</v>
      </c>
      <c r="D1564" t="s">
        <v>1609</v>
      </c>
      <c r="E1564" t="s">
        <v>1617</v>
      </c>
      <c r="F1564">
        <v>15967</v>
      </c>
      <c r="G1564">
        <v>1</v>
      </c>
      <c r="H1564" t="s">
        <v>16</v>
      </c>
      <c r="I1564" s="1">
        <v>-865800</v>
      </c>
      <c r="J1564" s="1">
        <v>-3590000</v>
      </c>
      <c r="K1564">
        <v>464</v>
      </c>
      <c r="L1564">
        <v>233</v>
      </c>
      <c r="M1564" t="s">
        <v>16</v>
      </c>
    </row>
    <row r="1565" spans="1:13" x14ac:dyDescent="0.35">
      <c r="A1565">
        <v>260875</v>
      </c>
      <c r="B1565">
        <v>54232</v>
      </c>
      <c r="C1565" t="s">
        <v>1717</v>
      </c>
      <c r="D1565" t="s">
        <v>1609</v>
      </c>
      <c r="E1565" t="s">
        <v>1615</v>
      </c>
      <c r="F1565">
        <v>21125</v>
      </c>
      <c r="G1565">
        <v>4</v>
      </c>
      <c r="H1565" t="s">
        <v>1718</v>
      </c>
      <c r="I1565" s="1">
        <v>-899700</v>
      </c>
      <c r="J1565" s="1">
        <v>-4027200</v>
      </c>
      <c r="K1565">
        <v>300</v>
      </c>
      <c r="L1565">
        <v>1852</v>
      </c>
      <c r="M1565" t="s">
        <v>16</v>
      </c>
    </row>
    <row r="1566" spans="1:13" x14ac:dyDescent="0.35">
      <c r="A1566">
        <v>260880</v>
      </c>
      <c r="B1566">
        <v>13382</v>
      </c>
      <c r="C1566" t="s">
        <v>1719</v>
      </c>
      <c r="D1566" t="s">
        <v>1609</v>
      </c>
      <c r="E1566" t="s">
        <v>1628</v>
      </c>
      <c r="F1566">
        <v>33348</v>
      </c>
      <c r="G1566">
        <v>1</v>
      </c>
      <c r="H1566" t="s">
        <v>16</v>
      </c>
      <c r="I1566" s="1">
        <v>-866400</v>
      </c>
      <c r="J1566" s="1">
        <v>-3632000</v>
      </c>
      <c r="K1566">
        <v>661</v>
      </c>
      <c r="L1566">
        <v>189</v>
      </c>
      <c r="M1566" t="s">
        <v>16</v>
      </c>
    </row>
    <row r="1567" spans="1:13" x14ac:dyDescent="0.35">
      <c r="A1567">
        <v>260890</v>
      </c>
      <c r="B1567">
        <v>13390</v>
      </c>
      <c r="C1567" t="s">
        <v>1720</v>
      </c>
      <c r="D1567" t="s">
        <v>1609</v>
      </c>
      <c r="E1567" t="s">
        <v>1644</v>
      </c>
      <c r="F1567">
        <v>55560</v>
      </c>
      <c r="G1567">
        <v>2</v>
      </c>
      <c r="H1567" t="s">
        <v>16</v>
      </c>
      <c r="I1567" s="1">
        <v>-787500</v>
      </c>
      <c r="J1567" s="1">
        <v>-3545000</v>
      </c>
      <c r="K1567">
        <v>138</v>
      </c>
      <c r="L1567">
        <v>269</v>
      </c>
      <c r="M1567" t="s">
        <v>16</v>
      </c>
    </row>
    <row r="1568" spans="1:13" x14ac:dyDescent="0.35">
      <c r="A1568">
        <v>260900</v>
      </c>
      <c r="B1568">
        <v>13404</v>
      </c>
      <c r="C1568" t="s">
        <v>1721</v>
      </c>
      <c r="D1568" t="s">
        <v>1609</v>
      </c>
      <c r="E1568" t="s">
        <v>1624</v>
      </c>
      <c r="F1568">
        <v>23078</v>
      </c>
      <c r="G1568">
        <v>1</v>
      </c>
      <c r="H1568" t="s">
        <v>16</v>
      </c>
      <c r="I1568" s="1">
        <v>-755500</v>
      </c>
      <c r="J1568" s="1">
        <v>-3545300</v>
      </c>
      <c r="K1568">
        <v>350</v>
      </c>
      <c r="L1568">
        <v>126</v>
      </c>
      <c r="M1568" t="s">
        <v>16</v>
      </c>
    </row>
    <row r="1569" spans="1:13" x14ac:dyDescent="0.35">
      <c r="A1569">
        <v>260910</v>
      </c>
      <c r="B1569">
        <v>13412</v>
      </c>
      <c r="C1569" t="s">
        <v>1722</v>
      </c>
      <c r="D1569" t="s">
        <v>1609</v>
      </c>
      <c r="E1569" t="s">
        <v>1644</v>
      </c>
      <c r="F1569">
        <v>11152</v>
      </c>
      <c r="G1569">
        <v>1</v>
      </c>
      <c r="H1569" t="s">
        <v>16</v>
      </c>
      <c r="I1569" s="1">
        <v>-768600</v>
      </c>
      <c r="J1569" s="1">
        <v>-3551500</v>
      </c>
      <c r="K1569">
        <v>416</v>
      </c>
      <c r="L1569">
        <v>56</v>
      </c>
      <c r="M1569" t="s">
        <v>16</v>
      </c>
    </row>
    <row r="1570" spans="1:13" x14ac:dyDescent="0.35">
      <c r="A1570">
        <v>260915</v>
      </c>
      <c r="B1570">
        <v>54240</v>
      </c>
      <c r="C1570" t="s">
        <v>1723</v>
      </c>
      <c r="D1570" t="s">
        <v>1609</v>
      </c>
      <c r="E1570" t="s">
        <v>1633</v>
      </c>
      <c r="F1570">
        <v>16540</v>
      </c>
      <c r="G1570">
        <v>1</v>
      </c>
      <c r="H1570" t="s">
        <v>16</v>
      </c>
      <c r="I1570" s="1">
        <v>-896400</v>
      </c>
      <c r="J1570" s="1">
        <v>-3762800</v>
      </c>
      <c r="K1570">
        <v>570</v>
      </c>
      <c r="L1570">
        <v>406</v>
      </c>
      <c r="M1570" t="s">
        <v>16</v>
      </c>
    </row>
    <row r="1571" spans="1:13" x14ac:dyDescent="0.35">
      <c r="A1571">
        <v>260920</v>
      </c>
      <c r="B1571">
        <v>13420</v>
      </c>
      <c r="C1571" t="s">
        <v>1724</v>
      </c>
      <c r="D1571" t="s">
        <v>1609</v>
      </c>
      <c r="E1571" t="s">
        <v>1619</v>
      </c>
      <c r="F1571">
        <v>50000</v>
      </c>
      <c r="G1571">
        <v>1</v>
      </c>
      <c r="H1571" t="s">
        <v>16</v>
      </c>
      <c r="I1571" s="1">
        <v>-880300</v>
      </c>
      <c r="J1571" s="1">
        <v>-3582900</v>
      </c>
      <c r="K1571">
        <v>0</v>
      </c>
      <c r="L1571">
        <v>196</v>
      </c>
      <c r="M1571" t="s">
        <v>16</v>
      </c>
    </row>
    <row r="1572" spans="1:13" x14ac:dyDescent="0.35">
      <c r="A1572">
        <v>260930</v>
      </c>
      <c r="B1572">
        <v>13439</v>
      </c>
      <c r="C1572" t="s">
        <v>1725</v>
      </c>
      <c r="D1572" t="s">
        <v>1609</v>
      </c>
      <c r="E1572" t="s">
        <v>1667</v>
      </c>
      <c r="F1572">
        <v>13304</v>
      </c>
      <c r="G1572">
        <v>1</v>
      </c>
      <c r="H1572" t="s">
        <v>16</v>
      </c>
      <c r="I1572" s="1">
        <v>-811900</v>
      </c>
      <c r="J1572" s="1">
        <v>-3872800</v>
      </c>
      <c r="K1572">
        <v>450</v>
      </c>
      <c r="L1572">
        <v>809</v>
      </c>
      <c r="M1572" t="s">
        <v>16</v>
      </c>
    </row>
    <row r="1573" spans="1:13" x14ac:dyDescent="0.35">
      <c r="A1573">
        <v>260940</v>
      </c>
      <c r="B1573">
        <v>13447</v>
      </c>
      <c r="C1573" t="s">
        <v>1726</v>
      </c>
      <c r="D1573" t="s">
        <v>1609</v>
      </c>
      <c r="E1573" t="s">
        <v>1610</v>
      </c>
      <c r="F1573">
        <v>52830</v>
      </c>
      <c r="G1573">
        <v>4</v>
      </c>
      <c r="H1573" t="s">
        <v>1611</v>
      </c>
      <c r="I1573" s="1">
        <v>-811900</v>
      </c>
      <c r="J1573" s="1">
        <v>-3509200</v>
      </c>
      <c r="K1573">
        <v>96</v>
      </c>
      <c r="L1573">
        <v>195</v>
      </c>
      <c r="M1573" t="s">
        <v>16</v>
      </c>
    </row>
    <row r="1574" spans="1:13" x14ac:dyDescent="0.35">
      <c r="A1574">
        <v>260950</v>
      </c>
      <c r="B1574">
        <v>13455</v>
      </c>
      <c r="C1574" t="s">
        <v>1727</v>
      </c>
      <c r="D1574" t="s">
        <v>1609</v>
      </c>
      <c r="E1574" t="s">
        <v>1624</v>
      </c>
      <c r="F1574">
        <v>50000</v>
      </c>
      <c r="G1574">
        <v>1</v>
      </c>
      <c r="H1574" t="s">
        <v>16</v>
      </c>
      <c r="I1574" s="1">
        <v>-774200</v>
      </c>
      <c r="J1574" s="1">
        <v>-3522800</v>
      </c>
      <c r="K1574">
        <v>89</v>
      </c>
      <c r="L1574">
        <v>150</v>
      </c>
      <c r="M1574" t="s">
        <v>16</v>
      </c>
    </row>
    <row r="1575" spans="1:13" x14ac:dyDescent="0.35">
      <c r="A1575">
        <v>260960</v>
      </c>
      <c r="B1575">
        <v>13463</v>
      </c>
      <c r="C1575" t="s">
        <v>1728</v>
      </c>
      <c r="D1575" t="s">
        <v>1609</v>
      </c>
      <c r="E1575" t="s">
        <v>1610</v>
      </c>
      <c r="F1575">
        <v>391433</v>
      </c>
      <c r="G1575">
        <v>4</v>
      </c>
      <c r="H1575" t="s">
        <v>1611</v>
      </c>
      <c r="I1575" s="1">
        <v>-800900</v>
      </c>
      <c r="J1575" s="1">
        <v>-3485500</v>
      </c>
      <c r="K1575">
        <v>16</v>
      </c>
      <c r="L1575">
        <v>43</v>
      </c>
      <c r="M1575" t="s">
        <v>16</v>
      </c>
    </row>
    <row r="1576" spans="1:13" x14ac:dyDescent="0.35">
      <c r="A1576">
        <v>260970</v>
      </c>
      <c r="B1576">
        <v>13471</v>
      </c>
      <c r="C1576" t="s">
        <v>1729</v>
      </c>
      <c r="D1576" t="s">
        <v>1609</v>
      </c>
      <c r="E1576" t="s">
        <v>1644</v>
      </c>
      <c r="F1576">
        <v>21632</v>
      </c>
      <c r="G1576">
        <v>1</v>
      </c>
      <c r="H1576" t="s">
        <v>16</v>
      </c>
      <c r="I1576" s="1">
        <v>-774500</v>
      </c>
      <c r="J1576" s="1">
        <v>-3560200</v>
      </c>
      <c r="K1576">
        <v>415</v>
      </c>
      <c r="L1576">
        <v>140</v>
      </c>
      <c r="M1576" t="s">
        <v>16</v>
      </c>
    </row>
    <row r="1577" spans="1:13" x14ac:dyDescent="0.35">
      <c r="A1577">
        <v>260980</v>
      </c>
      <c r="B1577">
        <v>13480</v>
      </c>
      <c r="C1577" t="s">
        <v>1730</v>
      </c>
      <c r="D1577" t="s">
        <v>1609</v>
      </c>
      <c r="E1577" t="s">
        <v>1615</v>
      </c>
      <c r="F1577">
        <v>13167</v>
      </c>
      <c r="G1577">
        <v>4</v>
      </c>
      <c r="H1577" t="s">
        <v>1718</v>
      </c>
      <c r="I1577" s="1">
        <v>-862000</v>
      </c>
      <c r="J1577" s="1">
        <v>-3960200</v>
      </c>
      <c r="K1577">
        <v>349</v>
      </c>
      <c r="L1577">
        <v>554</v>
      </c>
      <c r="M1577" t="s">
        <v>16</v>
      </c>
    </row>
    <row r="1578" spans="1:13" x14ac:dyDescent="0.35">
      <c r="A1578">
        <v>260990</v>
      </c>
      <c r="B1578">
        <v>13498</v>
      </c>
      <c r="C1578" t="s">
        <v>1731</v>
      </c>
      <c r="D1578" t="s">
        <v>1609</v>
      </c>
      <c r="E1578" t="s">
        <v>1631</v>
      </c>
      <c r="F1578">
        <v>63042</v>
      </c>
      <c r="G1578">
        <v>2</v>
      </c>
      <c r="H1578" t="s">
        <v>16</v>
      </c>
      <c r="I1578" s="1">
        <v>-788300</v>
      </c>
      <c r="J1578" s="1">
        <v>-4008200</v>
      </c>
      <c r="K1578">
        <v>451</v>
      </c>
      <c r="L1578">
        <v>2422</v>
      </c>
      <c r="M1578" t="s">
        <v>16</v>
      </c>
    </row>
    <row r="1579" spans="1:13" x14ac:dyDescent="0.35">
      <c r="A1579">
        <v>261000</v>
      </c>
      <c r="B1579">
        <v>13501</v>
      </c>
      <c r="C1579" t="s">
        <v>1732</v>
      </c>
      <c r="D1579" t="s">
        <v>1609</v>
      </c>
      <c r="E1579" t="s">
        <v>1619</v>
      </c>
      <c r="F1579">
        <v>56643</v>
      </c>
      <c r="G1579">
        <v>2</v>
      </c>
      <c r="H1579" t="s">
        <v>16</v>
      </c>
      <c r="I1579" s="1">
        <v>-868300</v>
      </c>
      <c r="J1579" s="1">
        <v>-3559200</v>
      </c>
      <c r="K1579">
        <v>108</v>
      </c>
      <c r="L1579">
        <v>336</v>
      </c>
      <c r="M1579" t="s">
        <v>16</v>
      </c>
    </row>
    <row r="1580" spans="1:13" x14ac:dyDescent="0.35">
      <c r="A1580">
        <v>261010</v>
      </c>
      <c r="B1580">
        <v>13510</v>
      </c>
      <c r="C1580" t="s">
        <v>1733</v>
      </c>
      <c r="D1580" t="s">
        <v>1609</v>
      </c>
      <c r="E1580" t="s">
        <v>1628</v>
      </c>
      <c r="F1580">
        <v>8487</v>
      </c>
      <c r="G1580">
        <v>1</v>
      </c>
      <c r="H1580" t="s">
        <v>16</v>
      </c>
      <c r="I1580" s="1">
        <v>-900400</v>
      </c>
      <c r="J1580" s="1">
        <v>-3632600</v>
      </c>
      <c r="K1580">
        <v>531</v>
      </c>
      <c r="L1580">
        <v>158</v>
      </c>
      <c r="M1580" t="s">
        <v>16</v>
      </c>
    </row>
    <row r="1581" spans="1:13" x14ac:dyDescent="0.35">
      <c r="A1581">
        <v>261020</v>
      </c>
      <c r="B1581">
        <v>13528</v>
      </c>
      <c r="C1581" t="s">
        <v>1734</v>
      </c>
      <c r="D1581" t="s">
        <v>1609</v>
      </c>
      <c r="E1581" t="s">
        <v>1617</v>
      </c>
      <c r="F1581">
        <v>24918</v>
      </c>
      <c r="G1581">
        <v>1</v>
      </c>
      <c r="H1581" t="s">
        <v>16</v>
      </c>
      <c r="I1581" s="1">
        <v>-866400</v>
      </c>
      <c r="J1581" s="1">
        <v>-3600600</v>
      </c>
      <c r="K1581">
        <v>532</v>
      </c>
      <c r="L1581">
        <v>371</v>
      </c>
      <c r="M1581" t="s">
        <v>16</v>
      </c>
    </row>
    <row r="1582" spans="1:13" x14ac:dyDescent="0.35">
      <c r="A1582">
        <v>261030</v>
      </c>
      <c r="B1582">
        <v>13536</v>
      </c>
      <c r="C1582" t="s">
        <v>1735</v>
      </c>
      <c r="D1582" t="s">
        <v>1609</v>
      </c>
      <c r="E1582" t="s">
        <v>1628</v>
      </c>
      <c r="F1582">
        <v>11669</v>
      </c>
      <c r="G1582">
        <v>1</v>
      </c>
      <c r="H1582" t="s">
        <v>16</v>
      </c>
      <c r="I1582" s="1">
        <v>-892100</v>
      </c>
      <c r="J1582" s="1">
        <v>-3665800</v>
      </c>
      <c r="K1582">
        <v>879</v>
      </c>
      <c r="L1582">
        <v>230</v>
      </c>
      <c r="M1582" t="s">
        <v>16</v>
      </c>
    </row>
    <row r="1583" spans="1:13" x14ac:dyDescent="0.35">
      <c r="A1583">
        <v>261040</v>
      </c>
      <c r="B1583">
        <v>13544</v>
      </c>
      <c r="C1583" t="s">
        <v>1263</v>
      </c>
      <c r="D1583" t="s">
        <v>1609</v>
      </c>
      <c r="E1583" t="s">
        <v>1667</v>
      </c>
      <c r="F1583">
        <v>19214</v>
      </c>
      <c r="G1583">
        <v>1</v>
      </c>
      <c r="H1583" t="s">
        <v>16</v>
      </c>
      <c r="I1583" s="1">
        <v>-809100</v>
      </c>
      <c r="J1583" s="1">
        <v>-3957800</v>
      </c>
      <c r="K1583">
        <v>392</v>
      </c>
      <c r="L1583">
        <v>2608</v>
      </c>
      <c r="M1583" t="s">
        <v>16</v>
      </c>
    </row>
    <row r="1584" spans="1:13" x14ac:dyDescent="0.35">
      <c r="A1584">
        <v>261050</v>
      </c>
      <c r="B1584">
        <v>13552</v>
      </c>
      <c r="C1584" t="s">
        <v>1736</v>
      </c>
      <c r="D1584" t="s">
        <v>1609</v>
      </c>
      <c r="E1584" t="s">
        <v>1644</v>
      </c>
      <c r="F1584">
        <v>27910</v>
      </c>
      <c r="G1584">
        <v>1</v>
      </c>
      <c r="H1584" t="s">
        <v>16</v>
      </c>
      <c r="I1584" s="1">
        <v>-799500</v>
      </c>
      <c r="J1584" s="1">
        <v>-3558100</v>
      </c>
      <c r="K1584">
        <v>176</v>
      </c>
      <c r="L1584">
        <v>329</v>
      </c>
      <c r="M1584" t="s">
        <v>16</v>
      </c>
    </row>
    <row r="1585" spans="1:13" x14ac:dyDescent="0.35">
      <c r="A1585">
        <v>261060</v>
      </c>
      <c r="B1585">
        <v>13560</v>
      </c>
      <c r="C1585" t="s">
        <v>1737</v>
      </c>
      <c r="D1585" t="s">
        <v>1609</v>
      </c>
      <c r="E1585" t="s">
        <v>1624</v>
      </c>
      <c r="F1585">
        <v>45777</v>
      </c>
      <c r="G1585">
        <v>1</v>
      </c>
      <c r="H1585" t="s">
        <v>16</v>
      </c>
      <c r="I1585" s="1">
        <v>-789700</v>
      </c>
      <c r="J1585" s="1">
        <v>-3518000</v>
      </c>
      <c r="K1585">
        <v>69</v>
      </c>
      <c r="L1585">
        <v>277</v>
      </c>
      <c r="M1585" t="s">
        <v>16</v>
      </c>
    </row>
    <row r="1586" spans="1:13" x14ac:dyDescent="0.35">
      <c r="A1586">
        <v>261070</v>
      </c>
      <c r="B1586">
        <v>13579</v>
      </c>
      <c r="C1586" t="s">
        <v>1534</v>
      </c>
      <c r="D1586" t="s">
        <v>1609</v>
      </c>
      <c r="E1586" t="s">
        <v>1610</v>
      </c>
      <c r="F1586">
        <v>307284</v>
      </c>
      <c r="G1586">
        <v>4</v>
      </c>
      <c r="H1586" t="s">
        <v>1611</v>
      </c>
      <c r="I1586" s="1">
        <v>-794100</v>
      </c>
      <c r="J1586" s="1">
        <v>-3487300</v>
      </c>
      <c r="K1586">
        <v>13</v>
      </c>
      <c r="L1586">
        <v>93</v>
      </c>
      <c r="M1586" t="s">
        <v>16</v>
      </c>
    </row>
    <row r="1587" spans="1:13" x14ac:dyDescent="0.35">
      <c r="A1587">
        <v>261080</v>
      </c>
      <c r="B1587">
        <v>13587</v>
      </c>
      <c r="C1587" t="s">
        <v>1738</v>
      </c>
      <c r="D1587" t="s">
        <v>1609</v>
      </c>
      <c r="E1587" t="s">
        <v>1621</v>
      </c>
      <c r="F1587">
        <v>20132</v>
      </c>
      <c r="G1587">
        <v>1</v>
      </c>
      <c r="H1587" t="s">
        <v>16</v>
      </c>
      <c r="I1587" s="1">
        <v>-849700</v>
      </c>
      <c r="J1587" s="1">
        <v>-3694100</v>
      </c>
      <c r="K1587">
        <v>593</v>
      </c>
      <c r="L1587">
        <v>803</v>
      </c>
      <c r="M1587" t="s">
        <v>16</v>
      </c>
    </row>
    <row r="1588" spans="1:13" x14ac:dyDescent="0.35">
      <c r="A1588">
        <v>261090</v>
      </c>
      <c r="B1588">
        <v>13595</v>
      </c>
      <c r="C1588" t="s">
        <v>1739</v>
      </c>
      <c r="D1588" t="s">
        <v>1609</v>
      </c>
      <c r="E1588" t="s">
        <v>1622</v>
      </c>
      <c r="F1588">
        <v>61337</v>
      </c>
      <c r="G1588">
        <v>2</v>
      </c>
      <c r="H1588" t="s">
        <v>16</v>
      </c>
      <c r="I1588" s="1">
        <v>-835800</v>
      </c>
      <c r="J1588" s="1">
        <v>-3669600</v>
      </c>
      <c r="K1588">
        <v>654</v>
      </c>
      <c r="L1588">
        <v>1000</v>
      </c>
      <c r="M1588" t="s">
        <v>16</v>
      </c>
    </row>
    <row r="1589" spans="1:13" x14ac:dyDescent="0.35">
      <c r="A1589">
        <v>261100</v>
      </c>
      <c r="B1589">
        <v>13609</v>
      </c>
      <c r="C1589" t="s">
        <v>1740</v>
      </c>
      <c r="D1589" t="s">
        <v>1609</v>
      </c>
      <c r="E1589" t="s">
        <v>1638</v>
      </c>
      <c r="F1589">
        <v>30597</v>
      </c>
      <c r="G1589">
        <v>1</v>
      </c>
      <c r="H1589" t="s">
        <v>16</v>
      </c>
      <c r="I1589" s="1">
        <v>-906900</v>
      </c>
      <c r="J1589" s="1">
        <v>-3830300</v>
      </c>
      <c r="K1589">
        <v>282</v>
      </c>
      <c r="L1589">
        <v>1056</v>
      </c>
      <c r="M1589" t="s">
        <v>16</v>
      </c>
    </row>
    <row r="1590" spans="1:13" x14ac:dyDescent="0.35">
      <c r="A1590">
        <v>261110</v>
      </c>
      <c r="B1590">
        <v>13617</v>
      </c>
      <c r="C1590" t="s">
        <v>1615</v>
      </c>
      <c r="D1590" t="s">
        <v>1609</v>
      </c>
      <c r="E1590" t="s">
        <v>1615</v>
      </c>
      <c r="F1590">
        <v>268339</v>
      </c>
      <c r="G1590">
        <v>4</v>
      </c>
      <c r="H1590" t="s">
        <v>1718</v>
      </c>
      <c r="I1590" s="1">
        <v>-939300</v>
      </c>
      <c r="J1590" s="1">
        <v>-4050800</v>
      </c>
      <c r="K1590">
        <v>376</v>
      </c>
      <c r="L1590">
        <v>4558</v>
      </c>
      <c r="M1590" t="s">
        <v>16</v>
      </c>
    </row>
    <row r="1591" spans="1:13" x14ac:dyDescent="0.35">
      <c r="A1591">
        <v>261120</v>
      </c>
      <c r="B1591">
        <v>13625</v>
      </c>
      <c r="C1591" t="s">
        <v>1741</v>
      </c>
      <c r="D1591" t="s">
        <v>1609</v>
      </c>
      <c r="E1591" t="s">
        <v>1622</v>
      </c>
      <c r="F1591">
        <v>11135</v>
      </c>
      <c r="G1591">
        <v>1</v>
      </c>
      <c r="H1591" t="s">
        <v>16</v>
      </c>
      <c r="I1591" s="1">
        <v>-818600</v>
      </c>
      <c r="J1591" s="1">
        <v>-3670500</v>
      </c>
      <c r="K1591">
        <v>1000</v>
      </c>
      <c r="L1591">
        <v>199</v>
      </c>
      <c r="M1591" t="s">
        <v>16</v>
      </c>
    </row>
    <row r="1592" spans="1:13" x14ac:dyDescent="0.35">
      <c r="A1592">
        <v>261130</v>
      </c>
      <c r="B1592">
        <v>13633</v>
      </c>
      <c r="C1592" t="s">
        <v>1742</v>
      </c>
      <c r="D1592" t="s">
        <v>1609</v>
      </c>
      <c r="E1592" t="s">
        <v>1669</v>
      </c>
      <c r="F1592">
        <v>21810</v>
      </c>
      <c r="G1592">
        <v>1</v>
      </c>
      <c r="H1592" t="s">
        <v>16</v>
      </c>
      <c r="I1592" s="1">
        <v>-814100</v>
      </c>
      <c r="J1592" s="1">
        <v>-3539600</v>
      </c>
      <c r="K1592">
        <v>208</v>
      </c>
      <c r="L1592">
        <v>207</v>
      </c>
      <c r="M1592" t="s">
        <v>16</v>
      </c>
    </row>
    <row r="1593" spans="1:13" x14ac:dyDescent="0.35">
      <c r="A1593">
        <v>261140</v>
      </c>
      <c r="B1593">
        <v>13641</v>
      </c>
      <c r="C1593" t="s">
        <v>312</v>
      </c>
      <c r="D1593" t="s">
        <v>1609</v>
      </c>
      <c r="E1593" t="s">
        <v>1619</v>
      </c>
      <c r="F1593">
        <v>50000</v>
      </c>
      <c r="G1593">
        <v>1</v>
      </c>
      <c r="H1593" t="s">
        <v>16</v>
      </c>
      <c r="I1593" s="1">
        <v>-833100</v>
      </c>
      <c r="J1593" s="1">
        <v>-3535400</v>
      </c>
      <c r="K1593">
        <v>129</v>
      </c>
      <c r="L1593">
        <v>109</v>
      </c>
      <c r="M1593" t="s">
        <v>16</v>
      </c>
    </row>
    <row r="1594" spans="1:13" x14ac:dyDescent="0.35">
      <c r="A1594">
        <v>261150</v>
      </c>
      <c r="B1594">
        <v>13650</v>
      </c>
      <c r="C1594" t="s">
        <v>1743</v>
      </c>
      <c r="D1594" t="s">
        <v>1609</v>
      </c>
      <c r="E1594" t="s">
        <v>1619</v>
      </c>
      <c r="F1594">
        <v>24197</v>
      </c>
      <c r="G1594">
        <v>1</v>
      </c>
      <c r="H1594" t="s">
        <v>16</v>
      </c>
      <c r="I1594" s="1">
        <v>-882800</v>
      </c>
      <c r="J1594" s="1">
        <v>-3601200</v>
      </c>
      <c r="K1594">
        <v>462</v>
      </c>
      <c r="L1594">
        <v>230</v>
      </c>
      <c r="M1594" t="s">
        <v>16</v>
      </c>
    </row>
    <row r="1595" spans="1:13" x14ac:dyDescent="0.35">
      <c r="A1595">
        <v>261153</v>
      </c>
      <c r="B1595">
        <v>50431</v>
      </c>
      <c r="C1595" t="s">
        <v>1744</v>
      </c>
      <c r="D1595" t="s">
        <v>1609</v>
      </c>
      <c r="E1595" t="s">
        <v>1613</v>
      </c>
      <c r="F1595">
        <v>6875</v>
      </c>
      <c r="G1595">
        <v>1</v>
      </c>
      <c r="H1595" t="s">
        <v>16</v>
      </c>
      <c r="I1595" s="1">
        <v>-772000</v>
      </c>
      <c r="J1595" s="1">
        <v>-3784800</v>
      </c>
      <c r="K1595">
        <v>542</v>
      </c>
      <c r="L1595">
        <v>209</v>
      </c>
      <c r="M1595" t="s">
        <v>16</v>
      </c>
    </row>
    <row r="1596" spans="1:13" x14ac:dyDescent="0.35">
      <c r="A1596">
        <v>261160</v>
      </c>
      <c r="B1596">
        <v>12505</v>
      </c>
      <c r="C1596" t="s">
        <v>1610</v>
      </c>
      <c r="D1596" t="s">
        <v>1609</v>
      </c>
      <c r="E1596" t="s">
        <v>1610</v>
      </c>
      <c r="F1596">
        <v>1533580</v>
      </c>
      <c r="G1596">
        <v>5</v>
      </c>
      <c r="H1596" t="s">
        <v>1611</v>
      </c>
      <c r="I1596" s="1">
        <v>-805400</v>
      </c>
      <c r="J1596" s="1">
        <v>-3488100</v>
      </c>
      <c r="K1596">
        <v>4</v>
      </c>
      <c r="L1596">
        <v>217</v>
      </c>
      <c r="M1596" t="s">
        <v>16</v>
      </c>
    </row>
    <row r="1597" spans="1:13" x14ac:dyDescent="0.35">
      <c r="A1597">
        <v>261170</v>
      </c>
      <c r="B1597">
        <v>13668</v>
      </c>
      <c r="C1597" t="s">
        <v>1745</v>
      </c>
      <c r="D1597" t="s">
        <v>1609</v>
      </c>
      <c r="E1597" t="s">
        <v>1622</v>
      </c>
      <c r="F1597">
        <v>18269</v>
      </c>
      <c r="G1597">
        <v>1</v>
      </c>
      <c r="H1597" t="s">
        <v>16</v>
      </c>
      <c r="I1597" s="1">
        <v>-813400</v>
      </c>
      <c r="J1597" s="1">
        <v>-3585600</v>
      </c>
      <c r="K1597">
        <v>407</v>
      </c>
      <c r="L1597">
        <v>313</v>
      </c>
      <c r="M1597" t="s">
        <v>16</v>
      </c>
    </row>
    <row r="1598" spans="1:13" x14ac:dyDescent="0.35">
      <c r="A1598">
        <v>261180</v>
      </c>
      <c r="B1598">
        <v>13676</v>
      </c>
      <c r="C1598" t="s">
        <v>1746</v>
      </c>
      <c r="D1598" t="s">
        <v>1609</v>
      </c>
      <c r="E1598" t="s">
        <v>1619</v>
      </c>
      <c r="F1598">
        <v>38755</v>
      </c>
      <c r="G1598">
        <v>1</v>
      </c>
      <c r="H1598" t="s">
        <v>16</v>
      </c>
      <c r="I1598" s="1">
        <v>-851400</v>
      </c>
      <c r="J1598" s="1">
        <v>-3537800</v>
      </c>
      <c r="K1598">
        <v>97</v>
      </c>
      <c r="L1598">
        <v>287</v>
      </c>
      <c r="M1598" t="s">
        <v>16</v>
      </c>
    </row>
    <row r="1599" spans="1:13" x14ac:dyDescent="0.35">
      <c r="A1599">
        <v>261190</v>
      </c>
      <c r="B1599">
        <v>13684</v>
      </c>
      <c r="C1599" t="s">
        <v>419</v>
      </c>
      <c r="D1599" t="s">
        <v>1609</v>
      </c>
      <c r="E1599" t="s">
        <v>1619</v>
      </c>
      <c r="F1599">
        <v>21024</v>
      </c>
      <c r="G1599">
        <v>1</v>
      </c>
      <c r="H1599" t="s">
        <v>16</v>
      </c>
      <c r="I1599" s="1">
        <v>-866400</v>
      </c>
      <c r="J1599" s="1">
        <v>-3515900</v>
      </c>
      <c r="K1599">
        <v>5</v>
      </c>
      <c r="L1599">
        <v>239</v>
      </c>
      <c r="M1599" t="s">
        <v>16</v>
      </c>
    </row>
    <row r="1600" spans="1:13" x14ac:dyDescent="0.35">
      <c r="A1600">
        <v>261200</v>
      </c>
      <c r="B1600">
        <v>13692</v>
      </c>
      <c r="C1600" t="s">
        <v>1747</v>
      </c>
      <c r="D1600" t="s">
        <v>1609</v>
      </c>
      <c r="E1600" t="s">
        <v>1617</v>
      </c>
      <c r="F1600">
        <v>13709</v>
      </c>
      <c r="G1600">
        <v>1</v>
      </c>
      <c r="H1600" t="s">
        <v>16</v>
      </c>
      <c r="I1600" s="1">
        <v>-832800</v>
      </c>
      <c r="J1600" s="1">
        <v>-3570600</v>
      </c>
      <c r="K1600">
        <v>663</v>
      </c>
      <c r="L1600">
        <v>195</v>
      </c>
      <c r="M1600" t="s">
        <v>16</v>
      </c>
    </row>
    <row r="1601" spans="1:13" x14ac:dyDescent="0.35">
      <c r="A1601">
        <v>261210</v>
      </c>
      <c r="B1601">
        <v>13706</v>
      </c>
      <c r="C1601" t="s">
        <v>1559</v>
      </c>
      <c r="D1601" t="s">
        <v>1609</v>
      </c>
      <c r="E1601" t="s">
        <v>1644</v>
      </c>
      <c r="F1601">
        <v>7770</v>
      </c>
      <c r="G1601">
        <v>1</v>
      </c>
      <c r="H1601" t="s">
        <v>16</v>
      </c>
      <c r="I1601" s="1">
        <v>-793600</v>
      </c>
      <c r="J1601" s="1">
        <v>-3563300</v>
      </c>
      <c r="K1601">
        <v>232</v>
      </c>
      <c r="L1601">
        <v>88</v>
      </c>
      <c r="M1601" t="s">
        <v>16</v>
      </c>
    </row>
    <row r="1602" spans="1:13" x14ac:dyDescent="0.35">
      <c r="A1602">
        <v>261220</v>
      </c>
      <c r="B1602">
        <v>13714</v>
      </c>
      <c r="C1602" t="s">
        <v>1667</v>
      </c>
      <c r="D1602" t="s">
        <v>1609</v>
      </c>
      <c r="E1602" t="s">
        <v>1667</v>
      </c>
      <c r="F1602">
        <v>53167</v>
      </c>
      <c r="G1602">
        <v>2</v>
      </c>
      <c r="H1602" t="s">
        <v>16</v>
      </c>
      <c r="I1602" s="1">
        <v>-806700</v>
      </c>
      <c r="J1602" s="1">
        <v>-3912000</v>
      </c>
      <c r="K1602">
        <v>420</v>
      </c>
      <c r="L1602">
        <v>1639</v>
      </c>
      <c r="M1602" t="s">
        <v>16</v>
      </c>
    </row>
    <row r="1603" spans="1:13" x14ac:dyDescent="0.35">
      <c r="A1603">
        <v>261230</v>
      </c>
      <c r="B1603">
        <v>13722</v>
      </c>
      <c r="C1603" t="s">
        <v>1748</v>
      </c>
      <c r="D1603" t="s">
        <v>1609</v>
      </c>
      <c r="E1603" t="s">
        <v>1628</v>
      </c>
      <c r="F1603">
        <v>15027</v>
      </c>
      <c r="G1603">
        <v>1</v>
      </c>
      <c r="H1603" t="s">
        <v>16</v>
      </c>
      <c r="I1603" s="1">
        <v>-897600</v>
      </c>
      <c r="J1603" s="1">
        <v>-3668800</v>
      </c>
      <c r="K1603">
        <v>745</v>
      </c>
      <c r="L1603">
        <v>252</v>
      </c>
      <c r="M1603" t="s">
        <v>16</v>
      </c>
    </row>
    <row r="1604" spans="1:13" x14ac:dyDescent="0.35">
      <c r="A1604">
        <v>261240</v>
      </c>
      <c r="B1604">
        <v>13730</v>
      </c>
      <c r="C1604" t="s">
        <v>1749</v>
      </c>
      <c r="D1604" t="s">
        <v>1609</v>
      </c>
      <c r="E1604" t="s">
        <v>1622</v>
      </c>
      <c r="F1604">
        <v>17627</v>
      </c>
      <c r="G1604">
        <v>1</v>
      </c>
      <c r="H1604" t="s">
        <v>16</v>
      </c>
      <c r="I1604" s="1">
        <v>-836100</v>
      </c>
      <c r="J1604" s="1">
        <v>-3656600</v>
      </c>
      <c r="K1604">
        <v>653</v>
      </c>
      <c r="L1604">
        <v>256</v>
      </c>
      <c r="M1604" t="s">
        <v>16</v>
      </c>
    </row>
    <row r="1605" spans="1:13" x14ac:dyDescent="0.35">
      <c r="A1605">
        <v>261245</v>
      </c>
      <c r="B1605">
        <v>50440</v>
      </c>
      <c r="C1605" t="s">
        <v>1348</v>
      </c>
      <c r="D1605" t="s">
        <v>1609</v>
      </c>
      <c r="E1605" t="s">
        <v>1631</v>
      </c>
      <c r="F1605">
        <v>13644</v>
      </c>
      <c r="G1605">
        <v>1</v>
      </c>
      <c r="H1605" t="s">
        <v>16</v>
      </c>
      <c r="I1605" s="1">
        <v>-824000</v>
      </c>
      <c r="J1605" s="1">
        <v>-4033600</v>
      </c>
      <c r="K1605">
        <v>515</v>
      </c>
      <c r="L1605">
        <v>1255</v>
      </c>
      <c r="M1605" t="s">
        <v>16</v>
      </c>
    </row>
    <row r="1606" spans="1:13" x14ac:dyDescent="0.35">
      <c r="A1606">
        <v>261247</v>
      </c>
      <c r="B1606">
        <v>50458</v>
      </c>
      <c r="C1606" t="s">
        <v>1750</v>
      </c>
      <c r="D1606" t="s">
        <v>1609</v>
      </c>
      <c r="E1606" t="s">
        <v>1613</v>
      </c>
      <c r="F1606">
        <v>11610</v>
      </c>
      <c r="G1606">
        <v>1</v>
      </c>
      <c r="H1606" t="s">
        <v>16</v>
      </c>
      <c r="I1606" s="1">
        <v>-782100</v>
      </c>
      <c r="J1606" s="1">
        <v>-3815300</v>
      </c>
      <c r="K1606">
        <v>852</v>
      </c>
      <c r="L1606">
        <v>114</v>
      </c>
      <c r="M1606" t="s">
        <v>16</v>
      </c>
    </row>
    <row r="1607" spans="1:13" x14ac:dyDescent="0.35">
      <c r="A1607">
        <v>261250</v>
      </c>
      <c r="B1607">
        <v>13749</v>
      </c>
      <c r="C1607" t="s">
        <v>1751</v>
      </c>
      <c r="D1607" t="s">
        <v>1609</v>
      </c>
      <c r="E1607" t="s">
        <v>1665</v>
      </c>
      <c r="F1607">
        <v>73680</v>
      </c>
      <c r="G1607">
        <v>2</v>
      </c>
      <c r="H1607" t="s">
        <v>16</v>
      </c>
      <c r="I1607" s="1">
        <v>-795700</v>
      </c>
      <c r="J1607" s="1">
        <v>-3620500</v>
      </c>
      <c r="K1607">
        <v>438</v>
      </c>
      <c r="L1607">
        <v>335</v>
      </c>
      <c r="M1607" t="s">
        <v>16</v>
      </c>
    </row>
    <row r="1608" spans="1:13" x14ac:dyDescent="0.35">
      <c r="A1608">
        <v>261255</v>
      </c>
      <c r="B1608">
        <v>54259</v>
      </c>
      <c r="C1608" t="s">
        <v>962</v>
      </c>
      <c r="D1608" t="s">
        <v>1609</v>
      </c>
      <c r="E1608" t="s">
        <v>1631</v>
      </c>
      <c r="F1608">
        <v>13759</v>
      </c>
      <c r="G1608">
        <v>1</v>
      </c>
      <c r="H1608" t="s">
        <v>16</v>
      </c>
      <c r="I1608" s="1">
        <v>-816300</v>
      </c>
      <c r="J1608" s="1">
        <v>-4061600</v>
      </c>
      <c r="K1608">
        <v>630</v>
      </c>
      <c r="L1608">
        <v>1005</v>
      </c>
      <c r="M1608" t="s">
        <v>16</v>
      </c>
    </row>
    <row r="1609" spans="1:13" x14ac:dyDescent="0.35">
      <c r="A1609">
        <v>261260</v>
      </c>
      <c r="B1609">
        <v>13757</v>
      </c>
      <c r="C1609" t="s">
        <v>1752</v>
      </c>
      <c r="D1609" t="s">
        <v>1609</v>
      </c>
      <c r="E1609" t="s">
        <v>1615</v>
      </c>
      <c r="F1609">
        <v>39626</v>
      </c>
      <c r="G1609">
        <v>4</v>
      </c>
      <c r="H1609" t="s">
        <v>1718</v>
      </c>
      <c r="I1609" s="1">
        <v>-880900</v>
      </c>
      <c r="J1609" s="1">
        <v>-3982500</v>
      </c>
      <c r="K1609">
        <v>361</v>
      </c>
      <c r="L1609">
        <v>3001</v>
      </c>
      <c r="M1609" t="s">
        <v>16</v>
      </c>
    </row>
    <row r="1610" spans="1:13" x14ac:dyDescent="0.35">
      <c r="A1610">
        <v>261270</v>
      </c>
      <c r="B1610">
        <v>13765</v>
      </c>
      <c r="C1610" t="s">
        <v>1753</v>
      </c>
      <c r="D1610" t="s">
        <v>1609</v>
      </c>
      <c r="E1610" t="s">
        <v>1665</v>
      </c>
      <c r="F1610">
        <v>12348</v>
      </c>
      <c r="G1610">
        <v>1</v>
      </c>
      <c r="H1610" t="s">
        <v>16</v>
      </c>
      <c r="I1610" s="1">
        <v>-784000</v>
      </c>
      <c r="J1610" s="1">
        <v>-3590200</v>
      </c>
      <c r="K1610">
        <v>494</v>
      </c>
      <c r="L1610">
        <v>92</v>
      </c>
      <c r="M1610" t="s">
        <v>16</v>
      </c>
    </row>
    <row r="1611" spans="1:13" x14ac:dyDescent="0.35">
      <c r="A1611">
        <v>261280</v>
      </c>
      <c r="B1611">
        <v>13773</v>
      </c>
      <c r="C1611" t="s">
        <v>1754</v>
      </c>
      <c r="D1611" t="s">
        <v>1609</v>
      </c>
      <c r="E1611" t="s">
        <v>1613</v>
      </c>
      <c r="F1611">
        <v>9934</v>
      </c>
      <c r="G1611">
        <v>1</v>
      </c>
      <c r="H1611" t="s">
        <v>16</v>
      </c>
      <c r="I1611" s="1">
        <v>-737800</v>
      </c>
      <c r="J1611" s="1">
        <v>-3748000</v>
      </c>
      <c r="K1611">
        <v>813</v>
      </c>
      <c r="L1611">
        <v>195</v>
      </c>
      <c r="M1611" t="s">
        <v>16</v>
      </c>
    </row>
    <row r="1612" spans="1:13" x14ac:dyDescent="0.35">
      <c r="A1612">
        <v>261290</v>
      </c>
      <c r="B1612">
        <v>13781</v>
      </c>
      <c r="C1612" t="s">
        <v>1755</v>
      </c>
      <c r="D1612" t="s">
        <v>1609</v>
      </c>
      <c r="E1612" t="s">
        <v>1619</v>
      </c>
      <c r="F1612">
        <v>50000</v>
      </c>
      <c r="G1612">
        <v>1</v>
      </c>
      <c r="H1612" t="s">
        <v>16</v>
      </c>
      <c r="I1612" s="1">
        <v>-880800</v>
      </c>
      <c r="J1612" s="1">
        <v>-3595200</v>
      </c>
      <c r="K1612">
        <v>474</v>
      </c>
      <c r="L1612">
        <v>156</v>
      </c>
      <c r="M1612" t="s">
        <v>16</v>
      </c>
    </row>
    <row r="1613" spans="1:13" x14ac:dyDescent="0.35">
      <c r="A1613">
        <v>261300</v>
      </c>
      <c r="B1613">
        <v>13790</v>
      </c>
      <c r="C1613" t="s">
        <v>1756</v>
      </c>
      <c r="D1613" t="s">
        <v>1609</v>
      </c>
      <c r="E1613" t="s">
        <v>1622</v>
      </c>
      <c r="F1613">
        <v>47230</v>
      </c>
      <c r="G1613">
        <v>1</v>
      </c>
      <c r="H1613" t="s">
        <v>16</v>
      </c>
      <c r="I1613" s="1">
        <v>-852300</v>
      </c>
      <c r="J1613" s="1">
        <v>-3644400</v>
      </c>
      <c r="K1613">
        <v>614</v>
      </c>
      <c r="L1613">
        <v>726</v>
      </c>
      <c r="M1613" t="s">
        <v>16</v>
      </c>
    </row>
    <row r="1614" spans="1:13" x14ac:dyDescent="0.35">
      <c r="A1614">
        <v>261310</v>
      </c>
      <c r="B1614">
        <v>13803</v>
      </c>
      <c r="C1614" t="s">
        <v>1757</v>
      </c>
      <c r="D1614" t="s">
        <v>1609</v>
      </c>
      <c r="E1614" t="s">
        <v>1622</v>
      </c>
      <c r="F1614">
        <v>34769</v>
      </c>
      <c r="G1614">
        <v>1</v>
      </c>
      <c r="H1614" t="s">
        <v>16</v>
      </c>
      <c r="I1614" s="1">
        <v>-832600</v>
      </c>
      <c r="J1614" s="1">
        <v>-3614300</v>
      </c>
      <c r="K1614">
        <v>552</v>
      </c>
      <c r="L1614">
        <v>382</v>
      </c>
      <c r="M1614" t="s">
        <v>16</v>
      </c>
    </row>
    <row r="1615" spans="1:13" x14ac:dyDescent="0.35">
      <c r="A1615">
        <v>261320</v>
      </c>
      <c r="B1615">
        <v>13811</v>
      </c>
      <c r="C1615" t="s">
        <v>1758</v>
      </c>
      <c r="D1615" t="s">
        <v>1609</v>
      </c>
      <c r="E1615" t="s">
        <v>1628</v>
      </c>
      <c r="F1615">
        <v>21011</v>
      </c>
      <c r="G1615">
        <v>1</v>
      </c>
      <c r="H1615" t="s">
        <v>16</v>
      </c>
      <c r="I1615" s="1">
        <v>-887600</v>
      </c>
      <c r="J1615" s="1">
        <v>-3636700</v>
      </c>
      <c r="K1615">
        <v>716</v>
      </c>
      <c r="L1615">
        <v>244</v>
      </c>
      <c r="M1615" t="s">
        <v>16</v>
      </c>
    </row>
    <row r="1616" spans="1:13" x14ac:dyDescent="0.35">
      <c r="A1616">
        <v>261330</v>
      </c>
      <c r="B1616">
        <v>13820</v>
      </c>
      <c r="C1616" t="s">
        <v>1759</v>
      </c>
      <c r="D1616" t="s">
        <v>1609</v>
      </c>
      <c r="E1616" t="s">
        <v>1617</v>
      </c>
      <c r="F1616">
        <v>20869</v>
      </c>
      <c r="G1616">
        <v>1</v>
      </c>
      <c r="H1616" t="s">
        <v>16</v>
      </c>
      <c r="I1616" s="1">
        <v>-843200</v>
      </c>
      <c r="J1616" s="1">
        <v>-3580400</v>
      </c>
      <c r="K1616">
        <v>463</v>
      </c>
      <c r="L1616">
        <v>242</v>
      </c>
      <c r="M1616" t="s">
        <v>16</v>
      </c>
    </row>
    <row r="1617" spans="1:13" x14ac:dyDescent="0.35">
      <c r="A1617">
        <v>261340</v>
      </c>
      <c r="B1617">
        <v>13838</v>
      </c>
      <c r="C1617" t="s">
        <v>1760</v>
      </c>
      <c r="D1617" t="s">
        <v>1609</v>
      </c>
      <c r="E1617" t="s">
        <v>1619</v>
      </c>
      <c r="F1617">
        <v>17090</v>
      </c>
      <c r="G1617">
        <v>1</v>
      </c>
      <c r="H1617" t="s">
        <v>16</v>
      </c>
      <c r="I1617" s="1">
        <v>-889800</v>
      </c>
      <c r="J1617" s="1">
        <v>-3514800</v>
      </c>
      <c r="K1617">
        <v>2</v>
      </c>
      <c r="L1617">
        <v>69</v>
      </c>
      <c r="M1617" t="s">
        <v>16</v>
      </c>
    </row>
    <row r="1618" spans="1:13" x14ac:dyDescent="0.35">
      <c r="A1618">
        <v>261350</v>
      </c>
      <c r="B1618">
        <v>13846</v>
      </c>
      <c r="C1618" t="s">
        <v>1761</v>
      </c>
      <c r="D1618" t="s">
        <v>1609</v>
      </c>
      <c r="E1618" t="s">
        <v>1667</v>
      </c>
      <c r="F1618">
        <v>32704</v>
      </c>
      <c r="G1618">
        <v>1</v>
      </c>
      <c r="H1618" t="s">
        <v>16</v>
      </c>
      <c r="I1618" s="1">
        <v>-786100</v>
      </c>
      <c r="J1618" s="1">
        <v>-3876000</v>
      </c>
      <c r="K1618">
        <v>486</v>
      </c>
      <c r="L1618">
        <v>1479</v>
      </c>
      <c r="M1618" t="s">
        <v>16</v>
      </c>
    </row>
    <row r="1619" spans="1:13" x14ac:dyDescent="0.35">
      <c r="A1619">
        <v>261360</v>
      </c>
      <c r="B1619">
        <v>13854</v>
      </c>
      <c r="C1619" t="s">
        <v>1762</v>
      </c>
      <c r="D1619" t="s">
        <v>1609</v>
      </c>
      <c r="E1619" t="s">
        <v>1613</v>
      </c>
      <c r="F1619">
        <v>30469</v>
      </c>
      <c r="G1619">
        <v>1</v>
      </c>
      <c r="H1619" t="s">
        <v>16</v>
      </c>
      <c r="I1619" s="1">
        <v>-747900</v>
      </c>
      <c r="J1619" s="1">
        <v>-3727400</v>
      </c>
      <c r="K1619">
        <v>585</v>
      </c>
      <c r="L1619">
        <v>791</v>
      </c>
      <c r="M1619" t="s">
        <v>16</v>
      </c>
    </row>
    <row r="1620" spans="1:13" x14ac:dyDescent="0.35">
      <c r="A1620">
        <v>261370</v>
      </c>
      <c r="B1620">
        <v>13862</v>
      </c>
      <c r="C1620" t="s">
        <v>1763</v>
      </c>
      <c r="D1620" t="s">
        <v>1609</v>
      </c>
      <c r="E1620" t="s">
        <v>1610</v>
      </c>
      <c r="F1620">
        <v>95304</v>
      </c>
      <c r="G1620">
        <v>4</v>
      </c>
      <c r="H1620" t="s">
        <v>1611</v>
      </c>
      <c r="I1620" s="1">
        <v>-800200</v>
      </c>
      <c r="J1620" s="1">
        <v>-3501800</v>
      </c>
      <c r="K1620">
        <v>58</v>
      </c>
      <c r="L1620">
        <v>264</v>
      </c>
      <c r="M1620" t="s">
        <v>16</v>
      </c>
    </row>
    <row r="1621" spans="1:13" x14ac:dyDescent="0.35">
      <c r="A1621">
        <v>261380</v>
      </c>
      <c r="B1621">
        <v>13870</v>
      </c>
      <c r="C1621" t="s">
        <v>750</v>
      </c>
      <c r="D1621" t="s">
        <v>1609</v>
      </c>
      <c r="E1621" t="s">
        <v>1644</v>
      </c>
      <c r="F1621">
        <v>16598</v>
      </c>
      <c r="G1621">
        <v>1</v>
      </c>
      <c r="H1621" t="s">
        <v>16</v>
      </c>
      <c r="I1621" s="1">
        <v>-759100</v>
      </c>
      <c r="J1621" s="1">
        <v>-3549100</v>
      </c>
      <c r="K1621">
        <v>419</v>
      </c>
      <c r="L1621">
        <v>110</v>
      </c>
      <c r="M1621" t="s">
        <v>16</v>
      </c>
    </row>
    <row r="1622" spans="1:13" x14ac:dyDescent="0.35">
      <c r="A1622">
        <v>261390</v>
      </c>
      <c r="B1622">
        <v>13889</v>
      </c>
      <c r="C1622" t="s">
        <v>1764</v>
      </c>
      <c r="D1622" t="s">
        <v>1609</v>
      </c>
      <c r="E1622" t="s">
        <v>1613</v>
      </c>
      <c r="F1622">
        <v>76198</v>
      </c>
      <c r="G1622">
        <v>2</v>
      </c>
      <c r="H1622" t="s">
        <v>16</v>
      </c>
      <c r="I1622" s="1">
        <v>-798600</v>
      </c>
      <c r="J1622" s="1">
        <v>-3829600</v>
      </c>
      <c r="K1622">
        <v>429</v>
      </c>
      <c r="L1622">
        <v>2979</v>
      </c>
      <c r="M1622" t="s">
        <v>16</v>
      </c>
    </row>
    <row r="1623" spans="1:13" x14ac:dyDescent="0.35">
      <c r="A1623">
        <v>261400</v>
      </c>
      <c r="B1623">
        <v>13897</v>
      </c>
      <c r="C1623" t="s">
        <v>1765</v>
      </c>
      <c r="D1623" t="s">
        <v>1609</v>
      </c>
      <c r="E1623" t="s">
        <v>1667</v>
      </c>
      <c r="F1623">
        <v>18228</v>
      </c>
      <c r="G1623">
        <v>1</v>
      </c>
      <c r="H1623" t="s">
        <v>16</v>
      </c>
      <c r="I1623" s="1">
        <v>-793300</v>
      </c>
      <c r="J1623" s="1">
        <v>-3929600</v>
      </c>
      <c r="K1623">
        <v>419</v>
      </c>
      <c r="L1623">
        <v>1603</v>
      </c>
      <c r="M1623" t="s">
        <v>16</v>
      </c>
    </row>
    <row r="1624" spans="1:13" x14ac:dyDescent="0.35">
      <c r="A1624">
        <v>261410</v>
      </c>
      <c r="B1624">
        <v>13900</v>
      </c>
      <c r="C1624" t="s">
        <v>1766</v>
      </c>
      <c r="D1624" t="s">
        <v>1609</v>
      </c>
      <c r="E1624" t="s">
        <v>1633</v>
      </c>
      <c r="F1624">
        <v>34069</v>
      </c>
      <c r="G1624">
        <v>1</v>
      </c>
      <c r="H1624" t="s">
        <v>16</v>
      </c>
      <c r="I1624" s="1">
        <v>-807400</v>
      </c>
      <c r="J1624" s="1">
        <v>-3726400</v>
      </c>
      <c r="K1624">
        <v>558</v>
      </c>
      <c r="L1624">
        <v>2421</v>
      </c>
      <c r="M1624" t="s">
        <v>16</v>
      </c>
    </row>
    <row r="1625" spans="1:13" x14ac:dyDescent="0.35">
      <c r="A1625">
        <v>261420</v>
      </c>
      <c r="B1625">
        <v>13919</v>
      </c>
      <c r="C1625" t="s">
        <v>1767</v>
      </c>
      <c r="D1625" t="s">
        <v>1609</v>
      </c>
      <c r="E1625" t="s">
        <v>1619</v>
      </c>
      <c r="F1625">
        <v>50000</v>
      </c>
      <c r="G1625">
        <v>1</v>
      </c>
      <c r="H1625" t="s">
        <v>16</v>
      </c>
      <c r="I1625" s="1">
        <v>-859100</v>
      </c>
      <c r="J1625" s="1">
        <v>-3511600</v>
      </c>
      <c r="K1625">
        <v>49</v>
      </c>
      <c r="L1625">
        <v>378</v>
      </c>
      <c r="M1625" t="s">
        <v>16</v>
      </c>
    </row>
    <row r="1626" spans="1:13" x14ac:dyDescent="0.35">
      <c r="A1626">
        <v>261430</v>
      </c>
      <c r="B1626">
        <v>13927</v>
      </c>
      <c r="C1626" t="s">
        <v>1768</v>
      </c>
      <c r="D1626" t="s">
        <v>1609</v>
      </c>
      <c r="E1626" t="s">
        <v>1631</v>
      </c>
      <c r="F1626">
        <v>10424</v>
      </c>
      <c r="G1626">
        <v>1</v>
      </c>
      <c r="H1626" t="s">
        <v>16</v>
      </c>
      <c r="I1626" s="1">
        <v>-763100</v>
      </c>
      <c r="J1626" s="1">
        <v>-3955100</v>
      </c>
      <c r="K1626">
        <v>502</v>
      </c>
      <c r="L1626">
        <v>637</v>
      </c>
      <c r="M1626" t="s">
        <v>16</v>
      </c>
    </row>
    <row r="1627" spans="1:13" x14ac:dyDescent="0.35">
      <c r="A1627">
        <v>261440</v>
      </c>
      <c r="B1627">
        <v>13935</v>
      </c>
      <c r="C1627" t="s">
        <v>1769</v>
      </c>
      <c r="D1627" t="s">
        <v>1609</v>
      </c>
      <c r="E1627" t="s">
        <v>1613</v>
      </c>
      <c r="F1627">
        <v>5837</v>
      </c>
      <c r="G1627">
        <v>1</v>
      </c>
      <c r="H1627" t="s">
        <v>16</v>
      </c>
      <c r="I1627" s="1">
        <v>-760000</v>
      </c>
      <c r="J1627" s="1">
        <v>-3765200</v>
      </c>
      <c r="K1627">
        <v>586</v>
      </c>
      <c r="L1627">
        <v>138</v>
      </c>
      <c r="M1627" t="s">
        <v>16</v>
      </c>
    </row>
    <row r="1628" spans="1:13" x14ac:dyDescent="0.35">
      <c r="A1628">
        <v>261450</v>
      </c>
      <c r="B1628">
        <v>13943</v>
      </c>
      <c r="C1628" t="s">
        <v>1770</v>
      </c>
      <c r="D1628" t="s">
        <v>1609</v>
      </c>
      <c r="E1628" t="s">
        <v>1665</v>
      </c>
      <c r="F1628">
        <v>53934</v>
      </c>
      <c r="G1628">
        <v>2</v>
      </c>
      <c r="H1628" t="s">
        <v>16</v>
      </c>
      <c r="I1628" s="1">
        <v>-783200</v>
      </c>
      <c r="J1628" s="1">
        <v>-3575600</v>
      </c>
      <c r="K1628">
        <v>0</v>
      </c>
      <c r="L1628">
        <v>252</v>
      </c>
      <c r="M1628" t="s">
        <v>16</v>
      </c>
    </row>
    <row r="1629" spans="1:13" x14ac:dyDescent="0.35">
      <c r="A1629">
        <v>261460</v>
      </c>
      <c r="B1629">
        <v>13951</v>
      </c>
      <c r="C1629" t="s">
        <v>1771</v>
      </c>
      <c r="D1629" t="s">
        <v>1609</v>
      </c>
      <c r="E1629" t="s">
        <v>1613</v>
      </c>
      <c r="F1629">
        <v>25836</v>
      </c>
      <c r="G1629">
        <v>1</v>
      </c>
      <c r="H1629" t="s">
        <v>16</v>
      </c>
      <c r="I1629" s="1">
        <v>-759100</v>
      </c>
      <c r="J1629" s="1">
        <v>-3753900</v>
      </c>
      <c r="K1629">
        <v>558</v>
      </c>
      <c r="L1629">
        <v>388</v>
      </c>
      <c r="M1629" t="s">
        <v>16</v>
      </c>
    </row>
    <row r="1630" spans="1:13" x14ac:dyDescent="0.35">
      <c r="A1630">
        <v>261470</v>
      </c>
      <c r="B1630">
        <v>13960</v>
      </c>
      <c r="C1630" t="s">
        <v>1772</v>
      </c>
      <c r="D1630" t="s">
        <v>1609</v>
      </c>
      <c r="E1630" t="s">
        <v>1622</v>
      </c>
      <c r="F1630">
        <v>12095</v>
      </c>
      <c r="G1630">
        <v>1</v>
      </c>
      <c r="H1630" t="s">
        <v>16</v>
      </c>
      <c r="I1630" s="1">
        <v>-831600</v>
      </c>
      <c r="J1630" s="1">
        <v>-3629300</v>
      </c>
      <c r="K1630">
        <v>576</v>
      </c>
      <c r="L1630">
        <v>227</v>
      </c>
      <c r="M1630" t="s">
        <v>16</v>
      </c>
    </row>
    <row r="1631" spans="1:13" x14ac:dyDescent="0.35">
      <c r="A1631">
        <v>261480</v>
      </c>
      <c r="B1631">
        <v>13978</v>
      </c>
      <c r="C1631" t="s">
        <v>1773</v>
      </c>
      <c r="D1631" t="s">
        <v>1609</v>
      </c>
      <c r="E1631" t="s">
        <v>1638</v>
      </c>
      <c r="F1631">
        <v>20552</v>
      </c>
      <c r="G1631">
        <v>1</v>
      </c>
      <c r="H1631" t="s">
        <v>16</v>
      </c>
      <c r="I1631" s="1">
        <v>-910600</v>
      </c>
      <c r="J1631" s="1">
        <v>-3815000</v>
      </c>
      <c r="K1631">
        <v>514</v>
      </c>
      <c r="L1631">
        <v>1264</v>
      </c>
      <c r="M1631" t="s">
        <v>16</v>
      </c>
    </row>
    <row r="1632" spans="1:13" x14ac:dyDescent="0.35">
      <c r="A1632">
        <v>261485</v>
      </c>
      <c r="B1632">
        <v>54267</v>
      </c>
      <c r="C1632" t="s">
        <v>1774</v>
      </c>
      <c r="D1632" t="s">
        <v>1609</v>
      </c>
      <c r="E1632" t="s">
        <v>1619</v>
      </c>
      <c r="F1632">
        <v>18137</v>
      </c>
      <c r="G1632">
        <v>1</v>
      </c>
      <c r="H1632" t="s">
        <v>16</v>
      </c>
      <c r="I1632" s="1">
        <v>-876000</v>
      </c>
      <c r="J1632" s="1">
        <v>-3510500</v>
      </c>
      <c r="K1632">
        <v>8</v>
      </c>
      <c r="L1632">
        <v>190</v>
      </c>
      <c r="M1632" t="s">
        <v>16</v>
      </c>
    </row>
    <row r="1633" spans="1:13" x14ac:dyDescent="0.35">
      <c r="A1633">
        <v>261500</v>
      </c>
      <c r="B1633">
        <v>13994</v>
      </c>
      <c r="C1633" t="s">
        <v>1775</v>
      </c>
      <c r="D1633" t="s">
        <v>1609</v>
      </c>
      <c r="E1633" t="s">
        <v>1665</v>
      </c>
      <c r="F1633">
        <v>21447</v>
      </c>
      <c r="G1633">
        <v>1</v>
      </c>
      <c r="H1633" t="s">
        <v>16</v>
      </c>
      <c r="I1633" s="1">
        <v>-790300</v>
      </c>
      <c r="J1633" s="1">
        <v>-3604400</v>
      </c>
      <c r="K1633">
        <v>774</v>
      </c>
      <c r="L1633">
        <v>475</v>
      </c>
      <c r="M1633" t="s">
        <v>16</v>
      </c>
    </row>
    <row r="1634" spans="1:13" x14ac:dyDescent="0.35">
      <c r="A1634">
        <v>261510</v>
      </c>
      <c r="B1634">
        <v>14001</v>
      </c>
      <c r="C1634" t="s">
        <v>1776</v>
      </c>
      <c r="D1634" t="s">
        <v>1609</v>
      </c>
      <c r="E1634" t="s">
        <v>1628</v>
      </c>
      <c r="F1634">
        <v>6496</v>
      </c>
      <c r="G1634">
        <v>1</v>
      </c>
      <c r="H1634" t="s">
        <v>16</v>
      </c>
      <c r="I1634" s="1">
        <v>-905600</v>
      </c>
      <c r="J1634" s="1">
        <v>-3662300</v>
      </c>
      <c r="K1634">
        <v>736</v>
      </c>
      <c r="L1634">
        <v>151</v>
      </c>
      <c r="M1634" t="s">
        <v>16</v>
      </c>
    </row>
    <row r="1635" spans="1:13" x14ac:dyDescent="0.35">
      <c r="A1635">
        <v>261520</v>
      </c>
      <c r="B1635">
        <v>14010</v>
      </c>
      <c r="C1635" t="s">
        <v>1777</v>
      </c>
      <c r="D1635" t="s">
        <v>1609</v>
      </c>
      <c r="E1635" t="s">
        <v>1615</v>
      </c>
      <c r="F1635">
        <v>9057</v>
      </c>
      <c r="G1635">
        <v>1</v>
      </c>
      <c r="H1635" t="s">
        <v>16</v>
      </c>
      <c r="I1635" s="1">
        <v>-823000</v>
      </c>
      <c r="J1635" s="1">
        <v>-3937600</v>
      </c>
      <c r="K1635">
        <v>363</v>
      </c>
      <c r="L1635">
        <v>360</v>
      </c>
      <c r="M1635" t="s">
        <v>16</v>
      </c>
    </row>
    <row r="1636" spans="1:13" x14ac:dyDescent="0.35">
      <c r="A1636">
        <v>261530</v>
      </c>
      <c r="B1636">
        <v>14028</v>
      </c>
      <c r="C1636" t="s">
        <v>1778</v>
      </c>
      <c r="D1636" t="s">
        <v>1609</v>
      </c>
      <c r="E1636" t="s">
        <v>1624</v>
      </c>
      <c r="F1636">
        <v>51529</v>
      </c>
      <c r="G1636">
        <v>2</v>
      </c>
      <c r="H1636" t="s">
        <v>16</v>
      </c>
      <c r="I1636" s="1">
        <v>-750500</v>
      </c>
      <c r="J1636" s="1">
        <v>-3531800</v>
      </c>
      <c r="K1636">
        <v>102</v>
      </c>
      <c r="L1636">
        <v>289</v>
      </c>
      <c r="M1636" t="s">
        <v>16</v>
      </c>
    </row>
    <row r="1637" spans="1:13" x14ac:dyDescent="0.35">
      <c r="A1637">
        <v>261540</v>
      </c>
      <c r="B1637">
        <v>14036</v>
      </c>
      <c r="C1637" t="s">
        <v>1779</v>
      </c>
      <c r="D1637" t="s">
        <v>1609</v>
      </c>
      <c r="E1637" t="s">
        <v>1665</v>
      </c>
      <c r="F1637">
        <v>29897</v>
      </c>
      <c r="G1637">
        <v>1</v>
      </c>
      <c r="H1637" t="s">
        <v>16</v>
      </c>
      <c r="I1637" s="1">
        <v>-799900</v>
      </c>
      <c r="J1637" s="1">
        <v>-3605100</v>
      </c>
      <c r="K1637">
        <v>349</v>
      </c>
      <c r="L1637">
        <v>30</v>
      </c>
      <c r="M1637" t="s">
        <v>16</v>
      </c>
    </row>
    <row r="1638" spans="1:13" x14ac:dyDescent="0.35">
      <c r="A1638">
        <v>261550</v>
      </c>
      <c r="B1638">
        <v>14044</v>
      </c>
      <c r="C1638" t="s">
        <v>1780</v>
      </c>
      <c r="D1638" t="s">
        <v>1609</v>
      </c>
      <c r="E1638" t="s">
        <v>1624</v>
      </c>
      <c r="F1638">
        <v>12734</v>
      </c>
      <c r="G1638">
        <v>1</v>
      </c>
      <c r="H1638" t="s">
        <v>16</v>
      </c>
      <c r="I1638" s="1">
        <v>-780500</v>
      </c>
      <c r="J1638" s="1">
        <v>-3524000</v>
      </c>
      <c r="K1638">
        <v>120</v>
      </c>
      <c r="L1638">
        <v>116</v>
      </c>
      <c r="M1638" t="s">
        <v>16</v>
      </c>
    </row>
    <row r="1639" spans="1:13" x14ac:dyDescent="0.35">
      <c r="A1639">
        <v>261560</v>
      </c>
      <c r="B1639">
        <v>14052</v>
      </c>
      <c r="C1639" t="s">
        <v>1781</v>
      </c>
      <c r="D1639" t="s">
        <v>1609</v>
      </c>
      <c r="E1639" t="s">
        <v>1631</v>
      </c>
      <c r="F1639">
        <v>24642</v>
      </c>
      <c r="G1639">
        <v>1</v>
      </c>
      <c r="H1639" t="s">
        <v>16</v>
      </c>
      <c r="I1639" s="1">
        <v>-776200</v>
      </c>
      <c r="J1639" s="1">
        <v>-4026800</v>
      </c>
      <c r="K1639">
        <v>518</v>
      </c>
      <c r="L1639">
        <v>229</v>
      </c>
      <c r="M1639" t="s">
        <v>16</v>
      </c>
    </row>
    <row r="1640" spans="1:13" x14ac:dyDescent="0.35">
      <c r="A1640">
        <v>261570</v>
      </c>
      <c r="B1640">
        <v>14060</v>
      </c>
      <c r="C1640" t="s">
        <v>1604</v>
      </c>
      <c r="D1640" t="s">
        <v>1609</v>
      </c>
      <c r="E1640" t="s">
        <v>1613</v>
      </c>
      <c r="F1640">
        <v>15225</v>
      </c>
      <c r="G1640">
        <v>1</v>
      </c>
      <c r="H1640" t="s">
        <v>16</v>
      </c>
      <c r="I1640" s="1">
        <v>-783800</v>
      </c>
      <c r="J1640" s="1">
        <v>-3810200</v>
      </c>
      <c r="K1640">
        <v>1004</v>
      </c>
      <c r="L1640">
        <v>191</v>
      </c>
      <c r="M1640" t="s">
        <v>16</v>
      </c>
    </row>
    <row r="1641" spans="1:13" x14ac:dyDescent="0.35">
      <c r="A1641">
        <v>261580</v>
      </c>
      <c r="B1641">
        <v>14079</v>
      </c>
      <c r="C1641" t="s">
        <v>1782</v>
      </c>
      <c r="D1641" t="s">
        <v>1609</v>
      </c>
      <c r="E1641" t="s">
        <v>1621</v>
      </c>
      <c r="F1641">
        <v>18913</v>
      </c>
      <c r="G1641">
        <v>1</v>
      </c>
      <c r="H1641" t="s">
        <v>16</v>
      </c>
      <c r="I1641" s="1">
        <v>-875300</v>
      </c>
      <c r="J1641" s="1">
        <v>-3734000</v>
      </c>
      <c r="K1641">
        <v>710</v>
      </c>
      <c r="L1641">
        <v>795</v>
      </c>
      <c r="M1641" t="s">
        <v>16</v>
      </c>
    </row>
    <row r="1642" spans="1:13" x14ac:dyDescent="0.35">
      <c r="A1642">
        <v>261590</v>
      </c>
      <c r="B1642">
        <v>14087</v>
      </c>
      <c r="C1642" t="s">
        <v>1783</v>
      </c>
      <c r="D1642" t="s">
        <v>1609</v>
      </c>
      <c r="E1642" t="s">
        <v>1613</v>
      </c>
      <c r="F1642">
        <v>8257</v>
      </c>
      <c r="G1642">
        <v>1</v>
      </c>
      <c r="H1642" t="s">
        <v>16</v>
      </c>
      <c r="I1642" s="1">
        <v>-760200</v>
      </c>
      <c r="J1642" s="1">
        <v>-3731100</v>
      </c>
      <c r="K1642">
        <v>560</v>
      </c>
      <c r="L1642">
        <v>185</v>
      </c>
      <c r="M1642" t="s">
        <v>16</v>
      </c>
    </row>
    <row r="1643" spans="1:13" x14ac:dyDescent="0.35">
      <c r="A1643">
        <v>261600</v>
      </c>
      <c r="B1643">
        <v>14095</v>
      </c>
      <c r="C1643" t="s">
        <v>1784</v>
      </c>
      <c r="D1643" t="s">
        <v>1609</v>
      </c>
      <c r="E1643" t="s">
        <v>1621</v>
      </c>
      <c r="F1643">
        <v>15576</v>
      </c>
      <c r="G1643">
        <v>1</v>
      </c>
      <c r="H1643" t="s">
        <v>16</v>
      </c>
      <c r="I1643" s="1">
        <v>-857500</v>
      </c>
      <c r="J1643" s="1">
        <v>-3687400</v>
      </c>
      <c r="K1643">
        <v>530</v>
      </c>
      <c r="L1643">
        <v>338</v>
      </c>
      <c r="M1643" t="s">
        <v>16</v>
      </c>
    </row>
    <row r="1644" spans="1:13" x14ac:dyDescent="0.35">
      <c r="A1644">
        <v>261610</v>
      </c>
      <c r="B1644">
        <v>14109</v>
      </c>
      <c r="C1644" t="s">
        <v>1785</v>
      </c>
      <c r="D1644" t="s">
        <v>1609</v>
      </c>
      <c r="E1644" t="s">
        <v>1667</v>
      </c>
      <c r="F1644">
        <v>9567</v>
      </c>
      <c r="G1644">
        <v>1</v>
      </c>
      <c r="H1644" t="s">
        <v>16</v>
      </c>
      <c r="I1644" s="1">
        <v>-792600</v>
      </c>
      <c r="J1644" s="1">
        <v>-3897200</v>
      </c>
      <c r="K1644">
        <v>494</v>
      </c>
      <c r="L1644">
        <v>476</v>
      </c>
      <c r="M1644" t="s">
        <v>16</v>
      </c>
    </row>
    <row r="1645" spans="1:13" x14ac:dyDescent="0.35">
      <c r="A1645">
        <v>261618</v>
      </c>
      <c r="B1645">
        <v>50474</v>
      </c>
      <c r="C1645" t="s">
        <v>1786</v>
      </c>
      <c r="D1645" t="s">
        <v>1609</v>
      </c>
      <c r="E1645" t="s">
        <v>1665</v>
      </c>
      <c r="F1645">
        <v>7500</v>
      </c>
      <c r="G1645">
        <v>1</v>
      </c>
      <c r="H1645" t="s">
        <v>16</v>
      </c>
      <c r="I1645" s="1">
        <v>-777100</v>
      </c>
      <c r="J1645" s="1">
        <v>-3585000</v>
      </c>
      <c r="K1645">
        <v>290</v>
      </c>
      <c r="L1645">
        <v>67</v>
      </c>
      <c r="M1645" t="s">
        <v>16</v>
      </c>
    </row>
    <row r="1646" spans="1:13" x14ac:dyDescent="0.35">
      <c r="A1646">
        <v>261620</v>
      </c>
      <c r="B1646">
        <v>14117</v>
      </c>
      <c r="C1646" t="s">
        <v>1787</v>
      </c>
      <c r="D1646" t="s">
        <v>1609</v>
      </c>
      <c r="E1646" t="s">
        <v>1665</v>
      </c>
      <c r="F1646">
        <v>17021</v>
      </c>
      <c r="G1646">
        <v>1</v>
      </c>
      <c r="H1646" t="s">
        <v>16</v>
      </c>
      <c r="I1646" s="1">
        <v>-790300</v>
      </c>
      <c r="J1646" s="1">
        <v>-3598800</v>
      </c>
      <c r="K1646">
        <v>401</v>
      </c>
      <c r="L1646">
        <v>191</v>
      </c>
      <c r="M1646" t="s">
        <v>16</v>
      </c>
    </row>
    <row r="1647" spans="1:13" x14ac:dyDescent="0.35">
      <c r="A1647">
        <v>261630</v>
      </c>
      <c r="B1647">
        <v>14125</v>
      </c>
      <c r="C1647" t="s">
        <v>1788</v>
      </c>
      <c r="D1647" t="s">
        <v>1609</v>
      </c>
      <c r="E1647" t="s">
        <v>1624</v>
      </c>
      <c r="F1647">
        <v>50000</v>
      </c>
      <c r="G1647">
        <v>1</v>
      </c>
      <c r="H1647" t="s">
        <v>16</v>
      </c>
      <c r="I1647" s="1">
        <v>-765700</v>
      </c>
      <c r="J1647" s="1">
        <v>-3532700</v>
      </c>
      <c r="K1647">
        <v>119</v>
      </c>
      <c r="L1647">
        <v>230</v>
      </c>
      <c r="M1647" t="s">
        <v>16</v>
      </c>
    </row>
    <row r="1648" spans="1:13" x14ac:dyDescent="0.35">
      <c r="A1648">
        <v>261640</v>
      </c>
      <c r="B1648">
        <v>14133</v>
      </c>
      <c r="C1648" t="s">
        <v>1789</v>
      </c>
      <c r="D1648" t="s">
        <v>1609</v>
      </c>
      <c r="E1648" t="s">
        <v>1669</v>
      </c>
      <c r="F1648">
        <v>121233</v>
      </c>
      <c r="G1648">
        <v>3</v>
      </c>
      <c r="H1648" t="s">
        <v>16</v>
      </c>
      <c r="I1648" s="1">
        <v>-811800</v>
      </c>
      <c r="J1648" s="1">
        <v>-3529100</v>
      </c>
      <c r="K1648">
        <v>156</v>
      </c>
      <c r="L1648">
        <v>371</v>
      </c>
      <c r="M1648" t="s">
        <v>16</v>
      </c>
    </row>
    <row r="1649" spans="1:13" x14ac:dyDescent="0.35">
      <c r="A1649">
        <v>261650</v>
      </c>
      <c r="B1649">
        <v>50482</v>
      </c>
      <c r="C1649" t="s">
        <v>1790</v>
      </c>
      <c r="D1649" t="s">
        <v>1609</v>
      </c>
      <c r="E1649" t="s">
        <v>1619</v>
      </c>
      <c r="F1649">
        <v>50000</v>
      </c>
      <c r="G1649">
        <v>1</v>
      </c>
      <c r="H1649" t="s">
        <v>16</v>
      </c>
      <c r="I1649" s="1">
        <v>-880200</v>
      </c>
      <c r="J1649" s="1">
        <v>-3562700</v>
      </c>
      <c r="K1649">
        <v>200</v>
      </c>
      <c r="L1649">
        <v>110</v>
      </c>
      <c r="M1649" t="s">
        <v>16</v>
      </c>
    </row>
    <row r="1650" spans="1:13" x14ac:dyDescent="0.35">
      <c r="A1650">
        <v>270010</v>
      </c>
      <c r="B1650">
        <v>14214</v>
      </c>
      <c r="C1650" t="s">
        <v>780</v>
      </c>
      <c r="D1650" t="s">
        <v>1791</v>
      </c>
      <c r="E1650" t="s">
        <v>1792</v>
      </c>
      <c r="F1650">
        <v>19316</v>
      </c>
      <c r="G1650">
        <v>1</v>
      </c>
      <c r="H1650" t="s">
        <v>16</v>
      </c>
      <c r="I1650" s="1">
        <v>-926200</v>
      </c>
      <c r="J1650" s="1">
        <v>-3793800</v>
      </c>
      <c r="K1650">
        <v>570</v>
      </c>
      <c r="L1650">
        <v>454</v>
      </c>
      <c r="M1650" t="s">
        <v>16</v>
      </c>
    </row>
    <row r="1651" spans="1:13" x14ac:dyDescent="0.35">
      <c r="A1651">
        <v>270020</v>
      </c>
      <c r="B1651">
        <v>14222</v>
      </c>
      <c r="C1651" t="s">
        <v>1793</v>
      </c>
      <c r="D1651" t="s">
        <v>1791</v>
      </c>
      <c r="E1651" t="s">
        <v>1794</v>
      </c>
      <c r="F1651">
        <v>17274</v>
      </c>
      <c r="G1651">
        <v>1</v>
      </c>
      <c r="H1651" t="s">
        <v>16</v>
      </c>
      <c r="I1651" s="1">
        <v>-968400</v>
      </c>
      <c r="J1651" s="1">
        <v>-3630400</v>
      </c>
      <c r="K1651">
        <v>153</v>
      </c>
      <c r="L1651">
        <v>189</v>
      </c>
      <c r="M1651" t="s">
        <v>16</v>
      </c>
    </row>
    <row r="1652" spans="1:13" x14ac:dyDescent="0.35">
      <c r="A1652">
        <v>270030</v>
      </c>
      <c r="B1652">
        <v>14230</v>
      </c>
      <c r="C1652" t="s">
        <v>1795</v>
      </c>
      <c r="D1652" t="s">
        <v>1791</v>
      </c>
      <c r="E1652" t="s">
        <v>1795</v>
      </c>
      <c r="F1652">
        <v>202398</v>
      </c>
      <c r="G1652">
        <v>3</v>
      </c>
      <c r="H1652" t="s">
        <v>16</v>
      </c>
      <c r="I1652" s="1">
        <v>-975200</v>
      </c>
      <c r="J1652" s="1">
        <v>-3666100</v>
      </c>
      <c r="K1652">
        <v>264</v>
      </c>
      <c r="L1652">
        <v>351</v>
      </c>
      <c r="M1652" t="s">
        <v>16</v>
      </c>
    </row>
    <row r="1653" spans="1:13" x14ac:dyDescent="0.35">
      <c r="A1653">
        <v>270040</v>
      </c>
      <c r="B1653">
        <v>14249</v>
      </c>
      <c r="C1653" t="s">
        <v>1796</v>
      </c>
      <c r="D1653" t="s">
        <v>1791</v>
      </c>
      <c r="E1653" t="s">
        <v>1797</v>
      </c>
      <c r="F1653">
        <v>50323</v>
      </c>
      <c r="G1653">
        <v>2</v>
      </c>
      <c r="H1653" t="s">
        <v>16</v>
      </c>
      <c r="I1653" s="1">
        <v>-950200</v>
      </c>
      <c r="J1653" s="1">
        <v>-3602300</v>
      </c>
      <c r="K1653">
        <v>54</v>
      </c>
      <c r="L1653">
        <v>531</v>
      </c>
      <c r="M1653" t="s">
        <v>16</v>
      </c>
    </row>
    <row r="1654" spans="1:13" x14ac:dyDescent="0.35">
      <c r="A1654">
        <v>270050</v>
      </c>
      <c r="B1654">
        <v>14257</v>
      </c>
      <c r="C1654" t="s">
        <v>1798</v>
      </c>
      <c r="D1654" t="s">
        <v>1791</v>
      </c>
      <c r="E1654" t="s">
        <v>1799</v>
      </c>
      <c r="F1654">
        <v>13731</v>
      </c>
      <c r="G1654">
        <v>4</v>
      </c>
      <c r="H1654" t="s">
        <v>1800</v>
      </c>
      <c r="I1654" s="1">
        <v>-940500</v>
      </c>
      <c r="J1654" s="1">
        <v>-3550700</v>
      </c>
      <c r="K1654">
        <v>10</v>
      </c>
      <c r="L1654">
        <v>137</v>
      </c>
      <c r="M1654" t="s">
        <v>16</v>
      </c>
    </row>
    <row r="1655" spans="1:13" x14ac:dyDescent="0.35">
      <c r="A1655">
        <v>270060</v>
      </c>
      <c r="B1655">
        <v>14265</v>
      </c>
      <c r="C1655" t="s">
        <v>1428</v>
      </c>
      <c r="D1655" t="s">
        <v>1791</v>
      </c>
      <c r="E1655" t="s">
        <v>1799</v>
      </c>
      <c r="F1655">
        <v>7247</v>
      </c>
      <c r="G1655">
        <v>4</v>
      </c>
      <c r="H1655" t="s">
        <v>1800</v>
      </c>
      <c r="I1655" s="1">
        <v>-984000</v>
      </c>
      <c r="J1655" s="1">
        <v>-3590800</v>
      </c>
      <c r="K1655">
        <v>2</v>
      </c>
      <c r="L1655">
        <v>76</v>
      </c>
      <c r="M1655" t="s">
        <v>16</v>
      </c>
    </row>
    <row r="1656" spans="1:13" x14ac:dyDescent="0.35">
      <c r="A1656">
        <v>270070</v>
      </c>
      <c r="B1656">
        <v>14273</v>
      </c>
      <c r="C1656" t="s">
        <v>811</v>
      </c>
      <c r="D1656" t="s">
        <v>1791</v>
      </c>
      <c r="E1656" t="s">
        <v>811</v>
      </c>
      <c r="F1656">
        <v>16247</v>
      </c>
      <c r="G1656">
        <v>1</v>
      </c>
      <c r="H1656" t="s">
        <v>16</v>
      </c>
      <c r="I1656" s="1">
        <v>-967800</v>
      </c>
      <c r="J1656" s="1">
        <v>-3712500</v>
      </c>
      <c r="K1656">
        <v>120</v>
      </c>
      <c r="L1656">
        <v>321</v>
      </c>
      <c r="M1656" t="s">
        <v>16</v>
      </c>
    </row>
    <row r="1657" spans="1:13" x14ac:dyDescent="0.35">
      <c r="A1657">
        <v>270080</v>
      </c>
      <c r="B1657">
        <v>14281</v>
      </c>
      <c r="C1657" t="s">
        <v>224</v>
      </c>
      <c r="D1657" t="s">
        <v>1791</v>
      </c>
      <c r="E1657" t="s">
        <v>1801</v>
      </c>
      <c r="F1657">
        <v>5031</v>
      </c>
      <c r="G1657">
        <v>1</v>
      </c>
      <c r="H1657" t="s">
        <v>16</v>
      </c>
      <c r="I1657" s="1">
        <v>-957100</v>
      </c>
      <c r="J1657" s="1">
        <v>-3649200</v>
      </c>
      <c r="K1657">
        <v>311</v>
      </c>
      <c r="L1657">
        <v>48</v>
      </c>
      <c r="M1657" t="s">
        <v>16</v>
      </c>
    </row>
    <row r="1658" spans="1:13" x14ac:dyDescent="0.35">
      <c r="A1658">
        <v>270090</v>
      </c>
      <c r="B1658">
        <v>14290</v>
      </c>
      <c r="C1658" t="s">
        <v>1802</v>
      </c>
      <c r="D1658" t="s">
        <v>1791</v>
      </c>
      <c r="E1658" t="s">
        <v>811</v>
      </c>
      <c r="F1658">
        <v>7238</v>
      </c>
      <c r="G1658">
        <v>1</v>
      </c>
      <c r="H1658" t="s">
        <v>16</v>
      </c>
      <c r="I1658" s="1">
        <v>-982800</v>
      </c>
      <c r="J1658" s="1">
        <v>-3728000</v>
      </c>
      <c r="K1658">
        <v>30</v>
      </c>
      <c r="L1658">
        <v>334</v>
      </c>
      <c r="M1658" t="s">
        <v>16</v>
      </c>
    </row>
    <row r="1659" spans="1:13" x14ac:dyDescent="0.35">
      <c r="A1659">
        <v>270100</v>
      </c>
      <c r="B1659">
        <v>14303</v>
      </c>
      <c r="C1659" t="s">
        <v>1803</v>
      </c>
      <c r="D1659" t="s">
        <v>1791</v>
      </c>
      <c r="E1659" t="s">
        <v>1794</v>
      </c>
      <c r="F1659">
        <v>25145</v>
      </c>
      <c r="G1659">
        <v>1</v>
      </c>
      <c r="H1659" t="s">
        <v>16</v>
      </c>
      <c r="I1659" s="1">
        <v>-964100</v>
      </c>
      <c r="J1659" s="1">
        <v>-3622000</v>
      </c>
      <c r="K1659">
        <v>132</v>
      </c>
      <c r="L1659">
        <v>186</v>
      </c>
      <c r="M1659" t="s">
        <v>16</v>
      </c>
    </row>
    <row r="1660" spans="1:13" x14ac:dyDescent="0.35">
      <c r="A1660">
        <v>270110</v>
      </c>
      <c r="B1660">
        <v>14311</v>
      </c>
      <c r="C1660" t="s">
        <v>1804</v>
      </c>
      <c r="D1660" t="s">
        <v>1791</v>
      </c>
      <c r="E1660" t="s">
        <v>1797</v>
      </c>
      <c r="F1660">
        <v>50000</v>
      </c>
      <c r="G1660">
        <v>1</v>
      </c>
      <c r="H1660" t="s">
        <v>16</v>
      </c>
      <c r="I1660" s="1">
        <v>-924600</v>
      </c>
      <c r="J1660" s="1">
        <v>-3601500</v>
      </c>
      <c r="K1660">
        <v>100</v>
      </c>
      <c r="L1660">
        <v>191</v>
      </c>
      <c r="M1660" t="s">
        <v>16</v>
      </c>
    </row>
    <row r="1661" spans="1:13" x14ac:dyDescent="0.35">
      <c r="A1661">
        <v>270120</v>
      </c>
      <c r="B1661">
        <v>14320</v>
      </c>
      <c r="C1661" t="s">
        <v>1805</v>
      </c>
      <c r="D1661" t="s">
        <v>1791</v>
      </c>
      <c r="E1661" t="s">
        <v>1801</v>
      </c>
      <c r="F1661">
        <v>9843</v>
      </c>
      <c r="G1661">
        <v>1</v>
      </c>
      <c r="H1661" t="s">
        <v>16</v>
      </c>
      <c r="I1661" s="1">
        <v>-940000</v>
      </c>
      <c r="J1661" s="1">
        <v>-3699000</v>
      </c>
      <c r="K1661">
        <v>270</v>
      </c>
      <c r="L1661">
        <v>272</v>
      </c>
      <c r="M1661" t="s">
        <v>16</v>
      </c>
    </row>
    <row r="1662" spans="1:13" x14ac:dyDescent="0.35">
      <c r="A1662">
        <v>270130</v>
      </c>
      <c r="B1662">
        <v>14338</v>
      </c>
      <c r="C1662" t="s">
        <v>1806</v>
      </c>
      <c r="D1662" t="s">
        <v>1791</v>
      </c>
      <c r="E1662" t="s">
        <v>1797</v>
      </c>
      <c r="F1662">
        <v>50000</v>
      </c>
      <c r="G1662">
        <v>1</v>
      </c>
      <c r="H1662" t="s">
        <v>16</v>
      </c>
      <c r="I1662" s="1">
        <v>-939700</v>
      </c>
      <c r="J1662" s="1">
        <v>-3615400</v>
      </c>
      <c r="K1662">
        <v>102</v>
      </c>
      <c r="L1662">
        <v>124</v>
      </c>
      <c r="M1662" t="s">
        <v>16</v>
      </c>
    </row>
    <row r="1663" spans="1:13" x14ac:dyDescent="0.35">
      <c r="A1663">
        <v>270135</v>
      </c>
      <c r="B1663">
        <v>58335</v>
      </c>
      <c r="C1663" t="s">
        <v>1807</v>
      </c>
      <c r="D1663" t="s">
        <v>1791</v>
      </c>
      <c r="E1663" t="s">
        <v>1797</v>
      </c>
      <c r="F1663">
        <v>6016</v>
      </c>
      <c r="G1663">
        <v>1</v>
      </c>
      <c r="H1663" t="s">
        <v>16</v>
      </c>
      <c r="I1663" s="1">
        <v>-884600</v>
      </c>
      <c r="J1663" s="1">
        <v>-3556800</v>
      </c>
      <c r="K1663">
        <v>0</v>
      </c>
      <c r="L1663">
        <v>53</v>
      </c>
      <c r="M1663" t="s">
        <v>16</v>
      </c>
    </row>
    <row r="1664" spans="1:13" x14ac:dyDescent="0.35">
      <c r="A1664">
        <v>270140</v>
      </c>
      <c r="B1664">
        <v>14346</v>
      </c>
      <c r="C1664" t="s">
        <v>1808</v>
      </c>
      <c r="D1664" t="s">
        <v>1791</v>
      </c>
      <c r="E1664" t="s">
        <v>1794</v>
      </c>
      <c r="F1664">
        <v>45307</v>
      </c>
      <c r="G1664">
        <v>1</v>
      </c>
      <c r="H1664" t="s">
        <v>16</v>
      </c>
      <c r="I1664" s="1">
        <v>-978200</v>
      </c>
      <c r="J1664" s="1">
        <v>-3635100</v>
      </c>
      <c r="K1664">
        <v>176</v>
      </c>
      <c r="L1664">
        <v>308</v>
      </c>
      <c r="M1664" t="s">
        <v>16</v>
      </c>
    </row>
    <row r="1665" spans="1:13" x14ac:dyDescent="0.35">
      <c r="A1665">
        <v>270150</v>
      </c>
      <c r="B1665">
        <v>14354</v>
      </c>
      <c r="C1665" t="s">
        <v>1809</v>
      </c>
      <c r="D1665" t="s">
        <v>1791</v>
      </c>
      <c r="E1665" t="s">
        <v>1795</v>
      </c>
      <c r="F1665">
        <v>9563</v>
      </c>
      <c r="G1665">
        <v>1</v>
      </c>
      <c r="H1665" t="s">
        <v>16</v>
      </c>
      <c r="I1665" s="1">
        <v>-995800</v>
      </c>
      <c r="J1665" s="1">
        <v>-3679200</v>
      </c>
      <c r="K1665">
        <v>142</v>
      </c>
      <c r="L1665">
        <v>166</v>
      </c>
      <c r="M1665" t="s">
        <v>16</v>
      </c>
    </row>
    <row r="1666" spans="1:13" x14ac:dyDescent="0.35">
      <c r="A1666">
        <v>270160</v>
      </c>
      <c r="B1666">
        <v>14362</v>
      </c>
      <c r="C1666" t="s">
        <v>1810</v>
      </c>
      <c r="D1666" t="s">
        <v>1791</v>
      </c>
      <c r="E1666" t="s">
        <v>1792</v>
      </c>
      <c r="F1666">
        <v>17793</v>
      </c>
      <c r="G1666">
        <v>1</v>
      </c>
      <c r="H1666" t="s">
        <v>16</v>
      </c>
      <c r="I1666" s="1">
        <v>-912700</v>
      </c>
      <c r="J1666" s="1">
        <v>-3760500</v>
      </c>
      <c r="K1666">
        <v>342</v>
      </c>
      <c r="L1666">
        <v>571</v>
      </c>
      <c r="M1666" t="s">
        <v>16</v>
      </c>
    </row>
    <row r="1667" spans="1:13" x14ac:dyDescent="0.35">
      <c r="A1667">
        <v>270170</v>
      </c>
      <c r="B1667">
        <v>14370</v>
      </c>
      <c r="C1667" t="s">
        <v>1811</v>
      </c>
      <c r="D1667" t="s">
        <v>1791</v>
      </c>
      <c r="E1667" t="s">
        <v>1797</v>
      </c>
      <c r="F1667">
        <v>50000</v>
      </c>
      <c r="G1667">
        <v>1</v>
      </c>
      <c r="H1667" t="s">
        <v>16</v>
      </c>
      <c r="I1667" s="1">
        <v>-940800</v>
      </c>
      <c r="J1667" s="1">
        <v>-3607400</v>
      </c>
      <c r="K1667">
        <v>84</v>
      </c>
      <c r="L1667">
        <v>205</v>
      </c>
      <c r="M1667" t="s">
        <v>16</v>
      </c>
    </row>
    <row r="1668" spans="1:13" x14ac:dyDescent="0.35">
      <c r="A1668">
        <v>270180</v>
      </c>
      <c r="B1668">
        <v>14389</v>
      </c>
      <c r="C1668" t="s">
        <v>1812</v>
      </c>
      <c r="D1668" t="s">
        <v>1791</v>
      </c>
      <c r="E1668" t="s">
        <v>1813</v>
      </c>
      <c r="F1668">
        <v>8044</v>
      </c>
      <c r="G1668">
        <v>1</v>
      </c>
      <c r="H1668" t="s">
        <v>16</v>
      </c>
      <c r="I1668" s="1">
        <v>-948300</v>
      </c>
      <c r="J1668" s="1">
        <v>-3737700</v>
      </c>
      <c r="K1668">
        <v>347</v>
      </c>
      <c r="L1668">
        <v>113</v>
      </c>
      <c r="M1668" t="s">
        <v>16</v>
      </c>
    </row>
    <row r="1669" spans="1:13" x14ac:dyDescent="0.35">
      <c r="A1669">
        <v>270190</v>
      </c>
      <c r="B1669">
        <v>14397</v>
      </c>
      <c r="C1669" t="s">
        <v>1814</v>
      </c>
      <c r="D1669" t="s">
        <v>1791</v>
      </c>
      <c r="E1669" t="s">
        <v>1815</v>
      </c>
      <c r="F1669">
        <v>6953</v>
      </c>
      <c r="G1669">
        <v>1</v>
      </c>
      <c r="H1669" t="s">
        <v>16</v>
      </c>
      <c r="I1669" s="1">
        <v>-925500</v>
      </c>
      <c r="J1669" s="1">
        <v>-3629600</v>
      </c>
      <c r="K1669">
        <v>463</v>
      </c>
      <c r="L1669">
        <v>200</v>
      </c>
      <c r="M1669" t="s">
        <v>16</v>
      </c>
    </row>
    <row r="1670" spans="1:13" x14ac:dyDescent="0.35">
      <c r="A1670">
        <v>270200</v>
      </c>
      <c r="B1670">
        <v>14400</v>
      </c>
      <c r="C1670" t="s">
        <v>1816</v>
      </c>
      <c r="D1670" t="s">
        <v>1791</v>
      </c>
      <c r="E1670" t="s">
        <v>1795</v>
      </c>
      <c r="F1670">
        <v>10916</v>
      </c>
      <c r="G1670">
        <v>1</v>
      </c>
      <c r="H1670" t="s">
        <v>16</v>
      </c>
      <c r="I1670" s="1">
        <v>-963200</v>
      </c>
      <c r="J1670" s="1">
        <v>-3657900</v>
      </c>
      <c r="K1670">
        <v>280</v>
      </c>
      <c r="L1670">
        <v>88</v>
      </c>
      <c r="M1670" t="s">
        <v>16</v>
      </c>
    </row>
    <row r="1671" spans="1:13" x14ac:dyDescent="0.35">
      <c r="A1671">
        <v>270210</v>
      </c>
      <c r="B1671">
        <v>14419</v>
      </c>
      <c r="C1671" t="s">
        <v>1817</v>
      </c>
      <c r="D1671" t="s">
        <v>1791</v>
      </c>
      <c r="E1671" t="s">
        <v>1797</v>
      </c>
      <c r="F1671">
        <v>19363</v>
      </c>
      <c r="G1671">
        <v>1</v>
      </c>
      <c r="H1671" t="s">
        <v>16</v>
      </c>
      <c r="I1671" s="1">
        <v>-890900</v>
      </c>
      <c r="J1671" s="1">
        <v>-3572500</v>
      </c>
      <c r="K1671">
        <v>140</v>
      </c>
      <c r="L1671">
        <v>287</v>
      </c>
      <c r="M1671" t="s">
        <v>16</v>
      </c>
    </row>
    <row r="1672" spans="1:13" x14ac:dyDescent="0.35">
      <c r="A1672">
        <v>270220</v>
      </c>
      <c r="B1672">
        <v>14427</v>
      </c>
      <c r="C1672" t="s">
        <v>1818</v>
      </c>
      <c r="D1672" t="s">
        <v>1791</v>
      </c>
      <c r="E1672" t="s">
        <v>1799</v>
      </c>
      <c r="F1672">
        <v>5336</v>
      </c>
      <c r="G1672">
        <v>4</v>
      </c>
      <c r="H1672" t="s">
        <v>1800</v>
      </c>
      <c r="I1672" s="1">
        <v>-963800</v>
      </c>
      <c r="J1672" s="1">
        <v>-3580300</v>
      </c>
      <c r="K1672">
        <v>31</v>
      </c>
      <c r="L1672">
        <v>40</v>
      </c>
      <c r="M1672" t="s">
        <v>16</v>
      </c>
    </row>
    <row r="1673" spans="1:13" x14ac:dyDescent="0.35">
      <c r="A1673">
        <v>270230</v>
      </c>
      <c r="B1673">
        <v>14435</v>
      </c>
      <c r="C1673" t="s">
        <v>1819</v>
      </c>
      <c r="D1673" t="s">
        <v>1791</v>
      </c>
      <c r="E1673" t="s">
        <v>1794</v>
      </c>
      <c r="F1673">
        <v>51027</v>
      </c>
      <c r="G1673">
        <v>2</v>
      </c>
      <c r="H1673" t="s">
        <v>16</v>
      </c>
      <c r="I1673" s="1">
        <v>-1012600</v>
      </c>
      <c r="J1673" s="1">
        <v>-3617600</v>
      </c>
      <c r="K1673">
        <v>16</v>
      </c>
      <c r="L1673">
        <v>912</v>
      </c>
      <c r="M1673" t="s">
        <v>16</v>
      </c>
    </row>
    <row r="1674" spans="1:13" x14ac:dyDescent="0.35">
      <c r="A1674">
        <v>270235</v>
      </c>
      <c r="B1674">
        <v>15148</v>
      </c>
      <c r="C1674" t="s">
        <v>1820</v>
      </c>
      <c r="D1674" t="s">
        <v>1791</v>
      </c>
      <c r="E1674" t="s">
        <v>1795</v>
      </c>
      <c r="F1674">
        <v>22411</v>
      </c>
      <c r="G1674">
        <v>1</v>
      </c>
      <c r="H1674" t="s">
        <v>16</v>
      </c>
      <c r="I1674" s="1">
        <v>-961800</v>
      </c>
      <c r="J1674" s="1">
        <v>-3676800</v>
      </c>
      <c r="K1674">
        <v>252</v>
      </c>
      <c r="L1674">
        <v>275</v>
      </c>
      <c r="M1674" t="s">
        <v>16</v>
      </c>
    </row>
    <row r="1675" spans="1:13" x14ac:dyDescent="0.35">
      <c r="A1675">
        <v>270240</v>
      </c>
      <c r="B1675">
        <v>14443</v>
      </c>
      <c r="C1675" t="s">
        <v>1821</v>
      </c>
      <c r="D1675" t="s">
        <v>1791</v>
      </c>
      <c r="E1675" t="s">
        <v>1822</v>
      </c>
      <c r="F1675">
        <v>46599</v>
      </c>
      <c r="G1675">
        <v>1</v>
      </c>
      <c r="H1675" t="s">
        <v>16</v>
      </c>
      <c r="I1675" s="1">
        <v>-938600</v>
      </c>
      <c r="J1675" s="1">
        <v>-3799600</v>
      </c>
      <c r="K1675">
        <v>256</v>
      </c>
      <c r="L1675">
        <v>605</v>
      </c>
      <c r="M1675" t="s">
        <v>16</v>
      </c>
    </row>
    <row r="1676" spans="1:13" x14ac:dyDescent="0.35">
      <c r="A1676">
        <v>270250</v>
      </c>
      <c r="B1676">
        <v>14451</v>
      </c>
      <c r="C1676" t="s">
        <v>1823</v>
      </c>
      <c r="D1676" t="s">
        <v>1791</v>
      </c>
      <c r="E1676" t="s">
        <v>1813</v>
      </c>
      <c r="F1676">
        <v>10885</v>
      </c>
      <c r="G1676">
        <v>1</v>
      </c>
      <c r="H1676" t="s">
        <v>16</v>
      </c>
      <c r="I1676" s="1">
        <v>-939300</v>
      </c>
      <c r="J1676" s="1">
        <v>-3710100</v>
      </c>
      <c r="K1676">
        <v>245</v>
      </c>
      <c r="L1676">
        <v>140</v>
      </c>
      <c r="M1676" t="s">
        <v>16</v>
      </c>
    </row>
    <row r="1677" spans="1:13" x14ac:dyDescent="0.35">
      <c r="A1677">
        <v>270255</v>
      </c>
      <c r="B1677">
        <v>50490</v>
      </c>
      <c r="C1677" t="s">
        <v>1824</v>
      </c>
      <c r="D1677" t="s">
        <v>1791</v>
      </c>
      <c r="E1677" t="s">
        <v>1801</v>
      </c>
      <c r="F1677">
        <v>16694</v>
      </c>
      <c r="G1677">
        <v>1</v>
      </c>
      <c r="H1677" t="s">
        <v>16</v>
      </c>
      <c r="I1677" s="1">
        <v>-939000</v>
      </c>
      <c r="J1677" s="1">
        <v>-3676000</v>
      </c>
      <c r="K1677">
        <v>0</v>
      </c>
      <c r="L1677">
        <v>264</v>
      </c>
      <c r="M1677" t="s">
        <v>16</v>
      </c>
    </row>
    <row r="1678" spans="1:13" x14ac:dyDescent="0.35">
      <c r="A1678">
        <v>270260</v>
      </c>
      <c r="B1678">
        <v>14460</v>
      </c>
      <c r="C1678" t="s">
        <v>1825</v>
      </c>
      <c r="D1678" t="s">
        <v>1791</v>
      </c>
      <c r="E1678" t="s">
        <v>1795</v>
      </c>
      <c r="F1678">
        <v>21180</v>
      </c>
      <c r="G1678">
        <v>1</v>
      </c>
      <c r="H1678" t="s">
        <v>16</v>
      </c>
      <c r="I1678" s="1">
        <v>-990000</v>
      </c>
      <c r="J1678" s="1">
        <v>-3667800</v>
      </c>
      <c r="K1678">
        <v>220</v>
      </c>
      <c r="L1678">
        <v>155</v>
      </c>
      <c r="M1678" t="s">
        <v>16</v>
      </c>
    </row>
    <row r="1679" spans="1:13" x14ac:dyDescent="0.35">
      <c r="A1679">
        <v>270270</v>
      </c>
      <c r="B1679">
        <v>14478</v>
      </c>
      <c r="C1679" t="s">
        <v>1826</v>
      </c>
      <c r="D1679" t="s">
        <v>1791</v>
      </c>
      <c r="E1679" t="s">
        <v>1827</v>
      </c>
      <c r="F1679">
        <v>4370</v>
      </c>
      <c r="G1679">
        <v>1</v>
      </c>
      <c r="H1679" t="s">
        <v>16</v>
      </c>
      <c r="I1679" s="1">
        <v>-1029200</v>
      </c>
      <c r="J1679" s="1">
        <v>-3630600</v>
      </c>
      <c r="K1679">
        <v>6</v>
      </c>
      <c r="L1679">
        <v>91</v>
      </c>
      <c r="M1679" t="s">
        <v>16</v>
      </c>
    </row>
    <row r="1680" spans="1:13" x14ac:dyDescent="0.35">
      <c r="A1680">
        <v>270280</v>
      </c>
      <c r="B1680">
        <v>14486</v>
      </c>
      <c r="C1680" t="s">
        <v>1828</v>
      </c>
      <c r="D1680" t="s">
        <v>1791</v>
      </c>
      <c r="E1680" t="s">
        <v>1797</v>
      </c>
      <c r="F1680">
        <v>11928</v>
      </c>
      <c r="G1680">
        <v>1</v>
      </c>
      <c r="H1680" t="s">
        <v>16</v>
      </c>
      <c r="I1680" s="1">
        <v>-927300</v>
      </c>
      <c r="J1680" s="1">
        <v>-3571500</v>
      </c>
      <c r="K1680">
        <v>78</v>
      </c>
      <c r="L1680">
        <v>315</v>
      </c>
      <c r="M1680" t="s">
        <v>16</v>
      </c>
    </row>
    <row r="1681" spans="1:13" x14ac:dyDescent="0.35">
      <c r="A1681">
        <v>270290</v>
      </c>
      <c r="B1681">
        <v>14494</v>
      </c>
      <c r="C1681" t="s">
        <v>1829</v>
      </c>
      <c r="D1681" t="s">
        <v>1791</v>
      </c>
      <c r="E1681" t="s">
        <v>1795</v>
      </c>
      <c r="F1681">
        <v>35162</v>
      </c>
      <c r="G1681">
        <v>1</v>
      </c>
      <c r="H1681" t="s">
        <v>16</v>
      </c>
      <c r="I1681" s="1">
        <v>-988400</v>
      </c>
      <c r="J1681" s="1">
        <v>-3682900</v>
      </c>
      <c r="K1681">
        <v>244</v>
      </c>
      <c r="L1681">
        <v>502</v>
      </c>
      <c r="M1681" t="s">
        <v>16</v>
      </c>
    </row>
    <row r="1682" spans="1:13" x14ac:dyDescent="0.35">
      <c r="A1682">
        <v>270300</v>
      </c>
      <c r="B1682">
        <v>14508</v>
      </c>
      <c r="C1682" t="s">
        <v>1830</v>
      </c>
      <c r="D1682" t="s">
        <v>1791</v>
      </c>
      <c r="E1682" t="s">
        <v>1815</v>
      </c>
      <c r="F1682">
        <v>50000</v>
      </c>
      <c r="G1682">
        <v>1</v>
      </c>
      <c r="H1682" t="s">
        <v>16</v>
      </c>
      <c r="I1682" s="1">
        <v>-897300</v>
      </c>
      <c r="J1682" s="1">
        <v>-3593900</v>
      </c>
      <c r="K1682">
        <v>505</v>
      </c>
      <c r="L1682">
        <v>261</v>
      </c>
      <c r="M1682" t="s">
        <v>16</v>
      </c>
    </row>
    <row r="1683" spans="1:13" x14ac:dyDescent="0.35">
      <c r="A1683">
        <v>270310</v>
      </c>
      <c r="B1683">
        <v>14516</v>
      </c>
      <c r="C1683" t="s">
        <v>1831</v>
      </c>
      <c r="D1683" t="s">
        <v>1791</v>
      </c>
      <c r="E1683" t="s">
        <v>1801</v>
      </c>
      <c r="F1683">
        <v>25140</v>
      </c>
      <c r="G1683">
        <v>1</v>
      </c>
      <c r="H1683" t="s">
        <v>16</v>
      </c>
      <c r="I1683" s="1">
        <v>-953700</v>
      </c>
      <c r="J1683" s="1">
        <v>-3663400</v>
      </c>
      <c r="K1683">
        <v>240</v>
      </c>
      <c r="L1683">
        <v>333</v>
      </c>
      <c r="M1683" t="s">
        <v>16</v>
      </c>
    </row>
    <row r="1684" spans="1:13" x14ac:dyDescent="0.35">
      <c r="A1684">
        <v>270320</v>
      </c>
      <c r="B1684">
        <v>14524</v>
      </c>
      <c r="C1684" t="s">
        <v>1832</v>
      </c>
      <c r="D1684" t="s">
        <v>1791</v>
      </c>
      <c r="E1684" t="s">
        <v>1827</v>
      </c>
      <c r="F1684">
        <v>22925</v>
      </c>
      <c r="G1684">
        <v>1</v>
      </c>
      <c r="H1684" t="s">
        <v>16</v>
      </c>
      <c r="I1684" s="1">
        <v>-1012500</v>
      </c>
      <c r="J1684" s="1">
        <v>-3666200</v>
      </c>
      <c r="K1684">
        <v>14</v>
      </c>
      <c r="L1684">
        <v>428</v>
      </c>
      <c r="M1684" t="s">
        <v>16</v>
      </c>
    </row>
    <row r="1685" spans="1:13" x14ac:dyDescent="0.35">
      <c r="A1685">
        <v>270330</v>
      </c>
      <c r="B1685">
        <v>14532</v>
      </c>
      <c r="C1685" t="s">
        <v>1833</v>
      </c>
      <c r="D1685" t="s">
        <v>1791</v>
      </c>
      <c r="E1685" t="s">
        <v>1792</v>
      </c>
      <c r="F1685">
        <v>17637</v>
      </c>
      <c r="G1685">
        <v>1</v>
      </c>
      <c r="H1685" t="s">
        <v>16</v>
      </c>
      <c r="I1685" s="1">
        <v>-921900</v>
      </c>
      <c r="J1685" s="1">
        <v>-3775400</v>
      </c>
      <c r="K1685">
        <v>410</v>
      </c>
      <c r="L1685">
        <v>374</v>
      </c>
      <c r="M1685" t="s">
        <v>16</v>
      </c>
    </row>
    <row r="1686" spans="1:13" x14ac:dyDescent="0.35">
      <c r="A1686">
        <v>270340</v>
      </c>
      <c r="B1686">
        <v>14540</v>
      </c>
      <c r="C1686" t="s">
        <v>1834</v>
      </c>
      <c r="D1686" t="s">
        <v>1791</v>
      </c>
      <c r="E1686" t="s">
        <v>811</v>
      </c>
      <c r="F1686">
        <v>5724</v>
      </c>
      <c r="G1686">
        <v>1</v>
      </c>
      <c r="H1686" t="s">
        <v>16</v>
      </c>
      <c r="I1686" s="1">
        <v>-963600</v>
      </c>
      <c r="J1686" s="1">
        <v>-3720500</v>
      </c>
      <c r="K1686">
        <v>135</v>
      </c>
      <c r="L1686">
        <v>142</v>
      </c>
      <c r="M1686" t="s">
        <v>16</v>
      </c>
    </row>
    <row r="1687" spans="1:13" x14ac:dyDescent="0.35">
      <c r="A1687">
        <v>270350</v>
      </c>
      <c r="B1687">
        <v>14559</v>
      </c>
      <c r="C1687" t="s">
        <v>1835</v>
      </c>
      <c r="D1687" t="s">
        <v>1791</v>
      </c>
      <c r="E1687" t="s">
        <v>1797</v>
      </c>
      <c r="F1687">
        <v>50000</v>
      </c>
      <c r="G1687">
        <v>1</v>
      </c>
      <c r="H1687" t="s">
        <v>16</v>
      </c>
      <c r="I1687" s="1">
        <v>-884200</v>
      </c>
      <c r="J1687" s="1">
        <v>-3546000</v>
      </c>
      <c r="K1687">
        <v>74</v>
      </c>
      <c r="L1687">
        <v>216</v>
      </c>
      <c r="M1687" t="s">
        <v>16</v>
      </c>
    </row>
    <row r="1688" spans="1:13" x14ac:dyDescent="0.35">
      <c r="A1688">
        <v>270360</v>
      </c>
      <c r="B1688">
        <v>14567</v>
      </c>
      <c r="C1688" t="s">
        <v>1836</v>
      </c>
      <c r="D1688" t="s">
        <v>1791</v>
      </c>
      <c r="E1688" t="s">
        <v>1837</v>
      </c>
      <c r="F1688">
        <v>7463</v>
      </c>
      <c r="G1688">
        <v>1</v>
      </c>
      <c r="H1688" t="s">
        <v>16</v>
      </c>
      <c r="I1688" s="1">
        <v>-908800</v>
      </c>
      <c r="J1688" s="1">
        <v>-3525800</v>
      </c>
      <c r="K1688">
        <v>5</v>
      </c>
      <c r="L1688">
        <v>85</v>
      </c>
      <c r="M1688" t="s">
        <v>16</v>
      </c>
    </row>
    <row r="1689" spans="1:13" x14ac:dyDescent="0.35">
      <c r="A1689">
        <v>270370</v>
      </c>
      <c r="B1689">
        <v>14575</v>
      </c>
      <c r="C1689" t="s">
        <v>1838</v>
      </c>
      <c r="D1689" t="s">
        <v>1791</v>
      </c>
      <c r="E1689" t="s">
        <v>811</v>
      </c>
      <c r="F1689">
        <v>5939</v>
      </c>
      <c r="G1689">
        <v>1</v>
      </c>
      <c r="H1689" t="s">
        <v>16</v>
      </c>
      <c r="I1689" s="1">
        <v>-965900</v>
      </c>
      <c r="J1689" s="1">
        <v>-3700200</v>
      </c>
      <c r="K1689">
        <v>164</v>
      </c>
      <c r="L1689">
        <v>103</v>
      </c>
      <c r="M1689" t="s">
        <v>16</v>
      </c>
    </row>
    <row r="1690" spans="1:13" x14ac:dyDescent="0.35">
      <c r="A1690">
        <v>270375</v>
      </c>
      <c r="B1690">
        <v>59838</v>
      </c>
      <c r="C1690" t="s">
        <v>1839</v>
      </c>
      <c r="D1690" t="s">
        <v>1791</v>
      </c>
      <c r="E1690" t="s">
        <v>1794</v>
      </c>
      <c r="F1690">
        <v>11430</v>
      </c>
      <c r="G1690">
        <v>1</v>
      </c>
      <c r="H1690" t="s">
        <v>16</v>
      </c>
      <c r="I1690" s="1">
        <v>-1001200</v>
      </c>
      <c r="J1690" s="1">
        <v>-3602100</v>
      </c>
      <c r="K1690">
        <v>0</v>
      </c>
      <c r="L1690">
        <v>338</v>
      </c>
      <c r="M1690" t="s">
        <v>16</v>
      </c>
    </row>
    <row r="1691" spans="1:13" x14ac:dyDescent="0.35">
      <c r="A1691">
        <v>270380</v>
      </c>
      <c r="B1691">
        <v>14583</v>
      </c>
      <c r="C1691" t="s">
        <v>1840</v>
      </c>
      <c r="D1691" t="s">
        <v>1791</v>
      </c>
      <c r="E1691" t="s">
        <v>1797</v>
      </c>
      <c r="F1691">
        <v>50000</v>
      </c>
      <c r="G1691">
        <v>1</v>
      </c>
      <c r="H1691" t="s">
        <v>16</v>
      </c>
      <c r="I1691" s="1">
        <v>-913300</v>
      </c>
      <c r="J1691" s="1">
        <v>-3574800</v>
      </c>
      <c r="K1691">
        <v>104</v>
      </c>
      <c r="L1691">
        <v>238</v>
      </c>
      <c r="M1691" t="s">
        <v>16</v>
      </c>
    </row>
    <row r="1692" spans="1:13" x14ac:dyDescent="0.35">
      <c r="A1692">
        <v>270390</v>
      </c>
      <c r="B1692">
        <v>14591</v>
      </c>
      <c r="C1692" t="s">
        <v>1296</v>
      </c>
      <c r="D1692" t="s">
        <v>1791</v>
      </c>
      <c r="E1692" t="s">
        <v>1797</v>
      </c>
      <c r="F1692">
        <v>50000</v>
      </c>
      <c r="G1692">
        <v>1</v>
      </c>
      <c r="H1692" t="s">
        <v>16</v>
      </c>
      <c r="I1692" s="1">
        <v>-893500</v>
      </c>
      <c r="J1692" s="1">
        <v>-3557400</v>
      </c>
      <c r="K1692">
        <v>94</v>
      </c>
      <c r="L1692">
        <v>119</v>
      </c>
      <c r="M1692" t="s">
        <v>16</v>
      </c>
    </row>
    <row r="1693" spans="1:13" x14ac:dyDescent="0.35">
      <c r="A1693">
        <v>270400</v>
      </c>
      <c r="B1693">
        <v>14605</v>
      </c>
      <c r="C1693" t="s">
        <v>1841</v>
      </c>
      <c r="D1693" t="s">
        <v>1791</v>
      </c>
      <c r="E1693" t="s">
        <v>1794</v>
      </c>
      <c r="F1693">
        <v>24460</v>
      </c>
      <c r="G1693">
        <v>1</v>
      </c>
      <c r="H1693" t="s">
        <v>16</v>
      </c>
      <c r="I1693" s="1">
        <v>-992500</v>
      </c>
      <c r="J1693" s="1">
        <v>-3647600</v>
      </c>
      <c r="K1693">
        <v>175</v>
      </c>
      <c r="L1693">
        <v>254</v>
      </c>
      <c r="M1693" t="s">
        <v>16</v>
      </c>
    </row>
    <row r="1694" spans="1:13" x14ac:dyDescent="0.35">
      <c r="A1694">
        <v>270410</v>
      </c>
      <c r="B1694">
        <v>14613</v>
      </c>
      <c r="C1694" t="s">
        <v>1842</v>
      </c>
      <c r="D1694" t="s">
        <v>1791</v>
      </c>
      <c r="E1694" t="s">
        <v>1795</v>
      </c>
      <c r="F1694">
        <v>17889</v>
      </c>
      <c r="G1694">
        <v>1</v>
      </c>
      <c r="H1694" t="s">
        <v>16</v>
      </c>
      <c r="I1694" s="1">
        <v>-983000</v>
      </c>
      <c r="J1694" s="1">
        <v>-3673800</v>
      </c>
      <c r="K1694">
        <v>283</v>
      </c>
      <c r="L1694">
        <v>102</v>
      </c>
      <c r="M1694" t="s">
        <v>16</v>
      </c>
    </row>
    <row r="1695" spans="1:13" x14ac:dyDescent="0.35">
      <c r="A1695">
        <v>270420</v>
      </c>
      <c r="B1695">
        <v>14621</v>
      </c>
      <c r="C1695" t="s">
        <v>1843</v>
      </c>
      <c r="D1695" t="s">
        <v>1791</v>
      </c>
      <c r="E1695" t="s">
        <v>1795</v>
      </c>
      <c r="F1695">
        <v>25484</v>
      </c>
      <c r="G1695">
        <v>1</v>
      </c>
      <c r="H1695" t="s">
        <v>16</v>
      </c>
      <c r="I1695" s="1">
        <v>-974100</v>
      </c>
      <c r="J1695" s="1">
        <v>-3650300</v>
      </c>
      <c r="K1695">
        <v>140</v>
      </c>
      <c r="L1695">
        <v>315</v>
      </c>
      <c r="M1695" t="s">
        <v>16</v>
      </c>
    </row>
    <row r="1696" spans="1:13" x14ac:dyDescent="0.35">
      <c r="A1696">
        <v>270430</v>
      </c>
      <c r="B1696">
        <v>14206</v>
      </c>
      <c r="C1696" t="s">
        <v>1844</v>
      </c>
      <c r="D1696" t="s">
        <v>1791</v>
      </c>
      <c r="E1696" t="s">
        <v>1799</v>
      </c>
      <c r="F1696">
        <v>896965</v>
      </c>
      <c r="G1696">
        <v>5</v>
      </c>
      <c r="H1696" t="s">
        <v>1800</v>
      </c>
      <c r="I1696" s="1">
        <v>-966600</v>
      </c>
      <c r="J1696" s="1">
        <v>-3573500</v>
      </c>
      <c r="K1696">
        <v>16</v>
      </c>
      <c r="L1696">
        <v>510</v>
      </c>
      <c r="M1696" t="s">
        <v>16</v>
      </c>
    </row>
    <row r="1697" spans="1:13" x14ac:dyDescent="0.35">
      <c r="A1697">
        <v>270440</v>
      </c>
      <c r="B1697">
        <v>14630</v>
      </c>
      <c r="C1697" t="s">
        <v>1845</v>
      </c>
      <c r="D1697" t="s">
        <v>1791</v>
      </c>
      <c r="E1697" t="s">
        <v>811</v>
      </c>
      <c r="F1697">
        <v>18811</v>
      </c>
      <c r="G1697">
        <v>1</v>
      </c>
      <c r="H1697" t="s">
        <v>16</v>
      </c>
      <c r="I1697" s="1">
        <v>-953200</v>
      </c>
      <c r="J1697" s="1">
        <v>-3698500</v>
      </c>
      <c r="K1697">
        <v>182</v>
      </c>
      <c r="L1697">
        <v>453</v>
      </c>
      <c r="M1697" t="s">
        <v>16</v>
      </c>
    </row>
    <row r="1698" spans="1:13" x14ac:dyDescent="0.35">
      <c r="A1698">
        <v>270450</v>
      </c>
      <c r="B1698">
        <v>14648</v>
      </c>
      <c r="C1698" t="s">
        <v>1846</v>
      </c>
      <c r="D1698" t="s">
        <v>1791</v>
      </c>
      <c r="E1698" t="s">
        <v>1837</v>
      </c>
      <c r="F1698">
        <v>25726</v>
      </c>
      <c r="G1698">
        <v>1</v>
      </c>
      <c r="H1698" t="s">
        <v>16</v>
      </c>
      <c r="I1698" s="1">
        <v>-901200</v>
      </c>
      <c r="J1698" s="1">
        <v>-3522200</v>
      </c>
      <c r="K1698">
        <v>5</v>
      </c>
      <c r="L1698">
        <v>333</v>
      </c>
      <c r="M1698" t="s">
        <v>16</v>
      </c>
    </row>
    <row r="1699" spans="1:13" x14ac:dyDescent="0.35">
      <c r="A1699">
        <v>270460</v>
      </c>
      <c r="B1699">
        <v>14656</v>
      </c>
      <c r="C1699" t="s">
        <v>1847</v>
      </c>
      <c r="D1699" t="s">
        <v>1791</v>
      </c>
      <c r="E1699" t="s">
        <v>1813</v>
      </c>
      <c r="F1699">
        <v>10203</v>
      </c>
      <c r="G1699">
        <v>1</v>
      </c>
      <c r="H1699" t="s">
        <v>16</v>
      </c>
      <c r="I1699" s="1">
        <v>-923600</v>
      </c>
      <c r="J1699" s="1">
        <v>-3735000</v>
      </c>
      <c r="K1699">
        <v>362</v>
      </c>
      <c r="L1699">
        <v>279</v>
      </c>
      <c r="M1699" t="s">
        <v>16</v>
      </c>
    </row>
    <row r="1700" spans="1:13" x14ac:dyDescent="0.35">
      <c r="A1700">
        <v>270470</v>
      </c>
      <c r="B1700">
        <v>14664</v>
      </c>
      <c r="C1700" t="s">
        <v>1848</v>
      </c>
      <c r="D1700" t="s">
        <v>1791</v>
      </c>
      <c r="E1700" t="s">
        <v>1799</v>
      </c>
      <c r="F1700">
        <v>45141</v>
      </c>
      <c r="G1700">
        <v>4</v>
      </c>
      <c r="H1700" t="s">
        <v>1800</v>
      </c>
      <c r="I1700" s="1">
        <v>-971000</v>
      </c>
      <c r="J1700" s="1">
        <v>-3589500</v>
      </c>
      <c r="K1700">
        <v>31</v>
      </c>
      <c r="L1700">
        <v>333</v>
      </c>
      <c r="M1700" t="s">
        <v>16</v>
      </c>
    </row>
    <row r="1701" spans="1:13" x14ac:dyDescent="0.35">
      <c r="A1701">
        <v>270480</v>
      </c>
      <c r="B1701">
        <v>14672</v>
      </c>
      <c r="C1701" t="s">
        <v>1849</v>
      </c>
      <c r="D1701" t="s">
        <v>1791</v>
      </c>
      <c r="E1701" t="s">
        <v>1801</v>
      </c>
      <c r="F1701">
        <v>13865</v>
      </c>
      <c r="G1701">
        <v>1</v>
      </c>
      <c r="H1701" t="s">
        <v>16</v>
      </c>
      <c r="I1701" s="1">
        <v>-957700</v>
      </c>
      <c r="J1701" s="1">
        <v>-3630500</v>
      </c>
      <c r="K1701">
        <v>157</v>
      </c>
      <c r="L1701">
        <v>171</v>
      </c>
      <c r="M1701" t="s">
        <v>16</v>
      </c>
    </row>
    <row r="1702" spans="1:13" x14ac:dyDescent="0.35">
      <c r="A1702">
        <v>270490</v>
      </c>
      <c r="B1702">
        <v>14680</v>
      </c>
      <c r="C1702" t="s">
        <v>1850</v>
      </c>
      <c r="D1702" t="s">
        <v>1791</v>
      </c>
      <c r="E1702" t="s">
        <v>1801</v>
      </c>
      <c r="F1702">
        <v>4014</v>
      </c>
      <c r="G1702">
        <v>1</v>
      </c>
      <c r="H1702" t="s">
        <v>16</v>
      </c>
      <c r="I1702" s="1">
        <v>-944800</v>
      </c>
      <c r="J1702" s="1">
        <v>-3638800</v>
      </c>
      <c r="K1702">
        <v>542</v>
      </c>
      <c r="L1702">
        <v>91</v>
      </c>
      <c r="M1702" t="s">
        <v>16</v>
      </c>
    </row>
    <row r="1703" spans="1:13" x14ac:dyDescent="0.35">
      <c r="A1703">
        <v>270500</v>
      </c>
      <c r="B1703">
        <v>14699</v>
      </c>
      <c r="C1703" t="s">
        <v>1851</v>
      </c>
      <c r="D1703" t="s">
        <v>1791</v>
      </c>
      <c r="E1703" t="s">
        <v>1792</v>
      </c>
      <c r="F1703">
        <v>24599</v>
      </c>
      <c r="G1703">
        <v>1</v>
      </c>
      <c r="H1703" t="s">
        <v>16</v>
      </c>
      <c r="I1703" s="1">
        <v>-911800</v>
      </c>
      <c r="J1703" s="1">
        <v>-3773400</v>
      </c>
      <c r="K1703">
        <v>633</v>
      </c>
      <c r="L1703">
        <v>908</v>
      </c>
      <c r="M1703" t="s">
        <v>16</v>
      </c>
    </row>
    <row r="1704" spans="1:13" x14ac:dyDescent="0.35">
      <c r="A1704">
        <v>270510</v>
      </c>
      <c r="B1704">
        <v>14702</v>
      </c>
      <c r="C1704" t="s">
        <v>1852</v>
      </c>
      <c r="D1704" t="s">
        <v>1791</v>
      </c>
      <c r="E1704" t="s">
        <v>1797</v>
      </c>
      <c r="F1704">
        <v>24656</v>
      </c>
      <c r="G1704">
        <v>1</v>
      </c>
      <c r="H1704" t="s">
        <v>16</v>
      </c>
      <c r="I1704" s="1">
        <v>-915200</v>
      </c>
      <c r="J1704" s="1">
        <v>-3553300</v>
      </c>
      <c r="K1704">
        <v>16</v>
      </c>
      <c r="L1704">
        <v>330</v>
      </c>
      <c r="M1704" t="s">
        <v>16</v>
      </c>
    </row>
    <row r="1705" spans="1:13" x14ac:dyDescent="0.35">
      <c r="A1705">
        <v>270520</v>
      </c>
      <c r="B1705">
        <v>14710</v>
      </c>
      <c r="C1705" t="s">
        <v>1853</v>
      </c>
      <c r="D1705" t="s">
        <v>1791</v>
      </c>
      <c r="E1705" t="s">
        <v>1797</v>
      </c>
      <c r="F1705">
        <v>15072</v>
      </c>
      <c r="G1705">
        <v>4</v>
      </c>
      <c r="H1705" t="s">
        <v>1800</v>
      </c>
      <c r="I1705" s="1">
        <v>-938300</v>
      </c>
      <c r="J1705" s="1">
        <v>-3584200</v>
      </c>
      <c r="K1705">
        <v>148</v>
      </c>
      <c r="L1705">
        <v>112</v>
      </c>
      <c r="M1705" t="s">
        <v>16</v>
      </c>
    </row>
    <row r="1706" spans="1:13" x14ac:dyDescent="0.35">
      <c r="A1706">
        <v>270530</v>
      </c>
      <c r="B1706">
        <v>14729</v>
      </c>
      <c r="C1706" t="s">
        <v>1854</v>
      </c>
      <c r="D1706" t="s">
        <v>1791</v>
      </c>
      <c r="E1706" t="s">
        <v>1801</v>
      </c>
      <c r="F1706">
        <v>5160</v>
      </c>
      <c r="G1706">
        <v>1</v>
      </c>
      <c r="H1706" t="s">
        <v>16</v>
      </c>
      <c r="I1706" s="1">
        <v>-930500</v>
      </c>
      <c r="J1706" s="1">
        <v>-3686500</v>
      </c>
      <c r="K1706">
        <v>270</v>
      </c>
      <c r="L1706">
        <v>164</v>
      </c>
      <c r="M1706" t="s">
        <v>16</v>
      </c>
    </row>
    <row r="1707" spans="1:13" x14ac:dyDescent="0.35">
      <c r="A1707">
        <v>270540</v>
      </c>
      <c r="B1707">
        <v>14737</v>
      </c>
      <c r="C1707" t="s">
        <v>1855</v>
      </c>
      <c r="D1707" t="s">
        <v>1791</v>
      </c>
      <c r="E1707" t="s">
        <v>811</v>
      </c>
      <c r="F1707">
        <v>7090</v>
      </c>
      <c r="G1707">
        <v>1</v>
      </c>
      <c r="H1707" t="s">
        <v>16</v>
      </c>
      <c r="I1707" s="1">
        <v>-960300</v>
      </c>
      <c r="J1707" s="1">
        <v>-3724800</v>
      </c>
      <c r="K1707">
        <v>228</v>
      </c>
      <c r="L1707">
        <v>86</v>
      </c>
      <c r="M1707" t="s">
        <v>16</v>
      </c>
    </row>
    <row r="1708" spans="1:13" x14ac:dyDescent="0.35">
      <c r="A1708">
        <v>270550</v>
      </c>
      <c r="B1708">
        <v>14745</v>
      </c>
      <c r="C1708" t="s">
        <v>1856</v>
      </c>
      <c r="D1708" t="s">
        <v>1791</v>
      </c>
      <c r="E1708" t="s">
        <v>1797</v>
      </c>
      <c r="F1708">
        <v>50000</v>
      </c>
      <c r="G1708">
        <v>1</v>
      </c>
      <c r="H1708" t="s">
        <v>16</v>
      </c>
      <c r="I1708" s="1">
        <v>-930700</v>
      </c>
      <c r="J1708" s="1">
        <v>-3594300</v>
      </c>
      <c r="K1708">
        <v>82</v>
      </c>
      <c r="L1708">
        <v>423</v>
      </c>
      <c r="M1708" t="s">
        <v>16</v>
      </c>
    </row>
    <row r="1709" spans="1:13" x14ac:dyDescent="0.35">
      <c r="A1709">
        <v>270560</v>
      </c>
      <c r="B1709">
        <v>14753</v>
      </c>
      <c r="C1709" t="s">
        <v>1857</v>
      </c>
      <c r="D1709" t="s">
        <v>1791</v>
      </c>
      <c r="E1709" t="s">
        <v>1797</v>
      </c>
      <c r="F1709">
        <v>11903</v>
      </c>
      <c r="G1709">
        <v>1</v>
      </c>
      <c r="H1709" t="s">
        <v>16</v>
      </c>
      <c r="I1709" s="1">
        <v>-891500</v>
      </c>
      <c r="J1709" s="1">
        <v>-3564700</v>
      </c>
      <c r="K1709">
        <v>146</v>
      </c>
      <c r="L1709">
        <v>182</v>
      </c>
      <c r="M1709" t="s">
        <v>16</v>
      </c>
    </row>
    <row r="1710" spans="1:13" x14ac:dyDescent="0.35">
      <c r="A1710">
        <v>270570</v>
      </c>
      <c r="B1710">
        <v>14761</v>
      </c>
      <c r="C1710" t="s">
        <v>1858</v>
      </c>
      <c r="D1710" t="s">
        <v>1791</v>
      </c>
      <c r="E1710" t="s">
        <v>811</v>
      </c>
      <c r="F1710">
        <v>19885</v>
      </c>
      <c r="G1710">
        <v>1</v>
      </c>
      <c r="H1710" t="s">
        <v>16</v>
      </c>
      <c r="I1710" s="1">
        <v>-953600</v>
      </c>
      <c r="J1710" s="1">
        <v>-3729400</v>
      </c>
      <c r="K1710">
        <v>286</v>
      </c>
      <c r="L1710">
        <v>183</v>
      </c>
      <c r="M1710" t="s">
        <v>16</v>
      </c>
    </row>
    <row r="1711" spans="1:13" x14ac:dyDescent="0.35">
      <c r="A1711">
        <v>270580</v>
      </c>
      <c r="B1711">
        <v>14770</v>
      </c>
      <c r="C1711" t="s">
        <v>1859</v>
      </c>
      <c r="D1711" t="s">
        <v>1791</v>
      </c>
      <c r="E1711" t="s">
        <v>1822</v>
      </c>
      <c r="F1711">
        <v>8139</v>
      </c>
      <c r="G1711">
        <v>1</v>
      </c>
      <c r="H1711" t="s">
        <v>16</v>
      </c>
      <c r="I1711" s="1">
        <v>-950100</v>
      </c>
      <c r="J1711" s="1">
        <v>-3783200</v>
      </c>
      <c r="K1711">
        <v>230</v>
      </c>
      <c r="L1711">
        <v>322</v>
      </c>
      <c r="M1711" t="s">
        <v>16</v>
      </c>
    </row>
    <row r="1712" spans="1:13" x14ac:dyDescent="0.35">
      <c r="A1712">
        <v>270590</v>
      </c>
      <c r="B1712">
        <v>14788</v>
      </c>
      <c r="C1712" t="s">
        <v>1860</v>
      </c>
      <c r="D1712" t="s">
        <v>1791</v>
      </c>
      <c r="E1712" t="s">
        <v>1861</v>
      </c>
      <c r="F1712">
        <v>4817</v>
      </c>
      <c r="G1712">
        <v>1</v>
      </c>
      <c r="H1712" t="s">
        <v>16</v>
      </c>
      <c r="I1712" s="1">
        <v>-1005800</v>
      </c>
      <c r="J1712" s="1">
        <v>-3681700</v>
      </c>
      <c r="K1712">
        <v>118</v>
      </c>
      <c r="L1712">
        <v>118</v>
      </c>
      <c r="M1712" t="s">
        <v>16</v>
      </c>
    </row>
    <row r="1713" spans="1:13" x14ac:dyDescent="0.35">
      <c r="A1713">
        <v>270600</v>
      </c>
      <c r="B1713">
        <v>14796</v>
      </c>
      <c r="C1713" t="s">
        <v>1862</v>
      </c>
      <c r="D1713" t="s">
        <v>1791</v>
      </c>
      <c r="E1713" t="s">
        <v>811</v>
      </c>
      <c r="F1713">
        <v>10522</v>
      </c>
      <c r="G1713">
        <v>1</v>
      </c>
      <c r="H1713" t="s">
        <v>16</v>
      </c>
      <c r="I1713" s="1">
        <v>-951900</v>
      </c>
      <c r="J1713" s="1">
        <v>-3719100</v>
      </c>
      <c r="K1713">
        <v>231</v>
      </c>
      <c r="L1713">
        <v>172</v>
      </c>
      <c r="M1713" t="s">
        <v>16</v>
      </c>
    </row>
    <row r="1714" spans="1:13" x14ac:dyDescent="0.35">
      <c r="A1714">
        <v>270610</v>
      </c>
      <c r="B1714">
        <v>14800</v>
      </c>
      <c r="C1714" t="s">
        <v>1320</v>
      </c>
      <c r="D1714" t="s">
        <v>1791</v>
      </c>
      <c r="E1714" t="s">
        <v>1813</v>
      </c>
      <c r="F1714">
        <v>11049</v>
      </c>
      <c r="G1714">
        <v>1</v>
      </c>
      <c r="H1714" t="s">
        <v>16</v>
      </c>
      <c r="I1714" s="1">
        <v>-916700</v>
      </c>
      <c r="J1714" s="1">
        <v>-3735700</v>
      </c>
      <c r="K1714">
        <v>380</v>
      </c>
      <c r="L1714">
        <v>204</v>
      </c>
      <c r="M1714" t="s">
        <v>16</v>
      </c>
    </row>
    <row r="1715" spans="1:13" x14ac:dyDescent="0.35">
      <c r="A1715">
        <v>270620</v>
      </c>
      <c r="B1715">
        <v>14818</v>
      </c>
      <c r="C1715" t="s">
        <v>1863</v>
      </c>
      <c r="D1715" t="s">
        <v>1791</v>
      </c>
      <c r="E1715" t="s">
        <v>1813</v>
      </c>
      <c r="F1715">
        <v>4878</v>
      </c>
      <c r="G1715">
        <v>1</v>
      </c>
      <c r="H1715" t="s">
        <v>16</v>
      </c>
      <c r="I1715" s="1">
        <v>-967200</v>
      </c>
      <c r="J1715" s="1">
        <v>-3732900</v>
      </c>
      <c r="K1715">
        <v>160</v>
      </c>
      <c r="L1715">
        <v>48</v>
      </c>
      <c r="M1715" t="s">
        <v>16</v>
      </c>
    </row>
    <row r="1716" spans="1:13" x14ac:dyDescent="0.35">
      <c r="A1716">
        <v>270630</v>
      </c>
      <c r="B1716">
        <v>14826</v>
      </c>
      <c r="C1716" t="s">
        <v>1864</v>
      </c>
      <c r="D1716" t="s">
        <v>1791</v>
      </c>
      <c r="E1716" t="s">
        <v>1801</v>
      </c>
      <c r="F1716">
        <v>70151</v>
      </c>
      <c r="G1716">
        <v>2</v>
      </c>
      <c r="H1716" t="s">
        <v>16</v>
      </c>
      <c r="I1716" s="1">
        <v>-940700</v>
      </c>
      <c r="J1716" s="1">
        <v>-3662800</v>
      </c>
      <c r="K1716">
        <v>342</v>
      </c>
      <c r="L1716">
        <v>460</v>
      </c>
      <c r="M1716" t="s">
        <v>16</v>
      </c>
    </row>
    <row r="1717" spans="1:13" x14ac:dyDescent="0.35">
      <c r="A1717">
        <v>270640</v>
      </c>
      <c r="B1717">
        <v>14834</v>
      </c>
      <c r="C1717" t="s">
        <v>1865</v>
      </c>
      <c r="D1717" t="s">
        <v>1791</v>
      </c>
      <c r="E1717" t="s">
        <v>1813</v>
      </c>
      <c r="F1717">
        <v>23855</v>
      </c>
      <c r="G1717">
        <v>1</v>
      </c>
      <c r="H1717" t="s">
        <v>16</v>
      </c>
      <c r="I1717" s="1">
        <v>-974800</v>
      </c>
      <c r="J1717" s="1">
        <v>-3743700</v>
      </c>
      <c r="K1717">
        <v>19</v>
      </c>
      <c r="L1717">
        <v>658</v>
      </c>
      <c r="M1717" t="s">
        <v>16</v>
      </c>
    </row>
    <row r="1718" spans="1:13" x14ac:dyDescent="0.35">
      <c r="A1718">
        <v>270642</v>
      </c>
      <c r="B1718">
        <v>50504</v>
      </c>
      <c r="C1718" t="s">
        <v>1866</v>
      </c>
      <c r="D1718" t="s">
        <v>1791</v>
      </c>
      <c r="E1718" t="s">
        <v>1792</v>
      </c>
      <c r="F1718">
        <v>10209</v>
      </c>
      <c r="G1718">
        <v>1</v>
      </c>
      <c r="H1718" t="s">
        <v>16</v>
      </c>
      <c r="I1718" s="1">
        <v>-925400</v>
      </c>
      <c r="J1718" s="1">
        <v>-3800600</v>
      </c>
      <c r="K1718">
        <v>0</v>
      </c>
      <c r="L1718">
        <v>260</v>
      </c>
      <c r="M1718" t="s">
        <v>16</v>
      </c>
    </row>
    <row r="1719" spans="1:13" x14ac:dyDescent="0.35">
      <c r="A1719">
        <v>270644</v>
      </c>
      <c r="B1719">
        <v>50512</v>
      </c>
      <c r="C1719" t="s">
        <v>1867</v>
      </c>
      <c r="D1719" t="s">
        <v>1791</v>
      </c>
      <c r="E1719" t="s">
        <v>1799</v>
      </c>
      <c r="F1719">
        <v>9725</v>
      </c>
      <c r="G1719">
        <v>4</v>
      </c>
      <c r="H1719" t="s">
        <v>1800</v>
      </c>
      <c r="I1719" s="1">
        <v>-946500</v>
      </c>
      <c r="J1719" s="1">
        <v>-3555200</v>
      </c>
      <c r="K1719">
        <v>0</v>
      </c>
      <c r="L1719">
        <v>92</v>
      </c>
      <c r="M1719" t="s">
        <v>16</v>
      </c>
    </row>
    <row r="1720" spans="1:13" x14ac:dyDescent="0.35">
      <c r="A1720">
        <v>270650</v>
      </c>
      <c r="B1720">
        <v>14842</v>
      </c>
      <c r="C1720" t="s">
        <v>1868</v>
      </c>
      <c r="D1720" t="s">
        <v>1791</v>
      </c>
      <c r="E1720" t="s">
        <v>1837</v>
      </c>
      <c r="F1720">
        <v>13826</v>
      </c>
      <c r="G1720">
        <v>1</v>
      </c>
      <c r="H1720" t="s">
        <v>16</v>
      </c>
      <c r="I1720" s="1">
        <v>-923800</v>
      </c>
      <c r="J1720" s="1">
        <v>-3549300</v>
      </c>
      <c r="K1720">
        <v>4</v>
      </c>
      <c r="L1720">
        <v>187</v>
      </c>
      <c r="M1720" t="s">
        <v>16</v>
      </c>
    </row>
    <row r="1721" spans="1:13" x14ac:dyDescent="0.35">
      <c r="A1721">
        <v>270660</v>
      </c>
      <c r="B1721">
        <v>14850</v>
      </c>
      <c r="C1721" t="s">
        <v>1869</v>
      </c>
      <c r="D1721" t="s">
        <v>1791</v>
      </c>
      <c r="E1721" t="s">
        <v>1801</v>
      </c>
      <c r="F1721">
        <v>50000</v>
      </c>
      <c r="G1721">
        <v>1</v>
      </c>
      <c r="H1721" t="s">
        <v>16</v>
      </c>
      <c r="I1721" s="1">
        <v>-936600</v>
      </c>
      <c r="J1721" s="1">
        <v>-3637000</v>
      </c>
      <c r="K1721">
        <v>292</v>
      </c>
      <c r="L1721">
        <v>107</v>
      </c>
      <c r="M1721" t="s">
        <v>16</v>
      </c>
    </row>
    <row r="1722" spans="1:13" x14ac:dyDescent="0.35">
      <c r="A1722">
        <v>270670</v>
      </c>
      <c r="B1722">
        <v>14869</v>
      </c>
      <c r="C1722" t="s">
        <v>1827</v>
      </c>
      <c r="D1722" t="s">
        <v>1791</v>
      </c>
      <c r="E1722" t="s">
        <v>1827</v>
      </c>
      <c r="F1722">
        <v>59020</v>
      </c>
      <c r="G1722">
        <v>2</v>
      </c>
      <c r="H1722" t="s">
        <v>16</v>
      </c>
      <c r="I1722" s="1">
        <v>-1029000</v>
      </c>
      <c r="J1722" s="1">
        <v>-3658600</v>
      </c>
      <c r="K1722">
        <v>27</v>
      </c>
      <c r="L1722">
        <v>689</v>
      </c>
      <c r="M1722" t="s">
        <v>16</v>
      </c>
    </row>
    <row r="1723" spans="1:13" x14ac:dyDescent="0.35">
      <c r="A1723">
        <v>270680</v>
      </c>
      <c r="B1723">
        <v>14877</v>
      </c>
      <c r="C1723" t="s">
        <v>1870</v>
      </c>
      <c r="D1723" t="s">
        <v>1791</v>
      </c>
      <c r="E1723" t="s">
        <v>1827</v>
      </c>
      <c r="F1723">
        <v>17466</v>
      </c>
      <c r="G1723">
        <v>1</v>
      </c>
      <c r="H1723" t="s">
        <v>16</v>
      </c>
      <c r="I1723" s="1">
        <v>-1040600</v>
      </c>
      <c r="J1723" s="1">
        <v>-3643400</v>
      </c>
      <c r="K1723">
        <v>3</v>
      </c>
      <c r="L1723">
        <v>239</v>
      </c>
      <c r="M1723" t="s">
        <v>16</v>
      </c>
    </row>
    <row r="1724" spans="1:13" x14ac:dyDescent="0.35">
      <c r="A1724">
        <v>270690</v>
      </c>
      <c r="B1724">
        <v>14885</v>
      </c>
      <c r="C1724" t="s">
        <v>1539</v>
      </c>
      <c r="D1724" t="s">
        <v>1791</v>
      </c>
      <c r="E1724" t="s">
        <v>1799</v>
      </c>
      <c r="F1724">
        <v>31627</v>
      </c>
      <c r="G1724">
        <v>4</v>
      </c>
      <c r="H1724" t="s">
        <v>1800</v>
      </c>
      <c r="I1724" s="1">
        <v>-959700</v>
      </c>
      <c r="J1724" s="1">
        <v>-3595700</v>
      </c>
      <c r="K1724">
        <v>13</v>
      </c>
      <c r="L1724">
        <v>248</v>
      </c>
      <c r="M1724" t="s">
        <v>16</v>
      </c>
    </row>
    <row r="1725" spans="1:13" x14ac:dyDescent="0.35">
      <c r="A1725">
        <v>270700</v>
      </c>
      <c r="B1725">
        <v>14893</v>
      </c>
      <c r="C1725" t="s">
        <v>1871</v>
      </c>
      <c r="D1725" t="s">
        <v>1791</v>
      </c>
      <c r="E1725" t="s">
        <v>1815</v>
      </c>
      <c r="F1725">
        <v>3126</v>
      </c>
      <c r="G1725">
        <v>1</v>
      </c>
      <c r="H1725" t="s">
        <v>16</v>
      </c>
      <c r="I1725" s="1">
        <v>-947500</v>
      </c>
      <c r="J1725" s="1">
        <v>-3629000</v>
      </c>
      <c r="K1725">
        <v>310</v>
      </c>
      <c r="L1725">
        <v>83</v>
      </c>
      <c r="M1725" t="s">
        <v>16</v>
      </c>
    </row>
    <row r="1726" spans="1:13" x14ac:dyDescent="0.35">
      <c r="A1726">
        <v>270710</v>
      </c>
      <c r="B1726">
        <v>14907</v>
      </c>
      <c r="C1726" t="s">
        <v>1872</v>
      </c>
      <c r="D1726" t="s">
        <v>1791</v>
      </c>
      <c r="E1726" t="s">
        <v>1822</v>
      </c>
      <c r="F1726">
        <v>23910</v>
      </c>
      <c r="G1726">
        <v>1</v>
      </c>
      <c r="H1726" t="s">
        <v>16</v>
      </c>
      <c r="I1726" s="1">
        <v>-962400</v>
      </c>
      <c r="J1726" s="1">
        <v>-3775700</v>
      </c>
      <c r="K1726">
        <v>88</v>
      </c>
      <c r="L1726">
        <v>407</v>
      </c>
      <c r="M1726" t="s">
        <v>16</v>
      </c>
    </row>
    <row r="1727" spans="1:13" x14ac:dyDescent="0.35">
      <c r="A1727">
        <v>270720</v>
      </c>
      <c r="B1727">
        <v>14915</v>
      </c>
      <c r="C1727" t="s">
        <v>1873</v>
      </c>
      <c r="D1727" t="s">
        <v>1791</v>
      </c>
      <c r="E1727" t="s">
        <v>1813</v>
      </c>
      <c r="F1727">
        <v>12205</v>
      </c>
      <c r="G1727">
        <v>1</v>
      </c>
      <c r="H1727" t="s">
        <v>16</v>
      </c>
      <c r="I1727" s="1">
        <v>-931300</v>
      </c>
      <c r="J1727" s="1">
        <v>-3728600</v>
      </c>
      <c r="K1727">
        <v>292</v>
      </c>
      <c r="L1727">
        <v>302</v>
      </c>
      <c r="M1727" t="s">
        <v>16</v>
      </c>
    </row>
    <row r="1728" spans="1:13" x14ac:dyDescent="0.35">
      <c r="A1728">
        <v>270730</v>
      </c>
      <c r="B1728">
        <v>14923</v>
      </c>
      <c r="C1728" t="s">
        <v>1874</v>
      </c>
      <c r="D1728" t="s">
        <v>1791</v>
      </c>
      <c r="E1728" t="s">
        <v>1797</v>
      </c>
      <c r="F1728">
        <v>25129</v>
      </c>
      <c r="G1728">
        <v>1</v>
      </c>
      <c r="H1728" t="s">
        <v>16</v>
      </c>
      <c r="I1728" s="1">
        <v>-904500</v>
      </c>
      <c r="J1728" s="1">
        <v>-3539800</v>
      </c>
      <c r="K1728">
        <v>54</v>
      </c>
      <c r="L1728">
        <v>260</v>
      </c>
      <c r="M1728" t="s">
        <v>16</v>
      </c>
    </row>
    <row r="1729" spans="1:13" x14ac:dyDescent="0.35">
      <c r="A1729">
        <v>270740</v>
      </c>
      <c r="B1729">
        <v>14931</v>
      </c>
      <c r="C1729" t="s">
        <v>1875</v>
      </c>
      <c r="D1729" t="s">
        <v>1791</v>
      </c>
      <c r="E1729" t="s">
        <v>1837</v>
      </c>
      <c r="F1729">
        <v>10321</v>
      </c>
      <c r="G1729">
        <v>1</v>
      </c>
      <c r="H1729" t="s">
        <v>16</v>
      </c>
      <c r="I1729" s="1">
        <v>-915800</v>
      </c>
      <c r="J1729" s="1">
        <v>-3529500</v>
      </c>
      <c r="K1729">
        <v>22</v>
      </c>
      <c r="L1729">
        <v>266</v>
      </c>
      <c r="M1729" t="s">
        <v>16</v>
      </c>
    </row>
    <row r="1730" spans="1:13" x14ac:dyDescent="0.35">
      <c r="A1730">
        <v>270750</v>
      </c>
      <c r="B1730">
        <v>14940</v>
      </c>
      <c r="C1730" t="s">
        <v>1876</v>
      </c>
      <c r="D1730" t="s">
        <v>1791</v>
      </c>
      <c r="E1730" t="s">
        <v>1827</v>
      </c>
      <c r="F1730">
        <v>17947</v>
      </c>
      <c r="G1730">
        <v>1</v>
      </c>
      <c r="H1730" t="s">
        <v>16</v>
      </c>
      <c r="I1730" s="1">
        <v>-1018600</v>
      </c>
      <c r="J1730" s="1">
        <v>-3684000</v>
      </c>
      <c r="K1730">
        <v>10</v>
      </c>
      <c r="L1730">
        <v>240</v>
      </c>
      <c r="M1730" t="s">
        <v>16</v>
      </c>
    </row>
    <row r="1731" spans="1:13" x14ac:dyDescent="0.35">
      <c r="A1731">
        <v>270760</v>
      </c>
      <c r="B1731">
        <v>14958</v>
      </c>
      <c r="C1731" t="s">
        <v>1877</v>
      </c>
      <c r="D1731" t="s">
        <v>1791</v>
      </c>
      <c r="E1731" t="s">
        <v>1801</v>
      </c>
      <c r="F1731">
        <v>50000</v>
      </c>
      <c r="G1731">
        <v>1</v>
      </c>
      <c r="H1731" t="s">
        <v>16</v>
      </c>
      <c r="I1731" s="1">
        <v>-931900</v>
      </c>
      <c r="J1731" s="1">
        <v>-3647100</v>
      </c>
      <c r="K1731">
        <v>366</v>
      </c>
      <c r="L1731">
        <v>299</v>
      </c>
      <c r="M1731" t="s">
        <v>16</v>
      </c>
    </row>
    <row r="1732" spans="1:13" x14ac:dyDescent="0.35">
      <c r="A1732">
        <v>270770</v>
      </c>
      <c r="B1732">
        <v>14966</v>
      </c>
      <c r="C1732" t="s">
        <v>1878</v>
      </c>
      <c r="D1732" t="s">
        <v>1791</v>
      </c>
      <c r="E1732" t="s">
        <v>1799</v>
      </c>
      <c r="F1732">
        <v>65432</v>
      </c>
      <c r="G1732">
        <v>4</v>
      </c>
      <c r="H1732" t="s">
        <v>1800</v>
      </c>
      <c r="I1732" s="1">
        <v>-947800</v>
      </c>
      <c r="J1732" s="1">
        <v>-3585300</v>
      </c>
      <c r="K1732">
        <v>39</v>
      </c>
      <c r="L1732">
        <v>309</v>
      </c>
      <c r="M1732" t="s">
        <v>16</v>
      </c>
    </row>
    <row r="1733" spans="1:13" x14ac:dyDescent="0.35">
      <c r="A1733">
        <v>270780</v>
      </c>
      <c r="B1733">
        <v>14974</v>
      </c>
      <c r="C1733" t="s">
        <v>1879</v>
      </c>
      <c r="D1733" t="s">
        <v>1791</v>
      </c>
      <c r="E1733" t="s">
        <v>1794</v>
      </c>
      <c r="F1733">
        <v>6692</v>
      </c>
      <c r="G1733">
        <v>1</v>
      </c>
      <c r="H1733" t="s">
        <v>16</v>
      </c>
      <c r="I1733" s="1">
        <v>-983300</v>
      </c>
      <c r="J1733" s="1">
        <v>-3597800</v>
      </c>
      <c r="K1733">
        <v>32</v>
      </c>
      <c r="L1733">
        <v>129</v>
      </c>
      <c r="M1733" t="s">
        <v>16</v>
      </c>
    </row>
    <row r="1734" spans="1:13" x14ac:dyDescent="0.35">
      <c r="A1734">
        <v>270790</v>
      </c>
      <c r="B1734">
        <v>14982</v>
      </c>
      <c r="C1734" t="s">
        <v>1880</v>
      </c>
      <c r="D1734" t="s">
        <v>1791</v>
      </c>
      <c r="E1734" t="s">
        <v>1799</v>
      </c>
      <c r="F1734">
        <v>7248</v>
      </c>
      <c r="G1734">
        <v>4</v>
      </c>
      <c r="H1734" t="s">
        <v>1800</v>
      </c>
      <c r="I1734" s="1">
        <v>-960300</v>
      </c>
      <c r="J1734" s="1">
        <v>-3582200</v>
      </c>
      <c r="K1734">
        <v>32</v>
      </c>
      <c r="L1734">
        <v>28</v>
      </c>
      <c r="M1734" t="s">
        <v>16</v>
      </c>
    </row>
    <row r="1735" spans="1:13" x14ac:dyDescent="0.35">
      <c r="A1735">
        <v>270800</v>
      </c>
      <c r="B1735">
        <v>14990</v>
      </c>
      <c r="C1735" t="s">
        <v>1813</v>
      </c>
      <c r="D1735" t="s">
        <v>1791</v>
      </c>
      <c r="E1735" t="s">
        <v>1813</v>
      </c>
      <c r="F1735">
        <v>42296</v>
      </c>
      <c r="G1735">
        <v>1</v>
      </c>
      <c r="H1735" t="s">
        <v>16</v>
      </c>
      <c r="I1735" s="1">
        <v>-937800</v>
      </c>
      <c r="J1735" s="1">
        <v>-3724500</v>
      </c>
      <c r="K1735">
        <v>250</v>
      </c>
      <c r="L1735">
        <v>437</v>
      </c>
      <c r="M1735" t="s">
        <v>16</v>
      </c>
    </row>
    <row r="1736" spans="1:13" x14ac:dyDescent="0.35">
      <c r="A1736">
        <v>270810</v>
      </c>
      <c r="B1736">
        <v>15008</v>
      </c>
      <c r="C1736" t="s">
        <v>1881</v>
      </c>
      <c r="D1736" t="s">
        <v>1791</v>
      </c>
      <c r="E1736" t="s">
        <v>1815</v>
      </c>
      <c r="F1736">
        <v>50000</v>
      </c>
      <c r="G1736">
        <v>1</v>
      </c>
      <c r="H1736" t="s">
        <v>16</v>
      </c>
      <c r="I1736" s="1">
        <v>-916800</v>
      </c>
      <c r="J1736" s="1">
        <v>-3622200</v>
      </c>
      <c r="K1736">
        <v>221</v>
      </c>
      <c r="L1736">
        <v>223</v>
      </c>
      <c r="M1736" t="s">
        <v>16</v>
      </c>
    </row>
    <row r="1737" spans="1:13" x14ac:dyDescent="0.35">
      <c r="A1737">
        <v>270820</v>
      </c>
      <c r="B1737">
        <v>15016</v>
      </c>
      <c r="C1737" t="s">
        <v>1882</v>
      </c>
      <c r="D1737" t="s">
        <v>1791</v>
      </c>
      <c r="E1737" t="s">
        <v>1861</v>
      </c>
      <c r="F1737">
        <v>6820</v>
      </c>
      <c r="G1737">
        <v>1</v>
      </c>
      <c r="H1737" t="s">
        <v>16</v>
      </c>
      <c r="I1737" s="1">
        <v>-1012800</v>
      </c>
      <c r="J1737" s="1">
        <v>-3690100</v>
      </c>
      <c r="K1737">
        <v>25</v>
      </c>
      <c r="L1737">
        <v>139</v>
      </c>
      <c r="M1737" t="s">
        <v>16</v>
      </c>
    </row>
    <row r="1738" spans="1:13" x14ac:dyDescent="0.35">
      <c r="A1738">
        <v>270830</v>
      </c>
      <c r="B1738">
        <v>15024</v>
      </c>
      <c r="C1738" t="s">
        <v>1883</v>
      </c>
      <c r="D1738" t="s">
        <v>1791</v>
      </c>
      <c r="E1738" t="s">
        <v>1815</v>
      </c>
      <c r="F1738">
        <v>50000</v>
      </c>
      <c r="G1738">
        <v>1</v>
      </c>
      <c r="H1738" t="s">
        <v>16</v>
      </c>
      <c r="I1738" s="1">
        <v>-901000</v>
      </c>
      <c r="J1738" s="1">
        <v>-3605800</v>
      </c>
      <c r="K1738">
        <v>256</v>
      </c>
      <c r="L1738">
        <v>264</v>
      </c>
      <c r="M1738" t="s">
        <v>16</v>
      </c>
    </row>
    <row r="1739" spans="1:13" x14ac:dyDescent="0.35">
      <c r="A1739">
        <v>270840</v>
      </c>
      <c r="B1739">
        <v>15032</v>
      </c>
      <c r="C1739" t="s">
        <v>1884</v>
      </c>
      <c r="D1739" t="s">
        <v>1791</v>
      </c>
      <c r="E1739" t="s">
        <v>1813</v>
      </c>
      <c r="F1739">
        <v>30129</v>
      </c>
      <c r="G1739">
        <v>1</v>
      </c>
      <c r="H1739" t="s">
        <v>16</v>
      </c>
      <c r="I1739" s="1">
        <v>-955800</v>
      </c>
      <c r="J1739" s="1">
        <v>-3738100</v>
      </c>
      <c r="K1739">
        <v>255</v>
      </c>
      <c r="L1739">
        <v>519</v>
      </c>
      <c r="M1739" t="s">
        <v>16</v>
      </c>
    </row>
    <row r="1740" spans="1:13" x14ac:dyDescent="0.35">
      <c r="A1740">
        <v>270850</v>
      </c>
      <c r="B1740">
        <v>15040</v>
      </c>
      <c r="C1740" t="s">
        <v>1885</v>
      </c>
      <c r="D1740" t="s">
        <v>1791</v>
      </c>
      <c r="E1740" t="s">
        <v>1797</v>
      </c>
      <c r="F1740">
        <v>50000</v>
      </c>
      <c r="G1740">
        <v>1</v>
      </c>
      <c r="H1740" t="s">
        <v>16</v>
      </c>
      <c r="I1740" s="1">
        <v>-931800</v>
      </c>
      <c r="J1740" s="1">
        <v>-3556100</v>
      </c>
      <c r="K1740">
        <v>4</v>
      </c>
      <c r="L1740">
        <v>404</v>
      </c>
      <c r="M1740" t="s">
        <v>16</v>
      </c>
    </row>
    <row r="1741" spans="1:13" x14ac:dyDescent="0.35">
      <c r="A1741">
        <v>270860</v>
      </c>
      <c r="B1741">
        <v>15059</v>
      </c>
      <c r="C1741" t="s">
        <v>1886</v>
      </c>
      <c r="D1741" t="s">
        <v>1791</v>
      </c>
      <c r="E1741" t="s">
        <v>1794</v>
      </c>
      <c r="F1741">
        <v>51473</v>
      </c>
      <c r="G1741">
        <v>2</v>
      </c>
      <c r="H1741" t="s">
        <v>16</v>
      </c>
      <c r="I1741" s="1">
        <v>-978100</v>
      </c>
      <c r="J1741" s="1">
        <v>-3609400</v>
      </c>
      <c r="K1741">
        <v>12</v>
      </c>
      <c r="L1741">
        <v>360</v>
      </c>
      <c r="M1741" t="s">
        <v>16</v>
      </c>
    </row>
    <row r="1742" spans="1:13" x14ac:dyDescent="0.35">
      <c r="A1742">
        <v>270870</v>
      </c>
      <c r="B1742">
        <v>15067</v>
      </c>
      <c r="C1742" t="s">
        <v>1887</v>
      </c>
      <c r="D1742" t="s">
        <v>1791</v>
      </c>
      <c r="E1742" t="s">
        <v>1837</v>
      </c>
      <c r="F1742">
        <v>7219</v>
      </c>
      <c r="G1742">
        <v>1</v>
      </c>
      <c r="H1742" t="s">
        <v>16</v>
      </c>
      <c r="I1742" s="1">
        <v>-926600</v>
      </c>
      <c r="J1742" s="1">
        <v>-3537300</v>
      </c>
      <c r="K1742">
        <v>1</v>
      </c>
      <c r="L1742">
        <v>65</v>
      </c>
      <c r="M1742" t="s">
        <v>16</v>
      </c>
    </row>
    <row r="1743" spans="1:13" x14ac:dyDescent="0.35">
      <c r="A1743">
        <v>270880</v>
      </c>
      <c r="B1743">
        <v>15075</v>
      </c>
      <c r="C1743" t="s">
        <v>1888</v>
      </c>
      <c r="D1743" t="s">
        <v>1791</v>
      </c>
      <c r="E1743" t="s">
        <v>1795</v>
      </c>
      <c r="F1743">
        <v>31002</v>
      </c>
      <c r="G1743">
        <v>1</v>
      </c>
      <c r="H1743" t="s">
        <v>16</v>
      </c>
      <c r="I1743" s="1">
        <v>-993400</v>
      </c>
      <c r="J1743" s="1">
        <v>-3655400</v>
      </c>
      <c r="K1743">
        <v>201</v>
      </c>
      <c r="L1743">
        <v>305</v>
      </c>
      <c r="M1743" t="s">
        <v>16</v>
      </c>
    </row>
    <row r="1744" spans="1:13" x14ac:dyDescent="0.35">
      <c r="A1744">
        <v>270890</v>
      </c>
      <c r="B1744">
        <v>15083</v>
      </c>
      <c r="C1744" t="s">
        <v>1889</v>
      </c>
      <c r="D1744" t="s">
        <v>1791</v>
      </c>
      <c r="E1744" t="s">
        <v>1799</v>
      </c>
      <c r="F1744">
        <v>14154</v>
      </c>
      <c r="G1744">
        <v>4</v>
      </c>
      <c r="H1744" t="s">
        <v>1800</v>
      </c>
      <c r="I1744" s="1">
        <v>-956300</v>
      </c>
      <c r="J1744" s="1">
        <v>-3582400</v>
      </c>
      <c r="K1744">
        <v>6</v>
      </c>
      <c r="L1744">
        <v>42</v>
      </c>
      <c r="M1744" t="s">
        <v>16</v>
      </c>
    </row>
    <row r="1745" spans="1:13" x14ac:dyDescent="0.35">
      <c r="A1745">
        <v>270895</v>
      </c>
      <c r="B1745">
        <v>15156</v>
      </c>
      <c r="C1745" t="s">
        <v>1890</v>
      </c>
      <c r="D1745" t="s">
        <v>1791</v>
      </c>
      <c r="E1745" t="s">
        <v>1813</v>
      </c>
      <c r="F1745">
        <v>12641</v>
      </c>
      <c r="G1745">
        <v>1</v>
      </c>
      <c r="H1745" t="s">
        <v>16</v>
      </c>
      <c r="I1745" s="1">
        <v>-935400</v>
      </c>
      <c r="J1745" s="1">
        <v>-3750700</v>
      </c>
      <c r="K1745">
        <v>352</v>
      </c>
      <c r="L1745">
        <v>359</v>
      </c>
      <c r="M1745" t="s">
        <v>16</v>
      </c>
    </row>
    <row r="1746" spans="1:13" x14ac:dyDescent="0.35">
      <c r="A1746">
        <v>270900</v>
      </c>
      <c r="B1746">
        <v>15091</v>
      </c>
      <c r="C1746" t="s">
        <v>1891</v>
      </c>
      <c r="D1746" t="s">
        <v>1791</v>
      </c>
      <c r="E1746" t="s">
        <v>1801</v>
      </c>
      <c r="F1746">
        <v>5695</v>
      </c>
      <c r="G1746">
        <v>1</v>
      </c>
      <c r="H1746" t="s">
        <v>16</v>
      </c>
      <c r="I1746" s="1">
        <v>-953200</v>
      </c>
      <c r="J1746" s="1">
        <v>-3643300</v>
      </c>
      <c r="K1746">
        <v>212</v>
      </c>
      <c r="L1746">
        <v>155</v>
      </c>
      <c r="M1746" t="s">
        <v>16</v>
      </c>
    </row>
    <row r="1747" spans="1:13" x14ac:dyDescent="0.35">
      <c r="A1747">
        <v>270910</v>
      </c>
      <c r="B1747">
        <v>15105</v>
      </c>
      <c r="C1747" t="s">
        <v>1892</v>
      </c>
      <c r="D1747" t="s">
        <v>1791</v>
      </c>
      <c r="E1747" t="s">
        <v>1795</v>
      </c>
      <c r="F1747">
        <v>18157</v>
      </c>
      <c r="G1747">
        <v>1</v>
      </c>
      <c r="H1747" t="s">
        <v>16</v>
      </c>
      <c r="I1747" s="1">
        <v>-964500</v>
      </c>
      <c r="J1747" s="1">
        <v>-3649700</v>
      </c>
      <c r="K1747">
        <v>159</v>
      </c>
      <c r="L1747">
        <v>166</v>
      </c>
      <c r="M1747" t="s">
        <v>16</v>
      </c>
    </row>
    <row r="1748" spans="1:13" x14ac:dyDescent="0.35">
      <c r="A1748">
        <v>270915</v>
      </c>
      <c r="B1748">
        <v>45527</v>
      </c>
      <c r="C1748" t="s">
        <v>1893</v>
      </c>
      <c r="D1748" t="s">
        <v>1791</v>
      </c>
      <c r="E1748" t="s">
        <v>1794</v>
      </c>
      <c r="F1748">
        <v>40291</v>
      </c>
      <c r="G1748">
        <v>1</v>
      </c>
      <c r="H1748" t="s">
        <v>16</v>
      </c>
      <c r="I1748" s="1">
        <v>-990500</v>
      </c>
      <c r="J1748" s="1">
        <v>-3635300</v>
      </c>
      <c r="K1748">
        <v>156</v>
      </c>
      <c r="L1748">
        <v>297</v>
      </c>
      <c r="M1748" t="s">
        <v>16</v>
      </c>
    </row>
    <row r="1749" spans="1:13" x14ac:dyDescent="0.35">
      <c r="A1749">
        <v>270920</v>
      </c>
      <c r="B1749">
        <v>15113</v>
      </c>
      <c r="C1749" t="s">
        <v>1861</v>
      </c>
      <c r="D1749" t="s">
        <v>1791</v>
      </c>
      <c r="E1749" t="s">
        <v>1861</v>
      </c>
      <c r="F1749">
        <v>24911</v>
      </c>
      <c r="G1749">
        <v>1</v>
      </c>
      <c r="H1749" t="s">
        <v>16</v>
      </c>
      <c r="I1749" s="1">
        <v>-997100</v>
      </c>
      <c r="J1749" s="1">
        <v>-3700300</v>
      </c>
      <c r="K1749">
        <v>10</v>
      </c>
      <c r="L1749">
        <v>697</v>
      </c>
      <c r="M1749" t="s">
        <v>16</v>
      </c>
    </row>
    <row r="1750" spans="1:13" x14ac:dyDescent="0.35">
      <c r="A1750">
        <v>270930</v>
      </c>
      <c r="B1750">
        <v>15121</v>
      </c>
      <c r="C1750" t="s">
        <v>1894</v>
      </c>
      <c r="D1750" t="s">
        <v>1791</v>
      </c>
      <c r="E1750" t="s">
        <v>1815</v>
      </c>
      <c r="F1750">
        <v>60619</v>
      </c>
      <c r="G1750">
        <v>2</v>
      </c>
      <c r="H1750" t="s">
        <v>16</v>
      </c>
      <c r="I1750" s="1">
        <v>-916300</v>
      </c>
      <c r="J1750" s="1">
        <v>-3603200</v>
      </c>
      <c r="K1750">
        <v>155</v>
      </c>
      <c r="L1750">
        <v>427</v>
      </c>
      <c r="M1750" t="s">
        <v>16</v>
      </c>
    </row>
    <row r="1751" spans="1:13" x14ac:dyDescent="0.35">
      <c r="A1751">
        <v>270940</v>
      </c>
      <c r="B1751">
        <v>15130</v>
      </c>
      <c r="C1751" t="s">
        <v>1388</v>
      </c>
      <c r="D1751" t="s">
        <v>1791</v>
      </c>
      <c r="E1751" t="s">
        <v>1815</v>
      </c>
      <c r="F1751">
        <v>50000</v>
      </c>
      <c r="G1751">
        <v>1</v>
      </c>
      <c r="H1751" t="s">
        <v>16</v>
      </c>
      <c r="I1751" s="1">
        <v>-937100</v>
      </c>
      <c r="J1751" s="1">
        <v>-3624100</v>
      </c>
      <c r="K1751">
        <v>210</v>
      </c>
      <c r="L1751">
        <v>354</v>
      </c>
      <c r="M1751" t="s">
        <v>16</v>
      </c>
    </row>
    <row r="1752" spans="1:13" x14ac:dyDescent="0.35">
      <c r="A1752">
        <v>280010</v>
      </c>
      <c r="B1752">
        <v>15210</v>
      </c>
      <c r="C1752" t="s">
        <v>1895</v>
      </c>
      <c r="D1752" t="s">
        <v>1896</v>
      </c>
      <c r="E1752" t="s">
        <v>1897</v>
      </c>
      <c r="F1752">
        <v>2197</v>
      </c>
      <c r="G1752">
        <v>1</v>
      </c>
      <c r="H1752" t="s">
        <v>16</v>
      </c>
      <c r="I1752" s="1">
        <v>-1013400</v>
      </c>
      <c r="J1752" s="1">
        <v>-3693000</v>
      </c>
      <c r="K1752">
        <v>12</v>
      </c>
      <c r="L1752">
        <v>35</v>
      </c>
      <c r="M1752" t="s">
        <v>16</v>
      </c>
    </row>
    <row r="1753" spans="1:13" x14ac:dyDescent="0.35">
      <c r="A1753">
        <v>280020</v>
      </c>
      <c r="B1753">
        <v>15229</v>
      </c>
      <c r="C1753" t="s">
        <v>1898</v>
      </c>
      <c r="D1753" t="s">
        <v>1896</v>
      </c>
      <c r="E1753" t="s">
        <v>1899</v>
      </c>
      <c r="F1753">
        <v>19185</v>
      </c>
      <c r="G1753">
        <v>1</v>
      </c>
      <c r="H1753" t="s">
        <v>16</v>
      </c>
      <c r="I1753" s="1">
        <v>-1028100</v>
      </c>
      <c r="J1753" s="1">
        <v>-3701900</v>
      </c>
      <c r="K1753">
        <v>216</v>
      </c>
      <c r="L1753">
        <v>357</v>
      </c>
      <c r="M1753" t="s">
        <v>16</v>
      </c>
    </row>
    <row r="1754" spans="1:13" x14ac:dyDescent="0.35">
      <c r="A1754">
        <v>280030</v>
      </c>
      <c r="B1754">
        <v>15202</v>
      </c>
      <c r="C1754" t="s">
        <v>1900</v>
      </c>
      <c r="D1754" t="s">
        <v>1896</v>
      </c>
      <c r="E1754" t="s">
        <v>1900</v>
      </c>
      <c r="F1754">
        <v>520303</v>
      </c>
      <c r="G1754">
        <v>5</v>
      </c>
      <c r="H1754" t="s">
        <v>1901</v>
      </c>
      <c r="I1754" s="1">
        <v>-1091100</v>
      </c>
      <c r="J1754" s="1">
        <v>-3707200</v>
      </c>
      <c r="K1754">
        <v>4</v>
      </c>
      <c r="L1754">
        <v>174</v>
      </c>
      <c r="M1754" t="s">
        <v>16</v>
      </c>
    </row>
    <row r="1755" spans="1:13" x14ac:dyDescent="0.35">
      <c r="A1755">
        <v>280040</v>
      </c>
      <c r="B1755">
        <v>15237</v>
      </c>
      <c r="C1755" t="s">
        <v>1902</v>
      </c>
      <c r="D1755" t="s">
        <v>1896</v>
      </c>
      <c r="E1755" t="s">
        <v>1903</v>
      </c>
      <c r="F1755">
        <v>11633</v>
      </c>
      <c r="G1755">
        <v>1</v>
      </c>
      <c r="H1755" t="s">
        <v>16</v>
      </c>
      <c r="I1755" s="1">
        <v>-1126200</v>
      </c>
      <c r="J1755" s="1">
        <v>-3762000</v>
      </c>
      <c r="K1755">
        <v>109</v>
      </c>
      <c r="L1755">
        <v>192</v>
      </c>
      <c r="M1755" t="s">
        <v>16</v>
      </c>
    </row>
    <row r="1756" spans="1:13" x14ac:dyDescent="0.35">
      <c r="A1756">
        <v>280050</v>
      </c>
      <c r="B1756">
        <v>15245</v>
      </c>
      <c r="C1756" t="s">
        <v>1228</v>
      </c>
      <c r="D1756" t="s">
        <v>1896</v>
      </c>
      <c r="E1756" t="s">
        <v>1904</v>
      </c>
      <c r="F1756">
        <v>16072</v>
      </c>
      <c r="G1756">
        <v>1</v>
      </c>
      <c r="H1756" t="s">
        <v>16</v>
      </c>
      <c r="I1756" s="1">
        <v>-1075800</v>
      </c>
      <c r="J1756" s="1">
        <v>-3731500</v>
      </c>
      <c r="K1756">
        <v>160</v>
      </c>
      <c r="L1756">
        <v>128</v>
      </c>
      <c r="M1756" t="s">
        <v>16</v>
      </c>
    </row>
    <row r="1757" spans="1:13" x14ac:dyDescent="0.35">
      <c r="A1757">
        <v>280060</v>
      </c>
      <c r="B1757">
        <v>15253</v>
      </c>
      <c r="C1757" t="s">
        <v>1905</v>
      </c>
      <c r="D1757" t="s">
        <v>1896</v>
      </c>
      <c r="E1757" t="s">
        <v>1900</v>
      </c>
      <c r="F1757">
        <v>19218</v>
      </c>
      <c r="G1757">
        <v>4</v>
      </c>
      <c r="H1757" t="s">
        <v>1901</v>
      </c>
      <c r="I1757" s="1">
        <v>-1090900</v>
      </c>
      <c r="J1757" s="1">
        <v>-3703900</v>
      </c>
      <c r="K1757">
        <v>8</v>
      </c>
      <c r="L1757">
        <v>91</v>
      </c>
      <c r="M1757" t="s">
        <v>16</v>
      </c>
    </row>
    <row r="1758" spans="1:13" x14ac:dyDescent="0.35">
      <c r="A1758">
        <v>280067</v>
      </c>
      <c r="B1758">
        <v>15270</v>
      </c>
      <c r="C1758" t="s">
        <v>1903</v>
      </c>
      <c r="D1758" t="s">
        <v>1896</v>
      </c>
      <c r="E1758" t="s">
        <v>1903</v>
      </c>
      <c r="F1758">
        <v>24472</v>
      </c>
      <c r="G1758">
        <v>1</v>
      </c>
      <c r="H1758" t="s">
        <v>16</v>
      </c>
      <c r="I1758" s="1">
        <v>-1114700</v>
      </c>
      <c r="J1758" s="1">
        <v>-3762100</v>
      </c>
      <c r="K1758">
        <v>165</v>
      </c>
      <c r="L1758">
        <v>214</v>
      </c>
      <c r="M1758" t="s">
        <v>16</v>
      </c>
    </row>
    <row r="1759" spans="1:13" x14ac:dyDescent="0.35">
      <c r="A1759">
        <v>280070</v>
      </c>
      <c r="B1759">
        <v>15261</v>
      </c>
      <c r="C1759" t="s">
        <v>1906</v>
      </c>
      <c r="D1759" t="s">
        <v>1896</v>
      </c>
      <c r="E1759" t="s">
        <v>1897</v>
      </c>
      <c r="F1759">
        <v>7760</v>
      </c>
      <c r="G1759">
        <v>1</v>
      </c>
      <c r="H1759" t="s">
        <v>16</v>
      </c>
      <c r="I1759" s="1">
        <v>-1042900</v>
      </c>
      <c r="J1759" s="1">
        <v>-3646600</v>
      </c>
      <c r="K1759">
        <v>30</v>
      </c>
      <c r="L1759">
        <v>149</v>
      </c>
      <c r="M1759" t="s">
        <v>16</v>
      </c>
    </row>
    <row r="1760" spans="1:13" x14ac:dyDescent="0.35">
      <c r="A1760">
        <v>280100</v>
      </c>
      <c r="B1760">
        <v>15288</v>
      </c>
      <c r="C1760" t="s">
        <v>1907</v>
      </c>
      <c r="D1760" t="s">
        <v>1896</v>
      </c>
      <c r="E1760" t="s">
        <v>1904</v>
      </c>
      <c r="F1760">
        <v>16122</v>
      </c>
      <c r="G1760">
        <v>1</v>
      </c>
      <c r="H1760" t="s">
        <v>16</v>
      </c>
      <c r="I1760" s="1">
        <v>-1073300</v>
      </c>
      <c r="J1760" s="1">
        <v>-3749300</v>
      </c>
      <c r="K1760">
        <v>208</v>
      </c>
      <c r="L1760">
        <v>201</v>
      </c>
      <c r="M1760" t="s">
        <v>16</v>
      </c>
    </row>
    <row r="1761" spans="1:13" x14ac:dyDescent="0.35">
      <c r="A1761">
        <v>280110</v>
      </c>
      <c r="B1761">
        <v>15296</v>
      </c>
      <c r="C1761" t="s">
        <v>1908</v>
      </c>
      <c r="D1761" t="s">
        <v>1896</v>
      </c>
      <c r="E1761" t="s">
        <v>1897</v>
      </c>
      <c r="F1761">
        <v>3910</v>
      </c>
      <c r="G1761">
        <v>1</v>
      </c>
      <c r="H1761" t="s">
        <v>16</v>
      </c>
      <c r="I1761" s="1">
        <v>-1013800</v>
      </c>
      <c r="J1761" s="1">
        <v>-3698500</v>
      </c>
      <c r="K1761">
        <v>20</v>
      </c>
      <c r="L1761">
        <v>170</v>
      </c>
      <c r="M1761" t="s">
        <v>16</v>
      </c>
    </row>
    <row r="1762" spans="1:13" x14ac:dyDescent="0.35">
      <c r="A1762">
        <v>280120</v>
      </c>
      <c r="B1762">
        <v>15300</v>
      </c>
      <c r="C1762" t="s">
        <v>1909</v>
      </c>
      <c r="D1762" t="s">
        <v>1896</v>
      </c>
      <c r="E1762" t="s">
        <v>1910</v>
      </c>
      <c r="F1762">
        <v>21806</v>
      </c>
      <c r="G1762">
        <v>1</v>
      </c>
      <c r="H1762" t="s">
        <v>16</v>
      </c>
      <c r="I1762" s="1">
        <v>-964200</v>
      </c>
      <c r="J1762" s="1">
        <v>-3778800</v>
      </c>
      <c r="K1762">
        <v>38</v>
      </c>
      <c r="L1762">
        <v>902</v>
      </c>
      <c r="M1762" t="s">
        <v>16</v>
      </c>
    </row>
    <row r="1763" spans="1:13" x14ac:dyDescent="0.35">
      <c r="A1763">
        <v>280130</v>
      </c>
      <c r="B1763">
        <v>15318</v>
      </c>
      <c r="C1763" t="s">
        <v>1811</v>
      </c>
      <c r="D1763" t="s">
        <v>1896</v>
      </c>
      <c r="E1763" t="s">
        <v>1911</v>
      </c>
      <c r="F1763">
        <v>27913</v>
      </c>
      <c r="G1763">
        <v>1</v>
      </c>
      <c r="H1763" t="s">
        <v>16</v>
      </c>
      <c r="I1763" s="1">
        <v>-1050300</v>
      </c>
      <c r="J1763" s="1">
        <v>-3705300</v>
      </c>
      <c r="K1763">
        <v>162</v>
      </c>
      <c r="L1763">
        <v>440</v>
      </c>
      <c r="M1763" t="s">
        <v>16</v>
      </c>
    </row>
    <row r="1764" spans="1:13" x14ac:dyDescent="0.35">
      <c r="A1764">
        <v>280140</v>
      </c>
      <c r="B1764">
        <v>15326</v>
      </c>
      <c r="C1764" t="s">
        <v>1912</v>
      </c>
      <c r="D1764" t="s">
        <v>1896</v>
      </c>
      <c r="E1764" t="s">
        <v>1912</v>
      </c>
      <c r="F1764">
        <v>18965</v>
      </c>
      <c r="G1764">
        <v>1</v>
      </c>
      <c r="H1764" t="s">
        <v>16</v>
      </c>
      <c r="I1764" s="1">
        <v>-1036100</v>
      </c>
      <c r="J1764" s="1">
        <v>-3770100</v>
      </c>
      <c r="K1764">
        <v>351</v>
      </c>
      <c r="L1764">
        <v>636</v>
      </c>
      <c r="M1764" t="s">
        <v>16</v>
      </c>
    </row>
    <row r="1765" spans="1:13" x14ac:dyDescent="0.35">
      <c r="A1765">
        <v>280150</v>
      </c>
      <c r="B1765">
        <v>15334</v>
      </c>
      <c r="C1765" t="s">
        <v>1913</v>
      </c>
      <c r="D1765" t="s">
        <v>1896</v>
      </c>
      <c r="E1765" t="s">
        <v>1914</v>
      </c>
      <c r="F1765">
        <v>11911</v>
      </c>
      <c r="G1765">
        <v>1</v>
      </c>
      <c r="H1765" t="s">
        <v>16</v>
      </c>
      <c r="I1765" s="1">
        <v>-1064800</v>
      </c>
      <c r="J1765" s="1">
        <v>-3698900</v>
      </c>
      <c r="K1765">
        <v>13</v>
      </c>
      <c r="L1765">
        <v>45</v>
      </c>
      <c r="M1765" t="s">
        <v>16</v>
      </c>
    </row>
    <row r="1766" spans="1:13" x14ac:dyDescent="0.35">
      <c r="A1766">
        <v>280160</v>
      </c>
      <c r="B1766">
        <v>15342</v>
      </c>
      <c r="C1766" t="s">
        <v>1915</v>
      </c>
      <c r="D1766" t="s">
        <v>1896</v>
      </c>
      <c r="E1766" t="s">
        <v>1897</v>
      </c>
      <c r="F1766">
        <v>5358</v>
      </c>
      <c r="G1766">
        <v>1</v>
      </c>
      <c r="H1766" t="s">
        <v>16</v>
      </c>
      <c r="I1766" s="1">
        <v>-1025200</v>
      </c>
      <c r="J1766" s="1">
        <v>-3688400</v>
      </c>
      <c r="K1766">
        <v>32</v>
      </c>
      <c r="L1766">
        <v>79</v>
      </c>
      <c r="M1766" t="s">
        <v>16</v>
      </c>
    </row>
    <row r="1767" spans="1:13" x14ac:dyDescent="0.35">
      <c r="A1767">
        <v>280170</v>
      </c>
      <c r="B1767">
        <v>15350</v>
      </c>
      <c r="C1767" t="s">
        <v>1916</v>
      </c>
      <c r="D1767" t="s">
        <v>1896</v>
      </c>
      <c r="E1767" t="s">
        <v>1903</v>
      </c>
      <c r="F1767">
        <v>15867</v>
      </c>
      <c r="G1767">
        <v>1</v>
      </c>
      <c r="H1767" t="s">
        <v>16</v>
      </c>
      <c r="I1767" s="1">
        <v>-1147600</v>
      </c>
      <c r="J1767" s="1">
        <v>-3775500</v>
      </c>
      <c r="K1767">
        <v>145</v>
      </c>
      <c r="L1767">
        <v>253</v>
      </c>
      <c r="M1767" t="s">
        <v>16</v>
      </c>
    </row>
    <row r="1768" spans="1:13" x14ac:dyDescent="0.35">
      <c r="A1768">
        <v>280190</v>
      </c>
      <c r="B1768">
        <v>15377</v>
      </c>
      <c r="C1768" t="s">
        <v>1917</v>
      </c>
      <c r="D1768" t="s">
        <v>1896</v>
      </c>
      <c r="E1768" t="s">
        <v>1899</v>
      </c>
      <c r="F1768">
        <v>3741</v>
      </c>
      <c r="G1768">
        <v>1</v>
      </c>
      <c r="H1768" t="s">
        <v>16</v>
      </c>
      <c r="I1768" s="1">
        <v>-1035500</v>
      </c>
      <c r="J1768" s="1">
        <v>-3718300</v>
      </c>
      <c r="K1768">
        <v>187</v>
      </c>
      <c r="L1768">
        <v>129</v>
      </c>
      <c r="M1768" t="s">
        <v>16</v>
      </c>
    </row>
    <row r="1769" spans="1:13" x14ac:dyDescent="0.35">
      <c r="A1769">
        <v>280200</v>
      </c>
      <c r="B1769">
        <v>15385</v>
      </c>
      <c r="C1769" t="s">
        <v>1918</v>
      </c>
      <c r="D1769" t="s">
        <v>1896</v>
      </c>
      <c r="E1769" t="s">
        <v>1911</v>
      </c>
      <c r="F1769">
        <v>4198</v>
      </c>
      <c r="G1769">
        <v>1</v>
      </c>
      <c r="H1769" t="s">
        <v>16</v>
      </c>
      <c r="I1769" s="1">
        <v>-1068900</v>
      </c>
      <c r="J1769" s="1">
        <v>-3714800</v>
      </c>
      <c r="K1769">
        <v>78</v>
      </c>
      <c r="L1769">
        <v>92</v>
      </c>
      <c r="M1769" t="s">
        <v>16</v>
      </c>
    </row>
    <row r="1770" spans="1:13" x14ac:dyDescent="0.35">
      <c r="A1770">
        <v>280210</v>
      </c>
      <c r="B1770">
        <v>15393</v>
      </c>
      <c r="C1770" t="s">
        <v>1919</v>
      </c>
      <c r="D1770" t="s">
        <v>1896</v>
      </c>
      <c r="E1770" t="s">
        <v>1920</v>
      </c>
      <c r="F1770">
        <v>61368</v>
      </c>
      <c r="G1770">
        <v>2</v>
      </c>
      <c r="H1770" t="s">
        <v>16</v>
      </c>
      <c r="I1770" s="1">
        <v>-1126800</v>
      </c>
      <c r="J1770" s="1">
        <v>-3743800</v>
      </c>
      <c r="K1770">
        <v>53</v>
      </c>
      <c r="L1770">
        <v>642</v>
      </c>
      <c r="M1770" t="s">
        <v>16</v>
      </c>
    </row>
    <row r="1771" spans="1:13" x14ac:dyDescent="0.35">
      <c r="A1771">
        <v>280220</v>
      </c>
      <c r="B1771">
        <v>15407</v>
      </c>
      <c r="C1771" t="s">
        <v>1679</v>
      </c>
      <c r="D1771" t="s">
        <v>1896</v>
      </c>
      <c r="E1771" t="s">
        <v>1910</v>
      </c>
      <c r="F1771">
        <v>5628</v>
      </c>
      <c r="G1771">
        <v>1</v>
      </c>
      <c r="H1771" t="s">
        <v>16</v>
      </c>
      <c r="I1771" s="1">
        <v>-1026400</v>
      </c>
      <c r="J1771" s="1">
        <v>-3731300</v>
      </c>
      <c r="K1771">
        <v>241</v>
      </c>
      <c r="L1771">
        <v>188</v>
      </c>
      <c r="M1771" t="s">
        <v>16</v>
      </c>
    </row>
    <row r="1772" spans="1:13" x14ac:dyDescent="0.35">
      <c r="A1772">
        <v>280230</v>
      </c>
      <c r="B1772">
        <v>15415</v>
      </c>
      <c r="C1772" t="s">
        <v>1921</v>
      </c>
      <c r="D1772" t="s">
        <v>1896</v>
      </c>
      <c r="E1772" t="s">
        <v>1912</v>
      </c>
      <c r="F1772">
        <v>12589</v>
      </c>
      <c r="G1772">
        <v>1</v>
      </c>
      <c r="H1772" t="s">
        <v>16</v>
      </c>
      <c r="I1772" s="1">
        <v>-1054900</v>
      </c>
      <c r="J1772" s="1">
        <v>-3753400</v>
      </c>
      <c r="K1772">
        <v>272</v>
      </c>
      <c r="L1772">
        <v>399</v>
      </c>
      <c r="M1772" t="s">
        <v>16</v>
      </c>
    </row>
    <row r="1773" spans="1:13" x14ac:dyDescent="0.35">
      <c r="A1773">
        <v>280240</v>
      </c>
      <c r="B1773">
        <v>15423</v>
      </c>
      <c r="C1773" t="s">
        <v>1922</v>
      </c>
      <c r="D1773" t="s">
        <v>1896</v>
      </c>
      <c r="E1773" t="s">
        <v>1910</v>
      </c>
      <c r="F1773">
        <v>11606</v>
      </c>
      <c r="G1773">
        <v>1</v>
      </c>
      <c r="H1773" t="s">
        <v>16</v>
      </c>
      <c r="I1773" s="1">
        <v>-996800</v>
      </c>
      <c r="J1773" s="1">
        <v>-3708300</v>
      </c>
      <c r="K1773">
        <v>16</v>
      </c>
      <c r="L1773">
        <v>644</v>
      </c>
      <c r="M1773" t="s">
        <v>16</v>
      </c>
    </row>
    <row r="1774" spans="1:13" x14ac:dyDescent="0.35">
      <c r="A1774">
        <v>280250</v>
      </c>
      <c r="B1774">
        <v>15431</v>
      </c>
      <c r="C1774" t="s">
        <v>1923</v>
      </c>
      <c r="D1774" t="s">
        <v>1896</v>
      </c>
      <c r="E1774" t="s">
        <v>1914</v>
      </c>
      <c r="F1774">
        <v>2773</v>
      </c>
      <c r="G1774">
        <v>1</v>
      </c>
      <c r="H1774" t="s">
        <v>16</v>
      </c>
      <c r="I1774" s="1">
        <v>-1068900</v>
      </c>
      <c r="J1774" s="1">
        <v>-3698400</v>
      </c>
      <c r="K1774">
        <v>38</v>
      </c>
      <c r="L1774">
        <v>20</v>
      </c>
      <c r="M1774" t="s">
        <v>16</v>
      </c>
    </row>
    <row r="1775" spans="1:13" x14ac:dyDescent="0.35">
      <c r="A1775">
        <v>280260</v>
      </c>
      <c r="B1775">
        <v>15440</v>
      </c>
      <c r="C1775" t="s">
        <v>1924</v>
      </c>
      <c r="D1775" t="s">
        <v>1896</v>
      </c>
      <c r="E1775" t="s">
        <v>1910</v>
      </c>
      <c r="F1775">
        <v>5554</v>
      </c>
      <c r="G1775">
        <v>1</v>
      </c>
      <c r="H1775" t="s">
        <v>16</v>
      </c>
      <c r="I1775" s="1">
        <v>-1022700</v>
      </c>
      <c r="J1775" s="1">
        <v>-3719800</v>
      </c>
      <c r="K1775">
        <v>242</v>
      </c>
      <c r="L1775">
        <v>242</v>
      </c>
      <c r="M1775" t="s">
        <v>16</v>
      </c>
    </row>
    <row r="1776" spans="1:13" x14ac:dyDescent="0.35">
      <c r="A1776">
        <v>280270</v>
      </c>
      <c r="B1776">
        <v>15458</v>
      </c>
      <c r="C1776" t="s">
        <v>1925</v>
      </c>
      <c r="D1776" t="s">
        <v>1896</v>
      </c>
      <c r="E1776" t="s">
        <v>1897</v>
      </c>
      <c r="F1776">
        <v>8598</v>
      </c>
      <c r="G1776">
        <v>1</v>
      </c>
      <c r="H1776" t="s">
        <v>16</v>
      </c>
      <c r="I1776" s="1">
        <v>-1043600</v>
      </c>
      <c r="J1776" s="1">
        <v>-3654000</v>
      </c>
      <c r="K1776">
        <v>3</v>
      </c>
      <c r="L1776">
        <v>52</v>
      </c>
      <c r="M1776" t="s">
        <v>16</v>
      </c>
    </row>
    <row r="1777" spans="1:13" x14ac:dyDescent="0.35">
      <c r="A1777">
        <v>280280</v>
      </c>
      <c r="B1777">
        <v>15466</v>
      </c>
      <c r="C1777" t="s">
        <v>1926</v>
      </c>
      <c r="D1777" t="s">
        <v>1896</v>
      </c>
      <c r="E1777" t="s">
        <v>1920</v>
      </c>
      <c r="F1777">
        <v>17089</v>
      </c>
      <c r="G1777">
        <v>1</v>
      </c>
      <c r="H1777" t="s">
        <v>16</v>
      </c>
      <c r="I1777" s="1">
        <v>-1151900</v>
      </c>
      <c r="J1777" s="1">
        <v>-3751200</v>
      </c>
      <c r="K1777">
        <v>26</v>
      </c>
      <c r="L1777">
        <v>313</v>
      </c>
      <c r="M1777" t="s">
        <v>16</v>
      </c>
    </row>
    <row r="1778" spans="1:13" x14ac:dyDescent="0.35">
      <c r="A1778">
        <v>280290</v>
      </c>
      <c r="B1778">
        <v>15474</v>
      </c>
      <c r="C1778" t="s">
        <v>1455</v>
      </c>
      <c r="D1778" t="s">
        <v>1896</v>
      </c>
      <c r="E1778" t="s">
        <v>1904</v>
      </c>
      <c r="F1778">
        <v>83161</v>
      </c>
      <c r="G1778">
        <v>2</v>
      </c>
      <c r="H1778" t="s">
        <v>16</v>
      </c>
      <c r="I1778" s="1">
        <v>-1068500</v>
      </c>
      <c r="J1778" s="1">
        <v>-3742500</v>
      </c>
      <c r="K1778">
        <v>188</v>
      </c>
      <c r="L1778">
        <v>336</v>
      </c>
      <c r="M1778" t="s">
        <v>16</v>
      </c>
    </row>
    <row r="1779" spans="1:13" x14ac:dyDescent="0.35">
      <c r="A1779">
        <v>280300</v>
      </c>
      <c r="B1779">
        <v>15482</v>
      </c>
      <c r="C1779" t="s">
        <v>1927</v>
      </c>
      <c r="D1779" t="s">
        <v>1896</v>
      </c>
      <c r="E1779" t="s">
        <v>1903</v>
      </c>
      <c r="F1779">
        <v>37431</v>
      </c>
      <c r="G1779">
        <v>1</v>
      </c>
      <c r="H1779" t="s">
        <v>16</v>
      </c>
      <c r="I1779" s="1">
        <v>-1127400</v>
      </c>
      <c r="J1779" s="1">
        <v>-3779000</v>
      </c>
      <c r="K1779">
        <v>223</v>
      </c>
      <c r="L1779">
        <v>493</v>
      </c>
      <c r="M1779" t="s">
        <v>16</v>
      </c>
    </row>
    <row r="1780" spans="1:13" x14ac:dyDescent="0.35">
      <c r="A1780">
        <v>280310</v>
      </c>
      <c r="B1780">
        <v>15490</v>
      </c>
      <c r="C1780" t="s">
        <v>1928</v>
      </c>
      <c r="D1780" t="s">
        <v>1896</v>
      </c>
      <c r="E1780" t="s">
        <v>1910</v>
      </c>
      <c r="F1780">
        <v>4736</v>
      </c>
      <c r="G1780">
        <v>1</v>
      </c>
      <c r="H1780" t="s">
        <v>16</v>
      </c>
      <c r="I1780" s="1">
        <v>-1012600</v>
      </c>
      <c r="J1780" s="1">
        <v>-3710300</v>
      </c>
      <c r="K1780">
        <v>172</v>
      </c>
      <c r="L1780">
        <v>195</v>
      </c>
      <c r="M1780" t="s">
        <v>16</v>
      </c>
    </row>
    <row r="1781" spans="1:13" x14ac:dyDescent="0.35">
      <c r="A1781">
        <v>280320</v>
      </c>
      <c r="B1781">
        <v>15504</v>
      </c>
      <c r="C1781" t="s">
        <v>1929</v>
      </c>
      <c r="D1781" t="s">
        <v>1896</v>
      </c>
      <c r="E1781" t="s">
        <v>1920</v>
      </c>
      <c r="F1781">
        <v>28131</v>
      </c>
      <c r="G1781">
        <v>1</v>
      </c>
      <c r="H1781" t="s">
        <v>16</v>
      </c>
      <c r="I1781" s="1">
        <v>-1099800</v>
      </c>
      <c r="J1781" s="1">
        <v>-3731100</v>
      </c>
      <c r="K1781">
        <v>9</v>
      </c>
      <c r="L1781">
        <v>757</v>
      </c>
      <c r="M1781" t="s">
        <v>16</v>
      </c>
    </row>
    <row r="1782" spans="1:13" x14ac:dyDescent="0.35">
      <c r="A1782">
        <v>280330</v>
      </c>
      <c r="B1782">
        <v>15512</v>
      </c>
      <c r="C1782" t="s">
        <v>1930</v>
      </c>
      <c r="D1782" t="s">
        <v>1896</v>
      </c>
      <c r="E1782" t="s">
        <v>1930</v>
      </c>
      <c r="F1782">
        <v>15450</v>
      </c>
      <c r="G1782">
        <v>1</v>
      </c>
      <c r="H1782" t="s">
        <v>16</v>
      </c>
      <c r="I1782" s="1">
        <v>-1059300</v>
      </c>
      <c r="J1782" s="1">
        <v>-3694000</v>
      </c>
      <c r="K1782">
        <v>79</v>
      </c>
      <c r="L1782">
        <v>359</v>
      </c>
      <c r="M1782" t="s">
        <v>16</v>
      </c>
    </row>
    <row r="1783" spans="1:13" x14ac:dyDescent="0.35">
      <c r="A1783">
        <v>280340</v>
      </c>
      <c r="B1783">
        <v>15520</v>
      </c>
      <c r="C1783" t="s">
        <v>1931</v>
      </c>
      <c r="D1783" t="s">
        <v>1896</v>
      </c>
      <c r="E1783" t="s">
        <v>1930</v>
      </c>
      <c r="F1783">
        <v>13539</v>
      </c>
      <c r="G1783">
        <v>1</v>
      </c>
      <c r="H1783" t="s">
        <v>16</v>
      </c>
      <c r="I1783" s="1">
        <v>-1034700</v>
      </c>
      <c r="J1783" s="1">
        <v>-3680100</v>
      </c>
      <c r="K1783">
        <v>91</v>
      </c>
      <c r="L1783">
        <v>420</v>
      </c>
      <c r="M1783" t="s">
        <v>16</v>
      </c>
    </row>
    <row r="1784" spans="1:13" x14ac:dyDescent="0.35">
      <c r="A1784">
        <v>280350</v>
      </c>
      <c r="B1784">
        <v>15539</v>
      </c>
      <c r="C1784" t="s">
        <v>1932</v>
      </c>
      <c r="D1784" t="s">
        <v>1896</v>
      </c>
      <c r="E1784" t="s">
        <v>1933</v>
      </c>
      <c r="F1784">
        <v>88980</v>
      </c>
      <c r="G1784">
        <v>2</v>
      </c>
      <c r="H1784" t="s">
        <v>16</v>
      </c>
      <c r="I1784" s="1">
        <v>-1091700</v>
      </c>
      <c r="J1784" s="1">
        <v>-3765000</v>
      </c>
      <c r="K1784">
        <v>183</v>
      </c>
      <c r="L1784">
        <v>969</v>
      </c>
      <c r="M1784" t="s">
        <v>16</v>
      </c>
    </row>
    <row r="1785" spans="1:13" x14ac:dyDescent="0.35">
      <c r="A1785">
        <v>280360</v>
      </c>
      <c r="B1785">
        <v>15547</v>
      </c>
      <c r="C1785" t="s">
        <v>1934</v>
      </c>
      <c r="D1785" t="s">
        <v>1896</v>
      </c>
      <c r="E1785" t="s">
        <v>1914</v>
      </c>
      <c r="F1785">
        <v>23923</v>
      </c>
      <c r="G1785">
        <v>1</v>
      </c>
      <c r="H1785" t="s">
        <v>16</v>
      </c>
      <c r="I1785" s="1">
        <v>-1080600</v>
      </c>
      <c r="J1785" s="1">
        <v>-3717000</v>
      </c>
      <c r="K1785">
        <v>9</v>
      </c>
      <c r="L1785">
        <v>162</v>
      </c>
      <c r="M1785" t="s">
        <v>16</v>
      </c>
    </row>
    <row r="1786" spans="1:13" x14ac:dyDescent="0.35">
      <c r="A1786">
        <v>280370</v>
      </c>
      <c r="B1786">
        <v>15555</v>
      </c>
      <c r="C1786" t="s">
        <v>1935</v>
      </c>
      <c r="D1786" t="s">
        <v>1896</v>
      </c>
      <c r="E1786" t="s">
        <v>1904</v>
      </c>
      <c r="F1786">
        <v>6295</v>
      </c>
      <c r="G1786">
        <v>1</v>
      </c>
      <c r="H1786" t="s">
        <v>16</v>
      </c>
      <c r="I1786" s="1">
        <v>-1066600</v>
      </c>
      <c r="J1786" s="1">
        <v>-3754100</v>
      </c>
      <c r="K1786">
        <v>282</v>
      </c>
      <c r="L1786">
        <v>137</v>
      </c>
      <c r="M1786" t="s">
        <v>16</v>
      </c>
    </row>
    <row r="1787" spans="1:13" x14ac:dyDescent="0.35">
      <c r="A1787">
        <v>280380</v>
      </c>
      <c r="B1787">
        <v>15563</v>
      </c>
      <c r="C1787" t="s">
        <v>1936</v>
      </c>
      <c r="D1787" t="s">
        <v>1896</v>
      </c>
      <c r="E1787" t="s">
        <v>1899</v>
      </c>
      <c r="F1787">
        <v>3658</v>
      </c>
      <c r="G1787">
        <v>1</v>
      </c>
      <c r="H1787" t="s">
        <v>16</v>
      </c>
      <c r="I1787" s="1">
        <v>-1034900</v>
      </c>
      <c r="J1787" s="1">
        <v>-3692400</v>
      </c>
      <c r="K1787">
        <v>120</v>
      </c>
      <c r="L1787">
        <v>62</v>
      </c>
      <c r="M1787" t="s">
        <v>16</v>
      </c>
    </row>
    <row r="1788" spans="1:13" x14ac:dyDescent="0.35">
      <c r="A1788">
        <v>280390</v>
      </c>
      <c r="B1788">
        <v>15571</v>
      </c>
      <c r="C1788" t="s">
        <v>1937</v>
      </c>
      <c r="D1788" t="s">
        <v>1896</v>
      </c>
      <c r="E1788" t="s">
        <v>1904</v>
      </c>
      <c r="F1788">
        <v>11728</v>
      </c>
      <c r="G1788">
        <v>1</v>
      </c>
      <c r="H1788" t="s">
        <v>16</v>
      </c>
      <c r="I1788" s="1">
        <v>-1065800</v>
      </c>
      <c r="J1788" s="1">
        <v>-3730500</v>
      </c>
      <c r="K1788">
        <v>251</v>
      </c>
      <c r="L1788">
        <v>100</v>
      </c>
      <c r="M1788" t="s">
        <v>16</v>
      </c>
    </row>
    <row r="1789" spans="1:13" x14ac:dyDescent="0.35">
      <c r="A1789">
        <v>280400</v>
      </c>
      <c r="B1789">
        <v>15580</v>
      </c>
      <c r="C1789" t="s">
        <v>1938</v>
      </c>
      <c r="D1789" t="s">
        <v>1896</v>
      </c>
      <c r="E1789" t="s">
        <v>1914</v>
      </c>
      <c r="F1789">
        <v>15150</v>
      </c>
      <c r="G1789">
        <v>1</v>
      </c>
      <c r="H1789" t="s">
        <v>16</v>
      </c>
      <c r="I1789" s="1">
        <v>-1073800</v>
      </c>
      <c r="J1789" s="1">
        <v>-3708200</v>
      </c>
      <c r="K1789">
        <v>10</v>
      </c>
      <c r="L1789">
        <v>94</v>
      </c>
      <c r="M1789" t="s">
        <v>16</v>
      </c>
    </row>
    <row r="1790" spans="1:13" x14ac:dyDescent="0.35">
      <c r="A1790">
        <v>280410</v>
      </c>
      <c r="B1790">
        <v>15598</v>
      </c>
      <c r="C1790" t="s">
        <v>1939</v>
      </c>
      <c r="D1790" t="s">
        <v>1896</v>
      </c>
      <c r="E1790" t="s">
        <v>1904</v>
      </c>
      <c r="F1790">
        <v>10910</v>
      </c>
      <c r="G1790">
        <v>1</v>
      </c>
      <c r="H1790" t="s">
        <v>16</v>
      </c>
      <c r="I1790" s="1">
        <v>-1057800</v>
      </c>
      <c r="J1790" s="1">
        <v>-3734300</v>
      </c>
      <c r="K1790">
        <v>212</v>
      </c>
      <c r="L1790">
        <v>95</v>
      </c>
      <c r="M1790" t="s">
        <v>16</v>
      </c>
    </row>
    <row r="1791" spans="1:13" x14ac:dyDescent="0.35">
      <c r="A1791">
        <v>280420</v>
      </c>
      <c r="B1791">
        <v>15601</v>
      </c>
      <c r="C1791" t="s">
        <v>1940</v>
      </c>
      <c r="D1791" t="s">
        <v>1896</v>
      </c>
      <c r="E1791" t="s">
        <v>1910</v>
      </c>
      <c r="F1791">
        <v>13199</v>
      </c>
      <c r="G1791">
        <v>1</v>
      </c>
      <c r="H1791" t="s">
        <v>16</v>
      </c>
      <c r="I1791" s="1">
        <v>-1002700</v>
      </c>
      <c r="J1791" s="1">
        <v>-3756200</v>
      </c>
      <c r="K1791">
        <v>265</v>
      </c>
      <c r="L1791">
        <v>407</v>
      </c>
      <c r="M1791" t="s">
        <v>16</v>
      </c>
    </row>
    <row r="1792" spans="1:13" x14ac:dyDescent="0.35">
      <c r="A1792">
        <v>280430</v>
      </c>
      <c r="B1792">
        <v>15610</v>
      </c>
      <c r="C1792" t="s">
        <v>1941</v>
      </c>
      <c r="D1792" t="s">
        <v>1896</v>
      </c>
      <c r="E1792" t="s">
        <v>1899</v>
      </c>
      <c r="F1792">
        <v>7225</v>
      </c>
      <c r="G1792">
        <v>1</v>
      </c>
      <c r="H1792" t="s">
        <v>16</v>
      </c>
      <c r="I1792" s="1">
        <v>-1042700</v>
      </c>
      <c r="J1792" s="1">
        <v>-3695900</v>
      </c>
      <c r="K1792">
        <v>151</v>
      </c>
      <c r="L1792">
        <v>79</v>
      </c>
      <c r="M1792" t="s">
        <v>16</v>
      </c>
    </row>
    <row r="1793" spans="1:13" x14ac:dyDescent="0.35">
      <c r="A1793">
        <v>280440</v>
      </c>
      <c r="B1793">
        <v>15628</v>
      </c>
      <c r="C1793" t="s">
        <v>1942</v>
      </c>
      <c r="D1793" t="s">
        <v>1896</v>
      </c>
      <c r="E1793" t="s">
        <v>1897</v>
      </c>
      <c r="F1793">
        <v>18909</v>
      </c>
      <c r="G1793">
        <v>1</v>
      </c>
      <c r="H1793" t="s">
        <v>16</v>
      </c>
      <c r="I1793" s="1">
        <v>-1032000</v>
      </c>
      <c r="J1793" s="1">
        <v>-3657900</v>
      </c>
      <c r="K1793">
        <v>30</v>
      </c>
      <c r="L1793">
        <v>259</v>
      </c>
      <c r="M1793" t="s">
        <v>16</v>
      </c>
    </row>
    <row r="1794" spans="1:13" x14ac:dyDescent="0.35">
      <c r="A1794">
        <v>280445</v>
      </c>
      <c r="B1794">
        <v>15369</v>
      </c>
      <c r="C1794" t="s">
        <v>1943</v>
      </c>
      <c r="D1794" t="s">
        <v>1896</v>
      </c>
      <c r="E1794" t="s">
        <v>1912</v>
      </c>
      <c r="F1794">
        <v>8517</v>
      </c>
      <c r="G1794">
        <v>1</v>
      </c>
      <c r="H1794" t="s">
        <v>16</v>
      </c>
      <c r="I1794" s="1">
        <v>-1044300</v>
      </c>
      <c r="J1794" s="1">
        <v>-3748900</v>
      </c>
      <c r="K1794">
        <v>248</v>
      </c>
      <c r="L1794">
        <v>340</v>
      </c>
      <c r="M1794" t="s">
        <v>16</v>
      </c>
    </row>
    <row r="1795" spans="1:13" x14ac:dyDescent="0.35">
      <c r="A1795">
        <v>280450</v>
      </c>
      <c r="B1795">
        <v>15636</v>
      </c>
      <c r="C1795" t="s">
        <v>1944</v>
      </c>
      <c r="D1795" t="s">
        <v>1896</v>
      </c>
      <c r="E1795" t="s">
        <v>1910</v>
      </c>
      <c r="F1795">
        <v>29546</v>
      </c>
      <c r="G1795">
        <v>1</v>
      </c>
      <c r="H1795" t="s">
        <v>16</v>
      </c>
      <c r="I1795" s="1">
        <v>-1021800</v>
      </c>
      <c r="J1795" s="1">
        <v>-3742000</v>
      </c>
      <c r="K1795">
        <v>291</v>
      </c>
      <c r="L1795">
        <v>756</v>
      </c>
      <c r="M1795" t="s">
        <v>16</v>
      </c>
    </row>
    <row r="1796" spans="1:13" x14ac:dyDescent="0.35">
      <c r="A1796">
        <v>280460</v>
      </c>
      <c r="B1796">
        <v>15644</v>
      </c>
      <c r="C1796" t="s">
        <v>1899</v>
      </c>
      <c r="D1796" t="s">
        <v>1896</v>
      </c>
      <c r="E1796" t="s">
        <v>1899</v>
      </c>
      <c r="F1796">
        <v>23800</v>
      </c>
      <c r="G1796">
        <v>1</v>
      </c>
      <c r="H1796" t="s">
        <v>16</v>
      </c>
      <c r="I1796" s="1">
        <v>-1049200</v>
      </c>
      <c r="J1796" s="1">
        <v>-3719300</v>
      </c>
      <c r="K1796">
        <v>204</v>
      </c>
      <c r="L1796">
        <v>471</v>
      </c>
      <c r="M1796" t="s">
        <v>16</v>
      </c>
    </row>
    <row r="1797" spans="1:13" x14ac:dyDescent="0.35">
      <c r="A1797">
        <v>280470</v>
      </c>
      <c r="B1797">
        <v>15652</v>
      </c>
      <c r="C1797" t="s">
        <v>1945</v>
      </c>
      <c r="D1797" t="s">
        <v>1896</v>
      </c>
      <c r="E1797" t="s">
        <v>1897</v>
      </c>
      <c r="F1797">
        <v>6280</v>
      </c>
      <c r="G1797">
        <v>1</v>
      </c>
      <c r="H1797" t="s">
        <v>16</v>
      </c>
      <c r="I1797" s="1">
        <v>-1007900</v>
      </c>
      <c r="J1797" s="1">
        <v>-3705800</v>
      </c>
      <c r="K1797">
        <v>222</v>
      </c>
      <c r="L1797">
        <v>80</v>
      </c>
      <c r="M1797" t="s">
        <v>16</v>
      </c>
    </row>
    <row r="1798" spans="1:13" x14ac:dyDescent="0.35">
      <c r="A1798">
        <v>280480</v>
      </c>
      <c r="B1798">
        <v>15660</v>
      </c>
      <c r="C1798" t="s">
        <v>1946</v>
      </c>
      <c r="D1798" t="s">
        <v>1896</v>
      </c>
      <c r="E1798" t="s">
        <v>1900</v>
      </c>
      <c r="F1798">
        <v>148546</v>
      </c>
      <c r="G1798">
        <v>4</v>
      </c>
      <c r="H1798" t="s">
        <v>1901</v>
      </c>
      <c r="I1798" s="1">
        <v>-1085500</v>
      </c>
      <c r="J1798" s="1">
        <v>-3712600</v>
      </c>
      <c r="K1798">
        <v>36</v>
      </c>
      <c r="L1798">
        <v>157</v>
      </c>
      <c r="M1798" t="s">
        <v>16</v>
      </c>
    </row>
    <row r="1799" spans="1:13" x14ac:dyDescent="0.35">
      <c r="A1799">
        <v>280490</v>
      </c>
      <c r="B1799">
        <v>15679</v>
      </c>
      <c r="C1799" t="s">
        <v>1156</v>
      </c>
      <c r="D1799" t="s">
        <v>1896</v>
      </c>
      <c r="E1799" t="s">
        <v>1930</v>
      </c>
      <c r="F1799">
        <v>12377</v>
      </c>
      <c r="G1799">
        <v>1</v>
      </c>
      <c r="H1799" t="s">
        <v>16</v>
      </c>
      <c r="I1799" s="1">
        <v>-1045300</v>
      </c>
      <c r="J1799" s="1">
        <v>-3665100</v>
      </c>
      <c r="K1799">
        <v>87</v>
      </c>
      <c r="L1799">
        <v>363</v>
      </c>
      <c r="M1799" t="s">
        <v>16</v>
      </c>
    </row>
    <row r="1800" spans="1:13" x14ac:dyDescent="0.35">
      <c r="A1800">
        <v>280500</v>
      </c>
      <c r="B1800">
        <v>15687</v>
      </c>
      <c r="C1800" t="s">
        <v>1947</v>
      </c>
      <c r="D1800" t="s">
        <v>1896</v>
      </c>
      <c r="E1800" t="s">
        <v>1912</v>
      </c>
      <c r="F1800">
        <v>2774</v>
      </c>
      <c r="G1800">
        <v>1</v>
      </c>
      <c r="H1800" t="s">
        <v>16</v>
      </c>
      <c r="I1800" s="1">
        <v>-1061700</v>
      </c>
      <c r="J1800" s="1">
        <v>-3768700</v>
      </c>
      <c r="K1800">
        <v>192</v>
      </c>
      <c r="L1800">
        <v>81</v>
      </c>
      <c r="M1800" t="s">
        <v>16</v>
      </c>
    </row>
    <row r="1801" spans="1:13" x14ac:dyDescent="0.35">
      <c r="A1801">
        <v>280510</v>
      </c>
      <c r="B1801">
        <v>15695</v>
      </c>
      <c r="C1801" t="s">
        <v>1948</v>
      </c>
      <c r="D1801" t="s">
        <v>1896</v>
      </c>
      <c r="E1801" t="s">
        <v>1903</v>
      </c>
      <c r="F1801">
        <v>8389</v>
      </c>
      <c r="G1801">
        <v>1</v>
      </c>
      <c r="H1801" t="s">
        <v>16</v>
      </c>
      <c r="I1801" s="1">
        <v>-1119200</v>
      </c>
      <c r="J1801" s="1">
        <v>-3767400</v>
      </c>
      <c r="K1801">
        <v>165</v>
      </c>
      <c r="L1801">
        <v>33</v>
      </c>
      <c r="M1801" t="s">
        <v>16</v>
      </c>
    </row>
    <row r="1802" spans="1:13" x14ac:dyDescent="0.35">
      <c r="A1802">
        <v>280520</v>
      </c>
      <c r="B1802">
        <v>15709</v>
      </c>
      <c r="C1802" t="s">
        <v>1949</v>
      </c>
      <c r="D1802" t="s">
        <v>1896</v>
      </c>
      <c r="E1802" t="s">
        <v>1912</v>
      </c>
      <c r="F1802">
        <v>5590</v>
      </c>
      <c r="G1802">
        <v>1</v>
      </c>
      <c r="H1802" t="s">
        <v>16</v>
      </c>
      <c r="I1802" s="1">
        <v>-1056700</v>
      </c>
      <c r="J1802" s="1">
        <v>-3772300</v>
      </c>
      <c r="K1802">
        <v>258</v>
      </c>
      <c r="L1802">
        <v>155</v>
      </c>
      <c r="M1802" t="s">
        <v>16</v>
      </c>
    </row>
    <row r="1803" spans="1:13" x14ac:dyDescent="0.35">
      <c r="A1803">
        <v>280530</v>
      </c>
      <c r="B1803">
        <v>15717</v>
      </c>
      <c r="C1803" t="s">
        <v>1950</v>
      </c>
      <c r="D1803" t="s">
        <v>1896</v>
      </c>
      <c r="E1803" t="s">
        <v>1930</v>
      </c>
      <c r="F1803">
        <v>8227</v>
      </c>
      <c r="G1803">
        <v>1</v>
      </c>
      <c r="H1803" t="s">
        <v>16</v>
      </c>
      <c r="I1803" s="1">
        <v>-1073800</v>
      </c>
      <c r="J1803" s="1">
        <v>-3685600</v>
      </c>
      <c r="K1803">
        <v>4</v>
      </c>
      <c r="L1803">
        <v>218</v>
      </c>
      <c r="M1803" t="s">
        <v>16</v>
      </c>
    </row>
    <row r="1804" spans="1:13" x14ac:dyDescent="0.35">
      <c r="A1804">
        <v>280540</v>
      </c>
      <c r="B1804">
        <v>15725</v>
      </c>
      <c r="C1804" t="s">
        <v>1951</v>
      </c>
      <c r="D1804" t="s">
        <v>1896</v>
      </c>
      <c r="E1804" t="s">
        <v>1910</v>
      </c>
      <c r="F1804">
        <v>28969</v>
      </c>
      <c r="G1804">
        <v>1</v>
      </c>
      <c r="H1804" t="s">
        <v>16</v>
      </c>
      <c r="I1804" s="1">
        <v>-980600</v>
      </c>
      <c r="J1804" s="1">
        <v>-3768500</v>
      </c>
      <c r="K1804">
        <v>188</v>
      </c>
      <c r="L1804">
        <v>1212</v>
      </c>
      <c r="M1804" t="s">
        <v>16</v>
      </c>
    </row>
    <row r="1805" spans="1:13" x14ac:dyDescent="0.35">
      <c r="A1805">
        <v>280550</v>
      </c>
      <c r="B1805">
        <v>15733</v>
      </c>
      <c r="C1805" t="s">
        <v>1952</v>
      </c>
      <c r="D1805" t="s">
        <v>1896</v>
      </c>
      <c r="E1805" t="s">
        <v>1953</v>
      </c>
      <c r="F1805">
        <v>21083</v>
      </c>
      <c r="G1805">
        <v>1</v>
      </c>
      <c r="H1805" t="s">
        <v>16</v>
      </c>
      <c r="I1805" s="1">
        <v>-1070800</v>
      </c>
      <c r="J1805" s="1">
        <v>-3818300</v>
      </c>
      <c r="K1805">
        <v>268</v>
      </c>
      <c r="L1805">
        <v>430</v>
      </c>
      <c r="M1805" t="s">
        <v>16</v>
      </c>
    </row>
    <row r="1806" spans="1:13" x14ac:dyDescent="0.35">
      <c r="A1806">
        <v>280560</v>
      </c>
      <c r="B1806">
        <v>15741</v>
      </c>
      <c r="C1806" t="s">
        <v>1954</v>
      </c>
      <c r="D1806" t="s">
        <v>1896</v>
      </c>
      <c r="E1806" t="s">
        <v>1910</v>
      </c>
      <c r="F1806">
        <v>26520</v>
      </c>
      <c r="G1806">
        <v>1</v>
      </c>
      <c r="H1806" t="s">
        <v>16</v>
      </c>
      <c r="I1806" s="1">
        <v>-991700</v>
      </c>
      <c r="J1806" s="1">
        <v>-3727800</v>
      </c>
      <c r="K1806">
        <v>38</v>
      </c>
      <c r="L1806">
        <v>896</v>
      </c>
      <c r="M1806" t="s">
        <v>16</v>
      </c>
    </row>
    <row r="1807" spans="1:13" x14ac:dyDescent="0.35">
      <c r="A1807">
        <v>280570</v>
      </c>
      <c r="B1807">
        <v>15750</v>
      </c>
      <c r="C1807" t="s">
        <v>1955</v>
      </c>
      <c r="D1807" t="s">
        <v>1896</v>
      </c>
      <c r="E1807" t="s">
        <v>1897</v>
      </c>
      <c r="F1807">
        <v>27629</v>
      </c>
      <c r="G1807">
        <v>1</v>
      </c>
      <c r="H1807" t="s">
        <v>16</v>
      </c>
      <c r="I1807" s="1">
        <v>-1021100</v>
      </c>
      <c r="J1807" s="1">
        <v>-3684000</v>
      </c>
      <c r="K1807">
        <v>14</v>
      </c>
      <c r="L1807">
        <v>95</v>
      </c>
      <c r="M1807" t="s">
        <v>16</v>
      </c>
    </row>
    <row r="1808" spans="1:13" x14ac:dyDescent="0.35">
      <c r="A1808">
        <v>280580</v>
      </c>
      <c r="B1808">
        <v>15768</v>
      </c>
      <c r="C1808" t="s">
        <v>1956</v>
      </c>
      <c r="D1808" t="s">
        <v>1896</v>
      </c>
      <c r="E1808" t="s">
        <v>1933</v>
      </c>
      <c r="F1808">
        <v>19019</v>
      </c>
      <c r="G1808">
        <v>1</v>
      </c>
      <c r="H1808" t="s">
        <v>16</v>
      </c>
      <c r="I1808" s="1">
        <v>-1106900</v>
      </c>
      <c r="J1808" s="1">
        <v>-3772500</v>
      </c>
      <c r="K1808">
        <v>185</v>
      </c>
      <c r="L1808">
        <v>528</v>
      </c>
      <c r="M1808" t="s">
        <v>16</v>
      </c>
    </row>
    <row r="1809" spans="1:13" x14ac:dyDescent="0.35">
      <c r="A1809">
        <v>280590</v>
      </c>
      <c r="B1809">
        <v>15776</v>
      </c>
      <c r="C1809" t="s">
        <v>1344</v>
      </c>
      <c r="D1809" t="s">
        <v>1896</v>
      </c>
      <c r="E1809" t="s">
        <v>1914</v>
      </c>
      <c r="F1809">
        <v>9087</v>
      </c>
      <c r="G1809">
        <v>1</v>
      </c>
      <c r="H1809" t="s">
        <v>16</v>
      </c>
      <c r="I1809" s="1">
        <v>-1072800</v>
      </c>
      <c r="J1809" s="1">
        <v>-3718700</v>
      </c>
      <c r="K1809">
        <v>37</v>
      </c>
      <c r="L1809">
        <v>78</v>
      </c>
      <c r="M1809" t="s">
        <v>16</v>
      </c>
    </row>
    <row r="1810" spans="1:13" x14ac:dyDescent="0.35">
      <c r="A1810">
        <v>280600</v>
      </c>
      <c r="B1810">
        <v>15784</v>
      </c>
      <c r="C1810" t="s">
        <v>1957</v>
      </c>
      <c r="D1810" t="s">
        <v>1896</v>
      </c>
      <c r="E1810" t="s">
        <v>1912</v>
      </c>
      <c r="F1810">
        <v>15676</v>
      </c>
      <c r="G1810">
        <v>1</v>
      </c>
      <c r="H1810" t="s">
        <v>16</v>
      </c>
      <c r="I1810" s="1">
        <v>-1053900</v>
      </c>
      <c r="J1810" s="1">
        <v>-3741700</v>
      </c>
      <c r="K1810">
        <v>293</v>
      </c>
      <c r="L1810">
        <v>261</v>
      </c>
      <c r="M1810" t="s">
        <v>16</v>
      </c>
    </row>
    <row r="1811" spans="1:13" x14ac:dyDescent="0.35">
      <c r="A1811">
        <v>280610</v>
      </c>
      <c r="B1811">
        <v>15792</v>
      </c>
      <c r="C1811" t="s">
        <v>1958</v>
      </c>
      <c r="D1811" t="s">
        <v>1896</v>
      </c>
      <c r="E1811" t="s">
        <v>1914</v>
      </c>
      <c r="F1811">
        <v>8518</v>
      </c>
      <c r="G1811">
        <v>1</v>
      </c>
      <c r="H1811" t="s">
        <v>16</v>
      </c>
      <c r="I1811" s="1">
        <v>-1069600</v>
      </c>
      <c r="J1811" s="1">
        <v>-3703100</v>
      </c>
      <c r="K1811">
        <v>22</v>
      </c>
      <c r="L1811">
        <v>105</v>
      </c>
      <c r="M1811" t="s">
        <v>16</v>
      </c>
    </row>
    <row r="1812" spans="1:13" x14ac:dyDescent="0.35">
      <c r="A1812">
        <v>280620</v>
      </c>
      <c r="B1812">
        <v>15806</v>
      </c>
      <c r="C1812" t="s">
        <v>248</v>
      </c>
      <c r="D1812" t="s">
        <v>1896</v>
      </c>
      <c r="E1812" t="s">
        <v>1903</v>
      </c>
      <c r="F1812">
        <v>18563</v>
      </c>
      <c r="G1812">
        <v>1</v>
      </c>
      <c r="H1812" t="s">
        <v>16</v>
      </c>
      <c r="I1812" s="1">
        <v>-1103200</v>
      </c>
      <c r="J1812" s="1">
        <v>-3747500</v>
      </c>
      <c r="K1812">
        <v>100</v>
      </c>
      <c r="L1812">
        <v>248</v>
      </c>
      <c r="M1812" t="s">
        <v>16</v>
      </c>
    </row>
    <row r="1813" spans="1:13" x14ac:dyDescent="0.35">
      <c r="A1813">
        <v>280630</v>
      </c>
      <c r="B1813">
        <v>15814</v>
      </c>
      <c r="C1813" t="s">
        <v>1959</v>
      </c>
      <c r="D1813" t="s">
        <v>1896</v>
      </c>
      <c r="E1813" t="s">
        <v>1920</v>
      </c>
      <c r="F1813">
        <v>13041</v>
      </c>
      <c r="G1813">
        <v>1</v>
      </c>
      <c r="H1813" t="s">
        <v>16</v>
      </c>
      <c r="I1813" s="1">
        <v>-1135100</v>
      </c>
      <c r="J1813" s="1">
        <v>-3744800</v>
      </c>
      <c r="K1813">
        <v>37</v>
      </c>
      <c r="L1813">
        <v>329</v>
      </c>
      <c r="M1813" t="s">
        <v>16</v>
      </c>
    </row>
    <row r="1814" spans="1:13" x14ac:dyDescent="0.35">
      <c r="A1814">
        <v>280640</v>
      </c>
      <c r="B1814">
        <v>50520</v>
      </c>
      <c r="C1814" t="s">
        <v>1960</v>
      </c>
      <c r="D1814" t="s">
        <v>1896</v>
      </c>
      <c r="E1814" t="s">
        <v>1897</v>
      </c>
      <c r="F1814">
        <v>6596</v>
      </c>
      <c r="G1814">
        <v>1</v>
      </c>
      <c r="H1814" t="s">
        <v>16</v>
      </c>
      <c r="I1814" s="1">
        <v>-1029100</v>
      </c>
      <c r="J1814" s="1">
        <v>-3660800</v>
      </c>
      <c r="K1814">
        <v>0</v>
      </c>
      <c r="L1814">
        <v>46</v>
      </c>
      <c r="M1814" t="s">
        <v>16</v>
      </c>
    </row>
    <row r="1815" spans="1:13" x14ac:dyDescent="0.35">
      <c r="A1815">
        <v>280650</v>
      </c>
      <c r="B1815">
        <v>15822</v>
      </c>
      <c r="C1815" t="s">
        <v>1961</v>
      </c>
      <c r="D1815" t="s">
        <v>1896</v>
      </c>
      <c r="E1815" t="s">
        <v>1911</v>
      </c>
      <c r="F1815">
        <v>3844</v>
      </c>
      <c r="G1815">
        <v>1</v>
      </c>
      <c r="H1815" t="s">
        <v>16</v>
      </c>
      <c r="I1815" s="1">
        <v>-1064600</v>
      </c>
      <c r="J1815" s="1">
        <v>-3719400</v>
      </c>
      <c r="K1815">
        <v>39</v>
      </c>
      <c r="L1815">
        <v>67</v>
      </c>
      <c r="M1815" t="s">
        <v>16</v>
      </c>
    </row>
    <row r="1816" spans="1:13" x14ac:dyDescent="0.35">
      <c r="A1816">
        <v>280660</v>
      </c>
      <c r="B1816">
        <v>15830</v>
      </c>
      <c r="C1816" t="s">
        <v>1962</v>
      </c>
      <c r="D1816" t="s">
        <v>1896</v>
      </c>
      <c r="E1816" t="s">
        <v>1914</v>
      </c>
      <c r="F1816">
        <v>11652</v>
      </c>
      <c r="G1816">
        <v>1</v>
      </c>
      <c r="H1816" t="s">
        <v>16</v>
      </c>
      <c r="I1816" s="1">
        <v>-1078900</v>
      </c>
      <c r="J1816" s="1">
        <v>-3705400</v>
      </c>
      <c r="K1816">
        <v>55</v>
      </c>
      <c r="L1816">
        <v>234</v>
      </c>
      <c r="M1816" t="s">
        <v>16</v>
      </c>
    </row>
    <row r="1817" spans="1:13" x14ac:dyDescent="0.35">
      <c r="A1817">
        <v>280670</v>
      </c>
      <c r="B1817">
        <v>15849</v>
      </c>
      <c r="C1817" t="s">
        <v>1963</v>
      </c>
      <c r="D1817" t="s">
        <v>1896</v>
      </c>
      <c r="E1817" t="s">
        <v>1900</v>
      </c>
      <c r="F1817">
        <v>71931</v>
      </c>
      <c r="G1817">
        <v>4</v>
      </c>
      <c r="H1817" t="s">
        <v>1901</v>
      </c>
      <c r="I1817" s="1">
        <v>-1101500</v>
      </c>
      <c r="J1817" s="1">
        <v>-3720600</v>
      </c>
      <c r="K1817">
        <v>47</v>
      </c>
      <c r="L1817">
        <v>437</v>
      </c>
      <c r="M1817" t="s">
        <v>16</v>
      </c>
    </row>
    <row r="1818" spans="1:13" x14ac:dyDescent="0.35">
      <c r="A1818">
        <v>280680</v>
      </c>
      <c r="B1818">
        <v>15857</v>
      </c>
      <c r="C1818" t="s">
        <v>1964</v>
      </c>
      <c r="D1818" t="s">
        <v>1896</v>
      </c>
      <c r="E1818" t="s">
        <v>1904</v>
      </c>
      <c r="F1818">
        <v>10128</v>
      </c>
      <c r="G1818">
        <v>1</v>
      </c>
      <c r="H1818" t="s">
        <v>16</v>
      </c>
      <c r="I1818" s="1">
        <v>-1079100</v>
      </c>
      <c r="J1818" s="1">
        <v>-3756800</v>
      </c>
      <c r="K1818">
        <v>200</v>
      </c>
      <c r="L1818">
        <v>102</v>
      </c>
      <c r="M1818" t="s">
        <v>16</v>
      </c>
    </row>
    <row r="1819" spans="1:13" x14ac:dyDescent="0.35">
      <c r="A1819">
        <v>280690</v>
      </c>
      <c r="B1819">
        <v>15865</v>
      </c>
      <c r="C1819" t="s">
        <v>1569</v>
      </c>
      <c r="D1819" t="s">
        <v>1896</v>
      </c>
      <c r="E1819" t="s">
        <v>1930</v>
      </c>
      <c r="F1819">
        <v>2874</v>
      </c>
      <c r="G1819">
        <v>1</v>
      </c>
      <c r="H1819" t="s">
        <v>16</v>
      </c>
      <c r="I1819" s="1">
        <v>-1033300</v>
      </c>
      <c r="J1819" s="1">
        <v>-3688800</v>
      </c>
      <c r="K1819">
        <v>121</v>
      </c>
      <c r="L1819">
        <v>82</v>
      </c>
      <c r="M1819" t="s">
        <v>16</v>
      </c>
    </row>
    <row r="1820" spans="1:13" x14ac:dyDescent="0.35">
      <c r="A1820">
        <v>280700</v>
      </c>
      <c r="B1820">
        <v>15873</v>
      </c>
      <c r="C1820" t="s">
        <v>1965</v>
      </c>
      <c r="D1820" t="s">
        <v>1896</v>
      </c>
      <c r="E1820" t="s">
        <v>1899</v>
      </c>
      <c r="F1820">
        <v>3670</v>
      </c>
      <c r="G1820">
        <v>1</v>
      </c>
      <c r="H1820" t="s">
        <v>16</v>
      </c>
      <c r="I1820" s="1">
        <v>-1038800</v>
      </c>
      <c r="J1820" s="1">
        <v>-3738100</v>
      </c>
      <c r="K1820">
        <v>197</v>
      </c>
      <c r="L1820">
        <v>144</v>
      </c>
      <c r="M1820" t="s">
        <v>16</v>
      </c>
    </row>
    <row r="1821" spans="1:13" x14ac:dyDescent="0.35">
      <c r="A1821">
        <v>280710</v>
      </c>
      <c r="B1821">
        <v>15881</v>
      </c>
      <c r="C1821" t="s">
        <v>1966</v>
      </c>
      <c r="D1821" t="s">
        <v>1896</v>
      </c>
      <c r="E1821" t="s">
        <v>1953</v>
      </c>
      <c r="F1821">
        <v>37145</v>
      </c>
      <c r="G1821">
        <v>1</v>
      </c>
      <c r="H1821" t="s">
        <v>16</v>
      </c>
      <c r="I1821" s="1">
        <v>-1073800</v>
      </c>
      <c r="J1821" s="1">
        <v>-3781100</v>
      </c>
      <c r="K1821">
        <v>263</v>
      </c>
      <c r="L1821">
        <v>559</v>
      </c>
      <c r="M1821" t="s">
        <v>16</v>
      </c>
    </row>
    <row r="1822" spans="1:13" x14ac:dyDescent="0.35">
      <c r="A1822">
        <v>280720</v>
      </c>
      <c r="B1822">
        <v>15890</v>
      </c>
      <c r="C1822" t="s">
        <v>1967</v>
      </c>
      <c r="D1822" t="s">
        <v>1896</v>
      </c>
      <c r="E1822" t="s">
        <v>1911</v>
      </c>
      <c r="F1822">
        <v>7618</v>
      </c>
      <c r="G1822">
        <v>1</v>
      </c>
      <c r="H1822" t="s">
        <v>16</v>
      </c>
      <c r="I1822" s="1">
        <v>-1060400</v>
      </c>
      <c r="J1822" s="1">
        <v>-3711300</v>
      </c>
      <c r="K1822">
        <v>38</v>
      </c>
      <c r="L1822">
        <v>168</v>
      </c>
      <c r="M1822" t="s">
        <v>16</v>
      </c>
    </row>
    <row r="1823" spans="1:13" x14ac:dyDescent="0.35">
      <c r="A1823">
        <v>280730</v>
      </c>
      <c r="B1823">
        <v>15903</v>
      </c>
      <c r="C1823" t="s">
        <v>1968</v>
      </c>
      <c r="D1823" t="s">
        <v>1896</v>
      </c>
      <c r="E1823" t="s">
        <v>1897</v>
      </c>
      <c r="F1823">
        <v>2852</v>
      </c>
      <c r="G1823">
        <v>1</v>
      </c>
      <c r="H1823" t="s">
        <v>16</v>
      </c>
      <c r="I1823" s="1">
        <v>-1020800</v>
      </c>
      <c r="J1823" s="1">
        <v>-3688400</v>
      </c>
      <c r="K1823">
        <v>23</v>
      </c>
      <c r="L1823">
        <v>49</v>
      </c>
      <c r="M1823" t="s">
        <v>16</v>
      </c>
    </row>
    <row r="1824" spans="1:13" x14ac:dyDescent="0.35">
      <c r="A1824">
        <v>280740</v>
      </c>
      <c r="B1824">
        <v>15911</v>
      </c>
      <c r="C1824" t="s">
        <v>1953</v>
      </c>
      <c r="D1824" t="s">
        <v>1896</v>
      </c>
      <c r="E1824" t="s">
        <v>1953</v>
      </c>
      <c r="F1824">
        <v>47265</v>
      </c>
      <c r="G1824">
        <v>1</v>
      </c>
      <c r="H1824" t="s">
        <v>16</v>
      </c>
      <c r="I1824" s="1">
        <v>-1118400</v>
      </c>
      <c r="J1824" s="1">
        <v>-3799800</v>
      </c>
      <c r="K1824">
        <v>158</v>
      </c>
      <c r="L1824">
        <v>1032</v>
      </c>
      <c r="M1824" t="s">
        <v>16</v>
      </c>
    </row>
    <row r="1825" spans="1:13" x14ac:dyDescent="0.35">
      <c r="A1825">
        <v>280750</v>
      </c>
      <c r="B1825">
        <v>15920</v>
      </c>
      <c r="C1825" t="s">
        <v>1969</v>
      </c>
      <c r="D1825" t="s">
        <v>1896</v>
      </c>
      <c r="E1825" t="s">
        <v>1903</v>
      </c>
      <c r="F1825">
        <v>12877</v>
      </c>
      <c r="G1825">
        <v>1</v>
      </c>
      <c r="H1825" t="s">
        <v>16</v>
      </c>
      <c r="I1825" s="1">
        <v>-1137300</v>
      </c>
      <c r="J1825" s="1">
        <v>-3784100</v>
      </c>
      <c r="K1825">
        <v>170</v>
      </c>
      <c r="L1825">
        <v>287</v>
      </c>
      <c r="M1825" t="s">
        <v>16</v>
      </c>
    </row>
    <row r="1826" spans="1:13" x14ac:dyDescent="0.35">
      <c r="A1826">
        <v>280760</v>
      </c>
      <c r="B1826">
        <v>15938</v>
      </c>
      <c r="C1826" t="s">
        <v>1970</v>
      </c>
      <c r="D1826" t="s">
        <v>1896</v>
      </c>
      <c r="E1826" t="s">
        <v>1903</v>
      </c>
      <c r="F1826">
        <v>20562</v>
      </c>
      <c r="G1826">
        <v>1</v>
      </c>
      <c r="H1826" t="s">
        <v>16</v>
      </c>
      <c r="I1826" s="1">
        <v>-1138300</v>
      </c>
      <c r="J1826" s="1">
        <v>-3765800</v>
      </c>
      <c r="K1826">
        <v>130</v>
      </c>
      <c r="L1826">
        <v>121</v>
      </c>
      <c r="M1826" t="s">
        <v>16</v>
      </c>
    </row>
    <row r="1827" spans="1:13" x14ac:dyDescent="0.35">
      <c r="A1827">
        <v>290010</v>
      </c>
      <c r="B1827">
        <v>16012</v>
      </c>
      <c r="C1827" t="s">
        <v>1971</v>
      </c>
      <c r="D1827" t="s">
        <v>1972</v>
      </c>
      <c r="E1827" t="s">
        <v>1973</v>
      </c>
      <c r="F1827">
        <v>8638</v>
      </c>
      <c r="G1827">
        <v>1</v>
      </c>
      <c r="H1827" t="s">
        <v>16</v>
      </c>
      <c r="I1827" s="1">
        <v>-1325000</v>
      </c>
      <c r="J1827" s="1">
        <v>-4166400</v>
      </c>
      <c r="K1827">
        <v>641</v>
      </c>
      <c r="L1827">
        <v>578</v>
      </c>
      <c r="M1827" t="s">
        <v>16</v>
      </c>
    </row>
    <row r="1828" spans="1:13" x14ac:dyDescent="0.35">
      <c r="A1828">
        <v>290020</v>
      </c>
      <c r="B1828">
        <v>16020</v>
      </c>
      <c r="C1828" t="s">
        <v>1974</v>
      </c>
      <c r="D1828" t="s">
        <v>1972</v>
      </c>
      <c r="E1828" t="s">
        <v>1975</v>
      </c>
      <c r="F1828">
        <v>17342</v>
      </c>
      <c r="G1828">
        <v>1</v>
      </c>
      <c r="H1828" t="s">
        <v>16</v>
      </c>
      <c r="I1828" s="1">
        <v>-872100</v>
      </c>
      <c r="J1828" s="1">
        <v>-3911500</v>
      </c>
      <c r="K1828">
        <v>318</v>
      </c>
      <c r="L1828">
        <v>1693</v>
      </c>
      <c r="M1828" t="s">
        <v>16</v>
      </c>
    </row>
    <row r="1829" spans="1:13" x14ac:dyDescent="0.35">
      <c r="A1829">
        <v>290030</v>
      </c>
      <c r="B1829">
        <v>16039</v>
      </c>
      <c r="C1829" t="s">
        <v>1976</v>
      </c>
      <c r="D1829" t="s">
        <v>1972</v>
      </c>
      <c r="E1829" t="s">
        <v>1977</v>
      </c>
      <c r="F1829">
        <v>14628</v>
      </c>
      <c r="G1829">
        <v>1</v>
      </c>
      <c r="H1829" t="s">
        <v>16</v>
      </c>
      <c r="I1829" s="1">
        <v>-1166200</v>
      </c>
      <c r="J1829" s="1">
        <v>-3801700</v>
      </c>
      <c r="K1829">
        <v>162</v>
      </c>
      <c r="L1829">
        <v>267</v>
      </c>
      <c r="M1829" t="s">
        <v>16</v>
      </c>
    </row>
    <row r="1830" spans="1:13" x14ac:dyDescent="0.35">
      <c r="A1830">
        <v>290035</v>
      </c>
      <c r="B1830">
        <v>47090</v>
      </c>
      <c r="C1830" t="s">
        <v>1978</v>
      </c>
      <c r="D1830" t="s">
        <v>1972</v>
      </c>
      <c r="E1830" t="s">
        <v>1979</v>
      </c>
      <c r="F1830">
        <v>14824</v>
      </c>
      <c r="G1830">
        <v>1</v>
      </c>
      <c r="H1830" t="s">
        <v>16</v>
      </c>
      <c r="I1830" s="1">
        <v>-1053300</v>
      </c>
      <c r="J1830" s="1">
        <v>-3810000</v>
      </c>
      <c r="K1830">
        <v>300</v>
      </c>
      <c r="L1830">
        <v>619</v>
      </c>
      <c r="M1830" t="s">
        <v>16</v>
      </c>
    </row>
    <row r="1831" spans="1:13" x14ac:dyDescent="0.35">
      <c r="A1831">
        <v>290040</v>
      </c>
      <c r="B1831">
        <v>16047</v>
      </c>
      <c r="C1831" t="s">
        <v>1980</v>
      </c>
      <c r="D1831" t="s">
        <v>1972</v>
      </c>
      <c r="E1831" t="s">
        <v>1981</v>
      </c>
      <c r="F1831">
        <v>14810</v>
      </c>
      <c r="G1831">
        <v>1</v>
      </c>
      <c r="H1831" t="s">
        <v>16</v>
      </c>
      <c r="I1831" s="1">
        <v>-1186700</v>
      </c>
      <c r="J1831" s="1">
        <v>-3876700</v>
      </c>
      <c r="K1831">
        <v>312</v>
      </c>
      <c r="L1831">
        <v>643</v>
      </c>
      <c r="M1831" t="s">
        <v>16</v>
      </c>
    </row>
    <row r="1832" spans="1:13" x14ac:dyDescent="0.35">
      <c r="A1832">
        <v>290050</v>
      </c>
      <c r="B1832">
        <v>16055</v>
      </c>
      <c r="C1832" t="s">
        <v>1982</v>
      </c>
      <c r="D1832" t="s">
        <v>1972</v>
      </c>
      <c r="E1832" t="s">
        <v>1983</v>
      </c>
      <c r="F1832">
        <v>10609</v>
      </c>
      <c r="G1832">
        <v>1</v>
      </c>
      <c r="H1832" t="s">
        <v>16</v>
      </c>
      <c r="I1832" s="1">
        <v>-1341800</v>
      </c>
      <c r="J1832" s="1">
        <v>-4214000</v>
      </c>
      <c r="K1832">
        <v>688</v>
      </c>
      <c r="L1832">
        <v>701</v>
      </c>
      <c r="M1832" t="s">
        <v>16</v>
      </c>
    </row>
    <row r="1833" spans="1:13" x14ac:dyDescent="0.35">
      <c r="A1833">
        <v>290060</v>
      </c>
      <c r="B1833">
        <v>16063</v>
      </c>
      <c r="C1833" t="s">
        <v>1984</v>
      </c>
      <c r="D1833" t="s">
        <v>1972</v>
      </c>
      <c r="E1833" t="s">
        <v>1985</v>
      </c>
      <c r="F1833">
        <v>5212</v>
      </c>
      <c r="G1833">
        <v>1</v>
      </c>
      <c r="H1833" t="s">
        <v>16</v>
      </c>
      <c r="I1833" s="1">
        <v>-1412900</v>
      </c>
      <c r="J1833" s="1">
        <v>-3988800</v>
      </c>
      <c r="K1833">
        <v>198</v>
      </c>
      <c r="L1833">
        <v>195</v>
      </c>
      <c r="M1833" t="s">
        <v>16</v>
      </c>
    </row>
    <row r="1834" spans="1:13" x14ac:dyDescent="0.35">
      <c r="A1834">
        <v>290070</v>
      </c>
      <c r="B1834">
        <v>16071</v>
      </c>
      <c r="C1834" t="s">
        <v>1977</v>
      </c>
      <c r="D1834" t="s">
        <v>1972</v>
      </c>
      <c r="E1834" t="s">
        <v>1977</v>
      </c>
      <c r="F1834">
        <v>132725</v>
      </c>
      <c r="G1834">
        <v>3</v>
      </c>
      <c r="H1834" t="s">
        <v>16</v>
      </c>
      <c r="I1834" s="1">
        <v>-1213600</v>
      </c>
      <c r="J1834" s="1">
        <v>-3841900</v>
      </c>
      <c r="K1834">
        <v>132</v>
      </c>
      <c r="L1834">
        <v>733</v>
      </c>
      <c r="M1834" t="s">
        <v>16</v>
      </c>
    </row>
    <row r="1835" spans="1:13" x14ac:dyDescent="0.35">
      <c r="A1835">
        <v>290080</v>
      </c>
      <c r="B1835">
        <v>16080</v>
      </c>
      <c r="C1835" t="s">
        <v>1986</v>
      </c>
      <c r="D1835" t="s">
        <v>1972</v>
      </c>
      <c r="E1835" t="s">
        <v>1987</v>
      </c>
      <c r="F1835">
        <v>19840</v>
      </c>
      <c r="G1835">
        <v>1</v>
      </c>
      <c r="H1835" t="s">
        <v>16</v>
      </c>
      <c r="I1835" s="1">
        <v>-1751900</v>
      </c>
      <c r="J1835" s="1">
        <v>-3919600</v>
      </c>
      <c r="K1835">
        <v>9</v>
      </c>
      <c r="L1835">
        <v>1505</v>
      </c>
      <c r="M1835" t="s">
        <v>16</v>
      </c>
    </row>
    <row r="1836" spans="1:13" x14ac:dyDescent="0.35">
      <c r="A1836">
        <v>290090</v>
      </c>
      <c r="B1836">
        <v>16098</v>
      </c>
      <c r="C1836" t="s">
        <v>1988</v>
      </c>
      <c r="D1836" t="s">
        <v>1972</v>
      </c>
      <c r="E1836" t="s">
        <v>1989</v>
      </c>
      <c r="F1836">
        <v>6687</v>
      </c>
      <c r="G1836">
        <v>1</v>
      </c>
      <c r="H1836" t="s">
        <v>16</v>
      </c>
      <c r="I1836" s="1">
        <v>-1470500</v>
      </c>
      <c r="J1836" s="1">
        <v>-3963700</v>
      </c>
      <c r="K1836">
        <v>279</v>
      </c>
      <c r="L1836">
        <v>246</v>
      </c>
      <c r="M1836" t="s">
        <v>16</v>
      </c>
    </row>
    <row r="1837" spans="1:13" x14ac:dyDescent="0.35">
      <c r="A1837">
        <v>290100</v>
      </c>
      <c r="B1837">
        <v>16101</v>
      </c>
      <c r="C1837" t="s">
        <v>1990</v>
      </c>
      <c r="D1837" t="s">
        <v>1972</v>
      </c>
      <c r="E1837" t="s">
        <v>1985</v>
      </c>
      <c r="F1837">
        <v>33554</v>
      </c>
      <c r="G1837">
        <v>1</v>
      </c>
      <c r="H1837" t="s">
        <v>16</v>
      </c>
      <c r="I1837" s="1">
        <v>-1303000</v>
      </c>
      <c r="J1837" s="1">
        <v>-3960500</v>
      </c>
      <c r="K1837">
        <v>400</v>
      </c>
      <c r="L1837">
        <v>435</v>
      </c>
      <c r="M1837" t="s">
        <v>16</v>
      </c>
    </row>
    <row r="1838" spans="1:13" x14ac:dyDescent="0.35">
      <c r="A1838">
        <v>290110</v>
      </c>
      <c r="B1838">
        <v>16110</v>
      </c>
      <c r="C1838" t="s">
        <v>1991</v>
      </c>
      <c r="D1838" t="s">
        <v>1972</v>
      </c>
      <c r="E1838" t="s">
        <v>1992</v>
      </c>
      <c r="F1838">
        <v>22096</v>
      </c>
      <c r="G1838">
        <v>1</v>
      </c>
      <c r="H1838" t="s">
        <v>16</v>
      </c>
      <c r="I1838" s="1">
        <v>-1240900</v>
      </c>
      <c r="J1838" s="1">
        <v>-3875900</v>
      </c>
      <c r="K1838">
        <v>217</v>
      </c>
      <c r="L1838">
        <v>124</v>
      </c>
      <c r="M1838" t="s">
        <v>16</v>
      </c>
    </row>
    <row r="1839" spans="1:13" x14ac:dyDescent="0.35">
      <c r="A1839">
        <v>290115</v>
      </c>
      <c r="B1839">
        <v>19372</v>
      </c>
      <c r="C1839" t="s">
        <v>1993</v>
      </c>
      <c r="D1839" t="s">
        <v>1972</v>
      </c>
      <c r="E1839" t="s">
        <v>1994</v>
      </c>
      <c r="F1839">
        <v>16189</v>
      </c>
      <c r="G1839">
        <v>1</v>
      </c>
      <c r="H1839" t="s">
        <v>16</v>
      </c>
      <c r="I1839" s="1">
        <v>-1145500</v>
      </c>
      <c r="J1839" s="1">
        <v>-4143600</v>
      </c>
      <c r="K1839">
        <v>666</v>
      </c>
      <c r="L1839">
        <v>743</v>
      </c>
      <c r="M1839" t="s">
        <v>16</v>
      </c>
    </row>
    <row r="1840" spans="1:13" x14ac:dyDescent="0.35">
      <c r="A1840">
        <v>290120</v>
      </c>
      <c r="B1840">
        <v>16128</v>
      </c>
      <c r="C1840" t="s">
        <v>1995</v>
      </c>
      <c r="D1840" t="s">
        <v>1972</v>
      </c>
      <c r="E1840" t="s">
        <v>1996</v>
      </c>
      <c r="F1840">
        <v>25716</v>
      </c>
      <c r="G1840">
        <v>1</v>
      </c>
      <c r="H1840" t="s">
        <v>16</v>
      </c>
      <c r="I1840" s="1">
        <v>-1461200</v>
      </c>
      <c r="J1840" s="1">
        <v>-4113600</v>
      </c>
      <c r="K1840">
        <v>384</v>
      </c>
      <c r="L1840">
        <v>1852</v>
      </c>
      <c r="M1840" t="s">
        <v>16</v>
      </c>
    </row>
    <row r="1841" spans="1:13" x14ac:dyDescent="0.35">
      <c r="A1841">
        <v>290130</v>
      </c>
      <c r="B1841">
        <v>16136</v>
      </c>
      <c r="C1841" t="s">
        <v>1997</v>
      </c>
      <c r="D1841" t="s">
        <v>1972</v>
      </c>
      <c r="E1841" t="s">
        <v>1973</v>
      </c>
      <c r="F1841">
        <v>14088</v>
      </c>
      <c r="G1841">
        <v>1</v>
      </c>
      <c r="H1841" t="s">
        <v>16</v>
      </c>
      <c r="I1841" s="1">
        <v>-1280700</v>
      </c>
      <c r="J1841" s="1">
        <v>-4133100</v>
      </c>
      <c r="K1841">
        <v>405</v>
      </c>
      <c r="L1841">
        <v>1895</v>
      </c>
      <c r="M1841" t="s">
        <v>16</v>
      </c>
    </row>
    <row r="1842" spans="1:13" x14ac:dyDescent="0.35">
      <c r="A1842">
        <v>290135</v>
      </c>
      <c r="B1842">
        <v>46809</v>
      </c>
      <c r="C1842" t="s">
        <v>1998</v>
      </c>
      <c r="D1842" t="s">
        <v>1972</v>
      </c>
      <c r="E1842" t="s">
        <v>1999</v>
      </c>
      <c r="F1842">
        <v>14132</v>
      </c>
      <c r="G1842">
        <v>1</v>
      </c>
      <c r="H1842" t="s">
        <v>16</v>
      </c>
      <c r="I1842" s="1">
        <v>-1034500</v>
      </c>
      <c r="J1842" s="1">
        <v>-3983300</v>
      </c>
      <c r="K1842">
        <v>428</v>
      </c>
      <c r="L1842">
        <v>1207</v>
      </c>
      <c r="M1842" t="s">
        <v>16</v>
      </c>
    </row>
    <row r="1843" spans="1:13" x14ac:dyDescent="0.35">
      <c r="A1843">
        <v>290140</v>
      </c>
      <c r="B1843">
        <v>16144</v>
      </c>
      <c r="C1843" t="s">
        <v>2000</v>
      </c>
      <c r="D1843" t="s">
        <v>1972</v>
      </c>
      <c r="E1843" t="s">
        <v>2001</v>
      </c>
      <c r="F1843">
        <v>14700</v>
      </c>
      <c r="G1843">
        <v>1</v>
      </c>
      <c r="H1843" t="s">
        <v>16</v>
      </c>
      <c r="I1843" s="1">
        <v>-1200700</v>
      </c>
      <c r="J1843" s="1">
        <v>-4469400</v>
      </c>
      <c r="K1843">
        <v>470</v>
      </c>
      <c r="L1843">
        <v>1638</v>
      </c>
      <c r="M1843" t="s">
        <v>16</v>
      </c>
    </row>
    <row r="1844" spans="1:13" x14ac:dyDescent="0.35">
      <c r="A1844">
        <v>290150</v>
      </c>
      <c r="B1844">
        <v>16152</v>
      </c>
      <c r="C1844" t="s">
        <v>2002</v>
      </c>
      <c r="D1844" t="s">
        <v>1972</v>
      </c>
      <c r="E1844" t="s">
        <v>1981</v>
      </c>
      <c r="F1844">
        <v>9523</v>
      </c>
      <c r="G1844">
        <v>1</v>
      </c>
      <c r="H1844" t="s">
        <v>16</v>
      </c>
      <c r="I1844" s="1">
        <v>-1215100</v>
      </c>
      <c r="J1844" s="1">
        <v>-3924600</v>
      </c>
      <c r="K1844">
        <v>235</v>
      </c>
      <c r="L1844">
        <v>158</v>
      </c>
      <c r="M1844" t="s">
        <v>16</v>
      </c>
    </row>
    <row r="1845" spans="1:13" x14ac:dyDescent="0.35">
      <c r="A1845">
        <v>290160</v>
      </c>
      <c r="B1845">
        <v>16160</v>
      </c>
      <c r="C1845" t="s">
        <v>2003</v>
      </c>
      <c r="D1845" t="s">
        <v>1972</v>
      </c>
      <c r="E1845" t="s">
        <v>1979</v>
      </c>
      <c r="F1845">
        <v>16446</v>
      </c>
      <c r="G1845">
        <v>1</v>
      </c>
      <c r="H1845" t="s">
        <v>16</v>
      </c>
      <c r="I1845" s="1">
        <v>-1040000</v>
      </c>
      <c r="J1845" s="1">
        <v>-3833300</v>
      </c>
      <c r="K1845">
        <v>510</v>
      </c>
      <c r="L1845">
        <v>383</v>
      </c>
      <c r="M1845" t="s">
        <v>16</v>
      </c>
    </row>
    <row r="1846" spans="1:13" x14ac:dyDescent="0.35">
      <c r="A1846">
        <v>290170</v>
      </c>
      <c r="B1846">
        <v>16179</v>
      </c>
      <c r="C1846" t="s">
        <v>2004</v>
      </c>
      <c r="D1846" t="s">
        <v>1972</v>
      </c>
      <c r="E1846" t="s">
        <v>1981</v>
      </c>
      <c r="F1846">
        <v>12074</v>
      </c>
      <c r="G1846">
        <v>1</v>
      </c>
      <c r="H1846" t="s">
        <v>16</v>
      </c>
      <c r="I1846" s="1">
        <v>-1243500</v>
      </c>
      <c r="J1846" s="1">
        <v>-3912000</v>
      </c>
      <c r="K1846">
        <v>191</v>
      </c>
      <c r="L1846">
        <v>293</v>
      </c>
      <c r="M1846" t="s">
        <v>16</v>
      </c>
    </row>
    <row r="1847" spans="1:13" x14ac:dyDescent="0.35">
      <c r="A1847">
        <v>290180</v>
      </c>
      <c r="B1847">
        <v>16187</v>
      </c>
      <c r="C1847" t="s">
        <v>2005</v>
      </c>
      <c r="D1847" t="s">
        <v>1972</v>
      </c>
      <c r="E1847" t="s">
        <v>1999</v>
      </c>
      <c r="F1847">
        <v>10653</v>
      </c>
      <c r="G1847">
        <v>1</v>
      </c>
      <c r="H1847" t="s">
        <v>16</v>
      </c>
      <c r="I1847" s="1">
        <v>-1057300</v>
      </c>
      <c r="J1847" s="1">
        <v>-4027400</v>
      </c>
      <c r="K1847">
        <v>472</v>
      </c>
      <c r="L1847">
        <v>316</v>
      </c>
      <c r="M1847" t="s">
        <v>16</v>
      </c>
    </row>
    <row r="1848" spans="1:13" x14ac:dyDescent="0.35">
      <c r="A1848">
        <v>290190</v>
      </c>
      <c r="B1848">
        <v>16195</v>
      </c>
      <c r="C1848" t="s">
        <v>2006</v>
      </c>
      <c r="D1848" t="s">
        <v>1972</v>
      </c>
      <c r="E1848" t="s">
        <v>1977</v>
      </c>
      <c r="F1848">
        <v>17870</v>
      </c>
      <c r="G1848">
        <v>1</v>
      </c>
      <c r="H1848" t="s">
        <v>16</v>
      </c>
      <c r="I1848" s="1">
        <v>-1166000</v>
      </c>
      <c r="J1848" s="1">
        <v>-3808100</v>
      </c>
      <c r="K1848">
        <v>186</v>
      </c>
      <c r="L1848">
        <v>572</v>
      </c>
      <c r="M1848" t="s">
        <v>16</v>
      </c>
    </row>
    <row r="1849" spans="1:13" x14ac:dyDescent="0.35">
      <c r="A1849">
        <v>290195</v>
      </c>
      <c r="B1849">
        <v>47694</v>
      </c>
      <c r="C1849" t="s">
        <v>2007</v>
      </c>
      <c r="D1849" t="s">
        <v>1972</v>
      </c>
      <c r="E1849" t="s">
        <v>1985</v>
      </c>
      <c r="F1849">
        <v>7379</v>
      </c>
      <c r="G1849">
        <v>1</v>
      </c>
      <c r="H1849" t="s">
        <v>16</v>
      </c>
      <c r="I1849" s="1">
        <v>-1385600</v>
      </c>
      <c r="J1849" s="1">
        <v>-3974400</v>
      </c>
      <c r="K1849">
        <v>278</v>
      </c>
      <c r="L1849">
        <v>150</v>
      </c>
      <c r="M1849" t="s">
        <v>16</v>
      </c>
    </row>
    <row r="1850" spans="1:13" x14ac:dyDescent="0.35">
      <c r="A1850">
        <v>290200</v>
      </c>
      <c r="B1850">
        <v>16209</v>
      </c>
      <c r="C1850" t="s">
        <v>2008</v>
      </c>
      <c r="D1850" t="s">
        <v>1972</v>
      </c>
      <c r="E1850" t="s">
        <v>2009</v>
      </c>
      <c r="F1850">
        <v>14168</v>
      </c>
      <c r="G1850">
        <v>1</v>
      </c>
      <c r="H1850" t="s">
        <v>16</v>
      </c>
      <c r="I1850" s="1">
        <v>-1442800</v>
      </c>
      <c r="J1850" s="1">
        <v>-4146200</v>
      </c>
      <c r="K1850">
        <v>740</v>
      </c>
      <c r="L1850">
        <v>1535</v>
      </c>
      <c r="M1850" t="s">
        <v>16</v>
      </c>
    </row>
    <row r="1851" spans="1:13" x14ac:dyDescent="0.35">
      <c r="A1851">
        <v>290205</v>
      </c>
      <c r="B1851">
        <v>47104</v>
      </c>
      <c r="C1851" t="s">
        <v>2010</v>
      </c>
      <c r="D1851" t="s">
        <v>1972</v>
      </c>
      <c r="E1851" t="s">
        <v>1977</v>
      </c>
      <c r="F1851">
        <v>11662</v>
      </c>
      <c r="G1851">
        <v>1</v>
      </c>
      <c r="H1851" t="s">
        <v>16</v>
      </c>
      <c r="I1851" s="1">
        <v>-1222000</v>
      </c>
      <c r="J1851" s="1">
        <v>-3820300</v>
      </c>
      <c r="K1851">
        <v>145</v>
      </c>
      <c r="L1851">
        <v>419</v>
      </c>
      <c r="M1851" t="s">
        <v>16</v>
      </c>
    </row>
    <row r="1852" spans="1:13" x14ac:dyDescent="0.35">
      <c r="A1852">
        <v>290210</v>
      </c>
      <c r="B1852">
        <v>16217</v>
      </c>
      <c r="C1852" t="s">
        <v>2011</v>
      </c>
      <c r="D1852" t="s">
        <v>1972</v>
      </c>
      <c r="E1852" t="s">
        <v>1372</v>
      </c>
      <c r="F1852">
        <v>51912</v>
      </c>
      <c r="G1852">
        <v>2</v>
      </c>
      <c r="H1852" t="s">
        <v>16</v>
      </c>
      <c r="I1852" s="1">
        <v>-1133300</v>
      </c>
      <c r="J1852" s="1">
        <v>-3896700</v>
      </c>
      <c r="K1852">
        <v>272</v>
      </c>
      <c r="L1852">
        <v>1524</v>
      </c>
      <c r="M1852" t="s">
        <v>16</v>
      </c>
    </row>
    <row r="1853" spans="1:13" x14ac:dyDescent="0.35">
      <c r="A1853">
        <v>290220</v>
      </c>
      <c r="B1853">
        <v>16225</v>
      </c>
      <c r="C1853" t="s">
        <v>2012</v>
      </c>
      <c r="D1853" t="s">
        <v>1972</v>
      </c>
      <c r="E1853" t="s">
        <v>1977</v>
      </c>
      <c r="F1853">
        <v>9527</v>
      </c>
      <c r="G1853">
        <v>1</v>
      </c>
      <c r="H1853" t="s">
        <v>16</v>
      </c>
      <c r="I1853" s="1">
        <v>-1208200</v>
      </c>
      <c r="J1853" s="1">
        <v>-3849900</v>
      </c>
      <c r="K1853">
        <v>394</v>
      </c>
      <c r="L1853">
        <v>352</v>
      </c>
      <c r="M1853" t="s">
        <v>16</v>
      </c>
    </row>
    <row r="1854" spans="1:13" x14ac:dyDescent="0.35">
      <c r="A1854">
        <v>290225</v>
      </c>
      <c r="B1854">
        <v>19380</v>
      </c>
      <c r="C1854" t="s">
        <v>2013</v>
      </c>
      <c r="D1854" t="s">
        <v>1972</v>
      </c>
      <c r="E1854" t="s">
        <v>1989</v>
      </c>
      <c r="F1854">
        <v>10717</v>
      </c>
      <c r="G1854">
        <v>1</v>
      </c>
      <c r="H1854" t="s">
        <v>16</v>
      </c>
      <c r="I1854" s="1">
        <v>-1526300</v>
      </c>
      <c r="J1854" s="1">
        <v>-3941400</v>
      </c>
      <c r="K1854">
        <v>152</v>
      </c>
      <c r="L1854">
        <v>396</v>
      </c>
      <c r="M1854" t="s">
        <v>16</v>
      </c>
    </row>
    <row r="1855" spans="1:13" x14ac:dyDescent="0.35">
      <c r="A1855">
        <v>290230</v>
      </c>
      <c r="B1855">
        <v>16233</v>
      </c>
      <c r="C1855" t="s">
        <v>2014</v>
      </c>
      <c r="D1855" t="s">
        <v>1972</v>
      </c>
      <c r="E1855" t="s">
        <v>2015</v>
      </c>
      <c r="F1855">
        <v>8507</v>
      </c>
      <c r="G1855">
        <v>1</v>
      </c>
      <c r="H1855" t="s">
        <v>16</v>
      </c>
      <c r="I1855" s="1">
        <v>-1307900</v>
      </c>
      <c r="J1855" s="1">
        <v>-3900200</v>
      </c>
      <c r="K1855">
        <v>36</v>
      </c>
      <c r="L1855">
        <v>177</v>
      </c>
      <c r="M1855" t="s">
        <v>16</v>
      </c>
    </row>
    <row r="1856" spans="1:13" x14ac:dyDescent="0.35">
      <c r="A1856">
        <v>290240</v>
      </c>
      <c r="B1856">
        <v>16241</v>
      </c>
      <c r="C1856" t="s">
        <v>2016</v>
      </c>
      <c r="D1856" t="s">
        <v>1972</v>
      </c>
      <c r="E1856" t="s">
        <v>1989</v>
      </c>
      <c r="F1856">
        <v>14458</v>
      </c>
      <c r="G1856">
        <v>1</v>
      </c>
      <c r="H1856" t="s">
        <v>16</v>
      </c>
      <c r="I1856" s="1">
        <v>-1431700</v>
      </c>
      <c r="J1856" s="1">
        <v>-3932700</v>
      </c>
      <c r="K1856">
        <v>52</v>
      </c>
      <c r="L1856">
        <v>446</v>
      </c>
      <c r="M1856" t="s">
        <v>16</v>
      </c>
    </row>
    <row r="1857" spans="1:13" x14ac:dyDescent="0.35">
      <c r="A1857">
        <v>290250</v>
      </c>
      <c r="B1857">
        <v>16250</v>
      </c>
      <c r="C1857" t="s">
        <v>2017</v>
      </c>
      <c r="D1857" t="s">
        <v>1972</v>
      </c>
      <c r="E1857" t="s">
        <v>2018</v>
      </c>
      <c r="F1857">
        <v>13437</v>
      </c>
      <c r="G1857">
        <v>1</v>
      </c>
      <c r="H1857" t="s">
        <v>16</v>
      </c>
      <c r="I1857" s="1">
        <v>-1230600</v>
      </c>
      <c r="J1857" s="1">
        <v>-4453500</v>
      </c>
      <c r="K1857">
        <v>667</v>
      </c>
      <c r="L1857">
        <v>3360</v>
      </c>
      <c r="M1857" t="s">
        <v>16</v>
      </c>
    </row>
    <row r="1858" spans="1:13" x14ac:dyDescent="0.35">
      <c r="A1858">
        <v>290260</v>
      </c>
      <c r="B1858">
        <v>16268</v>
      </c>
      <c r="C1858" t="s">
        <v>2019</v>
      </c>
      <c r="D1858" t="s">
        <v>1972</v>
      </c>
      <c r="E1858" t="s">
        <v>2020</v>
      </c>
      <c r="F1858">
        <v>20980</v>
      </c>
      <c r="G1858">
        <v>1</v>
      </c>
      <c r="H1858" t="s">
        <v>16</v>
      </c>
      <c r="I1858" s="1">
        <v>-1196000</v>
      </c>
      <c r="J1858" s="1">
        <v>-4016800</v>
      </c>
      <c r="K1858">
        <v>369</v>
      </c>
      <c r="L1858">
        <v>982</v>
      </c>
      <c r="M1858" t="s">
        <v>16</v>
      </c>
    </row>
    <row r="1859" spans="1:13" x14ac:dyDescent="0.35">
      <c r="A1859">
        <v>290265</v>
      </c>
      <c r="B1859">
        <v>47112</v>
      </c>
      <c r="C1859" t="s">
        <v>2021</v>
      </c>
      <c r="D1859" t="s">
        <v>1972</v>
      </c>
      <c r="E1859" t="s">
        <v>1979</v>
      </c>
      <c r="F1859">
        <v>10865</v>
      </c>
      <c r="G1859">
        <v>1</v>
      </c>
      <c r="H1859" t="s">
        <v>16</v>
      </c>
      <c r="I1859" s="1">
        <v>-1057700</v>
      </c>
      <c r="J1859" s="1">
        <v>-3861500</v>
      </c>
      <c r="K1859">
        <v>340</v>
      </c>
      <c r="L1859">
        <v>212</v>
      </c>
      <c r="M1859" t="s">
        <v>16</v>
      </c>
    </row>
    <row r="1860" spans="1:13" x14ac:dyDescent="0.35">
      <c r="A1860">
        <v>290270</v>
      </c>
      <c r="B1860">
        <v>16276</v>
      </c>
      <c r="C1860" t="s">
        <v>2022</v>
      </c>
      <c r="D1860" t="s">
        <v>1972</v>
      </c>
      <c r="E1860" t="s">
        <v>2022</v>
      </c>
      <c r="F1860">
        <v>47755</v>
      </c>
      <c r="G1860">
        <v>1</v>
      </c>
      <c r="H1860" t="s">
        <v>16</v>
      </c>
      <c r="I1860" s="1">
        <v>-1108900</v>
      </c>
      <c r="J1860" s="1">
        <v>-4314200</v>
      </c>
      <c r="K1860">
        <v>406</v>
      </c>
      <c r="L1860">
        <v>11332</v>
      </c>
      <c r="M1860" t="s">
        <v>16</v>
      </c>
    </row>
    <row r="1861" spans="1:13" x14ac:dyDescent="0.35">
      <c r="A1861">
        <v>290280</v>
      </c>
      <c r="B1861">
        <v>16284</v>
      </c>
      <c r="C1861" t="s">
        <v>2023</v>
      </c>
      <c r="D1861" t="s">
        <v>1972</v>
      </c>
      <c r="E1861" t="s">
        <v>1973</v>
      </c>
      <c r="F1861">
        <v>20750</v>
      </c>
      <c r="G1861">
        <v>1</v>
      </c>
      <c r="H1861" t="s">
        <v>16</v>
      </c>
      <c r="I1861" s="1">
        <v>-1362600</v>
      </c>
      <c r="J1861" s="1">
        <v>-4132700</v>
      </c>
      <c r="K1861">
        <v>1026</v>
      </c>
      <c r="L1861">
        <v>1401</v>
      </c>
      <c r="M1861" t="s">
        <v>16</v>
      </c>
    </row>
    <row r="1862" spans="1:13" x14ac:dyDescent="0.35">
      <c r="A1862">
        <v>290290</v>
      </c>
      <c r="B1862">
        <v>16292</v>
      </c>
      <c r="C1862" t="s">
        <v>2024</v>
      </c>
      <c r="D1862" t="s">
        <v>1972</v>
      </c>
      <c r="E1862" t="s">
        <v>1996</v>
      </c>
      <c r="F1862">
        <v>32489</v>
      </c>
      <c r="G1862">
        <v>1</v>
      </c>
      <c r="H1862" t="s">
        <v>16</v>
      </c>
      <c r="I1862" s="1">
        <v>-1488100</v>
      </c>
      <c r="J1862" s="1">
        <v>-4057900</v>
      </c>
      <c r="K1862">
        <v>847</v>
      </c>
      <c r="L1862">
        <v>778</v>
      </c>
      <c r="M1862" t="s">
        <v>16</v>
      </c>
    </row>
    <row r="1863" spans="1:13" x14ac:dyDescent="0.35">
      <c r="A1863">
        <v>290300</v>
      </c>
      <c r="B1863">
        <v>16306</v>
      </c>
      <c r="C1863" t="s">
        <v>2025</v>
      </c>
      <c r="D1863" t="s">
        <v>1972</v>
      </c>
      <c r="E1863" t="s">
        <v>1994</v>
      </c>
      <c r="F1863">
        <v>14054</v>
      </c>
      <c r="G1863">
        <v>1</v>
      </c>
      <c r="H1863" t="s">
        <v>16</v>
      </c>
      <c r="I1863" s="1">
        <v>-1181000</v>
      </c>
      <c r="J1863" s="1">
        <v>-4205900</v>
      </c>
      <c r="K1863">
        <v>715</v>
      </c>
      <c r="L1863">
        <v>1252</v>
      </c>
      <c r="M1863" t="s">
        <v>16</v>
      </c>
    </row>
    <row r="1864" spans="1:13" x14ac:dyDescent="0.35">
      <c r="A1864">
        <v>290310</v>
      </c>
      <c r="B1864">
        <v>16314</v>
      </c>
      <c r="C1864" t="s">
        <v>2026</v>
      </c>
      <c r="D1864" t="s">
        <v>1972</v>
      </c>
      <c r="E1864" t="s">
        <v>1989</v>
      </c>
      <c r="F1864">
        <v>6133</v>
      </c>
      <c r="G1864">
        <v>1</v>
      </c>
      <c r="H1864" t="s">
        <v>16</v>
      </c>
      <c r="I1864" s="1">
        <v>-1421100</v>
      </c>
      <c r="J1864" s="1">
        <v>-3960200</v>
      </c>
      <c r="K1864">
        <v>142</v>
      </c>
      <c r="L1864">
        <v>192</v>
      </c>
      <c r="M1864" t="s">
        <v>16</v>
      </c>
    </row>
    <row r="1865" spans="1:13" x14ac:dyDescent="0.35">
      <c r="A1865">
        <v>290320</v>
      </c>
      <c r="B1865">
        <v>16322</v>
      </c>
      <c r="C1865" t="s">
        <v>2018</v>
      </c>
      <c r="D1865" t="s">
        <v>1972</v>
      </c>
      <c r="E1865" t="s">
        <v>2018</v>
      </c>
      <c r="F1865">
        <v>129501</v>
      </c>
      <c r="G1865">
        <v>3</v>
      </c>
      <c r="H1865" t="s">
        <v>16</v>
      </c>
      <c r="I1865" s="1">
        <v>-1215300</v>
      </c>
      <c r="J1865" s="1">
        <v>-4499000</v>
      </c>
      <c r="K1865">
        <v>452</v>
      </c>
      <c r="L1865">
        <v>7895</v>
      </c>
      <c r="M1865" t="s">
        <v>16</v>
      </c>
    </row>
    <row r="1866" spans="1:13" x14ac:dyDescent="0.35">
      <c r="A1866">
        <v>290323</v>
      </c>
      <c r="B1866">
        <v>19399</v>
      </c>
      <c r="C1866" t="s">
        <v>2027</v>
      </c>
      <c r="D1866" t="s">
        <v>1972</v>
      </c>
      <c r="E1866" t="s">
        <v>1994</v>
      </c>
      <c r="F1866">
        <v>13403</v>
      </c>
      <c r="G1866">
        <v>1</v>
      </c>
      <c r="H1866" t="s">
        <v>16</v>
      </c>
      <c r="I1866" s="1">
        <v>-1176100</v>
      </c>
      <c r="J1866" s="1">
        <v>-4191200</v>
      </c>
      <c r="K1866">
        <v>705</v>
      </c>
      <c r="L1866">
        <v>425</v>
      </c>
      <c r="M1866" t="s">
        <v>16</v>
      </c>
    </row>
    <row r="1867" spans="1:13" x14ac:dyDescent="0.35">
      <c r="A1867">
        <v>290327</v>
      </c>
      <c r="B1867">
        <v>19402</v>
      </c>
      <c r="C1867" t="s">
        <v>2028</v>
      </c>
      <c r="D1867" t="s">
        <v>1972</v>
      </c>
      <c r="E1867" t="s">
        <v>1372</v>
      </c>
      <c r="F1867">
        <v>13182</v>
      </c>
      <c r="G1867">
        <v>1</v>
      </c>
      <c r="H1867" t="s">
        <v>16</v>
      </c>
      <c r="I1867" s="1">
        <v>-1152900</v>
      </c>
      <c r="J1867" s="1">
        <v>-3907800</v>
      </c>
      <c r="K1867">
        <v>0</v>
      </c>
      <c r="L1867">
        <v>188</v>
      </c>
      <c r="M1867" t="s">
        <v>16</v>
      </c>
    </row>
    <row r="1868" spans="1:13" x14ac:dyDescent="0.35">
      <c r="A1868">
        <v>290330</v>
      </c>
      <c r="B1868">
        <v>16330</v>
      </c>
      <c r="C1868" t="s">
        <v>2029</v>
      </c>
      <c r="D1868" t="s">
        <v>1972</v>
      </c>
      <c r="E1868" t="s">
        <v>1989</v>
      </c>
      <c r="F1868">
        <v>6669</v>
      </c>
      <c r="G1868">
        <v>1</v>
      </c>
      <c r="H1868" t="s">
        <v>16</v>
      </c>
      <c r="I1868" s="1">
        <v>-1481000</v>
      </c>
      <c r="J1868" s="1">
        <v>-3947100</v>
      </c>
      <c r="K1868">
        <v>100</v>
      </c>
      <c r="L1868">
        <v>120</v>
      </c>
      <c r="M1868" t="s">
        <v>16</v>
      </c>
    </row>
    <row r="1869" spans="1:13" x14ac:dyDescent="0.35">
      <c r="A1869">
        <v>290340</v>
      </c>
      <c r="B1869">
        <v>16349</v>
      </c>
      <c r="C1869" t="s">
        <v>2030</v>
      </c>
      <c r="D1869" t="s">
        <v>1972</v>
      </c>
      <c r="E1869" t="s">
        <v>1989</v>
      </c>
      <c r="F1869">
        <v>21479</v>
      </c>
      <c r="G1869">
        <v>1</v>
      </c>
      <c r="H1869" t="s">
        <v>16</v>
      </c>
      <c r="I1869" s="1">
        <v>-1586300</v>
      </c>
      <c r="J1869" s="1">
        <v>-3888300</v>
      </c>
      <c r="K1869">
        <v>8</v>
      </c>
      <c r="L1869">
        <v>2009</v>
      </c>
      <c r="M1869" t="s">
        <v>16</v>
      </c>
    </row>
    <row r="1870" spans="1:13" x14ac:dyDescent="0.35">
      <c r="A1870">
        <v>290350</v>
      </c>
      <c r="B1870">
        <v>16357</v>
      </c>
      <c r="C1870" t="s">
        <v>2031</v>
      </c>
      <c r="D1870" t="s">
        <v>1972</v>
      </c>
      <c r="E1870" t="s">
        <v>1996</v>
      </c>
      <c r="F1870">
        <v>15262</v>
      </c>
      <c r="G1870">
        <v>1</v>
      </c>
      <c r="H1870" t="s">
        <v>16</v>
      </c>
      <c r="I1870" s="1">
        <v>-1503800</v>
      </c>
      <c r="J1870" s="1">
        <v>-4126000</v>
      </c>
      <c r="K1870">
        <v>819</v>
      </c>
      <c r="L1870">
        <v>608</v>
      </c>
      <c r="M1870" t="s">
        <v>16</v>
      </c>
    </row>
    <row r="1871" spans="1:13" x14ac:dyDescent="0.35">
      <c r="A1871">
        <v>290360</v>
      </c>
      <c r="B1871">
        <v>16365</v>
      </c>
      <c r="C1871" t="s">
        <v>2032</v>
      </c>
      <c r="D1871" t="s">
        <v>1972</v>
      </c>
      <c r="E1871" t="s">
        <v>1372</v>
      </c>
      <c r="F1871">
        <v>13961</v>
      </c>
      <c r="G1871">
        <v>1</v>
      </c>
      <c r="H1871" t="s">
        <v>16</v>
      </c>
      <c r="I1871" s="1">
        <v>-1161700</v>
      </c>
      <c r="J1871" s="1">
        <v>-3880000</v>
      </c>
      <c r="K1871">
        <v>249</v>
      </c>
      <c r="L1871">
        <v>430</v>
      </c>
      <c r="M1871" t="s">
        <v>16</v>
      </c>
    </row>
    <row r="1872" spans="1:13" x14ac:dyDescent="0.35">
      <c r="A1872">
        <v>290370</v>
      </c>
      <c r="B1872">
        <v>16373</v>
      </c>
      <c r="C1872" t="s">
        <v>2033</v>
      </c>
      <c r="D1872" t="s">
        <v>1972</v>
      </c>
      <c r="E1872" t="s">
        <v>1996</v>
      </c>
      <c r="F1872">
        <v>16007</v>
      </c>
      <c r="G1872">
        <v>1</v>
      </c>
      <c r="H1872" t="s">
        <v>16</v>
      </c>
      <c r="I1872" s="1">
        <v>-1436300</v>
      </c>
      <c r="J1872" s="1">
        <v>-4020800</v>
      </c>
      <c r="K1872">
        <v>726</v>
      </c>
      <c r="L1872">
        <v>856</v>
      </c>
      <c r="M1872" t="s">
        <v>16</v>
      </c>
    </row>
    <row r="1873" spans="1:13" x14ac:dyDescent="0.35">
      <c r="A1873">
        <v>290380</v>
      </c>
      <c r="B1873">
        <v>16381</v>
      </c>
      <c r="C1873" t="s">
        <v>2034</v>
      </c>
      <c r="D1873" t="s">
        <v>1972</v>
      </c>
      <c r="E1873" t="s">
        <v>2020</v>
      </c>
      <c r="F1873">
        <v>17841</v>
      </c>
      <c r="G1873">
        <v>1</v>
      </c>
      <c r="H1873" t="s">
        <v>16</v>
      </c>
      <c r="I1873" s="1">
        <v>-1266000</v>
      </c>
      <c r="J1873" s="1">
        <v>-4060900</v>
      </c>
      <c r="K1873">
        <v>317</v>
      </c>
      <c r="L1873">
        <v>2629</v>
      </c>
      <c r="M1873" t="s">
        <v>16</v>
      </c>
    </row>
    <row r="1874" spans="1:13" x14ac:dyDescent="0.35">
      <c r="A1874">
        <v>290390</v>
      </c>
      <c r="B1874">
        <v>16390</v>
      </c>
      <c r="C1874" t="s">
        <v>2035</v>
      </c>
      <c r="D1874" t="s">
        <v>1972</v>
      </c>
      <c r="E1874" t="s">
        <v>2035</v>
      </c>
      <c r="F1874">
        <v>62199</v>
      </c>
      <c r="G1874">
        <v>2</v>
      </c>
      <c r="H1874" t="s">
        <v>16</v>
      </c>
      <c r="I1874" s="1">
        <v>-1325500</v>
      </c>
      <c r="J1874" s="1">
        <v>-4341800</v>
      </c>
      <c r="K1874">
        <v>436</v>
      </c>
      <c r="L1874">
        <v>3951</v>
      </c>
      <c r="M1874" t="s">
        <v>16</v>
      </c>
    </row>
    <row r="1875" spans="1:13" x14ac:dyDescent="0.35">
      <c r="A1875">
        <v>290395</v>
      </c>
      <c r="B1875">
        <v>47708</v>
      </c>
      <c r="C1875" t="s">
        <v>2036</v>
      </c>
      <c r="D1875" t="s">
        <v>1972</v>
      </c>
      <c r="E1875" t="s">
        <v>1996</v>
      </c>
      <c r="F1875">
        <v>10295</v>
      </c>
      <c r="G1875">
        <v>1</v>
      </c>
      <c r="H1875" t="s">
        <v>16</v>
      </c>
      <c r="I1875" s="1">
        <v>-1437200</v>
      </c>
      <c r="J1875" s="1">
        <v>-4050400</v>
      </c>
      <c r="K1875">
        <v>600</v>
      </c>
      <c r="L1875">
        <v>410</v>
      </c>
      <c r="M1875" t="s">
        <v>16</v>
      </c>
    </row>
    <row r="1876" spans="1:13" x14ac:dyDescent="0.35">
      <c r="A1876">
        <v>290400</v>
      </c>
      <c r="B1876">
        <v>16403</v>
      </c>
      <c r="C1876" t="s">
        <v>2037</v>
      </c>
      <c r="D1876" t="s">
        <v>1972</v>
      </c>
      <c r="E1876" t="s">
        <v>1973</v>
      </c>
      <c r="F1876">
        <v>13227</v>
      </c>
      <c r="G1876">
        <v>1</v>
      </c>
      <c r="H1876" t="s">
        <v>16</v>
      </c>
      <c r="I1876" s="1">
        <v>-1270200</v>
      </c>
      <c r="J1876" s="1">
        <v>-4182800</v>
      </c>
      <c r="K1876">
        <v>955</v>
      </c>
      <c r="L1876">
        <v>847</v>
      </c>
      <c r="M1876" t="s">
        <v>16</v>
      </c>
    </row>
    <row r="1877" spans="1:13" x14ac:dyDescent="0.35">
      <c r="A1877">
        <v>290405</v>
      </c>
      <c r="B1877">
        <v>47716</v>
      </c>
      <c r="C1877" t="s">
        <v>228</v>
      </c>
      <c r="D1877" t="s">
        <v>1972</v>
      </c>
      <c r="E1877" t="s">
        <v>1973</v>
      </c>
      <c r="F1877">
        <v>13678</v>
      </c>
      <c r="G1877">
        <v>1</v>
      </c>
      <c r="H1877" t="s">
        <v>16</v>
      </c>
      <c r="I1877" s="1">
        <v>-1196600</v>
      </c>
      <c r="J1877" s="1">
        <v>-4126700</v>
      </c>
      <c r="K1877">
        <v>990</v>
      </c>
      <c r="L1877">
        <v>641</v>
      </c>
      <c r="M1877" t="s">
        <v>16</v>
      </c>
    </row>
    <row r="1878" spans="1:13" x14ac:dyDescent="0.35">
      <c r="A1878">
        <v>290410</v>
      </c>
      <c r="B1878">
        <v>16411</v>
      </c>
      <c r="C1878" t="s">
        <v>2038</v>
      </c>
      <c r="D1878" t="s">
        <v>1972</v>
      </c>
      <c r="E1878" t="s">
        <v>2038</v>
      </c>
      <c r="F1878">
        <v>21856</v>
      </c>
      <c r="G1878">
        <v>1</v>
      </c>
      <c r="H1878" t="s">
        <v>16</v>
      </c>
      <c r="I1878" s="1">
        <v>-1282300</v>
      </c>
      <c r="J1878" s="1">
        <v>-4273100</v>
      </c>
      <c r="K1878">
        <v>641</v>
      </c>
      <c r="L1878">
        <v>1430</v>
      </c>
      <c r="M1878" t="s">
        <v>16</v>
      </c>
    </row>
    <row r="1879" spans="1:13" x14ac:dyDescent="0.35">
      <c r="A1879">
        <v>290420</v>
      </c>
      <c r="B1879">
        <v>16420</v>
      </c>
      <c r="C1879" t="s">
        <v>2039</v>
      </c>
      <c r="D1879" t="s">
        <v>1972</v>
      </c>
      <c r="E1879" t="s">
        <v>2038</v>
      </c>
      <c r="F1879">
        <v>11026</v>
      </c>
      <c r="G1879">
        <v>1</v>
      </c>
      <c r="H1879" t="s">
        <v>16</v>
      </c>
      <c r="I1879" s="1">
        <v>-1338200</v>
      </c>
      <c r="J1879" s="1">
        <v>-4252300</v>
      </c>
      <c r="K1879">
        <v>685</v>
      </c>
      <c r="L1879">
        <v>552</v>
      </c>
      <c r="M1879" t="s">
        <v>16</v>
      </c>
    </row>
    <row r="1880" spans="1:13" x14ac:dyDescent="0.35">
      <c r="A1880">
        <v>290430</v>
      </c>
      <c r="B1880">
        <v>16438</v>
      </c>
      <c r="C1880" t="s">
        <v>2040</v>
      </c>
      <c r="D1880" t="s">
        <v>1972</v>
      </c>
      <c r="E1880" t="s">
        <v>1985</v>
      </c>
      <c r="F1880">
        <v>12677</v>
      </c>
      <c r="G1880">
        <v>1</v>
      </c>
      <c r="H1880" t="s">
        <v>16</v>
      </c>
      <c r="I1880" s="1">
        <v>-1310400</v>
      </c>
      <c r="J1880" s="1">
        <v>-3979600</v>
      </c>
      <c r="K1880">
        <v>611</v>
      </c>
      <c r="L1880">
        <v>481</v>
      </c>
      <c r="M1880" t="s">
        <v>16</v>
      </c>
    </row>
    <row r="1881" spans="1:13" x14ac:dyDescent="0.35">
      <c r="A1881">
        <v>290440</v>
      </c>
      <c r="B1881">
        <v>16446</v>
      </c>
      <c r="C1881" t="s">
        <v>2041</v>
      </c>
      <c r="D1881" t="s">
        <v>1972</v>
      </c>
      <c r="E1881" t="s">
        <v>2001</v>
      </c>
      <c r="F1881">
        <v>9337</v>
      </c>
      <c r="G1881">
        <v>1</v>
      </c>
      <c r="H1881" t="s">
        <v>16</v>
      </c>
      <c r="I1881" s="1">
        <v>-1248300</v>
      </c>
      <c r="J1881" s="1">
        <v>-4396600</v>
      </c>
      <c r="K1881">
        <v>542</v>
      </c>
      <c r="L1881">
        <v>2619</v>
      </c>
      <c r="M1881" t="s">
        <v>16</v>
      </c>
    </row>
    <row r="1882" spans="1:13" x14ac:dyDescent="0.35">
      <c r="A1882">
        <v>290450</v>
      </c>
      <c r="B1882">
        <v>16454</v>
      </c>
      <c r="C1882" t="s">
        <v>2042</v>
      </c>
      <c r="D1882" t="s">
        <v>1972</v>
      </c>
      <c r="E1882" t="s">
        <v>2038</v>
      </c>
      <c r="F1882">
        <v>10922</v>
      </c>
      <c r="G1882">
        <v>1</v>
      </c>
      <c r="H1882" t="s">
        <v>16</v>
      </c>
      <c r="I1882" s="1">
        <v>-1199900</v>
      </c>
      <c r="J1882" s="1">
        <v>-4262600</v>
      </c>
      <c r="K1882">
        <v>813</v>
      </c>
      <c r="L1882">
        <v>2372</v>
      </c>
      <c r="M1882" t="s">
        <v>16</v>
      </c>
    </row>
    <row r="1883" spans="1:13" x14ac:dyDescent="0.35">
      <c r="A1883">
        <v>290460</v>
      </c>
      <c r="B1883">
        <v>16462</v>
      </c>
      <c r="C1883" t="s">
        <v>2009</v>
      </c>
      <c r="D1883" t="s">
        <v>1972</v>
      </c>
      <c r="E1883" t="s">
        <v>2009</v>
      </c>
      <c r="F1883">
        <v>62381</v>
      </c>
      <c r="G1883">
        <v>2</v>
      </c>
      <c r="H1883" t="s">
        <v>16</v>
      </c>
      <c r="I1883" s="1">
        <v>-1420400</v>
      </c>
      <c r="J1883" s="1">
        <v>-4166500</v>
      </c>
      <c r="K1883">
        <v>422</v>
      </c>
      <c r="L1883">
        <v>2166</v>
      </c>
      <c r="M1883" t="s">
        <v>16</v>
      </c>
    </row>
    <row r="1884" spans="1:13" x14ac:dyDescent="0.35">
      <c r="A1884">
        <v>290470</v>
      </c>
      <c r="B1884">
        <v>16470</v>
      </c>
      <c r="C1884" t="s">
        <v>2043</v>
      </c>
      <c r="D1884" t="s">
        <v>1972</v>
      </c>
      <c r="E1884" t="s">
        <v>1989</v>
      </c>
      <c r="F1884">
        <v>19956</v>
      </c>
      <c r="G1884">
        <v>1</v>
      </c>
      <c r="H1884" t="s">
        <v>16</v>
      </c>
      <c r="I1884" s="1">
        <v>-1495900</v>
      </c>
      <c r="J1884" s="1">
        <v>-3930000</v>
      </c>
      <c r="K1884">
        <v>107</v>
      </c>
      <c r="L1884">
        <v>209</v>
      </c>
      <c r="M1884" t="s">
        <v>16</v>
      </c>
    </row>
    <row r="1885" spans="1:13" x14ac:dyDescent="0.35">
      <c r="A1885">
        <v>290475</v>
      </c>
      <c r="B1885">
        <v>19410</v>
      </c>
      <c r="C1885" t="s">
        <v>2044</v>
      </c>
      <c r="D1885" t="s">
        <v>1972</v>
      </c>
      <c r="E1885" t="s">
        <v>2022</v>
      </c>
      <c r="F1885">
        <v>18656</v>
      </c>
      <c r="G1885">
        <v>1</v>
      </c>
      <c r="H1885" t="s">
        <v>16</v>
      </c>
      <c r="I1885" s="1">
        <v>-1070800</v>
      </c>
      <c r="J1885" s="1">
        <v>-4363100</v>
      </c>
      <c r="K1885">
        <v>492</v>
      </c>
      <c r="L1885">
        <v>3797</v>
      </c>
      <c r="M1885" t="s">
        <v>16</v>
      </c>
    </row>
    <row r="1886" spans="1:13" x14ac:dyDescent="0.35">
      <c r="A1886">
        <v>290480</v>
      </c>
      <c r="B1886">
        <v>16489</v>
      </c>
      <c r="C1886" t="s">
        <v>2045</v>
      </c>
      <c r="D1886" t="s">
        <v>1972</v>
      </c>
      <c r="E1886" t="s">
        <v>1996</v>
      </c>
      <c r="F1886">
        <v>10367</v>
      </c>
      <c r="G1886">
        <v>1</v>
      </c>
      <c r="H1886" t="s">
        <v>16</v>
      </c>
      <c r="I1886" s="1">
        <v>-1497700</v>
      </c>
      <c r="J1886" s="1">
        <v>-4040800</v>
      </c>
      <c r="K1886">
        <v>307</v>
      </c>
      <c r="L1886">
        <v>655</v>
      </c>
      <c r="M1886" t="s">
        <v>16</v>
      </c>
    </row>
    <row r="1887" spans="1:13" x14ac:dyDescent="0.35">
      <c r="A1887">
        <v>290485</v>
      </c>
      <c r="B1887">
        <v>47724</v>
      </c>
      <c r="C1887" t="s">
        <v>2046</v>
      </c>
      <c r="D1887" t="s">
        <v>1972</v>
      </c>
      <c r="E1887" t="s">
        <v>2015</v>
      </c>
      <c r="F1887">
        <v>17502</v>
      </c>
      <c r="G1887">
        <v>1</v>
      </c>
      <c r="H1887" t="s">
        <v>16</v>
      </c>
      <c r="I1887" s="1">
        <v>-1253600</v>
      </c>
      <c r="J1887" s="1">
        <v>-3919100</v>
      </c>
      <c r="K1887">
        <v>210</v>
      </c>
      <c r="L1887">
        <v>213</v>
      </c>
      <c r="M1887" t="s">
        <v>16</v>
      </c>
    </row>
    <row r="1888" spans="1:13" x14ac:dyDescent="0.35">
      <c r="A1888">
        <v>290490</v>
      </c>
      <c r="B1888">
        <v>16497</v>
      </c>
      <c r="C1888" t="s">
        <v>2047</v>
      </c>
      <c r="D1888" t="s">
        <v>1972</v>
      </c>
      <c r="E1888" t="s">
        <v>2015</v>
      </c>
      <c r="F1888">
        <v>32252</v>
      </c>
      <c r="G1888">
        <v>1</v>
      </c>
      <c r="H1888" t="s">
        <v>16</v>
      </c>
      <c r="I1888" s="1">
        <v>-1261800</v>
      </c>
      <c r="J1888" s="1">
        <v>-3895600</v>
      </c>
      <c r="K1888">
        <v>5</v>
      </c>
      <c r="L1888">
        <v>398</v>
      </c>
      <c r="M1888" t="s">
        <v>16</v>
      </c>
    </row>
    <row r="1889" spans="1:13" x14ac:dyDescent="0.35">
      <c r="A1889">
        <v>290500</v>
      </c>
      <c r="B1889">
        <v>16500</v>
      </c>
      <c r="C1889" t="s">
        <v>2048</v>
      </c>
      <c r="D1889" t="s">
        <v>1972</v>
      </c>
      <c r="E1889" t="s">
        <v>2049</v>
      </c>
      <c r="F1889">
        <v>21847</v>
      </c>
      <c r="G1889">
        <v>1</v>
      </c>
      <c r="H1889" t="s">
        <v>16</v>
      </c>
      <c r="I1889" s="1">
        <v>-1450300</v>
      </c>
      <c r="J1889" s="1">
        <v>-4222200</v>
      </c>
      <c r="K1889">
        <v>587</v>
      </c>
      <c r="L1889">
        <v>685</v>
      </c>
      <c r="M1889" t="s">
        <v>16</v>
      </c>
    </row>
    <row r="1890" spans="1:13" x14ac:dyDescent="0.35">
      <c r="A1890">
        <v>290510</v>
      </c>
      <c r="B1890">
        <v>16519</v>
      </c>
      <c r="C1890" t="s">
        <v>2050</v>
      </c>
      <c r="D1890" t="s">
        <v>1972</v>
      </c>
      <c r="E1890" t="s">
        <v>2051</v>
      </c>
      <c r="F1890">
        <v>10377</v>
      </c>
      <c r="G1890">
        <v>1</v>
      </c>
      <c r="H1890" t="s">
        <v>16</v>
      </c>
      <c r="I1890" s="1">
        <v>-1109100</v>
      </c>
      <c r="J1890" s="1">
        <v>-4043500</v>
      </c>
      <c r="K1890">
        <v>472</v>
      </c>
      <c r="L1890">
        <v>497</v>
      </c>
      <c r="M1890" t="s">
        <v>16</v>
      </c>
    </row>
    <row r="1891" spans="1:13" x14ac:dyDescent="0.35">
      <c r="A1891">
        <v>290515</v>
      </c>
      <c r="B1891">
        <v>47120</v>
      </c>
      <c r="C1891" t="s">
        <v>2052</v>
      </c>
      <c r="D1891" t="s">
        <v>1972</v>
      </c>
      <c r="E1891" t="s">
        <v>1996</v>
      </c>
      <c r="F1891">
        <v>12133</v>
      </c>
      <c r="G1891">
        <v>1</v>
      </c>
      <c r="H1891" t="s">
        <v>16</v>
      </c>
      <c r="I1891" s="1">
        <v>-1433800</v>
      </c>
      <c r="J1891" s="1">
        <v>-4091000</v>
      </c>
      <c r="K1891">
        <v>455</v>
      </c>
      <c r="L1891">
        <v>857</v>
      </c>
      <c r="M1891" t="s">
        <v>16</v>
      </c>
    </row>
    <row r="1892" spans="1:13" x14ac:dyDescent="0.35">
      <c r="A1892">
        <v>290520</v>
      </c>
      <c r="B1892">
        <v>16527</v>
      </c>
      <c r="C1892" t="s">
        <v>2053</v>
      </c>
      <c r="D1892" t="s">
        <v>1972</v>
      </c>
      <c r="E1892" t="s">
        <v>2049</v>
      </c>
      <c r="F1892">
        <v>46192</v>
      </c>
      <c r="G1892">
        <v>1</v>
      </c>
      <c r="H1892" t="s">
        <v>16</v>
      </c>
      <c r="I1892" s="1">
        <v>-1406900</v>
      </c>
      <c r="J1892" s="1">
        <v>-4247500</v>
      </c>
      <c r="K1892">
        <v>824</v>
      </c>
      <c r="L1892">
        <v>2306</v>
      </c>
      <c r="M1892" t="s">
        <v>16</v>
      </c>
    </row>
    <row r="1893" spans="1:13" x14ac:dyDescent="0.35">
      <c r="A1893">
        <v>290530</v>
      </c>
      <c r="B1893">
        <v>16535</v>
      </c>
      <c r="C1893" t="s">
        <v>2054</v>
      </c>
      <c r="D1893" t="s">
        <v>1972</v>
      </c>
      <c r="E1893" t="s">
        <v>1994</v>
      </c>
      <c r="F1893">
        <v>17402</v>
      </c>
      <c r="G1893">
        <v>1</v>
      </c>
      <c r="H1893" t="s">
        <v>16</v>
      </c>
      <c r="I1893" s="1">
        <v>-1169400</v>
      </c>
      <c r="J1893" s="1">
        <v>-4146800</v>
      </c>
      <c r="K1893">
        <v>770</v>
      </c>
      <c r="L1893">
        <v>927</v>
      </c>
      <c r="M1893" t="s">
        <v>16</v>
      </c>
    </row>
    <row r="1894" spans="1:13" x14ac:dyDescent="0.35">
      <c r="A1894">
        <v>290540</v>
      </c>
      <c r="B1894">
        <v>16543</v>
      </c>
      <c r="C1894" t="s">
        <v>2055</v>
      </c>
      <c r="D1894" t="s">
        <v>1972</v>
      </c>
      <c r="E1894" t="s">
        <v>2056</v>
      </c>
      <c r="F1894">
        <v>13712</v>
      </c>
      <c r="G1894">
        <v>1</v>
      </c>
      <c r="H1894" t="s">
        <v>16</v>
      </c>
      <c r="I1894" s="1">
        <v>-1348700</v>
      </c>
      <c r="J1894" s="1">
        <v>-3904400</v>
      </c>
      <c r="K1894">
        <v>19</v>
      </c>
      <c r="L1894">
        <v>451</v>
      </c>
      <c r="M1894" t="s">
        <v>16</v>
      </c>
    </row>
    <row r="1895" spans="1:13" x14ac:dyDescent="0.35">
      <c r="A1895">
        <v>290550</v>
      </c>
      <c r="B1895">
        <v>16551</v>
      </c>
      <c r="C1895" t="s">
        <v>2057</v>
      </c>
      <c r="D1895" t="s">
        <v>1972</v>
      </c>
      <c r="E1895" t="s">
        <v>2051</v>
      </c>
      <c r="F1895">
        <v>13072</v>
      </c>
      <c r="G1895">
        <v>1</v>
      </c>
      <c r="H1895" t="s">
        <v>16</v>
      </c>
      <c r="I1895" s="1">
        <v>-1102000</v>
      </c>
      <c r="J1895" s="1">
        <v>-4030300</v>
      </c>
      <c r="K1895">
        <v>492</v>
      </c>
      <c r="L1895">
        <v>495</v>
      </c>
      <c r="M1895" t="s">
        <v>16</v>
      </c>
    </row>
    <row r="1896" spans="1:13" x14ac:dyDescent="0.35">
      <c r="A1896">
        <v>290560</v>
      </c>
      <c r="B1896">
        <v>16560</v>
      </c>
      <c r="C1896" t="s">
        <v>2058</v>
      </c>
      <c r="D1896" t="s">
        <v>1972</v>
      </c>
      <c r="E1896" t="s">
        <v>1989</v>
      </c>
      <c r="F1896">
        <v>30289</v>
      </c>
      <c r="G1896">
        <v>1</v>
      </c>
      <c r="H1896" t="s">
        <v>16</v>
      </c>
      <c r="I1896" s="1">
        <v>-1541900</v>
      </c>
      <c r="J1896" s="1">
        <v>-3949600</v>
      </c>
      <c r="K1896">
        <v>180</v>
      </c>
      <c r="L1896">
        <v>632</v>
      </c>
      <c r="M1896" t="s">
        <v>16</v>
      </c>
    </row>
    <row r="1897" spans="1:13" x14ac:dyDescent="0.35">
      <c r="A1897">
        <v>290570</v>
      </c>
      <c r="B1897">
        <v>16578</v>
      </c>
      <c r="C1897" t="s">
        <v>2059</v>
      </c>
      <c r="D1897" t="s">
        <v>1972</v>
      </c>
      <c r="E1897" t="s">
        <v>2060</v>
      </c>
      <c r="F1897">
        <v>220495</v>
      </c>
      <c r="G1897">
        <v>4</v>
      </c>
      <c r="H1897" t="s">
        <v>2061</v>
      </c>
      <c r="I1897" s="1">
        <v>-1269800</v>
      </c>
      <c r="J1897" s="1">
        <v>-3832400</v>
      </c>
      <c r="K1897">
        <v>36</v>
      </c>
      <c r="L1897">
        <v>759</v>
      </c>
      <c r="M1897" t="s">
        <v>16</v>
      </c>
    </row>
    <row r="1898" spans="1:13" x14ac:dyDescent="0.35">
      <c r="A1898">
        <v>290580</v>
      </c>
      <c r="B1898">
        <v>16586</v>
      </c>
      <c r="C1898" t="s">
        <v>2062</v>
      </c>
      <c r="D1898" t="s">
        <v>1972</v>
      </c>
      <c r="E1898" t="s">
        <v>2056</v>
      </c>
      <c r="F1898">
        <v>32172</v>
      </c>
      <c r="G1898">
        <v>1</v>
      </c>
      <c r="H1898" t="s">
        <v>16</v>
      </c>
      <c r="I1898" s="1">
        <v>-1394500</v>
      </c>
      <c r="J1898" s="1">
        <v>-3910400</v>
      </c>
      <c r="K1898">
        <v>40</v>
      </c>
      <c r="L1898">
        <v>885</v>
      </c>
      <c r="M1898" t="s">
        <v>16</v>
      </c>
    </row>
    <row r="1899" spans="1:13" x14ac:dyDescent="0.35">
      <c r="A1899">
        <v>290590</v>
      </c>
      <c r="B1899">
        <v>16594</v>
      </c>
      <c r="C1899" t="s">
        <v>2063</v>
      </c>
      <c r="D1899" t="s">
        <v>1972</v>
      </c>
      <c r="E1899" t="s">
        <v>2064</v>
      </c>
      <c r="F1899">
        <v>26935</v>
      </c>
      <c r="G1899">
        <v>1</v>
      </c>
      <c r="H1899" t="s">
        <v>16</v>
      </c>
      <c r="I1899" s="1">
        <v>-951600</v>
      </c>
      <c r="J1899" s="1">
        <v>-4301100</v>
      </c>
      <c r="K1899">
        <v>477</v>
      </c>
      <c r="L1899">
        <v>2753</v>
      </c>
      <c r="M1899" t="s">
        <v>16</v>
      </c>
    </row>
    <row r="1900" spans="1:13" x14ac:dyDescent="0.35">
      <c r="A1900">
        <v>290600</v>
      </c>
      <c r="B1900">
        <v>16608</v>
      </c>
      <c r="C1900" t="s">
        <v>2065</v>
      </c>
      <c r="D1900" t="s">
        <v>1972</v>
      </c>
      <c r="E1900" t="s">
        <v>1999</v>
      </c>
      <c r="F1900">
        <v>65137</v>
      </c>
      <c r="G1900">
        <v>2</v>
      </c>
      <c r="H1900" t="s">
        <v>16</v>
      </c>
      <c r="I1900" s="1">
        <v>-1050900</v>
      </c>
      <c r="J1900" s="1">
        <v>-4032100</v>
      </c>
      <c r="K1900">
        <v>556</v>
      </c>
      <c r="L1900">
        <v>6806</v>
      </c>
      <c r="M1900" t="s">
        <v>16</v>
      </c>
    </row>
    <row r="1901" spans="1:13" x14ac:dyDescent="0.35">
      <c r="A1901">
        <v>290610</v>
      </c>
      <c r="B1901">
        <v>16616</v>
      </c>
      <c r="C1901" t="s">
        <v>2066</v>
      </c>
      <c r="D1901" t="s">
        <v>1972</v>
      </c>
      <c r="E1901" t="s">
        <v>2067</v>
      </c>
      <c r="F1901">
        <v>10577</v>
      </c>
      <c r="G1901">
        <v>1</v>
      </c>
      <c r="H1901" t="s">
        <v>16</v>
      </c>
      <c r="I1901" s="1">
        <v>-1307000</v>
      </c>
      <c r="J1901" s="1">
        <v>-4420200</v>
      </c>
      <c r="K1901">
        <v>680</v>
      </c>
      <c r="L1901">
        <v>464</v>
      </c>
      <c r="M1901" t="s">
        <v>16</v>
      </c>
    </row>
    <row r="1902" spans="1:13" x14ac:dyDescent="0.35">
      <c r="A1902">
        <v>290620</v>
      </c>
      <c r="B1902">
        <v>16624</v>
      </c>
      <c r="C1902" t="s">
        <v>2068</v>
      </c>
      <c r="D1902" t="s">
        <v>1972</v>
      </c>
      <c r="E1902" t="s">
        <v>1994</v>
      </c>
      <c r="F1902">
        <v>24436</v>
      </c>
      <c r="G1902">
        <v>1</v>
      </c>
      <c r="H1902" t="s">
        <v>16</v>
      </c>
      <c r="I1902" s="1">
        <v>-1168500</v>
      </c>
      <c r="J1902" s="1">
        <v>-4176900</v>
      </c>
      <c r="K1902">
        <v>691</v>
      </c>
      <c r="L1902">
        <v>617</v>
      </c>
      <c r="M1902" t="s">
        <v>16</v>
      </c>
    </row>
    <row r="1903" spans="1:13" x14ac:dyDescent="0.35">
      <c r="A1903">
        <v>290630</v>
      </c>
      <c r="B1903">
        <v>16632</v>
      </c>
      <c r="C1903" t="s">
        <v>2069</v>
      </c>
      <c r="D1903" t="s">
        <v>1972</v>
      </c>
      <c r="E1903" t="s">
        <v>1989</v>
      </c>
      <c r="F1903">
        <v>35743</v>
      </c>
      <c r="G1903">
        <v>1</v>
      </c>
      <c r="H1903" t="s">
        <v>16</v>
      </c>
      <c r="I1903" s="1">
        <v>-1567500</v>
      </c>
      <c r="J1903" s="1">
        <v>-3894700</v>
      </c>
      <c r="K1903">
        <v>4</v>
      </c>
      <c r="L1903">
        <v>1375</v>
      </c>
      <c r="M1903" t="s">
        <v>16</v>
      </c>
    </row>
    <row r="1904" spans="1:13" x14ac:dyDescent="0.35">
      <c r="A1904">
        <v>290640</v>
      </c>
      <c r="B1904">
        <v>16640</v>
      </c>
      <c r="C1904" t="s">
        <v>2070</v>
      </c>
      <c r="D1904" t="s">
        <v>1972</v>
      </c>
      <c r="E1904" t="s">
        <v>1372</v>
      </c>
      <c r="F1904">
        <v>9019</v>
      </c>
      <c r="G1904">
        <v>1</v>
      </c>
      <c r="H1904" t="s">
        <v>16</v>
      </c>
      <c r="I1904" s="1">
        <v>-1180800</v>
      </c>
      <c r="J1904" s="1">
        <v>-3911900</v>
      </c>
      <c r="K1904">
        <v>240</v>
      </c>
      <c r="L1904">
        <v>455</v>
      </c>
      <c r="M1904" t="s">
        <v>16</v>
      </c>
    </row>
    <row r="1905" spans="1:13" x14ac:dyDescent="0.35">
      <c r="A1905">
        <v>290650</v>
      </c>
      <c r="B1905">
        <v>16659</v>
      </c>
      <c r="C1905" t="s">
        <v>2071</v>
      </c>
      <c r="D1905" t="s">
        <v>1972</v>
      </c>
      <c r="E1905" t="s">
        <v>2060</v>
      </c>
      <c r="F1905">
        <v>78618</v>
      </c>
      <c r="G1905">
        <v>4</v>
      </c>
      <c r="H1905" t="s">
        <v>2061</v>
      </c>
      <c r="I1905" s="1">
        <v>-1266800</v>
      </c>
      <c r="J1905" s="1">
        <v>-3855100</v>
      </c>
      <c r="K1905">
        <v>97</v>
      </c>
      <c r="L1905">
        <v>264</v>
      </c>
      <c r="M1905" t="s">
        <v>16</v>
      </c>
    </row>
    <row r="1906" spans="1:13" x14ac:dyDescent="0.35">
      <c r="A1906">
        <v>290660</v>
      </c>
      <c r="B1906">
        <v>16667</v>
      </c>
      <c r="C1906" t="s">
        <v>2072</v>
      </c>
      <c r="D1906" t="s">
        <v>1972</v>
      </c>
      <c r="E1906" t="s">
        <v>2049</v>
      </c>
      <c r="F1906">
        <v>12352</v>
      </c>
      <c r="G1906">
        <v>1</v>
      </c>
      <c r="H1906" t="s">
        <v>16</v>
      </c>
      <c r="I1906" s="1">
        <v>-1441100</v>
      </c>
      <c r="J1906" s="1">
        <v>-4286700</v>
      </c>
      <c r="K1906">
        <v>578</v>
      </c>
      <c r="L1906">
        <v>397</v>
      </c>
      <c r="M1906" t="s">
        <v>16</v>
      </c>
    </row>
    <row r="1907" spans="1:13" x14ac:dyDescent="0.35">
      <c r="A1907">
        <v>290670</v>
      </c>
      <c r="B1907">
        <v>16675</v>
      </c>
      <c r="C1907" t="s">
        <v>2073</v>
      </c>
      <c r="D1907" t="s">
        <v>1972</v>
      </c>
      <c r="E1907" t="s">
        <v>1996</v>
      </c>
      <c r="F1907">
        <v>26727</v>
      </c>
      <c r="G1907">
        <v>1</v>
      </c>
      <c r="H1907" t="s">
        <v>16</v>
      </c>
      <c r="I1907" s="1">
        <v>-1550500</v>
      </c>
      <c r="J1907" s="1">
        <v>-4123900</v>
      </c>
      <c r="K1907">
        <v>627</v>
      </c>
      <c r="L1907">
        <v>1301</v>
      </c>
      <c r="M1907" t="s">
        <v>16</v>
      </c>
    </row>
    <row r="1908" spans="1:13" x14ac:dyDescent="0.35">
      <c r="A1908">
        <v>290680</v>
      </c>
      <c r="B1908">
        <v>16683</v>
      </c>
      <c r="C1908" t="s">
        <v>2074</v>
      </c>
      <c r="D1908" t="s">
        <v>1972</v>
      </c>
      <c r="E1908" t="s">
        <v>2075</v>
      </c>
      <c r="F1908">
        <v>32789</v>
      </c>
      <c r="G1908">
        <v>1</v>
      </c>
      <c r="H1908" t="s">
        <v>16</v>
      </c>
      <c r="I1908" s="1">
        <v>-1067100</v>
      </c>
      <c r="J1908" s="1">
        <v>-3949800</v>
      </c>
      <c r="K1908">
        <v>395</v>
      </c>
      <c r="L1908">
        <v>1319</v>
      </c>
      <c r="M1908" t="s">
        <v>16</v>
      </c>
    </row>
    <row r="1909" spans="1:13" x14ac:dyDescent="0.35">
      <c r="A1909">
        <v>290682</v>
      </c>
      <c r="B1909">
        <v>19429</v>
      </c>
      <c r="C1909" t="s">
        <v>2076</v>
      </c>
      <c r="D1909" t="s">
        <v>1972</v>
      </c>
      <c r="E1909" t="s">
        <v>2075</v>
      </c>
      <c r="F1909">
        <v>14656</v>
      </c>
      <c r="G1909">
        <v>1</v>
      </c>
      <c r="H1909" t="s">
        <v>16</v>
      </c>
      <c r="I1909" s="1">
        <v>-996400</v>
      </c>
      <c r="J1909" s="1">
        <v>-3916400</v>
      </c>
      <c r="K1909">
        <v>402</v>
      </c>
      <c r="L1909">
        <v>2984</v>
      </c>
      <c r="M1909" t="s">
        <v>16</v>
      </c>
    </row>
    <row r="1910" spans="1:13" x14ac:dyDescent="0.35">
      <c r="A1910">
        <v>290685</v>
      </c>
      <c r="B1910">
        <v>19437</v>
      </c>
      <c r="C1910" t="s">
        <v>2077</v>
      </c>
      <c r="D1910" t="s">
        <v>1972</v>
      </c>
      <c r="E1910" t="s">
        <v>1372</v>
      </c>
      <c r="F1910">
        <v>12311</v>
      </c>
      <c r="G1910">
        <v>1</v>
      </c>
      <c r="H1910" t="s">
        <v>16</v>
      </c>
      <c r="I1910" s="1">
        <v>-1166800</v>
      </c>
      <c r="J1910" s="1">
        <v>-3983800</v>
      </c>
      <c r="K1910">
        <v>412</v>
      </c>
      <c r="L1910">
        <v>655</v>
      </c>
      <c r="M1910" t="s">
        <v>16</v>
      </c>
    </row>
    <row r="1911" spans="1:13" x14ac:dyDescent="0.35">
      <c r="A1911">
        <v>290687</v>
      </c>
      <c r="B1911">
        <v>19445</v>
      </c>
      <c r="C1911" t="s">
        <v>2078</v>
      </c>
      <c r="D1911" t="s">
        <v>1972</v>
      </c>
      <c r="E1911" t="s">
        <v>2051</v>
      </c>
      <c r="F1911">
        <v>25823</v>
      </c>
      <c r="G1911">
        <v>1</v>
      </c>
      <c r="H1911" t="s">
        <v>16</v>
      </c>
      <c r="I1911" s="1">
        <v>-1138100</v>
      </c>
      <c r="J1911" s="1">
        <v>-4001300</v>
      </c>
      <c r="K1911">
        <v>416</v>
      </c>
      <c r="L1911">
        <v>350</v>
      </c>
      <c r="M1911" t="s">
        <v>16</v>
      </c>
    </row>
    <row r="1912" spans="1:13" x14ac:dyDescent="0.35">
      <c r="A1912">
        <v>290689</v>
      </c>
      <c r="B1912">
        <v>47139</v>
      </c>
      <c r="C1912" t="s">
        <v>2079</v>
      </c>
      <c r="D1912" t="s">
        <v>1972</v>
      </c>
      <c r="E1912" t="s">
        <v>2009</v>
      </c>
      <c r="F1912">
        <v>10541</v>
      </c>
      <c r="G1912">
        <v>1</v>
      </c>
      <c r="H1912" t="s">
        <v>16</v>
      </c>
      <c r="I1912" s="1">
        <v>-1460000</v>
      </c>
      <c r="J1912" s="1">
        <v>-4133500</v>
      </c>
      <c r="K1912">
        <v>401</v>
      </c>
      <c r="L1912">
        <v>1125</v>
      </c>
      <c r="M1912" t="s">
        <v>16</v>
      </c>
    </row>
    <row r="1913" spans="1:13" x14ac:dyDescent="0.35">
      <c r="A1913">
        <v>290690</v>
      </c>
      <c r="B1913">
        <v>16691</v>
      </c>
      <c r="C1913" t="s">
        <v>2080</v>
      </c>
      <c r="D1913" t="s">
        <v>1972</v>
      </c>
      <c r="E1913" t="s">
        <v>1987</v>
      </c>
      <c r="F1913">
        <v>21150</v>
      </c>
      <c r="G1913">
        <v>1</v>
      </c>
      <c r="H1913" t="s">
        <v>16</v>
      </c>
      <c r="I1913" s="1">
        <v>-1773200</v>
      </c>
      <c r="J1913" s="1">
        <v>-3926600</v>
      </c>
      <c r="K1913">
        <v>10</v>
      </c>
      <c r="L1913">
        <v>2361</v>
      </c>
      <c r="M1913" t="s">
        <v>16</v>
      </c>
    </row>
    <row r="1914" spans="1:13" x14ac:dyDescent="0.35">
      <c r="A1914">
        <v>290700</v>
      </c>
      <c r="B1914">
        <v>16705</v>
      </c>
      <c r="C1914" t="s">
        <v>2081</v>
      </c>
      <c r="D1914" t="s">
        <v>1972</v>
      </c>
      <c r="E1914" t="s">
        <v>2082</v>
      </c>
      <c r="F1914">
        <v>8280</v>
      </c>
      <c r="G1914">
        <v>1</v>
      </c>
      <c r="H1914" t="s">
        <v>16</v>
      </c>
      <c r="I1914" s="1">
        <v>-1194200</v>
      </c>
      <c r="J1914" s="1">
        <v>-3794900</v>
      </c>
      <c r="K1914">
        <v>60</v>
      </c>
      <c r="L1914">
        <v>184</v>
      </c>
      <c r="M1914" t="s">
        <v>16</v>
      </c>
    </row>
    <row r="1915" spans="1:13" x14ac:dyDescent="0.35">
      <c r="A1915">
        <v>290710</v>
      </c>
      <c r="B1915">
        <v>16713</v>
      </c>
      <c r="C1915" t="s">
        <v>2083</v>
      </c>
      <c r="D1915" t="s">
        <v>1972</v>
      </c>
      <c r="E1915" t="s">
        <v>2035</v>
      </c>
      <c r="F1915">
        <v>28879</v>
      </c>
      <c r="G1915">
        <v>1</v>
      </c>
      <c r="H1915" t="s">
        <v>16</v>
      </c>
      <c r="I1915" s="1">
        <v>-1430500</v>
      </c>
      <c r="J1915" s="1">
        <v>-4376500</v>
      </c>
      <c r="K1915">
        <v>440</v>
      </c>
      <c r="L1915">
        <v>2751</v>
      </c>
      <c r="M1915" t="s">
        <v>16</v>
      </c>
    </row>
    <row r="1916" spans="1:13" x14ac:dyDescent="0.35">
      <c r="A1916">
        <v>290720</v>
      </c>
      <c r="B1916">
        <v>16721</v>
      </c>
      <c r="C1916" t="s">
        <v>2084</v>
      </c>
      <c r="D1916" t="s">
        <v>1972</v>
      </c>
      <c r="E1916" t="s">
        <v>2064</v>
      </c>
      <c r="F1916">
        <v>62862</v>
      </c>
      <c r="G1916">
        <v>4</v>
      </c>
      <c r="H1916" t="s">
        <v>1718</v>
      </c>
      <c r="I1916" s="1">
        <v>-916200</v>
      </c>
      <c r="J1916" s="1">
        <v>-4097100</v>
      </c>
      <c r="K1916">
        <v>397</v>
      </c>
      <c r="L1916">
        <v>9657</v>
      </c>
      <c r="M1916" t="s">
        <v>16</v>
      </c>
    </row>
    <row r="1917" spans="1:13" x14ac:dyDescent="0.35">
      <c r="A1917">
        <v>290730</v>
      </c>
      <c r="B1917">
        <v>16730</v>
      </c>
      <c r="C1917" t="s">
        <v>2085</v>
      </c>
      <c r="D1917" t="s">
        <v>1972</v>
      </c>
      <c r="E1917" t="s">
        <v>2015</v>
      </c>
      <c r="F1917">
        <v>24437</v>
      </c>
      <c r="G1917">
        <v>1</v>
      </c>
      <c r="H1917" t="s">
        <v>16</v>
      </c>
      <c r="I1917" s="1">
        <v>-1276600</v>
      </c>
      <c r="J1917" s="1">
        <v>-3942800</v>
      </c>
      <c r="K1917">
        <v>278</v>
      </c>
      <c r="L1917">
        <v>762</v>
      </c>
      <c r="M1917" t="s">
        <v>16</v>
      </c>
    </row>
    <row r="1918" spans="1:13" x14ac:dyDescent="0.35">
      <c r="A1918">
        <v>290740</v>
      </c>
      <c r="B1918">
        <v>16748</v>
      </c>
      <c r="C1918" t="s">
        <v>2086</v>
      </c>
      <c r="D1918" t="s">
        <v>1972</v>
      </c>
      <c r="E1918" t="s">
        <v>2018</v>
      </c>
      <c r="F1918">
        <v>3767</v>
      </c>
      <c r="G1918">
        <v>1</v>
      </c>
      <c r="H1918" t="s">
        <v>16</v>
      </c>
      <c r="I1918" s="1">
        <v>-1231800</v>
      </c>
      <c r="J1918" s="1">
        <v>-4486100</v>
      </c>
      <c r="K1918">
        <v>650</v>
      </c>
      <c r="L1918">
        <v>659</v>
      </c>
      <c r="M1918" t="s">
        <v>16</v>
      </c>
    </row>
    <row r="1919" spans="1:13" x14ac:dyDescent="0.35">
      <c r="A1919">
        <v>290750</v>
      </c>
      <c r="B1919">
        <v>16756</v>
      </c>
      <c r="C1919" t="s">
        <v>1992</v>
      </c>
      <c r="D1919" t="s">
        <v>1972</v>
      </c>
      <c r="E1919" t="s">
        <v>1992</v>
      </c>
      <c r="F1919">
        <v>48697</v>
      </c>
      <c r="G1919">
        <v>1</v>
      </c>
      <c r="H1919" t="s">
        <v>16</v>
      </c>
      <c r="I1919" s="1">
        <v>-1235300</v>
      </c>
      <c r="J1919" s="1">
        <v>-3837900</v>
      </c>
      <c r="K1919">
        <v>100</v>
      </c>
      <c r="L1919">
        <v>439</v>
      </c>
      <c r="M1919" t="s">
        <v>16</v>
      </c>
    </row>
    <row r="1920" spans="1:13" x14ac:dyDescent="0.35">
      <c r="A1920">
        <v>290755</v>
      </c>
      <c r="B1920">
        <v>47732</v>
      </c>
      <c r="C1920" t="s">
        <v>2087</v>
      </c>
      <c r="D1920" t="s">
        <v>1972</v>
      </c>
      <c r="E1920" t="s">
        <v>2038</v>
      </c>
      <c r="F1920">
        <v>8545</v>
      </c>
      <c r="G1920">
        <v>1</v>
      </c>
      <c r="H1920" t="s">
        <v>16</v>
      </c>
      <c r="I1920" s="1">
        <v>-1332900</v>
      </c>
      <c r="J1920" s="1">
        <v>-4229100</v>
      </c>
      <c r="K1920">
        <v>591</v>
      </c>
      <c r="L1920">
        <v>646</v>
      </c>
      <c r="M1920" t="s">
        <v>16</v>
      </c>
    </row>
    <row r="1921" spans="1:13" x14ac:dyDescent="0.35">
      <c r="A1921">
        <v>290760</v>
      </c>
      <c r="B1921">
        <v>16764</v>
      </c>
      <c r="C1921" t="s">
        <v>2088</v>
      </c>
      <c r="D1921" t="s">
        <v>1972</v>
      </c>
      <c r="E1921" t="s">
        <v>1994</v>
      </c>
      <c r="F1921">
        <v>17320</v>
      </c>
      <c r="G1921">
        <v>1</v>
      </c>
      <c r="H1921" t="s">
        <v>16</v>
      </c>
      <c r="I1921" s="1">
        <v>-1113600</v>
      </c>
      <c r="J1921" s="1">
        <v>-4211300</v>
      </c>
      <c r="K1921">
        <v>698</v>
      </c>
      <c r="L1921">
        <v>606</v>
      </c>
      <c r="M1921" t="s">
        <v>16</v>
      </c>
    </row>
    <row r="1922" spans="1:13" x14ac:dyDescent="0.35">
      <c r="A1922">
        <v>290770</v>
      </c>
      <c r="B1922">
        <v>16772</v>
      </c>
      <c r="C1922" t="s">
        <v>2089</v>
      </c>
      <c r="D1922" t="s">
        <v>1972</v>
      </c>
      <c r="E1922" t="s">
        <v>1975</v>
      </c>
      <c r="F1922">
        <v>10571</v>
      </c>
      <c r="G1922">
        <v>1</v>
      </c>
      <c r="H1922" t="s">
        <v>16</v>
      </c>
      <c r="I1922" s="1">
        <v>-898000</v>
      </c>
      <c r="J1922" s="1">
        <v>-3909400</v>
      </c>
      <c r="K1922">
        <v>350</v>
      </c>
      <c r="L1922">
        <v>2647</v>
      </c>
      <c r="M1922" t="s">
        <v>16</v>
      </c>
    </row>
    <row r="1923" spans="1:13" x14ac:dyDescent="0.35">
      <c r="A1923">
        <v>290780</v>
      </c>
      <c r="B1923">
        <v>16780</v>
      </c>
      <c r="C1923" t="s">
        <v>2090</v>
      </c>
      <c r="D1923" t="s">
        <v>1972</v>
      </c>
      <c r="E1923" t="s">
        <v>1979</v>
      </c>
      <c r="F1923">
        <v>30827</v>
      </c>
      <c r="G1923">
        <v>1</v>
      </c>
      <c r="H1923" t="s">
        <v>16</v>
      </c>
      <c r="I1923" s="1">
        <v>-1060000</v>
      </c>
      <c r="J1923" s="1">
        <v>-3838300</v>
      </c>
      <c r="K1923">
        <v>436</v>
      </c>
      <c r="L1923">
        <v>658</v>
      </c>
      <c r="M1923" t="s">
        <v>16</v>
      </c>
    </row>
    <row r="1924" spans="1:13" x14ac:dyDescent="0.35">
      <c r="A1924">
        <v>290790</v>
      </c>
      <c r="B1924">
        <v>16799</v>
      </c>
      <c r="C1924" t="s">
        <v>2091</v>
      </c>
      <c r="D1924" t="s">
        <v>1972</v>
      </c>
      <c r="E1924" t="s">
        <v>1979</v>
      </c>
      <c r="F1924">
        <v>15063</v>
      </c>
      <c r="G1924">
        <v>1</v>
      </c>
      <c r="H1924" t="s">
        <v>16</v>
      </c>
      <c r="I1924" s="1">
        <v>-1110000</v>
      </c>
      <c r="J1924" s="1">
        <v>-3851700</v>
      </c>
      <c r="K1924">
        <v>132</v>
      </c>
      <c r="L1924">
        <v>166</v>
      </c>
      <c r="M1924" t="s">
        <v>16</v>
      </c>
    </row>
    <row r="1925" spans="1:13" x14ac:dyDescent="0.35">
      <c r="A1925">
        <v>290800</v>
      </c>
      <c r="B1925">
        <v>16802</v>
      </c>
      <c r="C1925" t="s">
        <v>2092</v>
      </c>
      <c r="D1925" t="s">
        <v>1972</v>
      </c>
      <c r="E1925" t="s">
        <v>1989</v>
      </c>
      <c r="F1925">
        <v>22764</v>
      </c>
      <c r="G1925">
        <v>1</v>
      </c>
      <c r="H1925" t="s">
        <v>16</v>
      </c>
      <c r="I1925" s="1">
        <v>-1464100</v>
      </c>
      <c r="J1925" s="1">
        <v>-3955100</v>
      </c>
      <c r="K1925">
        <v>195</v>
      </c>
      <c r="L1925">
        <v>296</v>
      </c>
      <c r="M1925" t="s">
        <v>16</v>
      </c>
    </row>
    <row r="1926" spans="1:13" x14ac:dyDescent="0.35">
      <c r="A1926">
        <v>290810</v>
      </c>
      <c r="B1926">
        <v>16810</v>
      </c>
      <c r="C1926" t="s">
        <v>2093</v>
      </c>
      <c r="D1926" t="s">
        <v>1972</v>
      </c>
      <c r="E1926" t="s">
        <v>2067</v>
      </c>
      <c r="F1926">
        <v>17394</v>
      </c>
      <c r="G1926">
        <v>1</v>
      </c>
      <c r="H1926" t="s">
        <v>16</v>
      </c>
      <c r="I1926" s="1">
        <v>-1418400</v>
      </c>
      <c r="J1926" s="1">
        <v>-4453400</v>
      </c>
      <c r="K1926">
        <v>559</v>
      </c>
      <c r="L1926">
        <v>10084</v>
      </c>
      <c r="M1926" t="s">
        <v>16</v>
      </c>
    </row>
    <row r="1927" spans="1:13" x14ac:dyDescent="0.35">
      <c r="A1927">
        <v>290820</v>
      </c>
      <c r="B1927">
        <v>16829</v>
      </c>
      <c r="C1927" t="s">
        <v>2094</v>
      </c>
      <c r="D1927" t="s">
        <v>1972</v>
      </c>
      <c r="E1927" t="s">
        <v>1981</v>
      </c>
      <c r="F1927">
        <v>19091</v>
      </c>
      <c r="G1927">
        <v>1</v>
      </c>
      <c r="H1927" t="s">
        <v>16</v>
      </c>
      <c r="I1927" s="1">
        <v>-1250600</v>
      </c>
      <c r="J1927" s="1">
        <v>-3899900</v>
      </c>
      <c r="K1927">
        <v>227</v>
      </c>
      <c r="L1927">
        <v>159</v>
      </c>
      <c r="M1927" t="s">
        <v>16</v>
      </c>
    </row>
    <row r="1928" spans="1:13" x14ac:dyDescent="0.35">
      <c r="A1928">
        <v>290830</v>
      </c>
      <c r="B1928">
        <v>16837</v>
      </c>
      <c r="C1928" t="s">
        <v>2095</v>
      </c>
      <c r="D1928" t="s">
        <v>1972</v>
      </c>
      <c r="E1928" t="s">
        <v>2015</v>
      </c>
      <c r="F1928">
        <v>17684</v>
      </c>
      <c r="G1928">
        <v>1</v>
      </c>
      <c r="H1928" t="s">
        <v>16</v>
      </c>
      <c r="I1928" s="1">
        <v>-1280900</v>
      </c>
      <c r="J1928" s="1">
        <v>-3916400</v>
      </c>
      <c r="K1928">
        <v>216</v>
      </c>
      <c r="L1928">
        <v>281</v>
      </c>
      <c r="M1928" t="s">
        <v>16</v>
      </c>
    </row>
    <row r="1929" spans="1:13" x14ac:dyDescent="0.35">
      <c r="A1929">
        <v>290840</v>
      </c>
      <c r="B1929">
        <v>16845</v>
      </c>
      <c r="C1929" t="s">
        <v>2096</v>
      </c>
      <c r="D1929" t="s">
        <v>1972</v>
      </c>
      <c r="E1929" t="s">
        <v>1372</v>
      </c>
      <c r="F1929">
        <v>60835</v>
      </c>
      <c r="G1929">
        <v>2</v>
      </c>
      <c r="H1929" t="s">
        <v>16</v>
      </c>
      <c r="I1929" s="1">
        <v>-1156400</v>
      </c>
      <c r="J1929" s="1">
        <v>-3928300</v>
      </c>
      <c r="K1929">
        <v>440</v>
      </c>
      <c r="L1929">
        <v>1086</v>
      </c>
      <c r="M1929" t="s">
        <v>16</v>
      </c>
    </row>
    <row r="1930" spans="1:13" x14ac:dyDescent="0.35">
      <c r="A1930">
        <v>290850</v>
      </c>
      <c r="B1930">
        <v>16853</v>
      </c>
      <c r="C1930" t="s">
        <v>2097</v>
      </c>
      <c r="D1930" t="s">
        <v>1972</v>
      </c>
      <c r="E1930" t="s">
        <v>1981</v>
      </c>
      <c r="F1930">
        <v>27522</v>
      </c>
      <c r="G1930">
        <v>1</v>
      </c>
      <c r="H1930" t="s">
        <v>16</v>
      </c>
      <c r="I1930" s="1">
        <v>-1232700</v>
      </c>
      <c r="J1930" s="1">
        <v>-3876500</v>
      </c>
      <c r="K1930">
        <v>219</v>
      </c>
      <c r="L1930">
        <v>115</v>
      </c>
      <c r="M1930" t="s">
        <v>16</v>
      </c>
    </row>
    <row r="1931" spans="1:13" x14ac:dyDescent="0.35">
      <c r="A1931">
        <v>290860</v>
      </c>
      <c r="B1931">
        <v>16861</v>
      </c>
      <c r="C1931" t="s">
        <v>1465</v>
      </c>
      <c r="D1931" t="s">
        <v>1972</v>
      </c>
      <c r="E1931" t="s">
        <v>2082</v>
      </c>
      <c r="F1931">
        <v>22034</v>
      </c>
      <c r="G1931">
        <v>1</v>
      </c>
      <c r="H1931" t="s">
        <v>16</v>
      </c>
      <c r="I1931" s="1">
        <v>-1181400</v>
      </c>
      <c r="J1931" s="1">
        <v>-3761100</v>
      </c>
      <c r="K1931">
        <v>12</v>
      </c>
      <c r="L1931">
        <v>950</v>
      </c>
      <c r="M1931" t="s">
        <v>16</v>
      </c>
    </row>
    <row r="1932" spans="1:13" x14ac:dyDescent="0.35">
      <c r="A1932">
        <v>290870</v>
      </c>
      <c r="B1932">
        <v>16870</v>
      </c>
      <c r="C1932" t="s">
        <v>2098</v>
      </c>
      <c r="D1932" t="s">
        <v>1972</v>
      </c>
      <c r="E1932" t="s">
        <v>2009</v>
      </c>
      <c r="F1932">
        <v>17004</v>
      </c>
      <c r="G1932">
        <v>1</v>
      </c>
      <c r="H1932" t="s">
        <v>16</v>
      </c>
      <c r="I1932" s="1">
        <v>-1489500</v>
      </c>
      <c r="J1932" s="1">
        <v>-4196900</v>
      </c>
      <c r="K1932">
        <v>680</v>
      </c>
      <c r="L1932">
        <v>1236</v>
      </c>
      <c r="M1932" t="s">
        <v>16</v>
      </c>
    </row>
    <row r="1933" spans="1:13" x14ac:dyDescent="0.35">
      <c r="A1933">
        <v>290880</v>
      </c>
      <c r="B1933">
        <v>16888</v>
      </c>
      <c r="C1933" t="s">
        <v>2099</v>
      </c>
      <c r="D1933" t="s">
        <v>1972</v>
      </c>
      <c r="E1933" t="s">
        <v>1973</v>
      </c>
      <c r="F1933">
        <v>3857</v>
      </c>
      <c r="G1933">
        <v>1</v>
      </c>
      <c r="H1933" t="s">
        <v>16</v>
      </c>
      <c r="I1933" s="1">
        <v>-1376300</v>
      </c>
      <c r="J1933" s="1">
        <v>-4104100</v>
      </c>
      <c r="K1933">
        <v>291</v>
      </c>
      <c r="L1933">
        <v>862</v>
      </c>
      <c r="M1933" t="s">
        <v>16</v>
      </c>
    </row>
    <row r="1934" spans="1:13" x14ac:dyDescent="0.35">
      <c r="A1934">
        <v>290890</v>
      </c>
      <c r="B1934">
        <v>16896</v>
      </c>
      <c r="C1934" t="s">
        <v>2100</v>
      </c>
      <c r="D1934" t="s">
        <v>1972</v>
      </c>
      <c r="E1934" t="s">
        <v>1981</v>
      </c>
      <c r="F1934">
        <v>23161</v>
      </c>
      <c r="G1934">
        <v>1</v>
      </c>
      <c r="H1934" t="s">
        <v>16</v>
      </c>
      <c r="I1934" s="1">
        <v>-1223300</v>
      </c>
      <c r="J1934" s="1">
        <v>-3875000</v>
      </c>
      <c r="K1934">
        <v>240</v>
      </c>
      <c r="L1934">
        <v>372</v>
      </c>
      <c r="M1934" t="s">
        <v>16</v>
      </c>
    </row>
    <row r="1935" spans="1:13" x14ac:dyDescent="0.35">
      <c r="A1935">
        <v>290900</v>
      </c>
      <c r="B1935">
        <v>16900</v>
      </c>
      <c r="C1935" t="s">
        <v>2101</v>
      </c>
      <c r="D1935" t="s">
        <v>1972</v>
      </c>
      <c r="E1935" t="s">
        <v>2009</v>
      </c>
      <c r="F1935">
        <v>8518</v>
      </c>
      <c r="G1935">
        <v>1</v>
      </c>
      <c r="H1935" t="s">
        <v>16</v>
      </c>
      <c r="I1935" s="1">
        <v>-1503900</v>
      </c>
      <c r="J1935" s="1">
        <v>-4193500</v>
      </c>
      <c r="K1935">
        <v>710</v>
      </c>
      <c r="L1935">
        <v>554</v>
      </c>
      <c r="M1935" t="s">
        <v>16</v>
      </c>
    </row>
    <row r="1936" spans="1:13" x14ac:dyDescent="0.35">
      <c r="A1936">
        <v>290910</v>
      </c>
      <c r="B1936">
        <v>16918</v>
      </c>
      <c r="C1936" t="s">
        <v>2102</v>
      </c>
      <c r="D1936" t="s">
        <v>1972</v>
      </c>
      <c r="E1936" t="s">
        <v>2067</v>
      </c>
      <c r="F1936">
        <v>14555</v>
      </c>
      <c r="G1936">
        <v>1</v>
      </c>
      <c r="H1936" t="s">
        <v>16</v>
      </c>
      <c r="I1936" s="1">
        <v>-1382900</v>
      </c>
      <c r="J1936" s="1">
        <v>-4445400</v>
      </c>
      <c r="K1936">
        <v>657</v>
      </c>
      <c r="L1936">
        <v>2678</v>
      </c>
      <c r="M1936" t="s">
        <v>16</v>
      </c>
    </row>
    <row r="1937" spans="1:13" x14ac:dyDescent="0.35">
      <c r="A1937">
        <v>290920</v>
      </c>
      <c r="B1937">
        <v>16926</v>
      </c>
      <c r="C1937" t="s">
        <v>2103</v>
      </c>
      <c r="D1937" t="s">
        <v>1972</v>
      </c>
      <c r="E1937" t="s">
        <v>2104</v>
      </c>
      <c r="F1937">
        <v>18168</v>
      </c>
      <c r="G1937">
        <v>1</v>
      </c>
      <c r="H1937" t="s">
        <v>16</v>
      </c>
      <c r="I1937" s="1">
        <v>-1028400</v>
      </c>
      <c r="J1937" s="1">
        <v>-3792600</v>
      </c>
      <c r="K1937">
        <v>200</v>
      </c>
      <c r="L1937">
        <v>825</v>
      </c>
      <c r="M1937" t="s">
        <v>16</v>
      </c>
    </row>
    <row r="1938" spans="1:13" x14ac:dyDescent="0.35">
      <c r="A1938">
        <v>290930</v>
      </c>
      <c r="B1938">
        <v>16934</v>
      </c>
      <c r="C1938" t="s">
        <v>2105</v>
      </c>
      <c r="D1938" t="s">
        <v>1972</v>
      </c>
      <c r="E1938" t="s">
        <v>2067</v>
      </c>
      <c r="F1938">
        <v>31658</v>
      </c>
      <c r="G1938">
        <v>1</v>
      </c>
      <c r="H1938" t="s">
        <v>16</v>
      </c>
      <c r="I1938" s="1">
        <v>-1334300</v>
      </c>
      <c r="J1938" s="1">
        <v>-4463700</v>
      </c>
      <c r="K1938">
        <v>561</v>
      </c>
      <c r="L1938">
        <v>12142</v>
      </c>
      <c r="M1938" t="s">
        <v>16</v>
      </c>
    </row>
    <row r="1939" spans="1:13" x14ac:dyDescent="0.35">
      <c r="A1939">
        <v>290940</v>
      </c>
      <c r="B1939">
        <v>16942</v>
      </c>
      <c r="C1939" t="s">
        <v>2001</v>
      </c>
      <c r="D1939" t="s">
        <v>1972</v>
      </c>
      <c r="E1939" t="s">
        <v>2001</v>
      </c>
      <c r="F1939">
        <v>13663</v>
      </c>
      <c r="G1939">
        <v>1</v>
      </c>
      <c r="H1939" t="s">
        <v>16</v>
      </c>
      <c r="I1939" s="1">
        <v>-1202800</v>
      </c>
      <c r="J1939" s="1">
        <v>-4425800</v>
      </c>
      <c r="K1939">
        <v>472</v>
      </c>
      <c r="L1939">
        <v>4018</v>
      </c>
      <c r="M1939" t="s">
        <v>16</v>
      </c>
    </row>
    <row r="1940" spans="1:13" x14ac:dyDescent="0.35">
      <c r="A1940">
        <v>290950</v>
      </c>
      <c r="B1940">
        <v>16950</v>
      </c>
      <c r="C1940" t="s">
        <v>2106</v>
      </c>
      <c r="D1940" t="s">
        <v>1972</v>
      </c>
      <c r="E1940" t="s">
        <v>1985</v>
      </c>
      <c r="F1940">
        <v>5427</v>
      </c>
      <c r="G1940">
        <v>1</v>
      </c>
      <c r="H1940" t="s">
        <v>16</v>
      </c>
      <c r="I1940" s="1">
        <v>-1335900</v>
      </c>
      <c r="J1940" s="1">
        <v>-3981500</v>
      </c>
      <c r="K1940">
        <v>477</v>
      </c>
      <c r="L1940">
        <v>159</v>
      </c>
      <c r="M1940" t="s">
        <v>16</v>
      </c>
    </row>
    <row r="1941" spans="1:13" x14ac:dyDescent="0.35">
      <c r="A1941">
        <v>290960</v>
      </c>
      <c r="B1941">
        <v>16969</v>
      </c>
      <c r="C1941" t="s">
        <v>2107</v>
      </c>
      <c r="D1941" t="s">
        <v>1972</v>
      </c>
      <c r="E1941" t="s">
        <v>1977</v>
      </c>
      <c r="F1941">
        <v>19510</v>
      </c>
      <c r="G1941">
        <v>1</v>
      </c>
      <c r="H1941" t="s">
        <v>16</v>
      </c>
      <c r="I1941" s="1">
        <v>-1151100</v>
      </c>
      <c r="J1941" s="1">
        <v>-3815000</v>
      </c>
      <c r="K1941">
        <v>149</v>
      </c>
      <c r="L1941">
        <v>505</v>
      </c>
      <c r="M1941" t="s">
        <v>16</v>
      </c>
    </row>
    <row r="1942" spans="1:13" x14ac:dyDescent="0.35">
      <c r="A1942">
        <v>290970</v>
      </c>
      <c r="B1942">
        <v>16977</v>
      </c>
      <c r="C1942" t="s">
        <v>2108</v>
      </c>
      <c r="D1942" t="s">
        <v>1972</v>
      </c>
      <c r="E1942" t="s">
        <v>2001</v>
      </c>
      <c r="F1942">
        <v>13595</v>
      </c>
      <c r="G1942">
        <v>1</v>
      </c>
      <c r="H1942" t="s">
        <v>16</v>
      </c>
      <c r="I1942" s="1">
        <v>-1223400</v>
      </c>
      <c r="J1942" s="1">
        <v>-4442100</v>
      </c>
      <c r="K1942">
        <v>688</v>
      </c>
      <c r="L1942">
        <v>896</v>
      </c>
      <c r="M1942" t="s">
        <v>16</v>
      </c>
    </row>
    <row r="1943" spans="1:13" x14ac:dyDescent="0.35">
      <c r="A1943">
        <v>290980</v>
      </c>
      <c r="B1943">
        <v>16985</v>
      </c>
      <c r="C1943" t="s">
        <v>2109</v>
      </c>
      <c r="D1943" t="s">
        <v>1972</v>
      </c>
      <c r="E1943" t="s">
        <v>2015</v>
      </c>
      <c r="F1943">
        <v>54827</v>
      </c>
      <c r="G1943">
        <v>2</v>
      </c>
      <c r="H1943" t="s">
        <v>16</v>
      </c>
      <c r="I1943" s="1">
        <v>-1267000</v>
      </c>
      <c r="J1943" s="1">
        <v>-3910200</v>
      </c>
      <c r="K1943">
        <v>220</v>
      </c>
      <c r="L1943">
        <v>150</v>
      </c>
      <c r="M1943" t="s">
        <v>16</v>
      </c>
    </row>
    <row r="1944" spans="1:13" x14ac:dyDescent="0.35">
      <c r="A1944">
        <v>290990</v>
      </c>
      <c r="B1944">
        <v>16993</v>
      </c>
      <c r="C1944" t="s">
        <v>2110</v>
      </c>
      <c r="D1944" t="s">
        <v>1972</v>
      </c>
      <c r="E1944" t="s">
        <v>2064</v>
      </c>
      <c r="F1944">
        <v>32449</v>
      </c>
      <c r="G1944">
        <v>4</v>
      </c>
      <c r="H1944" t="s">
        <v>1718</v>
      </c>
      <c r="I1944" s="1">
        <v>-899200</v>
      </c>
      <c r="J1944" s="1">
        <v>-3990800</v>
      </c>
      <c r="K1944">
        <v>330</v>
      </c>
      <c r="L1944">
        <v>6442</v>
      </c>
      <c r="M1944" t="s">
        <v>16</v>
      </c>
    </row>
    <row r="1945" spans="1:13" x14ac:dyDescent="0.35">
      <c r="A1945">
        <v>291000</v>
      </c>
      <c r="B1945">
        <v>17000</v>
      </c>
      <c r="C1945" t="s">
        <v>2111</v>
      </c>
      <c r="D1945" t="s">
        <v>1972</v>
      </c>
      <c r="E1945" t="s">
        <v>1996</v>
      </c>
      <c r="F1945">
        <v>12565</v>
      </c>
      <c r="G1945">
        <v>1</v>
      </c>
      <c r="H1945" t="s">
        <v>16</v>
      </c>
      <c r="I1945" s="1">
        <v>-1443600</v>
      </c>
      <c r="J1945" s="1">
        <v>-3990800</v>
      </c>
      <c r="K1945">
        <v>208</v>
      </c>
      <c r="L1945">
        <v>400</v>
      </c>
      <c r="M1945" t="s">
        <v>16</v>
      </c>
    </row>
    <row r="1946" spans="1:13" x14ac:dyDescent="0.35">
      <c r="A1946">
        <v>291005</v>
      </c>
      <c r="B1946">
        <v>19453</v>
      </c>
      <c r="C1946" t="s">
        <v>2112</v>
      </c>
      <c r="D1946" t="s">
        <v>1972</v>
      </c>
      <c r="E1946" t="s">
        <v>2060</v>
      </c>
      <c r="F1946">
        <v>53821</v>
      </c>
      <c r="G1946">
        <v>4</v>
      </c>
      <c r="H1946" t="s">
        <v>2061</v>
      </c>
      <c r="I1946" s="1">
        <v>-1261300</v>
      </c>
      <c r="J1946" s="1">
        <v>-3829700</v>
      </c>
      <c r="K1946">
        <v>35</v>
      </c>
      <c r="L1946">
        <v>207</v>
      </c>
      <c r="M1946" t="s">
        <v>16</v>
      </c>
    </row>
    <row r="1947" spans="1:13" x14ac:dyDescent="0.35">
      <c r="A1947">
        <v>291010</v>
      </c>
      <c r="B1947">
        <v>17019</v>
      </c>
      <c r="C1947" t="s">
        <v>2113</v>
      </c>
      <c r="D1947" t="s">
        <v>1972</v>
      </c>
      <c r="E1947" t="s">
        <v>1983</v>
      </c>
      <c r="F1947">
        <v>11087</v>
      </c>
      <c r="G1947">
        <v>1</v>
      </c>
      <c r="H1947" t="s">
        <v>16</v>
      </c>
      <c r="I1947" s="1">
        <v>-1376000</v>
      </c>
      <c r="J1947" s="1">
        <v>-4177100</v>
      </c>
      <c r="K1947">
        <v>440</v>
      </c>
      <c r="L1947">
        <v>653</v>
      </c>
      <c r="M1947" t="s">
        <v>16</v>
      </c>
    </row>
    <row r="1948" spans="1:13" x14ac:dyDescent="0.35">
      <c r="A1948">
        <v>291020</v>
      </c>
      <c r="B1948">
        <v>17027</v>
      </c>
      <c r="C1948" t="s">
        <v>2114</v>
      </c>
      <c r="D1948" t="s">
        <v>1972</v>
      </c>
      <c r="E1948" t="s">
        <v>2015</v>
      </c>
      <c r="F1948">
        <v>3809</v>
      </c>
      <c r="G1948">
        <v>1</v>
      </c>
      <c r="H1948" t="s">
        <v>16</v>
      </c>
      <c r="I1948" s="1">
        <v>-1290500</v>
      </c>
      <c r="J1948" s="1">
        <v>-3919300</v>
      </c>
      <c r="K1948">
        <v>192</v>
      </c>
      <c r="L1948">
        <v>93</v>
      </c>
      <c r="M1948" t="s">
        <v>16</v>
      </c>
    </row>
    <row r="1949" spans="1:13" x14ac:dyDescent="0.35">
      <c r="A1949">
        <v>291030</v>
      </c>
      <c r="B1949">
        <v>17035</v>
      </c>
      <c r="C1949" t="s">
        <v>2115</v>
      </c>
      <c r="D1949" t="s">
        <v>1972</v>
      </c>
      <c r="E1949" t="s">
        <v>1981</v>
      </c>
      <c r="F1949">
        <v>7907</v>
      </c>
      <c r="G1949">
        <v>1</v>
      </c>
      <c r="H1949" t="s">
        <v>16</v>
      </c>
      <c r="I1949" s="1">
        <v>-1294600</v>
      </c>
      <c r="J1949" s="1">
        <v>-3952200</v>
      </c>
      <c r="K1949">
        <v>390</v>
      </c>
      <c r="L1949">
        <v>199</v>
      </c>
      <c r="M1949" t="s">
        <v>16</v>
      </c>
    </row>
    <row r="1950" spans="1:13" x14ac:dyDescent="0.35">
      <c r="A1950">
        <v>291040</v>
      </c>
      <c r="B1950">
        <v>17043</v>
      </c>
      <c r="C1950" t="s">
        <v>2116</v>
      </c>
      <c r="D1950" t="s">
        <v>1972</v>
      </c>
      <c r="E1950" t="s">
        <v>2117</v>
      </c>
      <c r="F1950">
        <v>22525</v>
      </c>
      <c r="G1950">
        <v>1</v>
      </c>
      <c r="H1950" t="s">
        <v>16</v>
      </c>
      <c r="I1950" s="1">
        <v>-1553100</v>
      </c>
      <c r="J1950" s="1">
        <v>-4090900</v>
      </c>
      <c r="K1950">
        <v>650</v>
      </c>
      <c r="L1950">
        <v>2041</v>
      </c>
      <c r="M1950" t="s">
        <v>16</v>
      </c>
    </row>
    <row r="1951" spans="1:13" x14ac:dyDescent="0.35">
      <c r="A1951">
        <v>291050</v>
      </c>
      <c r="B1951">
        <v>17051</v>
      </c>
      <c r="C1951" t="s">
        <v>2082</v>
      </c>
      <c r="D1951" t="s">
        <v>1972</v>
      </c>
      <c r="E1951" t="s">
        <v>2082</v>
      </c>
      <c r="F1951">
        <v>38886</v>
      </c>
      <c r="G1951">
        <v>1</v>
      </c>
      <c r="H1951" t="s">
        <v>16</v>
      </c>
      <c r="I1951" s="1">
        <v>-1194200</v>
      </c>
      <c r="J1951" s="1">
        <v>-3808400</v>
      </c>
      <c r="K1951">
        <v>162</v>
      </c>
      <c r="L1951">
        <v>1235</v>
      </c>
      <c r="M1951" t="s">
        <v>16</v>
      </c>
    </row>
    <row r="1952" spans="1:13" x14ac:dyDescent="0.35">
      <c r="A1952">
        <v>291060</v>
      </c>
      <c r="B1952">
        <v>17060</v>
      </c>
      <c r="C1952" t="s">
        <v>2118</v>
      </c>
      <c r="D1952" t="s">
        <v>1972</v>
      </c>
      <c r="E1952" t="s">
        <v>2082</v>
      </c>
      <c r="F1952">
        <v>31118</v>
      </c>
      <c r="G1952">
        <v>1</v>
      </c>
      <c r="H1952" t="s">
        <v>16</v>
      </c>
      <c r="I1952" s="1">
        <v>-1179600</v>
      </c>
      <c r="J1952" s="1">
        <v>-3794500</v>
      </c>
      <c r="K1952">
        <v>142</v>
      </c>
      <c r="L1952">
        <v>1370</v>
      </c>
      <c r="M1952" t="s">
        <v>16</v>
      </c>
    </row>
    <row r="1953" spans="1:13" x14ac:dyDescent="0.35">
      <c r="A1953">
        <v>291070</v>
      </c>
      <c r="B1953">
        <v>17078</v>
      </c>
      <c r="C1953" t="s">
        <v>2075</v>
      </c>
      <c r="D1953" t="s">
        <v>1972</v>
      </c>
      <c r="E1953" t="s">
        <v>2075</v>
      </c>
      <c r="F1953">
        <v>56625</v>
      </c>
      <c r="G1953">
        <v>2</v>
      </c>
      <c r="H1953" t="s">
        <v>16</v>
      </c>
      <c r="I1953" s="1">
        <v>-1050800</v>
      </c>
      <c r="J1953" s="1">
        <v>-3901400</v>
      </c>
      <c r="K1953">
        <v>472</v>
      </c>
      <c r="L1953">
        <v>2324</v>
      </c>
      <c r="M1953" t="s">
        <v>16</v>
      </c>
    </row>
    <row r="1954" spans="1:13" x14ac:dyDescent="0.35">
      <c r="A1954">
        <v>291072</v>
      </c>
      <c r="B1954">
        <v>45730</v>
      </c>
      <c r="C1954" t="s">
        <v>2119</v>
      </c>
      <c r="D1954" t="s">
        <v>1972</v>
      </c>
      <c r="E1954" t="s">
        <v>1987</v>
      </c>
      <c r="F1954">
        <v>93984</v>
      </c>
      <c r="G1954">
        <v>2</v>
      </c>
      <c r="H1954" t="s">
        <v>16</v>
      </c>
      <c r="I1954" s="1">
        <v>-1637800</v>
      </c>
      <c r="J1954" s="1">
        <v>-3958000</v>
      </c>
      <c r="K1954">
        <v>189</v>
      </c>
      <c r="L1954">
        <v>1196</v>
      </c>
      <c r="M1954" t="s">
        <v>16</v>
      </c>
    </row>
    <row r="1955" spans="1:13" x14ac:dyDescent="0.35">
      <c r="A1955">
        <v>291075</v>
      </c>
      <c r="B1955">
        <v>19461</v>
      </c>
      <c r="C1955" t="s">
        <v>458</v>
      </c>
      <c r="D1955" t="s">
        <v>1972</v>
      </c>
      <c r="E1955" t="s">
        <v>1979</v>
      </c>
      <c r="F1955">
        <v>18918</v>
      </c>
      <c r="G1955">
        <v>1</v>
      </c>
      <c r="H1955" t="s">
        <v>16</v>
      </c>
      <c r="I1955" s="1">
        <v>-1060000</v>
      </c>
      <c r="J1955" s="1">
        <v>-3821700</v>
      </c>
      <c r="K1955">
        <v>100</v>
      </c>
      <c r="L1955">
        <v>356</v>
      </c>
      <c r="M1955" t="s">
        <v>16</v>
      </c>
    </row>
    <row r="1956" spans="1:13" x14ac:dyDescent="0.35">
      <c r="A1956">
        <v>291077</v>
      </c>
      <c r="B1956">
        <v>47147</v>
      </c>
      <c r="C1956" t="s">
        <v>2120</v>
      </c>
      <c r="D1956" t="s">
        <v>1972</v>
      </c>
      <c r="E1956" t="s">
        <v>2035</v>
      </c>
      <c r="F1956">
        <v>6328</v>
      </c>
      <c r="G1956">
        <v>1</v>
      </c>
      <c r="H1956" t="s">
        <v>16</v>
      </c>
      <c r="I1956" s="1">
        <v>-1420700</v>
      </c>
      <c r="J1956" s="1">
        <v>-4428100</v>
      </c>
      <c r="K1956">
        <v>40</v>
      </c>
      <c r="L1956">
        <v>1655</v>
      </c>
      <c r="M1956" t="s">
        <v>16</v>
      </c>
    </row>
    <row r="1957" spans="1:13" x14ac:dyDescent="0.35">
      <c r="A1957">
        <v>291080</v>
      </c>
      <c r="B1957">
        <v>17086</v>
      </c>
      <c r="C1957" t="s">
        <v>1981</v>
      </c>
      <c r="D1957" t="s">
        <v>1972</v>
      </c>
      <c r="E1957" t="s">
        <v>1981</v>
      </c>
      <c r="F1957">
        <v>571997</v>
      </c>
      <c r="G1957">
        <v>3</v>
      </c>
      <c r="H1957" t="s">
        <v>16</v>
      </c>
      <c r="I1957" s="1">
        <v>-1226700</v>
      </c>
      <c r="J1957" s="1">
        <v>-3896700</v>
      </c>
      <c r="K1957">
        <v>234</v>
      </c>
      <c r="L1957">
        <v>1362</v>
      </c>
      <c r="M1957" t="s">
        <v>16</v>
      </c>
    </row>
    <row r="1958" spans="1:13" x14ac:dyDescent="0.35">
      <c r="A1958">
        <v>291085</v>
      </c>
      <c r="B1958">
        <v>19470</v>
      </c>
      <c r="C1958" t="s">
        <v>460</v>
      </c>
      <c r="D1958" t="s">
        <v>1972</v>
      </c>
      <c r="E1958" t="s">
        <v>1999</v>
      </c>
      <c r="F1958">
        <v>15979</v>
      </c>
      <c r="G1958">
        <v>1</v>
      </c>
      <c r="H1958" t="s">
        <v>16</v>
      </c>
      <c r="I1958" s="1">
        <v>-1074100</v>
      </c>
      <c r="J1958" s="1">
        <v>-4013300</v>
      </c>
      <c r="K1958">
        <v>424</v>
      </c>
      <c r="L1958">
        <v>564</v>
      </c>
      <c r="M1958" t="s">
        <v>16</v>
      </c>
    </row>
    <row r="1959" spans="1:13" x14ac:dyDescent="0.35">
      <c r="A1959">
        <v>291090</v>
      </c>
      <c r="B1959">
        <v>17094</v>
      </c>
      <c r="C1959" t="s">
        <v>2121</v>
      </c>
      <c r="D1959" t="s">
        <v>1972</v>
      </c>
      <c r="E1959" t="s">
        <v>1989</v>
      </c>
      <c r="F1959">
        <v>5577</v>
      </c>
      <c r="G1959">
        <v>1</v>
      </c>
      <c r="H1959" t="s">
        <v>16</v>
      </c>
      <c r="I1959" s="1">
        <v>-1498500</v>
      </c>
      <c r="J1959" s="1">
        <v>-3992400</v>
      </c>
      <c r="K1959">
        <v>353</v>
      </c>
      <c r="L1959">
        <v>159</v>
      </c>
      <c r="M1959" t="s">
        <v>16</v>
      </c>
    </row>
    <row r="1960" spans="1:13" x14ac:dyDescent="0.35">
      <c r="A1960">
        <v>291100</v>
      </c>
      <c r="B1960">
        <v>17108</v>
      </c>
      <c r="C1960" t="s">
        <v>2122</v>
      </c>
      <c r="D1960" t="s">
        <v>1972</v>
      </c>
      <c r="E1960" t="s">
        <v>1989</v>
      </c>
      <c r="F1960">
        <v>10333</v>
      </c>
      <c r="G1960">
        <v>1</v>
      </c>
      <c r="H1960" t="s">
        <v>16</v>
      </c>
      <c r="I1960" s="1">
        <v>-1486000</v>
      </c>
      <c r="J1960" s="1">
        <v>-3966000</v>
      </c>
      <c r="K1960">
        <v>186</v>
      </c>
      <c r="L1960">
        <v>351</v>
      </c>
      <c r="M1960" t="s">
        <v>16</v>
      </c>
    </row>
    <row r="1961" spans="1:13" x14ac:dyDescent="0.35">
      <c r="A1961">
        <v>291110</v>
      </c>
      <c r="B1961">
        <v>17116</v>
      </c>
      <c r="C1961" t="s">
        <v>2123</v>
      </c>
      <c r="D1961" t="s">
        <v>1972</v>
      </c>
      <c r="E1961" t="s">
        <v>2018</v>
      </c>
      <c r="F1961">
        <v>20845</v>
      </c>
      <c r="G1961">
        <v>1</v>
      </c>
      <c r="H1961" t="s">
        <v>16</v>
      </c>
      <c r="I1961" s="1">
        <v>-1104800</v>
      </c>
      <c r="J1961" s="1">
        <v>-4519300</v>
      </c>
      <c r="K1961">
        <v>490</v>
      </c>
      <c r="L1961">
        <v>16185</v>
      </c>
      <c r="M1961" t="s">
        <v>16</v>
      </c>
    </row>
    <row r="1962" spans="1:13" x14ac:dyDescent="0.35">
      <c r="A1962">
        <v>291120</v>
      </c>
      <c r="B1962">
        <v>17124</v>
      </c>
      <c r="C1962" t="s">
        <v>2124</v>
      </c>
      <c r="D1962" t="s">
        <v>1972</v>
      </c>
      <c r="E1962" t="s">
        <v>1989</v>
      </c>
      <c r="F1962">
        <v>30091</v>
      </c>
      <c r="G1962">
        <v>1</v>
      </c>
      <c r="H1962" t="s">
        <v>16</v>
      </c>
      <c r="I1962" s="1">
        <v>-1374400</v>
      </c>
      <c r="J1962" s="1">
        <v>-3948700</v>
      </c>
      <c r="K1962">
        <v>164</v>
      </c>
      <c r="L1962">
        <v>229</v>
      </c>
      <c r="M1962" t="s">
        <v>16</v>
      </c>
    </row>
    <row r="1963" spans="1:13" x14ac:dyDescent="0.35">
      <c r="A1963">
        <v>291125</v>
      </c>
      <c r="B1963">
        <v>19488</v>
      </c>
      <c r="C1963" t="s">
        <v>2125</v>
      </c>
      <c r="D1963" t="s">
        <v>1972</v>
      </c>
      <c r="E1963" t="s">
        <v>1372</v>
      </c>
      <c r="F1963">
        <v>4444</v>
      </c>
      <c r="G1963">
        <v>1</v>
      </c>
      <c r="H1963" t="s">
        <v>16</v>
      </c>
      <c r="I1963" s="1">
        <v>-1147100</v>
      </c>
      <c r="J1963" s="1">
        <v>-3978400</v>
      </c>
      <c r="K1963">
        <v>312</v>
      </c>
      <c r="L1963">
        <v>335</v>
      </c>
      <c r="M1963" t="s">
        <v>16</v>
      </c>
    </row>
    <row r="1964" spans="1:13" x14ac:dyDescent="0.35">
      <c r="A1964">
        <v>291130</v>
      </c>
      <c r="B1964">
        <v>17132</v>
      </c>
      <c r="C1964" t="s">
        <v>2126</v>
      </c>
      <c r="D1964" t="s">
        <v>1972</v>
      </c>
      <c r="E1964" t="s">
        <v>1994</v>
      </c>
      <c r="F1964">
        <v>11326</v>
      </c>
      <c r="G1964">
        <v>1</v>
      </c>
      <c r="H1964" t="s">
        <v>16</v>
      </c>
      <c r="I1964" s="1">
        <v>-1142900</v>
      </c>
      <c r="J1964" s="1">
        <v>-4250600</v>
      </c>
      <c r="K1964">
        <v>1098</v>
      </c>
      <c r="L1964">
        <v>3671</v>
      </c>
      <c r="M1964" t="s">
        <v>16</v>
      </c>
    </row>
    <row r="1965" spans="1:13" x14ac:dyDescent="0.35">
      <c r="A1965">
        <v>291140</v>
      </c>
      <c r="B1965">
        <v>17140</v>
      </c>
      <c r="C1965" t="s">
        <v>2127</v>
      </c>
      <c r="D1965" t="s">
        <v>1972</v>
      </c>
      <c r="E1965" t="s">
        <v>1975</v>
      </c>
      <c r="F1965">
        <v>13879</v>
      </c>
      <c r="G1965">
        <v>1</v>
      </c>
      <c r="H1965" t="s">
        <v>16</v>
      </c>
      <c r="I1965" s="1">
        <v>-933900</v>
      </c>
      <c r="J1965" s="1">
        <v>-3825700</v>
      </c>
      <c r="K1965">
        <v>250</v>
      </c>
      <c r="L1965">
        <v>1402</v>
      </c>
      <c r="M1965" t="s">
        <v>16</v>
      </c>
    </row>
    <row r="1966" spans="1:13" x14ac:dyDescent="0.35">
      <c r="A1966">
        <v>291150</v>
      </c>
      <c r="B1966">
        <v>17159</v>
      </c>
      <c r="C1966" t="s">
        <v>2128</v>
      </c>
      <c r="D1966" t="s">
        <v>1972</v>
      </c>
      <c r="E1966" t="s">
        <v>1989</v>
      </c>
      <c r="F1966">
        <v>6845</v>
      </c>
      <c r="G1966">
        <v>1</v>
      </c>
      <c r="H1966" t="s">
        <v>16</v>
      </c>
      <c r="I1966" s="1">
        <v>-1432200</v>
      </c>
      <c r="J1966" s="1">
        <v>-3946500</v>
      </c>
      <c r="K1966">
        <v>115</v>
      </c>
      <c r="L1966">
        <v>198</v>
      </c>
      <c r="M1966" t="s">
        <v>16</v>
      </c>
    </row>
    <row r="1967" spans="1:13" x14ac:dyDescent="0.35">
      <c r="A1967">
        <v>291160</v>
      </c>
      <c r="B1967">
        <v>17167</v>
      </c>
      <c r="C1967" t="s">
        <v>2129</v>
      </c>
      <c r="D1967" t="s">
        <v>1972</v>
      </c>
      <c r="E1967" t="s">
        <v>2015</v>
      </c>
      <c r="F1967">
        <v>19828</v>
      </c>
      <c r="G1967">
        <v>1</v>
      </c>
      <c r="H1967" t="s">
        <v>16</v>
      </c>
      <c r="I1967" s="1">
        <v>-1260200</v>
      </c>
      <c r="J1967" s="1">
        <v>-3904300</v>
      </c>
      <c r="K1967">
        <v>204</v>
      </c>
      <c r="L1967">
        <v>94</v>
      </c>
      <c r="M1967" t="s">
        <v>16</v>
      </c>
    </row>
    <row r="1968" spans="1:13" x14ac:dyDescent="0.35">
      <c r="A1968">
        <v>291165</v>
      </c>
      <c r="B1968">
        <v>19496</v>
      </c>
      <c r="C1968" t="s">
        <v>2130</v>
      </c>
      <c r="D1968" t="s">
        <v>1972</v>
      </c>
      <c r="E1968" t="s">
        <v>2009</v>
      </c>
      <c r="F1968">
        <v>7062</v>
      </c>
      <c r="G1968">
        <v>1</v>
      </c>
      <c r="H1968" t="s">
        <v>16</v>
      </c>
      <c r="I1968" s="1">
        <v>-1454700</v>
      </c>
      <c r="J1968" s="1">
        <v>-4194000</v>
      </c>
      <c r="K1968">
        <v>628</v>
      </c>
      <c r="L1968">
        <v>643</v>
      </c>
      <c r="M1968" t="s">
        <v>16</v>
      </c>
    </row>
    <row r="1969" spans="1:13" x14ac:dyDescent="0.35">
      <c r="A1969">
        <v>291170</v>
      </c>
      <c r="B1969">
        <v>17175</v>
      </c>
      <c r="C1969" t="s">
        <v>2049</v>
      </c>
      <c r="D1969" t="s">
        <v>1972</v>
      </c>
      <c r="E1969" t="s">
        <v>2049</v>
      </c>
      <c r="F1969">
        <v>76230</v>
      </c>
      <c r="G1969">
        <v>2</v>
      </c>
      <c r="H1969" t="s">
        <v>16</v>
      </c>
      <c r="I1969" s="1">
        <v>-1422300</v>
      </c>
      <c r="J1969" s="1">
        <v>-4278100</v>
      </c>
      <c r="K1969">
        <v>530</v>
      </c>
      <c r="L1969">
        <v>1301</v>
      </c>
      <c r="M1969" t="s">
        <v>16</v>
      </c>
    </row>
    <row r="1970" spans="1:13" x14ac:dyDescent="0.35">
      <c r="A1970">
        <v>291180</v>
      </c>
      <c r="B1970">
        <v>17183</v>
      </c>
      <c r="C1970" t="s">
        <v>2131</v>
      </c>
      <c r="D1970" t="s">
        <v>1972</v>
      </c>
      <c r="E1970" t="s">
        <v>1987</v>
      </c>
      <c r="F1970">
        <v>22621</v>
      </c>
      <c r="G1970">
        <v>1</v>
      </c>
      <c r="H1970" t="s">
        <v>16</v>
      </c>
      <c r="I1970" s="1">
        <v>-1658400</v>
      </c>
      <c r="J1970" s="1">
        <v>-3978300</v>
      </c>
      <c r="K1970">
        <v>200</v>
      </c>
      <c r="L1970">
        <v>2324</v>
      </c>
      <c r="M1970" t="s">
        <v>16</v>
      </c>
    </row>
    <row r="1971" spans="1:13" x14ac:dyDescent="0.35">
      <c r="A1971">
        <v>291185</v>
      </c>
      <c r="B1971">
        <v>15172</v>
      </c>
      <c r="C1971" t="s">
        <v>2132</v>
      </c>
      <c r="D1971" t="s">
        <v>1972</v>
      </c>
      <c r="E1971" t="s">
        <v>1979</v>
      </c>
      <c r="F1971">
        <v>14020</v>
      </c>
      <c r="G1971">
        <v>1</v>
      </c>
      <c r="H1971" t="s">
        <v>16</v>
      </c>
      <c r="I1971" s="1">
        <v>-1068300</v>
      </c>
      <c r="J1971" s="1">
        <v>-3828600</v>
      </c>
      <c r="K1971">
        <v>328</v>
      </c>
      <c r="L1971">
        <v>324</v>
      </c>
      <c r="M1971" t="s">
        <v>16</v>
      </c>
    </row>
    <row r="1972" spans="1:13" x14ac:dyDescent="0.35">
      <c r="A1972">
        <v>291190</v>
      </c>
      <c r="B1972">
        <v>17191</v>
      </c>
      <c r="C1972" t="s">
        <v>2133</v>
      </c>
      <c r="D1972" t="s">
        <v>1972</v>
      </c>
      <c r="E1972" t="s">
        <v>2020</v>
      </c>
      <c r="F1972">
        <v>27835</v>
      </c>
      <c r="G1972">
        <v>1</v>
      </c>
      <c r="H1972" t="s">
        <v>16</v>
      </c>
      <c r="I1972" s="1">
        <v>-1276700</v>
      </c>
      <c r="J1972" s="1">
        <v>-4021200</v>
      </c>
      <c r="K1972">
        <v>242</v>
      </c>
      <c r="L1972">
        <v>2442</v>
      </c>
      <c r="M1972" t="s">
        <v>16</v>
      </c>
    </row>
    <row r="1973" spans="1:13" x14ac:dyDescent="0.35">
      <c r="A1973">
        <v>291200</v>
      </c>
      <c r="B1973">
        <v>17205</v>
      </c>
      <c r="C1973" t="s">
        <v>2134</v>
      </c>
      <c r="D1973" t="s">
        <v>1972</v>
      </c>
      <c r="E1973" t="s">
        <v>2049</v>
      </c>
      <c r="F1973">
        <v>9507</v>
      </c>
      <c r="G1973">
        <v>1</v>
      </c>
      <c r="H1973" t="s">
        <v>16</v>
      </c>
      <c r="I1973" s="1">
        <v>-1425900</v>
      </c>
      <c r="J1973" s="1">
        <v>-4225700</v>
      </c>
      <c r="K1973">
        <v>574</v>
      </c>
      <c r="L1973">
        <v>382</v>
      </c>
      <c r="M1973" t="s">
        <v>16</v>
      </c>
    </row>
    <row r="1974" spans="1:13" x14ac:dyDescent="0.35">
      <c r="A1974">
        <v>291210</v>
      </c>
      <c r="B1974">
        <v>17213</v>
      </c>
      <c r="C1974" t="s">
        <v>2135</v>
      </c>
      <c r="D1974" t="s">
        <v>1972</v>
      </c>
      <c r="E1974" t="s">
        <v>1989</v>
      </c>
      <c r="F1974">
        <v>24752</v>
      </c>
      <c r="G1974">
        <v>1</v>
      </c>
      <c r="H1974" t="s">
        <v>16</v>
      </c>
      <c r="I1974" s="1">
        <v>-1486500</v>
      </c>
      <c r="J1974" s="1">
        <v>-3958800</v>
      </c>
      <c r="K1974">
        <v>162</v>
      </c>
      <c r="L1974">
        <v>217</v>
      </c>
      <c r="M1974" t="s">
        <v>16</v>
      </c>
    </row>
    <row r="1975" spans="1:13" x14ac:dyDescent="0.35">
      <c r="A1975">
        <v>291220</v>
      </c>
      <c r="B1975">
        <v>17221</v>
      </c>
      <c r="C1975" t="s">
        <v>2136</v>
      </c>
      <c r="D1975" t="s">
        <v>1972</v>
      </c>
      <c r="E1975" t="s">
        <v>1973</v>
      </c>
      <c r="F1975">
        <v>15856</v>
      </c>
      <c r="G1975">
        <v>1</v>
      </c>
      <c r="H1975" t="s">
        <v>16</v>
      </c>
      <c r="I1975" s="1">
        <v>-1341100</v>
      </c>
      <c r="J1975" s="1">
        <v>-4128500</v>
      </c>
      <c r="K1975">
        <v>1027</v>
      </c>
      <c r="L1975">
        <v>977</v>
      </c>
      <c r="M1975" t="s">
        <v>16</v>
      </c>
    </row>
    <row r="1976" spans="1:13" x14ac:dyDescent="0.35">
      <c r="A1976">
        <v>291230</v>
      </c>
      <c r="B1976">
        <v>17230</v>
      </c>
      <c r="C1976" t="s">
        <v>2137</v>
      </c>
      <c r="D1976" t="s">
        <v>1972</v>
      </c>
      <c r="E1976" t="s">
        <v>1996</v>
      </c>
      <c r="F1976">
        <v>15777</v>
      </c>
      <c r="G1976">
        <v>1</v>
      </c>
      <c r="H1976" t="s">
        <v>16</v>
      </c>
      <c r="I1976" s="1">
        <v>-1484200</v>
      </c>
      <c r="J1976" s="1">
        <v>-3998700</v>
      </c>
      <c r="K1976">
        <v>365</v>
      </c>
      <c r="L1976">
        <v>1163</v>
      </c>
      <c r="M1976" t="s">
        <v>16</v>
      </c>
    </row>
    <row r="1977" spans="1:13" x14ac:dyDescent="0.35">
      <c r="A1977">
        <v>291240</v>
      </c>
      <c r="B1977">
        <v>17248</v>
      </c>
      <c r="C1977" t="s">
        <v>2138</v>
      </c>
      <c r="D1977" t="s">
        <v>1972</v>
      </c>
      <c r="E1977" t="s">
        <v>1994</v>
      </c>
      <c r="F1977">
        <v>16762</v>
      </c>
      <c r="G1977">
        <v>1</v>
      </c>
      <c r="H1977" t="s">
        <v>16</v>
      </c>
      <c r="I1977" s="1">
        <v>-1164100</v>
      </c>
      <c r="J1977" s="1">
        <v>-4201100</v>
      </c>
      <c r="K1977">
        <v>682</v>
      </c>
      <c r="L1977">
        <v>1417</v>
      </c>
      <c r="M1977" t="s">
        <v>16</v>
      </c>
    </row>
    <row r="1978" spans="1:13" x14ac:dyDescent="0.35">
      <c r="A1978">
        <v>291250</v>
      </c>
      <c r="B1978">
        <v>17264</v>
      </c>
      <c r="C1978" t="s">
        <v>2139</v>
      </c>
      <c r="D1978" t="s">
        <v>1972</v>
      </c>
      <c r="E1978" t="s">
        <v>2038</v>
      </c>
      <c r="F1978">
        <v>13841</v>
      </c>
      <c r="G1978">
        <v>1</v>
      </c>
      <c r="H1978" t="s">
        <v>16</v>
      </c>
      <c r="I1978" s="1">
        <v>-1288200</v>
      </c>
      <c r="J1978" s="1">
        <v>-4248600</v>
      </c>
      <c r="K1978">
        <v>492</v>
      </c>
      <c r="L1978">
        <v>945</v>
      </c>
      <c r="M1978" t="s">
        <v>16</v>
      </c>
    </row>
    <row r="1979" spans="1:13" x14ac:dyDescent="0.35">
      <c r="A1979">
        <v>291260</v>
      </c>
      <c r="B1979">
        <v>17272</v>
      </c>
      <c r="C1979" t="s">
        <v>2140</v>
      </c>
      <c r="D1979" t="s">
        <v>1972</v>
      </c>
      <c r="E1979" t="s">
        <v>2020</v>
      </c>
      <c r="F1979">
        <v>5007</v>
      </c>
      <c r="G1979">
        <v>1</v>
      </c>
      <c r="H1979" t="s">
        <v>16</v>
      </c>
      <c r="I1979" s="1">
        <v>-1265100</v>
      </c>
      <c r="J1979" s="1">
        <v>-4093400</v>
      </c>
      <c r="K1979">
        <v>584</v>
      </c>
      <c r="L1979">
        <v>1010</v>
      </c>
      <c r="M1979" t="s">
        <v>16</v>
      </c>
    </row>
    <row r="1980" spans="1:13" x14ac:dyDescent="0.35">
      <c r="A1980">
        <v>291270</v>
      </c>
      <c r="B1980">
        <v>17280</v>
      </c>
      <c r="C1980" t="s">
        <v>2141</v>
      </c>
      <c r="D1980" t="s">
        <v>1972</v>
      </c>
      <c r="E1980" t="s">
        <v>1989</v>
      </c>
      <c r="F1980">
        <v>23197</v>
      </c>
      <c r="G1980">
        <v>1</v>
      </c>
      <c r="H1980" t="s">
        <v>16</v>
      </c>
      <c r="I1980" s="1">
        <v>-1416400</v>
      </c>
      <c r="J1980" s="1">
        <v>-3937400</v>
      </c>
      <c r="K1980">
        <v>113</v>
      </c>
      <c r="L1980">
        <v>470</v>
      </c>
      <c r="M1980" t="s">
        <v>16</v>
      </c>
    </row>
    <row r="1981" spans="1:13" x14ac:dyDescent="0.35">
      <c r="A1981">
        <v>291280</v>
      </c>
      <c r="B1981">
        <v>17299</v>
      </c>
      <c r="C1981" t="s">
        <v>2142</v>
      </c>
      <c r="D1981" t="s">
        <v>1972</v>
      </c>
      <c r="E1981" t="s">
        <v>1987</v>
      </c>
      <c r="F1981">
        <v>7534</v>
      </c>
      <c r="G1981">
        <v>1</v>
      </c>
      <c r="H1981" t="s">
        <v>16</v>
      </c>
      <c r="I1981" s="1">
        <v>-1768800</v>
      </c>
      <c r="J1981" s="1">
        <v>-4010900</v>
      </c>
      <c r="K1981">
        <v>190</v>
      </c>
      <c r="L1981">
        <v>786</v>
      </c>
      <c r="M1981" t="s">
        <v>16</v>
      </c>
    </row>
    <row r="1982" spans="1:13" x14ac:dyDescent="0.35">
      <c r="A1982">
        <v>291290</v>
      </c>
      <c r="B1982">
        <v>17302</v>
      </c>
      <c r="C1982" t="s">
        <v>2143</v>
      </c>
      <c r="D1982" t="s">
        <v>1972</v>
      </c>
      <c r="E1982" t="s">
        <v>1989</v>
      </c>
      <c r="F1982">
        <v>23940</v>
      </c>
      <c r="G1982">
        <v>1</v>
      </c>
      <c r="H1982" t="s">
        <v>16</v>
      </c>
      <c r="I1982" s="1">
        <v>-1406700</v>
      </c>
      <c r="J1982" s="1">
        <v>-3964100</v>
      </c>
      <c r="K1982">
        <v>141</v>
      </c>
      <c r="L1982">
        <v>226</v>
      </c>
      <c r="M1982" t="s">
        <v>16</v>
      </c>
    </row>
    <row r="1983" spans="1:13" x14ac:dyDescent="0.35">
      <c r="A1983">
        <v>291300</v>
      </c>
      <c r="B1983">
        <v>17310</v>
      </c>
      <c r="C1983" t="s">
        <v>2144</v>
      </c>
      <c r="D1983" t="s">
        <v>1972</v>
      </c>
      <c r="E1983" t="s">
        <v>2038</v>
      </c>
      <c r="F1983">
        <v>15802</v>
      </c>
      <c r="G1983">
        <v>1</v>
      </c>
      <c r="H1983" t="s">
        <v>16</v>
      </c>
      <c r="I1983" s="1">
        <v>-1265200</v>
      </c>
      <c r="J1983" s="1">
        <v>-4221800</v>
      </c>
      <c r="K1983">
        <v>889</v>
      </c>
      <c r="L1983">
        <v>1748</v>
      </c>
      <c r="M1983" t="s">
        <v>16</v>
      </c>
    </row>
    <row r="1984" spans="1:13" x14ac:dyDescent="0.35">
      <c r="A1984">
        <v>291310</v>
      </c>
      <c r="B1984">
        <v>17329</v>
      </c>
      <c r="C1984" t="s">
        <v>2145</v>
      </c>
      <c r="D1984" t="s">
        <v>1972</v>
      </c>
      <c r="E1984" t="s">
        <v>1994</v>
      </c>
      <c r="F1984">
        <v>18614</v>
      </c>
      <c r="G1984">
        <v>1</v>
      </c>
      <c r="H1984" t="s">
        <v>16</v>
      </c>
      <c r="I1984" s="1">
        <v>-1154700</v>
      </c>
      <c r="J1984" s="1">
        <v>-4197800</v>
      </c>
      <c r="K1984">
        <v>782</v>
      </c>
      <c r="L1984">
        <v>564</v>
      </c>
      <c r="M1984" t="s">
        <v>16</v>
      </c>
    </row>
    <row r="1985" spans="1:13" x14ac:dyDescent="0.35">
      <c r="A1985">
        <v>291320</v>
      </c>
      <c r="B1985">
        <v>17337</v>
      </c>
      <c r="C1985" t="s">
        <v>2146</v>
      </c>
      <c r="D1985" t="s">
        <v>1972</v>
      </c>
      <c r="E1985" t="s">
        <v>2022</v>
      </c>
      <c r="F1985">
        <v>25292</v>
      </c>
      <c r="G1985">
        <v>1</v>
      </c>
      <c r="H1985" t="s">
        <v>16</v>
      </c>
      <c r="I1985" s="1">
        <v>-1218500</v>
      </c>
      <c r="J1985" s="1">
        <v>-4322100</v>
      </c>
      <c r="K1985">
        <v>419</v>
      </c>
      <c r="L1985">
        <v>1391</v>
      </c>
      <c r="M1985" t="s">
        <v>16</v>
      </c>
    </row>
    <row r="1986" spans="1:13" x14ac:dyDescent="0.35">
      <c r="A1986">
        <v>291330</v>
      </c>
      <c r="B1986">
        <v>17345</v>
      </c>
      <c r="C1986" t="s">
        <v>2147</v>
      </c>
      <c r="D1986" t="s">
        <v>1972</v>
      </c>
      <c r="E1986" t="s">
        <v>1372</v>
      </c>
      <c r="F1986">
        <v>5881</v>
      </c>
      <c r="G1986">
        <v>1</v>
      </c>
      <c r="H1986" t="s">
        <v>16</v>
      </c>
      <c r="I1986" s="1">
        <v>-1174900</v>
      </c>
      <c r="J1986" s="1">
        <v>-3919200</v>
      </c>
      <c r="K1986">
        <v>280</v>
      </c>
      <c r="L1986">
        <v>127</v>
      </c>
      <c r="M1986" t="s">
        <v>16</v>
      </c>
    </row>
    <row r="1987" spans="1:13" x14ac:dyDescent="0.35">
      <c r="A1987">
        <v>291340</v>
      </c>
      <c r="B1987">
        <v>17353</v>
      </c>
      <c r="C1987" t="s">
        <v>2148</v>
      </c>
      <c r="D1987" t="s">
        <v>1972</v>
      </c>
      <c r="E1987" t="s">
        <v>2049</v>
      </c>
      <c r="F1987">
        <v>14499</v>
      </c>
      <c r="G1987">
        <v>1</v>
      </c>
      <c r="H1987" t="s">
        <v>16</v>
      </c>
      <c r="I1987" s="1">
        <v>-1377300</v>
      </c>
      <c r="J1987" s="1">
        <v>-4271400</v>
      </c>
      <c r="K1987">
        <v>765</v>
      </c>
      <c r="L1987">
        <v>789</v>
      </c>
      <c r="M1987" t="s">
        <v>16</v>
      </c>
    </row>
    <row r="1988" spans="1:13" x14ac:dyDescent="0.35">
      <c r="A1988">
        <v>291345</v>
      </c>
      <c r="B1988">
        <v>47155</v>
      </c>
      <c r="C1988" t="s">
        <v>2149</v>
      </c>
      <c r="D1988" t="s">
        <v>1972</v>
      </c>
      <c r="E1988" t="s">
        <v>2056</v>
      </c>
      <c r="F1988">
        <v>13246</v>
      </c>
      <c r="G1988">
        <v>1</v>
      </c>
      <c r="H1988" t="s">
        <v>16</v>
      </c>
      <c r="I1988" s="1">
        <v>-1382600</v>
      </c>
      <c r="J1988" s="1">
        <v>-3914200</v>
      </c>
      <c r="K1988">
        <v>48</v>
      </c>
      <c r="L1988">
        <v>512</v>
      </c>
      <c r="M1988" t="s">
        <v>16</v>
      </c>
    </row>
    <row r="1989" spans="1:13" x14ac:dyDescent="0.35">
      <c r="A1989">
        <v>291350</v>
      </c>
      <c r="B1989">
        <v>17361</v>
      </c>
      <c r="C1989" t="s">
        <v>2150</v>
      </c>
      <c r="D1989" t="s">
        <v>1972</v>
      </c>
      <c r="E1989" t="s">
        <v>1996</v>
      </c>
      <c r="F1989">
        <v>27849</v>
      </c>
      <c r="G1989">
        <v>1</v>
      </c>
      <c r="H1989" t="s">
        <v>16</v>
      </c>
      <c r="I1989" s="1">
        <v>-1475600</v>
      </c>
      <c r="J1989" s="1">
        <v>-4008900</v>
      </c>
      <c r="K1989">
        <v>352</v>
      </c>
      <c r="L1989">
        <v>833</v>
      </c>
      <c r="M1989" t="s">
        <v>16</v>
      </c>
    </row>
    <row r="1990" spans="1:13" x14ac:dyDescent="0.35">
      <c r="A1990">
        <v>291360</v>
      </c>
      <c r="B1990">
        <v>17370</v>
      </c>
      <c r="C1990" t="s">
        <v>2151</v>
      </c>
      <c r="D1990" t="s">
        <v>1972</v>
      </c>
      <c r="E1990" t="s">
        <v>1989</v>
      </c>
      <c r="F1990">
        <v>220144</v>
      </c>
      <c r="G1990">
        <v>3</v>
      </c>
      <c r="H1990" t="s">
        <v>16</v>
      </c>
      <c r="I1990" s="1">
        <v>-1478900</v>
      </c>
      <c r="J1990" s="1">
        <v>-3904900</v>
      </c>
      <c r="K1990">
        <v>52</v>
      </c>
      <c r="L1990">
        <v>1840</v>
      </c>
      <c r="M1990" t="s">
        <v>16</v>
      </c>
    </row>
    <row r="1991" spans="1:13" x14ac:dyDescent="0.35">
      <c r="A1991">
        <v>291370</v>
      </c>
      <c r="B1991">
        <v>17388</v>
      </c>
      <c r="C1991" t="s">
        <v>2152</v>
      </c>
      <c r="D1991" t="s">
        <v>1972</v>
      </c>
      <c r="E1991" t="s">
        <v>1977</v>
      </c>
      <c r="F1991">
        <v>34388</v>
      </c>
      <c r="G1991">
        <v>1</v>
      </c>
      <c r="H1991" t="s">
        <v>16</v>
      </c>
      <c r="I1991" s="1">
        <v>-1178400</v>
      </c>
      <c r="J1991" s="1">
        <v>-3835300</v>
      </c>
      <c r="K1991">
        <v>179</v>
      </c>
      <c r="L1991">
        <v>1163</v>
      </c>
      <c r="M1991" t="s">
        <v>16</v>
      </c>
    </row>
    <row r="1992" spans="1:13" x14ac:dyDescent="0.35">
      <c r="A1992">
        <v>291380</v>
      </c>
      <c r="B1992">
        <v>17396</v>
      </c>
      <c r="C1992" t="s">
        <v>2153</v>
      </c>
      <c r="D1992" t="s">
        <v>1972</v>
      </c>
      <c r="E1992" t="s">
        <v>1981</v>
      </c>
      <c r="F1992">
        <v>16055</v>
      </c>
      <c r="G1992">
        <v>1</v>
      </c>
      <c r="H1992" t="s">
        <v>16</v>
      </c>
      <c r="I1992" s="1">
        <v>-1230000</v>
      </c>
      <c r="J1992" s="1">
        <v>-3930800</v>
      </c>
      <c r="K1992">
        <v>189</v>
      </c>
      <c r="L1992">
        <v>393</v>
      </c>
      <c r="M1992" t="s">
        <v>16</v>
      </c>
    </row>
    <row r="1993" spans="1:13" x14ac:dyDescent="0.35">
      <c r="A1993">
        <v>291390</v>
      </c>
      <c r="B1993">
        <v>17400</v>
      </c>
      <c r="C1993" t="s">
        <v>2154</v>
      </c>
      <c r="D1993" t="s">
        <v>1972</v>
      </c>
      <c r="E1993" t="s">
        <v>1989</v>
      </c>
      <c r="F1993">
        <v>42561</v>
      </c>
      <c r="G1993">
        <v>1</v>
      </c>
      <c r="H1993" t="s">
        <v>16</v>
      </c>
      <c r="I1993" s="1">
        <v>-1413700</v>
      </c>
      <c r="J1993" s="1">
        <v>-3973400</v>
      </c>
      <c r="K1993">
        <v>135</v>
      </c>
      <c r="L1993">
        <v>286</v>
      </c>
      <c r="M1993" t="s">
        <v>16</v>
      </c>
    </row>
    <row r="1994" spans="1:13" x14ac:dyDescent="0.35">
      <c r="A1994">
        <v>291400</v>
      </c>
      <c r="B1994">
        <v>17418</v>
      </c>
      <c r="C1994" t="s">
        <v>2155</v>
      </c>
      <c r="D1994" t="s">
        <v>1972</v>
      </c>
      <c r="E1994" t="s">
        <v>1981</v>
      </c>
      <c r="F1994">
        <v>60043</v>
      </c>
      <c r="G1994">
        <v>2</v>
      </c>
      <c r="H1994" t="s">
        <v>16</v>
      </c>
      <c r="I1994" s="1">
        <v>-1215800</v>
      </c>
      <c r="J1994" s="1">
        <v>-3973700</v>
      </c>
      <c r="K1994">
        <v>328</v>
      </c>
      <c r="L1994">
        <v>3023</v>
      </c>
      <c r="M1994" t="s">
        <v>16</v>
      </c>
    </row>
    <row r="1995" spans="1:13" x14ac:dyDescent="0.35">
      <c r="A1995">
        <v>291410</v>
      </c>
      <c r="B1995">
        <v>17426</v>
      </c>
      <c r="C1995" t="s">
        <v>2156</v>
      </c>
      <c r="D1995" t="s">
        <v>1972</v>
      </c>
      <c r="E1995" t="s">
        <v>2038</v>
      </c>
      <c r="F1995">
        <v>8931</v>
      </c>
      <c r="G1995">
        <v>1</v>
      </c>
      <c r="H1995" t="s">
        <v>16</v>
      </c>
      <c r="I1995" s="1">
        <v>-1182000</v>
      </c>
      <c r="J1995" s="1">
        <v>-4261400</v>
      </c>
      <c r="K1995">
        <v>731</v>
      </c>
      <c r="L1995">
        <v>1179</v>
      </c>
      <c r="M1995" t="s">
        <v>16</v>
      </c>
    </row>
    <row r="1996" spans="1:13" x14ac:dyDescent="0.35">
      <c r="A1996">
        <v>291420</v>
      </c>
      <c r="B1996">
        <v>17434</v>
      </c>
      <c r="C1996" t="s">
        <v>2157</v>
      </c>
      <c r="D1996" t="s">
        <v>1972</v>
      </c>
      <c r="E1996" t="s">
        <v>1985</v>
      </c>
      <c r="F1996">
        <v>7215</v>
      </c>
      <c r="G1996">
        <v>1</v>
      </c>
      <c r="H1996" t="s">
        <v>16</v>
      </c>
      <c r="I1996" s="1">
        <v>-1325100</v>
      </c>
      <c r="J1996" s="1">
        <v>-4008400</v>
      </c>
      <c r="K1996">
        <v>542</v>
      </c>
      <c r="L1996">
        <v>383</v>
      </c>
      <c r="M1996" t="s">
        <v>16</v>
      </c>
    </row>
    <row r="1997" spans="1:13" x14ac:dyDescent="0.35">
      <c r="A1997">
        <v>291430</v>
      </c>
      <c r="B1997">
        <v>17442</v>
      </c>
      <c r="C1997" t="s">
        <v>2158</v>
      </c>
      <c r="D1997" t="s">
        <v>1972</v>
      </c>
      <c r="E1997" t="s">
        <v>1985</v>
      </c>
      <c r="F1997">
        <v>15134</v>
      </c>
      <c r="G1997">
        <v>1</v>
      </c>
      <c r="H1997" t="s">
        <v>16</v>
      </c>
      <c r="I1997" s="1">
        <v>-1328600</v>
      </c>
      <c r="J1997" s="1">
        <v>-4095100</v>
      </c>
      <c r="K1997">
        <v>607</v>
      </c>
      <c r="L1997">
        <v>1948</v>
      </c>
      <c r="M1997" t="s">
        <v>16</v>
      </c>
    </row>
    <row r="1998" spans="1:13" x14ac:dyDescent="0.35">
      <c r="A1998">
        <v>291440</v>
      </c>
      <c r="B1998">
        <v>17450</v>
      </c>
      <c r="C1998" t="s">
        <v>2159</v>
      </c>
      <c r="D1998" t="s">
        <v>1972</v>
      </c>
      <c r="E1998" t="s">
        <v>1994</v>
      </c>
      <c r="F1998">
        <v>22607</v>
      </c>
      <c r="G1998">
        <v>1</v>
      </c>
      <c r="H1998" t="s">
        <v>16</v>
      </c>
      <c r="I1998" s="1">
        <v>-1224900</v>
      </c>
      <c r="J1998" s="1">
        <v>-4161900</v>
      </c>
      <c r="K1998">
        <v>687</v>
      </c>
      <c r="L1998">
        <v>800</v>
      </c>
      <c r="M1998" t="s">
        <v>16</v>
      </c>
    </row>
    <row r="1999" spans="1:13" x14ac:dyDescent="0.35">
      <c r="A1999">
        <v>291450</v>
      </c>
      <c r="B1999">
        <v>17469</v>
      </c>
      <c r="C1999" t="s">
        <v>2160</v>
      </c>
      <c r="D1999" t="s">
        <v>1972</v>
      </c>
      <c r="E1999" t="s">
        <v>1981</v>
      </c>
      <c r="F1999">
        <v>25012</v>
      </c>
      <c r="G1999">
        <v>1</v>
      </c>
      <c r="H1999" t="s">
        <v>16</v>
      </c>
      <c r="I1999" s="1">
        <v>-1205000</v>
      </c>
      <c r="J1999" s="1">
        <v>-3876700</v>
      </c>
      <c r="K1999">
        <v>283</v>
      </c>
      <c r="L1999">
        <v>239</v>
      </c>
      <c r="M1999" t="s">
        <v>16</v>
      </c>
    </row>
    <row r="2000" spans="1:13" x14ac:dyDescent="0.35">
      <c r="A2000">
        <v>291460</v>
      </c>
      <c r="B2000">
        <v>17477</v>
      </c>
      <c r="C2000" t="s">
        <v>2161</v>
      </c>
      <c r="D2000" t="s">
        <v>1972</v>
      </c>
      <c r="E2000" t="s">
        <v>1994</v>
      </c>
      <c r="F2000">
        <v>62676</v>
      </c>
      <c r="G2000">
        <v>2</v>
      </c>
      <c r="H2000" t="s">
        <v>16</v>
      </c>
      <c r="I2000" s="1">
        <v>-1130400</v>
      </c>
      <c r="J2000" s="1">
        <v>-4185600</v>
      </c>
      <c r="K2000">
        <v>721</v>
      </c>
      <c r="L2000">
        <v>313</v>
      </c>
      <c r="M2000" t="s">
        <v>16</v>
      </c>
    </row>
    <row r="2001" spans="1:13" x14ac:dyDescent="0.35">
      <c r="A2001">
        <v>291465</v>
      </c>
      <c r="B2001">
        <v>47740</v>
      </c>
      <c r="C2001" t="s">
        <v>2162</v>
      </c>
      <c r="D2001" t="s">
        <v>1972</v>
      </c>
      <c r="E2001" t="s">
        <v>1987</v>
      </c>
      <c r="F2001">
        <v>25821</v>
      </c>
      <c r="G2001">
        <v>1</v>
      </c>
      <c r="H2001" t="s">
        <v>16</v>
      </c>
      <c r="I2001" s="1">
        <v>-1657500</v>
      </c>
      <c r="J2001" s="1">
        <v>-3955300</v>
      </c>
      <c r="K2001">
        <v>130</v>
      </c>
      <c r="L2001">
        <v>853</v>
      </c>
      <c r="M2001" t="s">
        <v>16</v>
      </c>
    </row>
    <row r="2002" spans="1:13" x14ac:dyDescent="0.35">
      <c r="A2002">
        <v>291470</v>
      </c>
      <c r="B2002">
        <v>17485</v>
      </c>
      <c r="C2002" t="s">
        <v>2020</v>
      </c>
      <c r="D2002" t="s">
        <v>1972</v>
      </c>
      <c r="E2002" t="s">
        <v>2020</v>
      </c>
      <c r="F2002">
        <v>59393</v>
      </c>
      <c r="G2002">
        <v>2</v>
      </c>
      <c r="H2002" t="s">
        <v>16</v>
      </c>
      <c r="I2002" s="1">
        <v>-1252800</v>
      </c>
      <c r="J2002" s="1">
        <v>-4030700</v>
      </c>
      <c r="K2002">
        <v>265</v>
      </c>
      <c r="L2002">
        <v>2357</v>
      </c>
      <c r="M2002" t="s">
        <v>16</v>
      </c>
    </row>
    <row r="2003" spans="1:13" x14ac:dyDescent="0.35">
      <c r="A2003">
        <v>291480</v>
      </c>
      <c r="B2003">
        <v>17493</v>
      </c>
      <c r="C2003" t="s">
        <v>2163</v>
      </c>
      <c r="D2003" t="s">
        <v>1972</v>
      </c>
      <c r="E2003" t="s">
        <v>1989</v>
      </c>
      <c r="F2003">
        <v>210604</v>
      </c>
      <c r="G2003">
        <v>3</v>
      </c>
      <c r="H2003" t="s">
        <v>16</v>
      </c>
      <c r="I2003" s="1">
        <v>-1478600</v>
      </c>
      <c r="J2003" s="1">
        <v>-3928000</v>
      </c>
      <c r="K2003">
        <v>54</v>
      </c>
      <c r="L2003">
        <v>443</v>
      </c>
      <c r="M2003" t="s">
        <v>16</v>
      </c>
    </row>
    <row r="2004" spans="1:13" x14ac:dyDescent="0.35">
      <c r="A2004">
        <v>291490</v>
      </c>
      <c r="B2004">
        <v>17507</v>
      </c>
      <c r="C2004" t="s">
        <v>2164</v>
      </c>
      <c r="D2004" t="s">
        <v>1972</v>
      </c>
      <c r="E2004" t="s">
        <v>1989</v>
      </c>
      <c r="F2004">
        <v>24720</v>
      </c>
      <c r="G2004">
        <v>1</v>
      </c>
      <c r="H2004" t="s">
        <v>16</v>
      </c>
      <c r="I2004" s="1">
        <v>-1427800</v>
      </c>
      <c r="J2004" s="1">
        <v>-3899700</v>
      </c>
      <c r="K2004">
        <v>29</v>
      </c>
      <c r="L2004">
        <v>730</v>
      </c>
      <c r="M2004" t="s">
        <v>16</v>
      </c>
    </row>
    <row r="2005" spans="1:13" x14ac:dyDescent="0.35">
      <c r="A2005">
        <v>291500</v>
      </c>
      <c r="B2005">
        <v>17515</v>
      </c>
      <c r="C2005" t="s">
        <v>2165</v>
      </c>
      <c r="D2005" t="s">
        <v>1972</v>
      </c>
      <c r="E2005" t="s">
        <v>1973</v>
      </c>
      <c r="F2005">
        <v>14154</v>
      </c>
      <c r="G2005">
        <v>1</v>
      </c>
      <c r="H2005" t="s">
        <v>16</v>
      </c>
      <c r="I2005" s="1">
        <v>-1298600</v>
      </c>
      <c r="J2005" s="1">
        <v>-4097300</v>
      </c>
      <c r="K2005">
        <v>321</v>
      </c>
      <c r="L2005">
        <v>1194</v>
      </c>
      <c r="M2005" t="s">
        <v>16</v>
      </c>
    </row>
    <row r="2006" spans="1:13" x14ac:dyDescent="0.35">
      <c r="A2006">
        <v>291510</v>
      </c>
      <c r="B2006">
        <v>17523</v>
      </c>
      <c r="C2006" t="s">
        <v>2166</v>
      </c>
      <c r="D2006" t="s">
        <v>1972</v>
      </c>
      <c r="E2006" t="s">
        <v>1985</v>
      </c>
      <c r="F2006">
        <v>13882</v>
      </c>
      <c r="G2006">
        <v>1</v>
      </c>
      <c r="H2006" t="s">
        <v>16</v>
      </c>
      <c r="I2006" s="1">
        <v>-1416300</v>
      </c>
      <c r="J2006" s="1">
        <v>-4000600</v>
      </c>
      <c r="K2006">
        <v>258</v>
      </c>
      <c r="L2006">
        <v>303</v>
      </c>
      <c r="M2006" t="s">
        <v>16</v>
      </c>
    </row>
    <row r="2007" spans="1:13" x14ac:dyDescent="0.35">
      <c r="A2007">
        <v>291520</v>
      </c>
      <c r="B2007">
        <v>17531</v>
      </c>
      <c r="C2007" t="s">
        <v>2167</v>
      </c>
      <c r="D2007" t="s">
        <v>1972</v>
      </c>
      <c r="E2007" t="s">
        <v>1989</v>
      </c>
      <c r="F2007">
        <v>16272</v>
      </c>
      <c r="G2007">
        <v>1</v>
      </c>
      <c r="H2007" t="s">
        <v>16</v>
      </c>
      <c r="I2007" s="1">
        <v>-1428400</v>
      </c>
      <c r="J2007" s="1">
        <v>-3984300</v>
      </c>
      <c r="K2007">
        <v>185</v>
      </c>
      <c r="L2007">
        <v>810</v>
      </c>
      <c r="M2007" t="s">
        <v>16</v>
      </c>
    </row>
    <row r="2008" spans="1:13" x14ac:dyDescent="0.35">
      <c r="A2008">
        <v>291530</v>
      </c>
      <c r="B2008">
        <v>17540</v>
      </c>
      <c r="C2008" t="s">
        <v>2168</v>
      </c>
      <c r="D2008" t="s">
        <v>1972</v>
      </c>
      <c r="E2008" t="s">
        <v>1987</v>
      </c>
      <c r="F2008">
        <v>7049</v>
      </c>
      <c r="G2008">
        <v>1</v>
      </c>
      <c r="H2008" t="s">
        <v>16</v>
      </c>
      <c r="I2008" s="1">
        <v>-1608700</v>
      </c>
      <c r="J2008" s="1">
        <v>-3961400</v>
      </c>
      <c r="K2008">
        <v>176</v>
      </c>
      <c r="L2008">
        <v>817</v>
      </c>
      <c r="M2008" t="s">
        <v>16</v>
      </c>
    </row>
    <row r="2009" spans="1:13" x14ac:dyDescent="0.35">
      <c r="A2009">
        <v>291535</v>
      </c>
      <c r="B2009">
        <v>47163</v>
      </c>
      <c r="C2009" t="s">
        <v>2169</v>
      </c>
      <c r="D2009" t="s">
        <v>1972</v>
      </c>
      <c r="E2009" t="s">
        <v>2022</v>
      </c>
      <c r="F2009">
        <v>12545</v>
      </c>
      <c r="G2009">
        <v>1</v>
      </c>
      <c r="H2009" t="s">
        <v>16</v>
      </c>
      <c r="I2009" s="1">
        <v>-1101200</v>
      </c>
      <c r="J2009" s="1">
        <v>-4239900</v>
      </c>
      <c r="K2009">
        <v>44</v>
      </c>
      <c r="L2009">
        <v>4396</v>
      </c>
      <c r="M2009" t="s">
        <v>16</v>
      </c>
    </row>
    <row r="2010" spans="1:13" x14ac:dyDescent="0.35">
      <c r="A2010">
        <v>291540</v>
      </c>
      <c r="B2010">
        <v>17558</v>
      </c>
      <c r="C2010" t="s">
        <v>2170</v>
      </c>
      <c r="D2010" t="s">
        <v>1972</v>
      </c>
      <c r="E2010" t="s">
        <v>1989</v>
      </c>
      <c r="F2010">
        <v>7673</v>
      </c>
      <c r="G2010">
        <v>1</v>
      </c>
      <c r="H2010" t="s">
        <v>16</v>
      </c>
      <c r="I2010" s="1">
        <v>-1514300</v>
      </c>
      <c r="J2010" s="1">
        <v>-3972400</v>
      </c>
      <c r="K2010">
        <v>167</v>
      </c>
      <c r="L2010">
        <v>1217</v>
      </c>
      <c r="M2010" t="s">
        <v>16</v>
      </c>
    </row>
    <row r="2011" spans="1:13" x14ac:dyDescent="0.35">
      <c r="A2011">
        <v>291550</v>
      </c>
      <c r="B2011">
        <v>17566</v>
      </c>
      <c r="C2011" t="s">
        <v>2171</v>
      </c>
      <c r="D2011" t="s">
        <v>1972</v>
      </c>
      <c r="E2011" t="s">
        <v>1989</v>
      </c>
      <c r="F2011">
        <v>20343</v>
      </c>
      <c r="G2011">
        <v>1</v>
      </c>
      <c r="H2011" t="s">
        <v>16</v>
      </c>
      <c r="I2011" s="1">
        <v>-1467800</v>
      </c>
      <c r="J2011" s="1">
        <v>-3937500</v>
      </c>
      <c r="K2011">
        <v>101</v>
      </c>
      <c r="L2011">
        <v>295</v>
      </c>
      <c r="M2011" t="s">
        <v>16</v>
      </c>
    </row>
    <row r="2012" spans="1:13" x14ac:dyDescent="0.35">
      <c r="A2012">
        <v>291560</v>
      </c>
      <c r="B2012">
        <v>17574</v>
      </c>
      <c r="C2012" t="s">
        <v>2172</v>
      </c>
      <c r="D2012" t="s">
        <v>1972</v>
      </c>
      <c r="E2012" t="s">
        <v>1987</v>
      </c>
      <c r="F2012">
        <v>65327</v>
      </c>
      <c r="G2012">
        <v>2</v>
      </c>
      <c r="H2012" t="s">
        <v>16</v>
      </c>
      <c r="I2012" s="1">
        <v>-1703900</v>
      </c>
      <c r="J2012" s="1">
        <v>-3953100</v>
      </c>
      <c r="K2012">
        <v>112</v>
      </c>
      <c r="L2012">
        <v>2369</v>
      </c>
      <c r="M2012" t="s">
        <v>16</v>
      </c>
    </row>
    <row r="2013" spans="1:13" x14ac:dyDescent="0.35">
      <c r="A2013">
        <v>291570</v>
      </c>
      <c r="B2013">
        <v>17582</v>
      </c>
      <c r="C2013" t="s">
        <v>2173</v>
      </c>
      <c r="D2013" t="s">
        <v>1972</v>
      </c>
      <c r="E2013" t="s">
        <v>1989</v>
      </c>
      <c r="F2013">
        <v>8468</v>
      </c>
      <c r="G2013">
        <v>1</v>
      </c>
      <c r="H2013" t="s">
        <v>16</v>
      </c>
      <c r="I2013" s="1">
        <v>-1377800</v>
      </c>
      <c r="J2013" s="1">
        <v>-3968400</v>
      </c>
      <c r="K2013">
        <v>232</v>
      </c>
      <c r="L2013">
        <v>131</v>
      </c>
      <c r="M2013" t="s">
        <v>16</v>
      </c>
    </row>
    <row r="2014" spans="1:13" x14ac:dyDescent="0.35">
      <c r="A2014">
        <v>291580</v>
      </c>
      <c r="B2014">
        <v>17590</v>
      </c>
      <c r="C2014" t="s">
        <v>1702</v>
      </c>
      <c r="D2014" t="s">
        <v>1972</v>
      </c>
      <c r="E2014" t="s">
        <v>2117</v>
      </c>
      <c r="F2014">
        <v>33687</v>
      </c>
      <c r="G2014">
        <v>1</v>
      </c>
      <c r="H2014" t="s">
        <v>16</v>
      </c>
      <c r="I2014" s="1">
        <v>-1524500</v>
      </c>
      <c r="J2014" s="1">
        <v>-4062400</v>
      </c>
      <c r="K2014">
        <v>346</v>
      </c>
      <c r="L2014">
        <v>1625</v>
      </c>
      <c r="M2014" t="s">
        <v>16</v>
      </c>
    </row>
    <row r="2015" spans="1:13" x14ac:dyDescent="0.35">
      <c r="A2015">
        <v>291590</v>
      </c>
      <c r="B2015">
        <v>17604</v>
      </c>
      <c r="C2015" t="s">
        <v>2174</v>
      </c>
      <c r="D2015" t="s">
        <v>1972</v>
      </c>
      <c r="E2015" t="s">
        <v>1992</v>
      </c>
      <c r="F2015">
        <v>6605</v>
      </c>
      <c r="G2015">
        <v>1</v>
      </c>
      <c r="H2015" t="s">
        <v>16</v>
      </c>
      <c r="I2015" s="1">
        <v>-1226300</v>
      </c>
      <c r="J2015" s="1">
        <v>-3804200</v>
      </c>
      <c r="K2015">
        <v>44</v>
      </c>
      <c r="L2015">
        <v>452</v>
      </c>
      <c r="M2015" t="s">
        <v>16</v>
      </c>
    </row>
    <row r="2016" spans="1:13" x14ac:dyDescent="0.35">
      <c r="A2016">
        <v>291600</v>
      </c>
      <c r="B2016">
        <v>17612</v>
      </c>
      <c r="C2016" t="s">
        <v>2175</v>
      </c>
      <c r="D2016" t="s">
        <v>1972</v>
      </c>
      <c r="E2016" t="s">
        <v>1987</v>
      </c>
      <c r="F2016">
        <v>20636</v>
      </c>
      <c r="G2016">
        <v>1</v>
      </c>
      <c r="H2016" t="s">
        <v>16</v>
      </c>
      <c r="I2016" s="1">
        <v>-1716600</v>
      </c>
      <c r="J2016" s="1">
        <v>-4033000</v>
      </c>
      <c r="K2016">
        <v>210</v>
      </c>
      <c r="L2016">
        <v>1445</v>
      </c>
      <c r="M2016" t="s">
        <v>16</v>
      </c>
    </row>
    <row r="2017" spans="1:13" x14ac:dyDescent="0.35">
      <c r="A2017">
        <v>291610</v>
      </c>
      <c r="B2017">
        <v>17620</v>
      </c>
      <c r="C2017" t="s">
        <v>1638</v>
      </c>
      <c r="D2017" t="s">
        <v>1972</v>
      </c>
      <c r="E2017" t="s">
        <v>2060</v>
      </c>
      <c r="F2017">
        <v>19897</v>
      </c>
      <c r="G2017">
        <v>4</v>
      </c>
      <c r="H2017" t="s">
        <v>2061</v>
      </c>
      <c r="I2017" s="1">
        <v>-1288800</v>
      </c>
      <c r="J2017" s="1">
        <v>-3867900</v>
      </c>
      <c r="K2017">
        <v>15</v>
      </c>
      <c r="L2017">
        <v>115</v>
      </c>
      <c r="M2017" t="s">
        <v>16</v>
      </c>
    </row>
    <row r="2018" spans="1:13" x14ac:dyDescent="0.35">
      <c r="A2018">
        <v>291620</v>
      </c>
      <c r="B2018">
        <v>17639</v>
      </c>
      <c r="C2018" t="s">
        <v>2176</v>
      </c>
      <c r="D2018" t="s">
        <v>1972</v>
      </c>
      <c r="E2018" t="s">
        <v>1989</v>
      </c>
      <c r="F2018">
        <v>11123</v>
      </c>
      <c r="G2018">
        <v>1</v>
      </c>
      <c r="H2018" t="s">
        <v>16</v>
      </c>
      <c r="I2018" s="1">
        <v>-1489800</v>
      </c>
      <c r="J2018" s="1">
        <v>-3942100</v>
      </c>
      <c r="K2018">
        <v>40</v>
      </c>
      <c r="L2018">
        <v>443</v>
      </c>
      <c r="M2018" t="s">
        <v>16</v>
      </c>
    </row>
    <row r="2019" spans="1:13" x14ac:dyDescent="0.35">
      <c r="A2019">
        <v>291630</v>
      </c>
      <c r="B2019">
        <v>17647</v>
      </c>
      <c r="C2019" t="s">
        <v>2177</v>
      </c>
      <c r="D2019" t="s">
        <v>1972</v>
      </c>
      <c r="E2019" t="s">
        <v>1989</v>
      </c>
      <c r="F2019">
        <v>11520</v>
      </c>
      <c r="G2019">
        <v>1</v>
      </c>
      <c r="H2019" t="s">
        <v>16</v>
      </c>
      <c r="I2019" s="1">
        <v>-1595100</v>
      </c>
      <c r="J2019" s="1">
        <v>-3953400</v>
      </c>
      <c r="K2019">
        <v>177</v>
      </c>
      <c r="L2019">
        <v>972</v>
      </c>
      <c r="M2019" t="s">
        <v>16</v>
      </c>
    </row>
    <row r="2020" spans="1:13" x14ac:dyDescent="0.35">
      <c r="A2020">
        <v>291640</v>
      </c>
      <c r="B2020">
        <v>17655</v>
      </c>
      <c r="C2020" t="s">
        <v>2117</v>
      </c>
      <c r="D2020" t="s">
        <v>1972</v>
      </c>
      <c r="E2020" t="s">
        <v>2117</v>
      </c>
      <c r="F2020">
        <v>63243</v>
      </c>
      <c r="G2020">
        <v>2</v>
      </c>
      <c r="H2020" t="s">
        <v>16</v>
      </c>
      <c r="I2020" s="1">
        <v>-1524900</v>
      </c>
      <c r="J2020" s="1">
        <v>-4024800</v>
      </c>
      <c r="K2020">
        <v>279</v>
      </c>
      <c r="L2020">
        <v>1609</v>
      </c>
      <c r="M2020" t="s">
        <v>16</v>
      </c>
    </row>
    <row r="2021" spans="1:13" x14ac:dyDescent="0.35">
      <c r="A2021">
        <v>291650</v>
      </c>
      <c r="B2021">
        <v>17663</v>
      </c>
      <c r="C2021" t="s">
        <v>2178</v>
      </c>
      <c r="D2021" t="s">
        <v>1972</v>
      </c>
      <c r="E2021" t="s">
        <v>1979</v>
      </c>
      <c r="F2021">
        <v>30703</v>
      </c>
      <c r="G2021">
        <v>1</v>
      </c>
      <c r="H2021" t="s">
        <v>16</v>
      </c>
      <c r="I2021" s="1">
        <v>-1131700</v>
      </c>
      <c r="J2021" s="1">
        <v>-3823300</v>
      </c>
      <c r="K2021">
        <v>155</v>
      </c>
      <c r="L2021">
        <v>1550</v>
      </c>
      <c r="M2021" t="s">
        <v>16</v>
      </c>
    </row>
    <row r="2022" spans="1:13" x14ac:dyDescent="0.35">
      <c r="A2022">
        <v>291660</v>
      </c>
      <c r="B2022">
        <v>17671</v>
      </c>
      <c r="C2022" t="s">
        <v>2179</v>
      </c>
      <c r="D2022" t="s">
        <v>1972</v>
      </c>
      <c r="E2022" t="s">
        <v>1989</v>
      </c>
      <c r="F2022">
        <v>10106</v>
      </c>
      <c r="G2022">
        <v>1</v>
      </c>
      <c r="H2022" t="s">
        <v>16</v>
      </c>
      <c r="I2022" s="1">
        <v>-1442300</v>
      </c>
      <c r="J2022" s="1">
        <v>-3956500</v>
      </c>
      <c r="K2022">
        <v>152</v>
      </c>
      <c r="L2022">
        <v>410</v>
      </c>
      <c r="M2022" t="s">
        <v>16</v>
      </c>
    </row>
    <row r="2023" spans="1:13" x14ac:dyDescent="0.35">
      <c r="A2023">
        <v>291670</v>
      </c>
      <c r="B2023">
        <v>17680</v>
      </c>
      <c r="C2023" t="s">
        <v>2180</v>
      </c>
      <c r="D2023" t="s">
        <v>1972</v>
      </c>
      <c r="E2023" t="s">
        <v>1985</v>
      </c>
      <c r="F2023">
        <v>7564</v>
      </c>
      <c r="G2023">
        <v>1</v>
      </c>
      <c r="H2023" t="s">
        <v>16</v>
      </c>
      <c r="I2023" s="1">
        <v>-1345100</v>
      </c>
      <c r="J2023" s="1">
        <v>-3994100</v>
      </c>
      <c r="K2023">
        <v>578</v>
      </c>
      <c r="L2023">
        <v>296</v>
      </c>
      <c r="M2023" t="s">
        <v>16</v>
      </c>
    </row>
    <row r="2024" spans="1:13" x14ac:dyDescent="0.35">
      <c r="A2024">
        <v>291680</v>
      </c>
      <c r="B2024">
        <v>17698</v>
      </c>
      <c r="C2024" t="s">
        <v>2181</v>
      </c>
      <c r="D2024" t="s">
        <v>1972</v>
      </c>
      <c r="E2024" t="s">
        <v>2117</v>
      </c>
      <c r="F2024">
        <v>17615</v>
      </c>
      <c r="G2024">
        <v>1</v>
      </c>
      <c r="H2024" t="s">
        <v>16</v>
      </c>
      <c r="I2024" s="1">
        <v>-1566000</v>
      </c>
      <c r="J2024" s="1">
        <v>-4006600</v>
      </c>
      <c r="K2024">
        <v>259</v>
      </c>
      <c r="L2024">
        <v>1783</v>
      </c>
      <c r="M2024" t="s">
        <v>16</v>
      </c>
    </row>
    <row r="2025" spans="1:13" x14ac:dyDescent="0.35">
      <c r="A2025">
        <v>291685</v>
      </c>
      <c r="B2025">
        <v>47759</v>
      </c>
      <c r="C2025" t="s">
        <v>2182</v>
      </c>
      <c r="D2025" t="s">
        <v>1972</v>
      </c>
      <c r="E2025" t="s">
        <v>1981</v>
      </c>
      <c r="F2025">
        <v>14569</v>
      </c>
      <c r="G2025">
        <v>1</v>
      </c>
      <c r="H2025" t="s">
        <v>16</v>
      </c>
      <c r="I2025" s="1">
        <v>-1271200</v>
      </c>
      <c r="J2025" s="1">
        <v>-3969800</v>
      </c>
      <c r="K2025">
        <v>260</v>
      </c>
      <c r="L2025">
        <v>574</v>
      </c>
      <c r="M2025" t="s">
        <v>16</v>
      </c>
    </row>
    <row r="2026" spans="1:13" x14ac:dyDescent="0.35">
      <c r="A2026">
        <v>291690</v>
      </c>
      <c r="B2026">
        <v>17701</v>
      </c>
      <c r="C2026" t="s">
        <v>2183</v>
      </c>
      <c r="D2026" t="s">
        <v>1972</v>
      </c>
      <c r="E2026" t="s">
        <v>1985</v>
      </c>
      <c r="F2026">
        <v>15764</v>
      </c>
      <c r="G2026">
        <v>1</v>
      </c>
      <c r="H2026" t="s">
        <v>16</v>
      </c>
      <c r="I2026" s="1">
        <v>-1353200</v>
      </c>
      <c r="J2026" s="1">
        <v>-4015000</v>
      </c>
      <c r="K2026">
        <v>820</v>
      </c>
      <c r="L2026">
        <v>302</v>
      </c>
      <c r="M2026" t="s">
        <v>16</v>
      </c>
    </row>
    <row r="2027" spans="1:13" x14ac:dyDescent="0.35">
      <c r="A2027">
        <v>291700</v>
      </c>
      <c r="B2027">
        <v>17710</v>
      </c>
      <c r="C2027" t="s">
        <v>2184</v>
      </c>
      <c r="D2027" t="s">
        <v>1972</v>
      </c>
      <c r="E2027" t="s">
        <v>1999</v>
      </c>
      <c r="F2027">
        <v>35749</v>
      </c>
      <c r="G2027">
        <v>1</v>
      </c>
      <c r="H2027" t="s">
        <v>16</v>
      </c>
      <c r="I2027" s="1">
        <v>-1069100</v>
      </c>
      <c r="J2027" s="1">
        <v>-3985300</v>
      </c>
      <c r="K2027">
        <v>377</v>
      </c>
      <c r="L2027">
        <v>1730</v>
      </c>
      <c r="M2027" t="s">
        <v>16</v>
      </c>
    </row>
    <row r="2028" spans="1:13" x14ac:dyDescent="0.35">
      <c r="A2028">
        <v>291710</v>
      </c>
      <c r="B2028">
        <v>17728</v>
      </c>
      <c r="C2028" t="s">
        <v>2185</v>
      </c>
      <c r="D2028" t="s">
        <v>1972</v>
      </c>
      <c r="E2028" t="s">
        <v>2117</v>
      </c>
      <c r="F2028">
        <v>20165</v>
      </c>
      <c r="G2028">
        <v>1</v>
      </c>
      <c r="H2028" t="s">
        <v>16</v>
      </c>
      <c r="I2028" s="1">
        <v>-1511700</v>
      </c>
      <c r="J2028" s="1">
        <v>-4007000</v>
      </c>
      <c r="K2028">
        <v>237</v>
      </c>
      <c r="L2028">
        <v>330</v>
      </c>
      <c r="M2028" t="s">
        <v>16</v>
      </c>
    </row>
    <row r="2029" spans="1:13" x14ac:dyDescent="0.35">
      <c r="A2029">
        <v>291720</v>
      </c>
      <c r="B2029">
        <v>17736</v>
      </c>
      <c r="C2029" t="s">
        <v>2186</v>
      </c>
      <c r="D2029" t="s">
        <v>1972</v>
      </c>
      <c r="E2029" t="s">
        <v>2009</v>
      </c>
      <c r="F2029">
        <v>17939</v>
      </c>
      <c r="G2029">
        <v>1</v>
      </c>
      <c r="H2029" t="s">
        <v>16</v>
      </c>
      <c r="I2029" s="1">
        <v>-1381300</v>
      </c>
      <c r="J2029" s="1">
        <v>-4129700</v>
      </c>
      <c r="K2029">
        <v>520</v>
      </c>
      <c r="L2029">
        <v>1216</v>
      </c>
      <c r="M2029" t="s">
        <v>16</v>
      </c>
    </row>
    <row r="2030" spans="1:13" x14ac:dyDescent="0.35">
      <c r="A2030">
        <v>291730</v>
      </c>
      <c r="B2030">
        <v>17744</v>
      </c>
      <c r="C2030" t="s">
        <v>2187</v>
      </c>
      <c r="D2030" t="s">
        <v>1972</v>
      </c>
      <c r="E2030" t="s">
        <v>2056</v>
      </c>
      <c r="F2030">
        <v>23530</v>
      </c>
      <c r="G2030">
        <v>1</v>
      </c>
      <c r="H2030" t="s">
        <v>16</v>
      </c>
      <c r="I2030" s="1">
        <v>-1373200</v>
      </c>
      <c r="J2030" s="1">
        <v>-3914900</v>
      </c>
      <c r="K2030">
        <v>27</v>
      </c>
      <c r="L2030">
        <v>417</v>
      </c>
      <c r="M2030" t="s">
        <v>16</v>
      </c>
    </row>
    <row r="2031" spans="1:13" x14ac:dyDescent="0.35">
      <c r="A2031">
        <v>291733</v>
      </c>
      <c r="B2031">
        <v>47171</v>
      </c>
      <c r="C2031" t="s">
        <v>2188</v>
      </c>
      <c r="D2031" t="s">
        <v>1972</v>
      </c>
      <c r="E2031" t="s">
        <v>2049</v>
      </c>
      <c r="F2031">
        <v>11469</v>
      </c>
      <c r="G2031">
        <v>1</v>
      </c>
      <c r="H2031" t="s">
        <v>16</v>
      </c>
      <c r="I2031" s="1">
        <v>-1441400</v>
      </c>
      <c r="J2031" s="1">
        <v>-4355400</v>
      </c>
      <c r="K2031">
        <v>490</v>
      </c>
      <c r="L2031">
        <v>1095</v>
      </c>
      <c r="M2031" t="s">
        <v>16</v>
      </c>
    </row>
    <row r="2032" spans="1:13" x14ac:dyDescent="0.35">
      <c r="A2032">
        <v>291735</v>
      </c>
      <c r="B2032">
        <v>15180</v>
      </c>
      <c r="C2032" t="s">
        <v>2189</v>
      </c>
      <c r="D2032" t="s">
        <v>1972</v>
      </c>
      <c r="E2032" t="s">
        <v>2067</v>
      </c>
      <c r="F2032">
        <v>8931</v>
      </c>
      <c r="G2032">
        <v>1</v>
      </c>
      <c r="H2032" t="s">
        <v>16</v>
      </c>
      <c r="I2032" s="1">
        <v>-1361900</v>
      </c>
      <c r="J2032" s="1">
        <v>-4443300</v>
      </c>
      <c r="K2032">
        <v>448</v>
      </c>
      <c r="L2032">
        <v>9479</v>
      </c>
      <c r="M2032" t="s">
        <v>16</v>
      </c>
    </row>
    <row r="2033" spans="1:13" x14ac:dyDescent="0.35">
      <c r="A2033">
        <v>291740</v>
      </c>
      <c r="B2033">
        <v>17752</v>
      </c>
      <c r="C2033" t="s">
        <v>2190</v>
      </c>
      <c r="D2033" t="s">
        <v>1972</v>
      </c>
      <c r="E2033" t="s">
        <v>2049</v>
      </c>
      <c r="F2033">
        <v>14346</v>
      </c>
      <c r="G2033">
        <v>1</v>
      </c>
      <c r="H2033" t="s">
        <v>16</v>
      </c>
      <c r="I2033" s="1">
        <v>-1485000</v>
      </c>
      <c r="J2033" s="1">
        <v>-4243300</v>
      </c>
      <c r="K2033">
        <v>900</v>
      </c>
      <c r="L2033">
        <v>1241</v>
      </c>
      <c r="M2033" t="s">
        <v>16</v>
      </c>
    </row>
    <row r="2034" spans="1:13" x14ac:dyDescent="0.35">
      <c r="A2034">
        <v>291750</v>
      </c>
      <c r="B2034">
        <v>17760</v>
      </c>
      <c r="C2034" t="s">
        <v>2051</v>
      </c>
      <c r="D2034" t="s">
        <v>1972</v>
      </c>
      <c r="E2034" t="s">
        <v>2051</v>
      </c>
      <c r="F2034">
        <v>76463</v>
      </c>
      <c r="G2034">
        <v>2</v>
      </c>
      <c r="H2034" t="s">
        <v>16</v>
      </c>
      <c r="I2034" s="1">
        <v>-1118100</v>
      </c>
      <c r="J2034" s="1">
        <v>-4051800</v>
      </c>
      <c r="K2034">
        <v>463</v>
      </c>
      <c r="L2034">
        <v>2319</v>
      </c>
      <c r="M2034" t="s">
        <v>16</v>
      </c>
    </row>
    <row r="2035" spans="1:13" x14ac:dyDescent="0.35">
      <c r="A2035">
        <v>291760</v>
      </c>
      <c r="B2035">
        <v>17779</v>
      </c>
      <c r="C2035" t="s">
        <v>2191</v>
      </c>
      <c r="D2035" t="s">
        <v>1972</v>
      </c>
      <c r="E2035" t="s">
        <v>1985</v>
      </c>
      <c r="F2035">
        <v>46641</v>
      </c>
      <c r="G2035">
        <v>1</v>
      </c>
      <c r="H2035" t="s">
        <v>16</v>
      </c>
      <c r="I2035" s="1">
        <v>-1353100</v>
      </c>
      <c r="J2035" s="1">
        <v>-3997100</v>
      </c>
      <c r="K2035">
        <v>667</v>
      </c>
      <c r="L2035">
        <v>960</v>
      </c>
      <c r="M2035" t="s">
        <v>16</v>
      </c>
    </row>
    <row r="2036" spans="1:13" x14ac:dyDescent="0.35">
      <c r="A2036">
        <v>291770</v>
      </c>
      <c r="B2036">
        <v>17787</v>
      </c>
      <c r="C2036" t="s">
        <v>2192</v>
      </c>
      <c r="D2036" t="s">
        <v>1972</v>
      </c>
      <c r="E2036" t="s">
        <v>1999</v>
      </c>
      <c r="F2036">
        <v>29097</v>
      </c>
      <c r="G2036">
        <v>1</v>
      </c>
      <c r="H2036" t="s">
        <v>16</v>
      </c>
      <c r="I2036" s="1">
        <v>-1026000</v>
      </c>
      <c r="J2036" s="1">
        <v>-4019600</v>
      </c>
      <c r="K2036">
        <v>662</v>
      </c>
      <c r="L2036">
        <v>2567</v>
      </c>
      <c r="M2036" t="s">
        <v>16</v>
      </c>
    </row>
    <row r="2037" spans="1:13" x14ac:dyDescent="0.35">
      <c r="A2037">
        <v>291780</v>
      </c>
      <c r="B2037">
        <v>17795</v>
      </c>
      <c r="C2037" t="s">
        <v>2193</v>
      </c>
      <c r="D2037" t="s">
        <v>1972</v>
      </c>
      <c r="E2037" t="s">
        <v>2015</v>
      </c>
      <c r="F2037">
        <v>16207</v>
      </c>
      <c r="G2037">
        <v>1</v>
      </c>
      <c r="H2037" t="s">
        <v>16</v>
      </c>
      <c r="I2037" s="1">
        <v>-1311300</v>
      </c>
      <c r="J2037" s="1">
        <v>-3889600</v>
      </c>
      <c r="K2037">
        <v>11</v>
      </c>
      <c r="L2037">
        <v>891</v>
      </c>
      <c r="M2037" t="s">
        <v>16</v>
      </c>
    </row>
    <row r="2038" spans="1:13" x14ac:dyDescent="0.35">
      <c r="A2038">
        <v>291790</v>
      </c>
      <c r="B2038">
        <v>17809</v>
      </c>
      <c r="C2038" t="s">
        <v>1285</v>
      </c>
      <c r="D2038" t="s">
        <v>1972</v>
      </c>
      <c r="E2038" t="s">
        <v>2082</v>
      </c>
      <c r="F2038">
        <v>9758</v>
      </c>
      <c r="G2038">
        <v>1</v>
      </c>
      <c r="H2038" t="s">
        <v>16</v>
      </c>
      <c r="I2038" s="1">
        <v>-1156400</v>
      </c>
      <c r="J2038" s="1">
        <v>-3778400</v>
      </c>
      <c r="K2038">
        <v>146</v>
      </c>
      <c r="L2038">
        <v>642</v>
      </c>
      <c r="M2038" t="s">
        <v>16</v>
      </c>
    </row>
    <row r="2039" spans="1:13" x14ac:dyDescent="0.35">
      <c r="A2039">
        <v>291800</v>
      </c>
      <c r="B2039">
        <v>17817</v>
      </c>
      <c r="C2039" t="s">
        <v>2194</v>
      </c>
      <c r="D2039" t="s">
        <v>1972</v>
      </c>
      <c r="E2039" t="s">
        <v>1985</v>
      </c>
      <c r="F2039">
        <v>145964</v>
      </c>
      <c r="G2039">
        <v>3</v>
      </c>
      <c r="H2039" t="s">
        <v>16</v>
      </c>
      <c r="I2039" s="1">
        <v>-1385800</v>
      </c>
      <c r="J2039" s="1">
        <v>-4008400</v>
      </c>
      <c r="K2039">
        <v>215</v>
      </c>
      <c r="L2039">
        <v>3035</v>
      </c>
      <c r="M2039" t="s">
        <v>16</v>
      </c>
    </row>
    <row r="2040" spans="1:13" x14ac:dyDescent="0.35">
      <c r="A2040">
        <v>291810</v>
      </c>
      <c r="B2040">
        <v>17825</v>
      </c>
      <c r="C2040" t="s">
        <v>2104</v>
      </c>
      <c r="D2040" t="s">
        <v>1972</v>
      </c>
      <c r="E2040" t="s">
        <v>2104</v>
      </c>
      <c r="F2040">
        <v>37431</v>
      </c>
      <c r="G2040">
        <v>1</v>
      </c>
      <c r="H2040" t="s">
        <v>16</v>
      </c>
      <c r="I2040" s="1">
        <v>-1006700</v>
      </c>
      <c r="J2040" s="1">
        <v>-3835000</v>
      </c>
      <c r="K2040">
        <v>275</v>
      </c>
      <c r="L2040">
        <v>4761</v>
      </c>
      <c r="M2040" t="s">
        <v>16</v>
      </c>
    </row>
    <row r="2041" spans="1:13" x14ac:dyDescent="0.35">
      <c r="A2041">
        <v>291820</v>
      </c>
      <c r="B2041">
        <v>17833</v>
      </c>
      <c r="C2041" t="s">
        <v>2195</v>
      </c>
      <c r="D2041" t="s">
        <v>1972</v>
      </c>
      <c r="E2041" t="s">
        <v>1985</v>
      </c>
      <c r="F2041">
        <v>13386</v>
      </c>
      <c r="G2041">
        <v>1</v>
      </c>
      <c r="H2041" t="s">
        <v>16</v>
      </c>
      <c r="I2041" s="1">
        <v>-1325700</v>
      </c>
      <c r="J2041" s="1">
        <v>-3957200</v>
      </c>
      <c r="K2041">
        <v>342</v>
      </c>
      <c r="L2041">
        <v>236</v>
      </c>
      <c r="M2041" t="s">
        <v>16</v>
      </c>
    </row>
    <row r="2042" spans="1:13" x14ac:dyDescent="0.35">
      <c r="A2042">
        <v>291830</v>
      </c>
      <c r="B2042">
        <v>17841</v>
      </c>
      <c r="C2042" t="s">
        <v>2196</v>
      </c>
      <c r="D2042" t="s">
        <v>1972</v>
      </c>
      <c r="E2042" t="s">
        <v>1985</v>
      </c>
      <c r="F2042">
        <v>16839</v>
      </c>
      <c r="G2042">
        <v>1</v>
      </c>
      <c r="H2042" t="s">
        <v>16</v>
      </c>
      <c r="I2042" s="1">
        <v>-1401900</v>
      </c>
      <c r="J2042" s="1">
        <v>-3988900</v>
      </c>
      <c r="K2042">
        <v>163</v>
      </c>
      <c r="L2042">
        <v>332</v>
      </c>
      <c r="M2042" t="s">
        <v>16</v>
      </c>
    </row>
    <row r="2043" spans="1:13" x14ac:dyDescent="0.35">
      <c r="A2043">
        <v>291835</v>
      </c>
      <c r="B2043">
        <v>15199</v>
      </c>
      <c r="C2043" t="s">
        <v>2197</v>
      </c>
      <c r="D2043" t="s">
        <v>1972</v>
      </c>
      <c r="E2043" t="s">
        <v>1994</v>
      </c>
      <c r="F2043">
        <v>20834</v>
      </c>
      <c r="G2043">
        <v>1</v>
      </c>
      <c r="H2043" t="s">
        <v>16</v>
      </c>
      <c r="I2043" s="1">
        <v>-1135000</v>
      </c>
      <c r="J2043" s="1">
        <v>-4166400</v>
      </c>
      <c r="K2043">
        <v>815</v>
      </c>
      <c r="L2043">
        <v>984</v>
      </c>
      <c r="M2043" t="s">
        <v>16</v>
      </c>
    </row>
    <row r="2044" spans="1:13" x14ac:dyDescent="0.35">
      <c r="A2044">
        <v>291840</v>
      </c>
      <c r="B2044">
        <v>17850</v>
      </c>
      <c r="C2044" t="s">
        <v>2064</v>
      </c>
      <c r="D2044" t="s">
        <v>1972</v>
      </c>
      <c r="E2044" t="s">
        <v>2064</v>
      </c>
      <c r="F2044">
        <v>230538</v>
      </c>
      <c r="G2044">
        <v>4</v>
      </c>
      <c r="H2044" t="s">
        <v>1718</v>
      </c>
      <c r="I2044" s="1">
        <v>-941400</v>
      </c>
      <c r="J2044" s="1">
        <v>-4050300</v>
      </c>
      <c r="K2044">
        <v>368</v>
      </c>
      <c r="L2044">
        <v>6389</v>
      </c>
      <c r="M2044" t="s">
        <v>16</v>
      </c>
    </row>
    <row r="2045" spans="1:13" x14ac:dyDescent="0.35">
      <c r="A2045">
        <v>291845</v>
      </c>
      <c r="B2045">
        <v>47180</v>
      </c>
      <c r="C2045" t="s">
        <v>2198</v>
      </c>
      <c r="D2045" t="s">
        <v>1972</v>
      </c>
      <c r="E2045" t="s">
        <v>1987</v>
      </c>
      <c r="F2045">
        <v>10599</v>
      </c>
      <c r="G2045">
        <v>1</v>
      </c>
      <c r="H2045" t="s">
        <v>16</v>
      </c>
      <c r="I2045" s="1">
        <v>-1684300</v>
      </c>
      <c r="J2045" s="1">
        <v>-4015900</v>
      </c>
      <c r="K2045">
        <v>365</v>
      </c>
      <c r="L2045">
        <v>1438</v>
      </c>
      <c r="M2045" t="s">
        <v>16</v>
      </c>
    </row>
    <row r="2046" spans="1:13" x14ac:dyDescent="0.35">
      <c r="A2046">
        <v>291850</v>
      </c>
      <c r="B2046">
        <v>17868</v>
      </c>
      <c r="C2046" t="s">
        <v>2199</v>
      </c>
      <c r="D2046" t="s">
        <v>1972</v>
      </c>
      <c r="E2046" t="s">
        <v>1994</v>
      </c>
      <c r="F2046">
        <v>14833</v>
      </c>
      <c r="G2046">
        <v>1</v>
      </c>
      <c r="H2046" t="s">
        <v>16</v>
      </c>
      <c r="I2046" s="1">
        <v>-1104700</v>
      </c>
      <c r="J2046" s="1">
        <v>-4196900</v>
      </c>
      <c r="K2046">
        <v>620</v>
      </c>
      <c r="L2046">
        <v>886</v>
      </c>
      <c r="M2046" t="s">
        <v>16</v>
      </c>
    </row>
    <row r="2047" spans="1:13" x14ac:dyDescent="0.35">
      <c r="A2047">
        <v>291855</v>
      </c>
      <c r="B2047">
        <v>15946</v>
      </c>
      <c r="C2047" t="s">
        <v>2200</v>
      </c>
      <c r="D2047" t="s">
        <v>1972</v>
      </c>
      <c r="E2047" t="s">
        <v>1989</v>
      </c>
      <c r="F2047">
        <v>6857</v>
      </c>
      <c r="G2047">
        <v>1</v>
      </c>
      <c r="H2047" t="s">
        <v>16</v>
      </c>
      <c r="I2047" s="1">
        <v>-1519100</v>
      </c>
      <c r="J2047" s="1">
        <v>-3949500</v>
      </c>
      <c r="K2047">
        <v>196</v>
      </c>
      <c r="L2047">
        <v>356</v>
      </c>
      <c r="M2047" t="s">
        <v>16</v>
      </c>
    </row>
    <row r="2048" spans="1:13" x14ac:dyDescent="0.35">
      <c r="A2048">
        <v>291860</v>
      </c>
      <c r="B2048">
        <v>17876</v>
      </c>
      <c r="C2048" t="s">
        <v>2201</v>
      </c>
      <c r="D2048" t="s">
        <v>1972</v>
      </c>
      <c r="E2048" t="s">
        <v>1973</v>
      </c>
      <c r="F2048">
        <v>8465</v>
      </c>
      <c r="G2048">
        <v>1</v>
      </c>
      <c r="H2048" t="s">
        <v>16</v>
      </c>
      <c r="I2048" s="1">
        <v>-1351700</v>
      </c>
      <c r="J2048" s="1">
        <v>-4159300</v>
      </c>
      <c r="K2048">
        <v>538</v>
      </c>
      <c r="L2048">
        <v>523</v>
      </c>
      <c r="M2048" t="s">
        <v>16</v>
      </c>
    </row>
    <row r="2049" spans="1:13" x14ac:dyDescent="0.35">
      <c r="A2049">
        <v>291870</v>
      </c>
      <c r="B2049">
        <v>17884</v>
      </c>
      <c r="C2049" t="s">
        <v>2202</v>
      </c>
      <c r="D2049" t="s">
        <v>1972</v>
      </c>
      <c r="E2049" t="s">
        <v>1985</v>
      </c>
      <c r="F2049">
        <v>3526</v>
      </c>
      <c r="G2049">
        <v>1</v>
      </c>
      <c r="H2049" t="s">
        <v>16</v>
      </c>
      <c r="I2049" s="1">
        <v>-1365600</v>
      </c>
      <c r="J2049" s="1">
        <v>-4021300</v>
      </c>
      <c r="K2049">
        <v>558</v>
      </c>
      <c r="L2049">
        <v>352</v>
      </c>
      <c r="M2049" t="s">
        <v>16</v>
      </c>
    </row>
    <row r="2050" spans="1:13" x14ac:dyDescent="0.35">
      <c r="A2050">
        <v>291875</v>
      </c>
      <c r="B2050">
        <v>47775</v>
      </c>
      <c r="C2050" t="s">
        <v>2203</v>
      </c>
      <c r="D2050" t="s">
        <v>1972</v>
      </c>
      <c r="E2050" t="s">
        <v>2049</v>
      </c>
      <c r="F2050">
        <v>13795</v>
      </c>
      <c r="G2050">
        <v>1</v>
      </c>
      <c r="H2050" t="s">
        <v>16</v>
      </c>
      <c r="I2050" s="1">
        <v>-1403500</v>
      </c>
      <c r="J2050" s="1">
        <v>-4214200</v>
      </c>
      <c r="K2050">
        <v>525</v>
      </c>
      <c r="L2050">
        <v>996</v>
      </c>
      <c r="M2050" t="s">
        <v>16</v>
      </c>
    </row>
    <row r="2051" spans="1:13" x14ac:dyDescent="0.35">
      <c r="A2051">
        <v>291880</v>
      </c>
      <c r="B2051">
        <v>17892</v>
      </c>
      <c r="C2051" t="s">
        <v>2204</v>
      </c>
      <c r="D2051" t="s">
        <v>1972</v>
      </c>
      <c r="E2051" t="s">
        <v>1985</v>
      </c>
      <c r="F2051">
        <v>21104</v>
      </c>
      <c r="G2051">
        <v>1</v>
      </c>
      <c r="H2051" t="s">
        <v>16</v>
      </c>
      <c r="I2051" s="1">
        <v>-1318200</v>
      </c>
      <c r="J2051" s="1">
        <v>-3942500</v>
      </c>
      <c r="K2051">
        <v>190</v>
      </c>
      <c r="L2051">
        <v>498</v>
      </c>
      <c r="M2051" t="s">
        <v>16</v>
      </c>
    </row>
    <row r="2052" spans="1:13" x14ac:dyDescent="0.35">
      <c r="A2052">
        <v>291890</v>
      </c>
      <c r="B2052">
        <v>17906</v>
      </c>
      <c r="C2052" t="s">
        <v>2205</v>
      </c>
      <c r="D2052" t="s">
        <v>1972</v>
      </c>
      <c r="E2052" t="s">
        <v>1987</v>
      </c>
      <c r="F2052">
        <v>3469</v>
      </c>
      <c r="G2052">
        <v>1</v>
      </c>
      <c r="H2052" t="s">
        <v>16</v>
      </c>
      <c r="I2052" s="1">
        <v>-1761400</v>
      </c>
      <c r="J2052" s="1">
        <v>-4034500</v>
      </c>
      <c r="K2052">
        <v>290</v>
      </c>
      <c r="L2052">
        <v>613</v>
      </c>
      <c r="M2052" t="s">
        <v>16</v>
      </c>
    </row>
    <row r="2053" spans="1:13" x14ac:dyDescent="0.35">
      <c r="A2053">
        <v>291900</v>
      </c>
      <c r="B2053">
        <v>17914</v>
      </c>
      <c r="C2053" t="s">
        <v>2206</v>
      </c>
      <c r="D2053" t="s">
        <v>1972</v>
      </c>
      <c r="E2053" t="s">
        <v>2020</v>
      </c>
      <c r="F2053">
        <v>4329</v>
      </c>
      <c r="G2053">
        <v>1</v>
      </c>
      <c r="H2053" t="s">
        <v>16</v>
      </c>
      <c r="I2053" s="1">
        <v>-1235600</v>
      </c>
      <c r="J2053" s="1">
        <v>-4090600</v>
      </c>
      <c r="K2053">
        <v>530</v>
      </c>
      <c r="L2053">
        <v>807</v>
      </c>
      <c r="M2053" t="s">
        <v>16</v>
      </c>
    </row>
    <row r="2054" spans="1:13" x14ac:dyDescent="0.35">
      <c r="A2054">
        <v>291905</v>
      </c>
      <c r="B2054">
        <v>47767</v>
      </c>
      <c r="C2054" t="s">
        <v>2207</v>
      </c>
      <c r="D2054" t="s">
        <v>1972</v>
      </c>
      <c r="E2054" t="s">
        <v>1985</v>
      </c>
      <c r="F2054">
        <v>8591</v>
      </c>
      <c r="G2054">
        <v>1</v>
      </c>
      <c r="H2054" t="s">
        <v>16</v>
      </c>
      <c r="I2054" s="1">
        <v>-1347500</v>
      </c>
      <c r="J2054" s="1">
        <v>-4022400</v>
      </c>
      <c r="K2054">
        <v>875</v>
      </c>
      <c r="L2054">
        <v>423</v>
      </c>
      <c r="M2054" t="s">
        <v>16</v>
      </c>
    </row>
    <row r="2055" spans="1:13" x14ac:dyDescent="0.35">
      <c r="A2055">
        <v>291910</v>
      </c>
      <c r="B2055">
        <v>17922</v>
      </c>
      <c r="C2055" t="s">
        <v>2208</v>
      </c>
      <c r="D2055" t="s">
        <v>1972</v>
      </c>
      <c r="E2055" t="s">
        <v>1372</v>
      </c>
      <c r="F2055">
        <v>11988</v>
      </c>
      <c r="G2055">
        <v>1</v>
      </c>
      <c r="H2055" t="s">
        <v>16</v>
      </c>
      <c r="I2055" s="1">
        <v>-1178300</v>
      </c>
      <c r="J2055" s="1">
        <v>-3890000</v>
      </c>
      <c r="K2055">
        <v>315</v>
      </c>
      <c r="L2055">
        <v>356</v>
      </c>
      <c r="M2055" t="s">
        <v>16</v>
      </c>
    </row>
    <row r="2056" spans="1:13" x14ac:dyDescent="0.35">
      <c r="A2056">
        <v>291915</v>
      </c>
      <c r="B2056">
        <v>15954</v>
      </c>
      <c r="C2056" t="s">
        <v>2209</v>
      </c>
      <c r="D2056" t="s">
        <v>1972</v>
      </c>
      <c r="E2056" t="s">
        <v>1994</v>
      </c>
      <c r="F2056">
        <v>25557</v>
      </c>
      <c r="G2056">
        <v>1</v>
      </c>
      <c r="H2056" t="s">
        <v>16</v>
      </c>
      <c r="I2056" s="1">
        <v>-1138300</v>
      </c>
      <c r="J2056" s="1">
        <v>-4183200</v>
      </c>
      <c r="K2056">
        <v>775</v>
      </c>
      <c r="L2056">
        <v>638</v>
      </c>
      <c r="M2056" t="s">
        <v>16</v>
      </c>
    </row>
    <row r="2057" spans="1:13" x14ac:dyDescent="0.35">
      <c r="A2057">
        <v>291920</v>
      </c>
      <c r="B2057">
        <v>17930</v>
      </c>
      <c r="C2057" t="s">
        <v>2210</v>
      </c>
      <c r="D2057" t="s">
        <v>1972</v>
      </c>
      <c r="E2057" t="s">
        <v>2060</v>
      </c>
      <c r="F2057">
        <v>144492</v>
      </c>
      <c r="G2057">
        <v>4</v>
      </c>
      <c r="H2057" t="s">
        <v>2061</v>
      </c>
      <c r="I2057" s="1">
        <v>-1289400</v>
      </c>
      <c r="J2057" s="1">
        <v>-3832700</v>
      </c>
      <c r="K2057">
        <v>30</v>
      </c>
      <c r="L2057">
        <v>59</v>
      </c>
      <c r="M2057" t="s">
        <v>16</v>
      </c>
    </row>
    <row r="2058" spans="1:13" x14ac:dyDescent="0.35">
      <c r="A2058">
        <v>291930</v>
      </c>
      <c r="B2058">
        <v>17949</v>
      </c>
      <c r="C2058" t="s">
        <v>2211</v>
      </c>
      <c r="D2058" t="s">
        <v>1972</v>
      </c>
      <c r="E2058" t="s">
        <v>1973</v>
      </c>
      <c r="F2058">
        <v>9617</v>
      </c>
      <c r="G2058">
        <v>1</v>
      </c>
      <c r="H2058" t="s">
        <v>16</v>
      </c>
      <c r="I2058" s="1">
        <v>-1256300</v>
      </c>
      <c r="J2058" s="1">
        <v>-4139000</v>
      </c>
      <c r="K2058">
        <v>394</v>
      </c>
      <c r="L2058">
        <v>1240</v>
      </c>
      <c r="M2058" t="s">
        <v>16</v>
      </c>
    </row>
    <row r="2059" spans="1:13" x14ac:dyDescent="0.35">
      <c r="A2059">
        <v>291940</v>
      </c>
      <c r="B2059">
        <v>17957</v>
      </c>
      <c r="C2059" t="s">
        <v>2212</v>
      </c>
      <c r="D2059" t="s">
        <v>1972</v>
      </c>
      <c r="E2059" t="s">
        <v>2049</v>
      </c>
      <c r="F2059">
        <v>12695</v>
      </c>
      <c r="G2059">
        <v>1</v>
      </c>
      <c r="H2059" t="s">
        <v>16</v>
      </c>
      <c r="I2059" s="1">
        <v>-1468200</v>
      </c>
      <c r="J2059" s="1">
        <v>-4250800</v>
      </c>
      <c r="K2059">
        <v>852</v>
      </c>
      <c r="L2059">
        <v>785</v>
      </c>
      <c r="M2059" t="s">
        <v>16</v>
      </c>
    </row>
    <row r="2060" spans="1:13" x14ac:dyDescent="0.35">
      <c r="A2060">
        <v>291950</v>
      </c>
      <c r="B2060">
        <v>19364</v>
      </c>
      <c r="C2060" t="s">
        <v>2213</v>
      </c>
      <c r="D2060" t="s">
        <v>1972</v>
      </c>
      <c r="E2060" t="s">
        <v>1983</v>
      </c>
      <c r="F2060">
        <v>42146</v>
      </c>
      <c r="G2060">
        <v>1</v>
      </c>
      <c r="H2060" t="s">
        <v>16</v>
      </c>
      <c r="I2060" s="1">
        <v>-1364300</v>
      </c>
      <c r="J2060" s="1">
        <v>-4184100</v>
      </c>
      <c r="K2060">
        <v>475</v>
      </c>
      <c r="L2060">
        <v>2267</v>
      </c>
      <c r="M2060" t="s">
        <v>16</v>
      </c>
    </row>
    <row r="2061" spans="1:13" x14ac:dyDescent="0.35">
      <c r="A2061">
        <v>291955</v>
      </c>
      <c r="B2061">
        <v>59846</v>
      </c>
      <c r="C2061" t="s">
        <v>2214</v>
      </c>
      <c r="D2061" t="s">
        <v>1972</v>
      </c>
      <c r="E2061" t="s">
        <v>2018</v>
      </c>
      <c r="F2061">
        <v>44265</v>
      </c>
      <c r="G2061">
        <v>1</v>
      </c>
      <c r="H2061" t="s">
        <v>16</v>
      </c>
      <c r="I2061" s="1">
        <v>-1209200</v>
      </c>
      <c r="J2061" s="1">
        <v>-4580500</v>
      </c>
      <c r="K2061">
        <v>0</v>
      </c>
      <c r="L2061">
        <v>4018</v>
      </c>
      <c r="M2061" t="s">
        <v>16</v>
      </c>
    </row>
    <row r="2062" spans="1:13" x14ac:dyDescent="0.35">
      <c r="A2062">
        <v>291960</v>
      </c>
      <c r="B2062">
        <v>17973</v>
      </c>
      <c r="C2062" t="s">
        <v>2215</v>
      </c>
      <c r="D2062" t="s">
        <v>1972</v>
      </c>
      <c r="E2062" t="s">
        <v>2020</v>
      </c>
      <c r="F2062">
        <v>11207</v>
      </c>
      <c r="G2062">
        <v>1</v>
      </c>
      <c r="H2062" t="s">
        <v>16</v>
      </c>
      <c r="I2062" s="1">
        <v>-1213600</v>
      </c>
      <c r="J2062" s="1">
        <v>-4036000</v>
      </c>
      <c r="K2062">
        <v>353</v>
      </c>
      <c r="L2062">
        <v>707</v>
      </c>
      <c r="M2062" t="s">
        <v>16</v>
      </c>
    </row>
    <row r="2063" spans="1:13" x14ac:dyDescent="0.35">
      <c r="A2063">
        <v>291970</v>
      </c>
      <c r="B2063">
        <v>17981</v>
      </c>
      <c r="C2063" t="s">
        <v>2216</v>
      </c>
      <c r="D2063" t="s">
        <v>1972</v>
      </c>
      <c r="E2063" t="s">
        <v>2117</v>
      </c>
      <c r="F2063">
        <v>16046</v>
      </c>
      <c r="G2063">
        <v>1</v>
      </c>
      <c r="H2063" t="s">
        <v>16</v>
      </c>
      <c r="I2063" s="1">
        <v>-1556800</v>
      </c>
      <c r="J2063" s="1">
        <v>-4042300</v>
      </c>
      <c r="K2063">
        <v>324</v>
      </c>
      <c r="L2063">
        <v>1371</v>
      </c>
      <c r="M2063" t="s">
        <v>16</v>
      </c>
    </row>
    <row r="2064" spans="1:13" x14ac:dyDescent="0.35">
      <c r="A2064">
        <v>291980</v>
      </c>
      <c r="B2064">
        <v>17990</v>
      </c>
      <c r="C2064" t="s">
        <v>2217</v>
      </c>
      <c r="D2064" t="s">
        <v>1972</v>
      </c>
      <c r="E2064" t="s">
        <v>2038</v>
      </c>
      <c r="F2064">
        <v>45958</v>
      </c>
      <c r="G2064">
        <v>1</v>
      </c>
      <c r="H2064" t="s">
        <v>16</v>
      </c>
      <c r="I2064" s="1">
        <v>-1301900</v>
      </c>
      <c r="J2064" s="1">
        <v>-4269900</v>
      </c>
      <c r="K2064">
        <v>697</v>
      </c>
      <c r="L2064">
        <v>3039</v>
      </c>
      <c r="M2064" t="s">
        <v>16</v>
      </c>
    </row>
    <row r="2065" spans="1:13" x14ac:dyDescent="0.35">
      <c r="A2065">
        <v>291990</v>
      </c>
      <c r="B2065">
        <v>18007</v>
      </c>
      <c r="C2065" t="s">
        <v>2218</v>
      </c>
      <c r="D2065" t="s">
        <v>1972</v>
      </c>
      <c r="E2065" t="s">
        <v>1975</v>
      </c>
      <c r="F2065">
        <v>7779</v>
      </c>
      <c r="G2065">
        <v>1</v>
      </c>
      <c r="H2065" t="s">
        <v>16</v>
      </c>
      <c r="I2065" s="1">
        <v>-916800</v>
      </c>
      <c r="J2065" s="1">
        <v>-3905800</v>
      </c>
      <c r="K2065">
        <v>357</v>
      </c>
      <c r="L2065">
        <v>2278</v>
      </c>
      <c r="M2065" t="s">
        <v>16</v>
      </c>
    </row>
    <row r="2066" spans="1:13" x14ac:dyDescent="0.35">
      <c r="A2066">
        <v>291992</v>
      </c>
      <c r="B2066">
        <v>47783</v>
      </c>
      <c r="C2066" t="s">
        <v>2219</v>
      </c>
      <c r="D2066" t="s">
        <v>1972</v>
      </c>
      <c r="E2066" t="s">
        <v>2060</v>
      </c>
      <c r="F2066">
        <v>15432</v>
      </c>
      <c r="G2066">
        <v>4</v>
      </c>
      <c r="H2066" t="s">
        <v>2061</v>
      </c>
      <c r="I2066" s="1">
        <v>-1274100</v>
      </c>
      <c r="J2066" s="1">
        <v>-3862100</v>
      </c>
      <c r="K2066">
        <v>5</v>
      </c>
      <c r="L2066">
        <v>11</v>
      </c>
      <c r="M2066" t="s">
        <v>16</v>
      </c>
    </row>
    <row r="2067" spans="1:13" x14ac:dyDescent="0.35">
      <c r="A2067">
        <v>291995</v>
      </c>
      <c r="B2067">
        <v>15962</v>
      </c>
      <c r="C2067" t="s">
        <v>2220</v>
      </c>
      <c r="D2067" t="s">
        <v>1972</v>
      </c>
      <c r="E2067" t="s">
        <v>2009</v>
      </c>
      <c r="F2067">
        <v>8793</v>
      </c>
      <c r="G2067">
        <v>1</v>
      </c>
      <c r="H2067" t="s">
        <v>16</v>
      </c>
      <c r="I2067" s="1">
        <v>-1466300</v>
      </c>
      <c r="J2067" s="1">
        <v>-4149200</v>
      </c>
      <c r="K2067">
        <v>600</v>
      </c>
      <c r="L2067">
        <v>368</v>
      </c>
      <c r="M2067" t="s">
        <v>16</v>
      </c>
    </row>
    <row r="2068" spans="1:13" x14ac:dyDescent="0.35">
      <c r="A2068">
        <v>292000</v>
      </c>
      <c r="B2068">
        <v>18015</v>
      </c>
      <c r="C2068" t="s">
        <v>2221</v>
      </c>
      <c r="D2068" t="s">
        <v>1972</v>
      </c>
      <c r="E2068" t="s">
        <v>2117</v>
      </c>
      <c r="F2068">
        <v>8324</v>
      </c>
      <c r="G2068">
        <v>1</v>
      </c>
      <c r="H2068" t="s">
        <v>16</v>
      </c>
      <c r="I2068" s="1">
        <v>-1562100</v>
      </c>
      <c r="J2068" s="1">
        <v>-4026600</v>
      </c>
      <c r="K2068">
        <v>309</v>
      </c>
      <c r="L2068">
        <v>413</v>
      </c>
      <c r="M2068" t="s">
        <v>16</v>
      </c>
    </row>
    <row r="2069" spans="1:13" x14ac:dyDescent="0.35">
      <c r="A2069">
        <v>292010</v>
      </c>
      <c r="B2069">
        <v>18023</v>
      </c>
      <c r="C2069" t="s">
        <v>2222</v>
      </c>
      <c r="D2069" t="s">
        <v>1972</v>
      </c>
      <c r="E2069" t="s">
        <v>2020</v>
      </c>
      <c r="F2069">
        <v>19259</v>
      </c>
      <c r="G2069">
        <v>1</v>
      </c>
      <c r="H2069" t="s">
        <v>16</v>
      </c>
      <c r="I2069" s="1">
        <v>-1171100</v>
      </c>
      <c r="J2069" s="1">
        <v>-4014900</v>
      </c>
      <c r="K2069">
        <v>468</v>
      </c>
      <c r="L2069">
        <v>905</v>
      </c>
      <c r="M2069" t="s">
        <v>16</v>
      </c>
    </row>
    <row r="2070" spans="1:13" x14ac:dyDescent="0.35">
      <c r="A2070">
        <v>292020</v>
      </c>
      <c r="B2070">
        <v>18031</v>
      </c>
      <c r="C2070" t="s">
        <v>2223</v>
      </c>
      <c r="D2070" t="s">
        <v>1972</v>
      </c>
      <c r="E2070" t="s">
        <v>2049</v>
      </c>
      <c r="F2070">
        <v>16085</v>
      </c>
      <c r="G2070">
        <v>1</v>
      </c>
      <c r="H2070" t="s">
        <v>16</v>
      </c>
      <c r="I2070" s="1">
        <v>-1433600</v>
      </c>
      <c r="J2070" s="1">
        <v>-4377400</v>
      </c>
      <c r="K2070">
        <v>433</v>
      </c>
      <c r="L2070">
        <v>2138</v>
      </c>
      <c r="M2070" t="s">
        <v>16</v>
      </c>
    </row>
    <row r="2071" spans="1:13" x14ac:dyDescent="0.35">
      <c r="A2071">
        <v>292030</v>
      </c>
      <c r="B2071">
        <v>18040</v>
      </c>
      <c r="C2071" t="s">
        <v>2224</v>
      </c>
      <c r="D2071" t="s">
        <v>1972</v>
      </c>
      <c r="E2071" t="s">
        <v>2009</v>
      </c>
      <c r="F2071">
        <v>7620</v>
      </c>
      <c r="G2071">
        <v>1</v>
      </c>
      <c r="H2071" t="s">
        <v>16</v>
      </c>
      <c r="I2071" s="1">
        <v>-1438800</v>
      </c>
      <c r="J2071" s="1">
        <v>-4187900</v>
      </c>
      <c r="K2071">
        <v>515</v>
      </c>
      <c r="L2071">
        <v>479</v>
      </c>
      <c r="M2071" t="s">
        <v>16</v>
      </c>
    </row>
    <row r="2072" spans="1:13" x14ac:dyDescent="0.35">
      <c r="A2072">
        <v>292040</v>
      </c>
      <c r="B2072">
        <v>18058</v>
      </c>
      <c r="C2072" t="s">
        <v>2225</v>
      </c>
      <c r="D2072" t="s">
        <v>1972</v>
      </c>
      <c r="E2072" t="s">
        <v>1996</v>
      </c>
      <c r="F2072">
        <v>14262</v>
      </c>
      <c r="G2072">
        <v>1</v>
      </c>
      <c r="H2072" t="s">
        <v>16</v>
      </c>
      <c r="I2072" s="1">
        <v>-1414500</v>
      </c>
      <c r="J2072" s="1">
        <v>-4024300</v>
      </c>
      <c r="K2072">
        <v>292</v>
      </c>
      <c r="L2072">
        <v>2400</v>
      </c>
      <c r="M2072" t="s">
        <v>16</v>
      </c>
    </row>
    <row r="2073" spans="1:13" x14ac:dyDescent="0.35">
      <c r="A2073">
        <v>292045</v>
      </c>
      <c r="B2073">
        <v>15970</v>
      </c>
      <c r="C2073" t="s">
        <v>2226</v>
      </c>
      <c r="D2073" t="s">
        <v>1972</v>
      </c>
      <c r="E2073" t="s">
        <v>2001</v>
      </c>
      <c r="F2073">
        <v>11694</v>
      </c>
      <c r="G2073">
        <v>1</v>
      </c>
      <c r="H2073" t="s">
        <v>16</v>
      </c>
      <c r="I2073" s="1">
        <v>-1071600</v>
      </c>
      <c r="J2073" s="1">
        <v>-4403400</v>
      </c>
      <c r="K2073">
        <v>519</v>
      </c>
      <c r="L2073">
        <v>3142</v>
      </c>
      <c r="M2073" t="s">
        <v>16</v>
      </c>
    </row>
    <row r="2074" spans="1:13" x14ac:dyDescent="0.35">
      <c r="A2074">
        <v>292050</v>
      </c>
      <c r="B2074">
        <v>18066</v>
      </c>
      <c r="C2074" t="s">
        <v>2227</v>
      </c>
      <c r="D2074" t="s">
        <v>1972</v>
      </c>
      <c r="E2074" t="s">
        <v>1985</v>
      </c>
      <c r="F2074">
        <v>34221</v>
      </c>
      <c r="G2074">
        <v>1</v>
      </c>
      <c r="H2074" t="s">
        <v>16</v>
      </c>
      <c r="I2074" s="1">
        <v>-1344100</v>
      </c>
      <c r="J2074" s="1">
        <v>-4043100</v>
      </c>
      <c r="K2074">
        <v>964</v>
      </c>
      <c r="L2074">
        <v>2435</v>
      </c>
      <c r="M2074" t="s">
        <v>16</v>
      </c>
    </row>
    <row r="2075" spans="1:13" x14ac:dyDescent="0.35">
      <c r="A2075">
        <v>292060</v>
      </c>
      <c r="B2075">
        <v>18074</v>
      </c>
      <c r="C2075" t="s">
        <v>2228</v>
      </c>
      <c r="D2075" t="s">
        <v>1972</v>
      </c>
      <c r="E2075" t="s">
        <v>2015</v>
      </c>
      <c r="F2075">
        <v>42079</v>
      </c>
      <c r="G2075">
        <v>1</v>
      </c>
      <c r="H2075" t="s">
        <v>16</v>
      </c>
      <c r="I2075" s="1">
        <v>-1277800</v>
      </c>
      <c r="J2075" s="1">
        <v>-3891900</v>
      </c>
      <c r="K2075">
        <v>39</v>
      </c>
      <c r="L2075">
        <v>436</v>
      </c>
      <c r="M2075" t="s">
        <v>16</v>
      </c>
    </row>
    <row r="2076" spans="1:13" x14ac:dyDescent="0.35">
      <c r="A2076">
        <v>292070</v>
      </c>
      <c r="B2076">
        <v>18082</v>
      </c>
      <c r="C2076" t="s">
        <v>2229</v>
      </c>
      <c r="D2076" t="s">
        <v>1972</v>
      </c>
      <c r="E2076" t="s">
        <v>2056</v>
      </c>
      <c r="F2076">
        <v>17029</v>
      </c>
      <c r="G2076">
        <v>1</v>
      </c>
      <c r="H2076" t="s">
        <v>16</v>
      </c>
      <c r="I2076" s="1">
        <v>-1410300</v>
      </c>
      <c r="J2076" s="1">
        <v>-3901500</v>
      </c>
      <c r="K2076">
        <v>36</v>
      </c>
      <c r="L2076">
        <v>774</v>
      </c>
      <c r="M2076" t="s">
        <v>16</v>
      </c>
    </row>
    <row r="2077" spans="1:13" x14ac:dyDescent="0.35">
      <c r="A2077">
        <v>292080</v>
      </c>
      <c r="B2077">
        <v>18090</v>
      </c>
      <c r="C2077" t="s">
        <v>2230</v>
      </c>
      <c r="D2077" t="s">
        <v>1972</v>
      </c>
      <c r="E2077" t="s">
        <v>1985</v>
      </c>
      <c r="F2077">
        <v>10716</v>
      </c>
      <c r="G2077">
        <v>1</v>
      </c>
      <c r="H2077" t="s">
        <v>16</v>
      </c>
      <c r="I2077" s="1">
        <v>-1300300</v>
      </c>
      <c r="J2077" s="1">
        <v>-4053100</v>
      </c>
      <c r="K2077">
        <v>292</v>
      </c>
      <c r="L2077">
        <v>1162</v>
      </c>
      <c r="M2077" t="s">
        <v>16</v>
      </c>
    </row>
    <row r="2078" spans="1:13" x14ac:dyDescent="0.35">
      <c r="A2078">
        <v>292090</v>
      </c>
      <c r="B2078">
        <v>18104</v>
      </c>
      <c r="C2078" t="s">
        <v>2231</v>
      </c>
      <c r="D2078" t="s">
        <v>1972</v>
      </c>
      <c r="E2078" t="s">
        <v>1989</v>
      </c>
      <c r="F2078">
        <v>16061</v>
      </c>
      <c r="G2078">
        <v>1</v>
      </c>
      <c r="H2078" t="s">
        <v>16</v>
      </c>
      <c r="I2078" s="1">
        <v>-1556300</v>
      </c>
      <c r="J2078" s="1">
        <v>-3930300</v>
      </c>
      <c r="K2078">
        <v>43</v>
      </c>
      <c r="L2078">
        <v>709</v>
      </c>
      <c r="M2078" t="s">
        <v>16</v>
      </c>
    </row>
    <row r="2079" spans="1:13" x14ac:dyDescent="0.35">
      <c r="A2079">
        <v>292100</v>
      </c>
      <c r="B2079">
        <v>18112</v>
      </c>
      <c r="C2079" t="s">
        <v>2232</v>
      </c>
      <c r="D2079" t="s">
        <v>1972</v>
      </c>
      <c r="E2079" t="s">
        <v>1992</v>
      </c>
      <c r="F2079">
        <v>37201</v>
      </c>
      <c r="G2079">
        <v>4</v>
      </c>
      <c r="H2079" t="s">
        <v>2061</v>
      </c>
      <c r="I2079" s="1">
        <v>-1253000</v>
      </c>
      <c r="J2079" s="1">
        <v>-3829900</v>
      </c>
      <c r="K2079">
        <v>32</v>
      </c>
      <c r="L2079">
        <v>670</v>
      </c>
      <c r="M2079" t="s">
        <v>16</v>
      </c>
    </row>
    <row r="2080" spans="1:13" x14ac:dyDescent="0.35">
      <c r="A2080">
        <v>292105</v>
      </c>
      <c r="B2080">
        <v>47198</v>
      </c>
      <c r="C2080" t="s">
        <v>2233</v>
      </c>
      <c r="D2080" t="s">
        <v>1972</v>
      </c>
      <c r="E2080" t="s">
        <v>2049</v>
      </c>
      <c r="F2080">
        <v>12322</v>
      </c>
      <c r="G2080">
        <v>1</v>
      </c>
      <c r="H2080" t="s">
        <v>16</v>
      </c>
      <c r="I2080" s="1">
        <v>-1390900</v>
      </c>
      <c r="J2080" s="1">
        <v>-4284900</v>
      </c>
      <c r="K2080">
        <v>509</v>
      </c>
      <c r="L2080">
        <v>773</v>
      </c>
      <c r="M2080" t="s">
        <v>16</v>
      </c>
    </row>
    <row r="2081" spans="1:13" x14ac:dyDescent="0.35">
      <c r="A2081">
        <v>292110</v>
      </c>
      <c r="B2081">
        <v>18120</v>
      </c>
      <c r="C2081" t="s">
        <v>2234</v>
      </c>
      <c r="D2081" t="s">
        <v>1972</v>
      </c>
      <c r="E2081" t="s">
        <v>1987</v>
      </c>
      <c r="F2081">
        <v>21866</v>
      </c>
      <c r="G2081">
        <v>1</v>
      </c>
      <c r="H2081" t="s">
        <v>16</v>
      </c>
      <c r="I2081" s="1">
        <v>-1737400</v>
      </c>
      <c r="J2081" s="1">
        <v>-4022100</v>
      </c>
      <c r="K2081">
        <v>185</v>
      </c>
      <c r="L2081">
        <v>1245</v>
      </c>
      <c r="M2081" t="s">
        <v>16</v>
      </c>
    </row>
    <row r="2082" spans="1:13" x14ac:dyDescent="0.35">
      <c r="A2082">
        <v>292120</v>
      </c>
      <c r="B2082">
        <v>18139</v>
      </c>
      <c r="C2082" t="s">
        <v>2235</v>
      </c>
      <c r="D2082" t="s">
        <v>1972</v>
      </c>
      <c r="E2082" t="s">
        <v>2051</v>
      </c>
      <c r="F2082">
        <v>27213</v>
      </c>
      <c r="G2082">
        <v>1</v>
      </c>
      <c r="H2082" t="s">
        <v>16</v>
      </c>
      <c r="I2082" s="1">
        <v>-1142900</v>
      </c>
      <c r="J2082" s="1">
        <v>-4059500</v>
      </c>
      <c r="K2082">
        <v>532</v>
      </c>
      <c r="L2082">
        <v>1465</v>
      </c>
      <c r="M2082" t="s">
        <v>16</v>
      </c>
    </row>
    <row r="2083" spans="1:13" x14ac:dyDescent="0.35">
      <c r="A2083">
        <v>292130</v>
      </c>
      <c r="B2083">
        <v>18147</v>
      </c>
      <c r="C2083" t="s">
        <v>1141</v>
      </c>
      <c r="D2083" t="s">
        <v>1972</v>
      </c>
      <c r="E2083" t="s">
        <v>1985</v>
      </c>
      <c r="F2083">
        <v>11771</v>
      </c>
      <c r="G2083">
        <v>1</v>
      </c>
      <c r="H2083" t="s">
        <v>16</v>
      </c>
      <c r="I2083" s="1">
        <v>-1287000</v>
      </c>
      <c r="J2083" s="1">
        <v>-3985900</v>
      </c>
      <c r="K2083">
        <v>419</v>
      </c>
      <c r="L2083">
        <v>307</v>
      </c>
      <c r="M2083" t="s">
        <v>16</v>
      </c>
    </row>
    <row r="2084" spans="1:13" x14ac:dyDescent="0.35">
      <c r="A2084">
        <v>292140</v>
      </c>
      <c r="B2084">
        <v>18155</v>
      </c>
      <c r="C2084" t="s">
        <v>2236</v>
      </c>
      <c r="D2084" t="s">
        <v>1972</v>
      </c>
      <c r="E2084" t="s">
        <v>2051</v>
      </c>
      <c r="F2084">
        <v>17474</v>
      </c>
      <c r="G2084">
        <v>1</v>
      </c>
      <c r="H2084" t="s">
        <v>16</v>
      </c>
      <c r="I2084" s="1">
        <v>-1095400</v>
      </c>
      <c r="J2084" s="1">
        <v>-4057600</v>
      </c>
      <c r="K2084">
        <v>829</v>
      </c>
      <c r="L2084">
        <v>1952</v>
      </c>
      <c r="M2084" t="s">
        <v>16</v>
      </c>
    </row>
    <row r="2085" spans="1:13" x14ac:dyDescent="0.35">
      <c r="A2085">
        <v>292145</v>
      </c>
      <c r="B2085">
        <v>47791</v>
      </c>
      <c r="C2085" t="s">
        <v>2237</v>
      </c>
      <c r="D2085" t="s">
        <v>1972</v>
      </c>
      <c r="E2085" t="s">
        <v>1996</v>
      </c>
      <c r="F2085">
        <v>9174</v>
      </c>
      <c r="G2085">
        <v>1</v>
      </c>
      <c r="H2085" t="s">
        <v>16</v>
      </c>
      <c r="I2085" s="1">
        <v>-1424200</v>
      </c>
      <c r="J2085" s="1">
        <v>-4077300</v>
      </c>
      <c r="K2085">
        <v>420</v>
      </c>
      <c r="L2085">
        <v>927</v>
      </c>
      <c r="M2085" t="s">
        <v>16</v>
      </c>
    </row>
    <row r="2086" spans="1:13" x14ac:dyDescent="0.35">
      <c r="A2086">
        <v>292150</v>
      </c>
      <c r="B2086">
        <v>18163</v>
      </c>
      <c r="C2086" t="s">
        <v>2238</v>
      </c>
      <c r="D2086" t="s">
        <v>1972</v>
      </c>
      <c r="E2086" t="s">
        <v>2075</v>
      </c>
      <c r="F2086">
        <v>52249</v>
      </c>
      <c r="G2086">
        <v>2</v>
      </c>
      <c r="H2086" t="s">
        <v>16</v>
      </c>
      <c r="I2086" s="1">
        <v>-1043800</v>
      </c>
      <c r="J2086" s="1">
        <v>-3933300</v>
      </c>
      <c r="K2086">
        <v>489</v>
      </c>
      <c r="L2086">
        <v>3285</v>
      </c>
      <c r="M2086" t="s">
        <v>16</v>
      </c>
    </row>
    <row r="2087" spans="1:13" x14ac:dyDescent="0.35">
      <c r="A2087">
        <v>292160</v>
      </c>
      <c r="B2087">
        <v>18171</v>
      </c>
      <c r="C2087" t="s">
        <v>2239</v>
      </c>
      <c r="D2087" t="s">
        <v>1972</v>
      </c>
      <c r="E2087" t="s">
        <v>2022</v>
      </c>
      <c r="F2087">
        <v>8586</v>
      </c>
      <c r="G2087">
        <v>1</v>
      </c>
      <c r="H2087" t="s">
        <v>16</v>
      </c>
      <c r="I2087" s="1">
        <v>-1155900</v>
      </c>
      <c r="J2087" s="1">
        <v>-4328100</v>
      </c>
      <c r="K2087">
        <v>405</v>
      </c>
      <c r="L2087">
        <v>1731</v>
      </c>
      <c r="M2087" t="s">
        <v>16</v>
      </c>
    </row>
    <row r="2088" spans="1:13" x14ac:dyDescent="0.35">
      <c r="A2088">
        <v>292170</v>
      </c>
      <c r="B2088">
        <v>18180</v>
      </c>
      <c r="C2088" t="s">
        <v>2240</v>
      </c>
      <c r="D2088" t="s">
        <v>1972</v>
      </c>
      <c r="E2088" t="s">
        <v>2051</v>
      </c>
      <c r="F2088">
        <v>34012</v>
      </c>
      <c r="G2088">
        <v>1</v>
      </c>
      <c r="H2088" t="s">
        <v>16</v>
      </c>
      <c r="I2088" s="1">
        <v>-1155000</v>
      </c>
      <c r="J2088" s="1">
        <v>-4115600</v>
      </c>
      <c r="K2088">
        <v>1011</v>
      </c>
      <c r="L2088">
        <v>5531</v>
      </c>
      <c r="M2088" t="s">
        <v>16</v>
      </c>
    </row>
    <row r="2089" spans="1:13" x14ac:dyDescent="0.35">
      <c r="A2089">
        <v>292180</v>
      </c>
      <c r="B2089">
        <v>18198</v>
      </c>
      <c r="C2089" t="s">
        <v>2241</v>
      </c>
      <c r="D2089" t="s">
        <v>1972</v>
      </c>
      <c r="E2089" t="s">
        <v>2049</v>
      </c>
      <c r="F2089">
        <v>13905</v>
      </c>
      <c r="G2089">
        <v>1</v>
      </c>
      <c r="H2089" t="s">
        <v>16</v>
      </c>
      <c r="I2089" s="1">
        <v>-1502300</v>
      </c>
      <c r="J2089" s="1">
        <v>-4236800</v>
      </c>
      <c r="K2089">
        <v>384</v>
      </c>
      <c r="L2089">
        <v>670</v>
      </c>
      <c r="M2089" t="s">
        <v>16</v>
      </c>
    </row>
    <row r="2090" spans="1:13" x14ac:dyDescent="0.35">
      <c r="A2090">
        <v>292190</v>
      </c>
      <c r="B2090">
        <v>18201</v>
      </c>
      <c r="C2090" t="s">
        <v>2242</v>
      </c>
      <c r="D2090" t="s">
        <v>1972</v>
      </c>
      <c r="E2090" t="s">
        <v>1973</v>
      </c>
      <c r="F2090">
        <v>14131</v>
      </c>
      <c r="G2090">
        <v>1</v>
      </c>
      <c r="H2090" t="s">
        <v>16</v>
      </c>
      <c r="I2090" s="1">
        <v>-1300500</v>
      </c>
      <c r="J2090" s="1">
        <v>-4137100</v>
      </c>
      <c r="K2090">
        <v>983</v>
      </c>
      <c r="L2090">
        <v>2482</v>
      </c>
      <c r="M2090" t="s">
        <v>16</v>
      </c>
    </row>
    <row r="2091" spans="1:13" x14ac:dyDescent="0.35">
      <c r="A2091">
        <v>292200</v>
      </c>
      <c r="B2091">
        <v>18210</v>
      </c>
      <c r="C2091" t="s">
        <v>2243</v>
      </c>
      <c r="D2091" t="s">
        <v>1972</v>
      </c>
      <c r="E2091" t="s">
        <v>1987</v>
      </c>
      <c r="F2091">
        <v>33143</v>
      </c>
      <c r="G2091">
        <v>1</v>
      </c>
      <c r="H2091" t="s">
        <v>16</v>
      </c>
      <c r="I2091" s="1">
        <v>-1808600</v>
      </c>
      <c r="J2091" s="1">
        <v>-3955100</v>
      </c>
      <c r="K2091">
        <v>7</v>
      </c>
      <c r="L2091">
        <v>1774</v>
      </c>
      <c r="M2091" t="s">
        <v>16</v>
      </c>
    </row>
    <row r="2092" spans="1:13" x14ac:dyDescent="0.35">
      <c r="A2092">
        <v>292205</v>
      </c>
      <c r="B2092">
        <v>47805</v>
      </c>
      <c r="C2092" t="s">
        <v>2244</v>
      </c>
      <c r="D2092" t="s">
        <v>1972</v>
      </c>
      <c r="E2092" t="s">
        <v>1994</v>
      </c>
      <c r="F2092">
        <v>13755</v>
      </c>
      <c r="G2092">
        <v>1</v>
      </c>
      <c r="H2092" t="s">
        <v>16</v>
      </c>
      <c r="I2092" s="1">
        <v>-1196600</v>
      </c>
      <c r="J2092" s="1">
        <v>-4163900</v>
      </c>
      <c r="K2092">
        <v>850</v>
      </c>
      <c r="L2092">
        <v>517</v>
      </c>
      <c r="M2092" t="s">
        <v>16</v>
      </c>
    </row>
    <row r="2093" spans="1:13" x14ac:dyDescent="0.35">
      <c r="A2093">
        <v>292210</v>
      </c>
      <c r="B2093">
        <v>18228</v>
      </c>
      <c r="C2093" t="s">
        <v>2245</v>
      </c>
      <c r="D2093" t="s">
        <v>1972</v>
      </c>
      <c r="E2093" t="s">
        <v>2020</v>
      </c>
      <c r="F2093">
        <v>23822</v>
      </c>
      <c r="G2093">
        <v>1</v>
      </c>
      <c r="H2093" t="s">
        <v>16</v>
      </c>
      <c r="I2093" s="1">
        <v>-1185900</v>
      </c>
      <c r="J2093" s="1">
        <v>-4047200</v>
      </c>
      <c r="K2093">
        <v>604</v>
      </c>
      <c r="L2093">
        <v>1496</v>
      </c>
      <c r="M2093" t="s">
        <v>16</v>
      </c>
    </row>
    <row r="2094" spans="1:13" x14ac:dyDescent="0.35">
      <c r="A2094">
        <v>292220</v>
      </c>
      <c r="B2094">
        <v>18236</v>
      </c>
      <c r="C2094" t="s">
        <v>2246</v>
      </c>
      <c r="D2094" t="s">
        <v>1972</v>
      </c>
      <c r="E2094" t="s">
        <v>2015</v>
      </c>
      <c r="F2094">
        <v>6990</v>
      </c>
      <c r="G2094">
        <v>1</v>
      </c>
      <c r="H2094" t="s">
        <v>16</v>
      </c>
      <c r="I2094" s="1">
        <v>-1300300</v>
      </c>
      <c r="J2094" s="1">
        <v>-3911000</v>
      </c>
      <c r="K2094">
        <v>86</v>
      </c>
      <c r="L2094">
        <v>113</v>
      </c>
      <c r="M2094" t="s">
        <v>16</v>
      </c>
    </row>
    <row r="2095" spans="1:13" x14ac:dyDescent="0.35">
      <c r="A2095">
        <v>292225</v>
      </c>
      <c r="B2095">
        <v>47813</v>
      </c>
      <c r="C2095" t="s">
        <v>2247</v>
      </c>
      <c r="D2095" t="s">
        <v>1972</v>
      </c>
      <c r="E2095" t="s">
        <v>2022</v>
      </c>
      <c r="F2095">
        <v>10096</v>
      </c>
      <c r="G2095">
        <v>1</v>
      </c>
      <c r="H2095" t="s">
        <v>16</v>
      </c>
      <c r="I2095" s="1">
        <v>-1206500</v>
      </c>
      <c r="J2095" s="1">
        <v>-4354900</v>
      </c>
      <c r="K2095">
        <v>560</v>
      </c>
      <c r="L2095">
        <v>3833</v>
      </c>
      <c r="M2095" t="s">
        <v>16</v>
      </c>
    </row>
    <row r="2096" spans="1:13" x14ac:dyDescent="0.35">
      <c r="A2096">
        <v>292230</v>
      </c>
      <c r="B2096">
        <v>18244</v>
      </c>
      <c r="C2096" t="s">
        <v>2248</v>
      </c>
      <c r="D2096" t="s">
        <v>1972</v>
      </c>
      <c r="E2096" t="s">
        <v>2015</v>
      </c>
      <c r="F2096">
        <v>27212</v>
      </c>
      <c r="G2096">
        <v>1</v>
      </c>
      <c r="H2096" t="s">
        <v>16</v>
      </c>
      <c r="I2096" s="1">
        <v>-1262600</v>
      </c>
      <c r="J2096" s="1">
        <v>-3899000</v>
      </c>
      <c r="K2096">
        <v>213</v>
      </c>
      <c r="L2096">
        <v>110</v>
      </c>
      <c r="M2096" t="s">
        <v>16</v>
      </c>
    </row>
    <row r="2097" spans="1:13" x14ac:dyDescent="0.35">
      <c r="A2097">
        <v>292240</v>
      </c>
      <c r="B2097">
        <v>18252</v>
      </c>
      <c r="C2097" t="s">
        <v>2249</v>
      </c>
      <c r="D2097" t="s">
        <v>1972</v>
      </c>
      <c r="E2097" t="s">
        <v>1985</v>
      </c>
      <c r="F2097">
        <v>21181</v>
      </c>
      <c r="G2097">
        <v>1</v>
      </c>
      <c r="H2097" t="s">
        <v>16</v>
      </c>
      <c r="I2097" s="1">
        <v>-1322900</v>
      </c>
      <c r="J2097" s="1">
        <v>-3950500</v>
      </c>
      <c r="K2097">
        <v>271</v>
      </c>
      <c r="L2097">
        <v>273</v>
      </c>
      <c r="M2097" t="s">
        <v>16</v>
      </c>
    </row>
    <row r="2098" spans="1:13" x14ac:dyDescent="0.35">
      <c r="A2098">
        <v>292250</v>
      </c>
      <c r="B2098">
        <v>18260</v>
      </c>
      <c r="C2098" t="s">
        <v>488</v>
      </c>
      <c r="D2098" t="s">
        <v>1972</v>
      </c>
      <c r="E2098" t="s">
        <v>2015</v>
      </c>
      <c r="F2098">
        <v>26506</v>
      </c>
      <c r="G2098">
        <v>1</v>
      </c>
      <c r="H2098" t="s">
        <v>16</v>
      </c>
      <c r="I2098" s="1">
        <v>-1303500</v>
      </c>
      <c r="J2098" s="1">
        <v>-3901400</v>
      </c>
      <c r="K2098">
        <v>39</v>
      </c>
      <c r="L2098">
        <v>256</v>
      </c>
      <c r="M2098" t="s">
        <v>16</v>
      </c>
    </row>
    <row r="2099" spans="1:13" x14ac:dyDescent="0.35">
      <c r="A2099">
        <v>292260</v>
      </c>
      <c r="B2099">
        <v>18279</v>
      </c>
      <c r="C2099" t="s">
        <v>2250</v>
      </c>
      <c r="D2099" t="s">
        <v>1972</v>
      </c>
      <c r="E2099" t="s">
        <v>2056</v>
      </c>
      <c r="F2099">
        <v>12531</v>
      </c>
      <c r="G2099">
        <v>1</v>
      </c>
      <c r="H2099" t="s">
        <v>16</v>
      </c>
      <c r="I2099" s="1">
        <v>-1359900</v>
      </c>
      <c r="J2099" s="1">
        <v>-3910700</v>
      </c>
      <c r="K2099">
        <v>20</v>
      </c>
      <c r="L2099">
        <v>385</v>
      </c>
      <c r="M2099" t="s">
        <v>16</v>
      </c>
    </row>
    <row r="2100" spans="1:13" x14ac:dyDescent="0.35">
      <c r="A2100">
        <v>292265</v>
      </c>
      <c r="B2100">
        <v>15989</v>
      </c>
      <c r="C2100" t="s">
        <v>2251</v>
      </c>
      <c r="D2100" t="s">
        <v>1972</v>
      </c>
      <c r="E2100" t="s">
        <v>2075</v>
      </c>
      <c r="F2100">
        <v>12172</v>
      </c>
      <c r="G2100">
        <v>1</v>
      </c>
      <c r="H2100" t="s">
        <v>16</v>
      </c>
      <c r="I2100" s="1">
        <v>-1082300</v>
      </c>
      <c r="J2100" s="1">
        <v>-3942800</v>
      </c>
      <c r="K2100">
        <v>370</v>
      </c>
      <c r="L2100">
        <v>470</v>
      </c>
      <c r="M2100" t="s">
        <v>16</v>
      </c>
    </row>
    <row r="2101" spans="1:13" x14ac:dyDescent="0.35">
      <c r="A2101">
        <v>292270</v>
      </c>
      <c r="B2101">
        <v>18287</v>
      </c>
      <c r="C2101" t="s">
        <v>2252</v>
      </c>
      <c r="D2101" t="s">
        <v>1972</v>
      </c>
      <c r="E2101" t="s">
        <v>1996</v>
      </c>
      <c r="F2101">
        <v>18829</v>
      </c>
      <c r="G2101">
        <v>1</v>
      </c>
      <c r="H2101" t="s">
        <v>16</v>
      </c>
      <c r="I2101" s="1">
        <v>-1479400</v>
      </c>
      <c r="J2101" s="1">
        <v>-4014200</v>
      </c>
      <c r="K2101">
        <v>422</v>
      </c>
      <c r="L2101">
        <v>757</v>
      </c>
      <c r="M2101" t="s">
        <v>16</v>
      </c>
    </row>
    <row r="2102" spans="1:13" x14ac:dyDescent="0.35">
      <c r="A2102">
        <v>292273</v>
      </c>
      <c r="B2102">
        <v>47821</v>
      </c>
      <c r="C2102" t="s">
        <v>2253</v>
      </c>
      <c r="D2102" t="s">
        <v>1972</v>
      </c>
      <c r="E2102" t="s">
        <v>1372</v>
      </c>
      <c r="F2102">
        <v>7674</v>
      </c>
      <c r="G2102">
        <v>1</v>
      </c>
      <c r="H2102" t="s">
        <v>16</v>
      </c>
      <c r="I2102" s="1">
        <v>-1160600</v>
      </c>
      <c r="J2102" s="1">
        <v>-3963100</v>
      </c>
      <c r="K2102">
        <v>298</v>
      </c>
      <c r="L2102">
        <v>371</v>
      </c>
      <c r="M2102" t="s">
        <v>16</v>
      </c>
    </row>
    <row r="2103" spans="1:13" x14ac:dyDescent="0.35">
      <c r="A2103">
        <v>292275</v>
      </c>
      <c r="B2103">
        <v>47830</v>
      </c>
      <c r="C2103" t="s">
        <v>2254</v>
      </c>
      <c r="D2103" t="s">
        <v>1972</v>
      </c>
      <c r="E2103" t="s">
        <v>1989</v>
      </c>
      <c r="F2103">
        <v>6871</v>
      </c>
      <c r="G2103">
        <v>1</v>
      </c>
      <c r="H2103" t="s">
        <v>16</v>
      </c>
      <c r="I2103" s="1">
        <v>-1381000</v>
      </c>
      <c r="J2103" s="1">
        <v>-3962600</v>
      </c>
      <c r="K2103">
        <v>292</v>
      </c>
      <c r="L2103">
        <v>180</v>
      </c>
      <c r="M2103" t="s">
        <v>16</v>
      </c>
    </row>
    <row r="2104" spans="1:13" x14ac:dyDescent="0.35">
      <c r="A2104">
        <v>292280</v>
      </c>
      <c r="B2104">
        <v>18295</v>
      </c>
      <c r="C2104" t="s">
        <v>2255</v>
      </c>
      <c r="D2104" t="s">
        <v>1972</v>
      </c>
      <c r="E2104" t="s">
        <v>1985</v>
      </c>
      <c r="F2104">
        <v>7423</v>
      </c>
      <c r="G2104">
        <v>1</v>
      </c>
      <c r="H2104" t="s">
        <v>16</v>
      </c>
      <c r="I2104" s="1">
        <v>-1302700</v>
      </c>
      <c r="J2104" s="1">
        <v>-4006900</v>
      </c>
      <c r="K2104">
        <v>560</v>
      </c>
      <c r="L2104">
        <v>456</v>
      </c>
      <c r="M2104" t="s">
        <v>16</v>
      </c>
    </row>
    <row r="2105" spans="1:13" x14ac:dyDescent="0.35">
      <c r="A2105">
        <v>292285</v>
      </c>
      <c r="B2105">
        <v>47201</v>
      </c>
      <c r="C2105" t="s">
        <v>2256</v>
      </c>
      <c r="D2105" t="s">
        <v>1972</v>
      </c>
      <c r="E2105" t="s">
        <v>1973</v>
      </c>
      <c r="F2105">
        <v>8943</v>
      </c>
      <c r="G2105">
        <v>1</v>
      </c>
      <c r="H2105" t="s">
        <v>16</v>
      </c>
      <c r="I2105" s="1">
        <v>-1281900</v>
      </c>
      <c r="J2105" s="1">
        <v>-4107100</v>
      </c>
      <c r="K2105">
        <v>415</v>
      </c>
      <c r="L2105">
        <v>510</v>
      </c>
      <c r="M2105" t="s">
        <v>16</v>
      </c>
    </row>
    <row r="2106" spans="1:13" x14ac:dyDescent="0.35">
      <c r="A2106">
        <v>292290</v>
      </c>
      <c r="B2106">
        <v>18309</v>
      </c>
      <c r="C2106" t="s">
        <v>2257</v>
      </c>
      <c r="D2106" t="s">
        <v>1972</v>
      </c>
      <c r="E2106" t="s">
        <v>1979</v>
      </c>
      <c r="F2106">
        <v>25697</v>
      </c>
      <c r="G2106">
        <v>1</v>
      </c>
      <c r="H2106" t="s">
        <v>16</v>
      </c>
      <c r="I2106" s="1">
        <v>-1123300</v>
      </c>
      <c r="J2106" s="1">
        <v>-3848300</v>
      </c>
      <c r="K2106">
        <v>169</v>
      </c>
      <c r="L2106">
        <v>1021</v>
      </c>
      <c r="M2106" t="s">
        <v>16</v>
      </c>
    </row>
    <row r="2107" spans="1:13" x14ac:dyDescent="0.35">
      <c r="A2107">
        <v>292300</v>
      </c>
      <c r="B2107">
        <v>18317</v>
      </c>
      <c r="C2107" t="s">
        <v>2258</v>
      </c>
      <c r="D2107" t="s">
        <v>1972</v>
      </c>
      <c r="E2107" t="s">
        <v>1987</v>
      </c>
      <c r="F2107">
        <v>34623</v>
      </c>
      <c r="G2107">
        <v>1</v>
      </c>
      <c r="H2107" t="s">
        <v>16</v>
      </c>
      <c r="I2107" s="1">
        <v>-1789200</v>
      </c>
      <c r="J2107" s="1">
        <v>-3937200</v>
      </c>
      <c r="K2107">
        <v>11</v>
      </c>
      <c r="L2107">
        <v>1326</v>
      </c>
      <c r="M2107" t="s">
        <v>16</v>
      </c>
    </row>
    <row r="2108" spans="1:13" x14ac:dyDescent="0.35">
      <c r="A2108">
        <v>292303</v>
      </c>
      <c r="B2108">
        <v>47848</v>
      </c>
      <c r="C2108" t="s">
        <v>2259</v>
      </c>
      <c r="D2108" t="s">
        <v>1972</v>
      </c>
      <c r="E2108" t="s">
        <v>2038</v>
      </c>
      <c r="F2108">
        <v>10304</v>
      </c>
      <c r="G2108">
        <v>1</v>
      </c>
      <c r="H2108" t="s">
        <v>16</v>
      </c>
      <c r="I2108" s="1">
        <v>-1280800</v>
      </c>
      <c r="J2108" s="1">
        <v>-4216800</v>
      </c>
      <c r="K2108">
        <v>835</v>
      </c>
      <c r="L2108">
        <v>612</v>
      </c>
      <c r="M2108" t="s">
        <v>16</v>
      </c>
    </row>
    <row r="2109" spans="1:13" x14ac:dyDescent="0.35">
      <c r="A2109">
        <v>292305</v>
      </c>
      <c r="B2109">
        <v>47210</v>
      </c>
      <c r="C2109" t="s">
        <v>2260</v>
      </c>
      <c r="D2109" t="s">
        <v>1972</v>
      </c>
      <c r="E2109" t="s">
        <v>1979</v>
      </c>
      <c r="F2109">
        <v>14153</v>
      </c>
      <c r="G2109">
        <v>1</v>
      </c>
      <c r="H2109" t="s">
        <v>16</v>
      </c>
      <c r="I2109" s="1">
        <v>-1031700</v>
      </c>
      <c r="J2109" s="1">
        <v>-3840600</v>
      </c>
      <c r="K2109">
        <v>460</v>
      </c>
      <c r="L2109">
        <v>217</v>
      </c>
      <c r="M2109" t="s">
        <v>16</v>
      </c>
    </row>
    <row r="2110" spans="1:13" x14ac:dyDescent="0.35">
      <c r="A2110">
        <v>292310</v>
      </c>
      <c r="B2110">
        <v>18325</v>
      </c>
      <c r="C2110" t="s">
        <v>2261</v>
      </c>
      <c r="D2110" t="s">
        <v>1972</v>
      </c>
      <c r="E2110" t="s">
        <v>1979</v>
      </c>
      <c r="F2110">
        <v>23791</v>
      </c>
      <c r="G2110">
        <v>1</v>
      </c>
      <c r="H2110" t="s">
        <v>16</v>
      </c>
      <c r="I2110" s="1">
        <v>-1136700</v>
      </c>
      <c r="J2110" s="1">
        <v>-3833300</v>
      </c>
      <c r="K2110">
        <v>139</v>
      </c>
      <c r="L2110">
        <v>575</v>
      </c>
      <c r="M2110" t="s">
        <v>16</v>
      </c>
    </row>
    <row r="2111" spans="1:13" x14ac:dyDescent="0.35">
      <c r="A2111">
        <v>292320</v>
      </c>
      <c r="B2111">
        <v>18333</v>
      </c>
      <c r="C2111" t="s">
        <v>2262</v>
      </c>
      <c r="D2111" t="s">
        <v>1972</v>
      </c>
      <c r="E2111" t="s">
        <v>2038</v>
      </c>
      <c r="F2111">
        <v>22609</v>
      </c>
      <c r="G2111">
        <v>1</v>
      </c>
      <c r="H2111" t="s">
        <v>16</v>
      </c>
      <c r="I2111" s="1">
        <v>-1231700</v>
      </c>
      <c r="J2111" s="1">
        <v>-4289600</v>
      </c>
      <c r="K2111">
        <v>550</v>
      </c>
      <c r="L2111">
        <v>3563</v>
      </c>
      <c r="M2111" t="s">
        <v>16</v>
      </c>
    </row>
    <row r="2112" spans="1:13" x14ac:dyDescent="0.35">
      <c r="A2112">
        <v>292330</v>
      </c>
      <c r="B2112">
        <v>18341</v>
      </c>
      <c r="C2112" t="s">
        <v>2263</v>
      </c>
      <c r="D2112" t="s">
        <v>1972</v>
      </c>
      <c r="E2112" t="s">
        <v>1981</v>
      </c>
      <c r="F2112">
        <v>7802</v>
      </c>
      <c r="G2112">
        <v>1</v>
      </c>
      <c r="H2112" t="s">
        <v>16</v>
      </c>
      <c r="I2112" s="1">
        <v>-1201700</v>
      </c>
      <c r="J2112" s="1">
        <v>-3861700</v>
      </c>
      <c r="K2112">
        <v>327</v>
      </c>
      <c r="L2112">
        <v>148</v>
      </c>
      <c r="M2112" t="s">
        <v>16</v>
      </c>
    </row>
    <row r="2113" spans="1:13" x14ac:dyDescent="0.35">
      <c r="A2113">
        <v>292335</v>
      </c>
      <c r="B2113">
        <v>47856</v>
      </c>
      <c r="C2113" t="s">
        <v>2264</v>
      </c>
      <c r="D2113" t="s">
        <v>1972</v>
      </c>
      <c r="E2113" t="s">
        <v>2051</v>
      </c>
      <c r="F2113">
        <v>16302</v>
      </c>
      <c r="G2113">
        <v>1</v>
      </c>
      <c r="H2113" t="s">
        <v>16</v>
      </c>
      <c r="I2113" s="1">
        <v>-1097000</v>
      </c>
      <c r="J2113" s="1">
        <v>-4108300</v>
      </c>
      <c r="K2113">
        <v>560</v>
      </c>
      <c r="L2113">
        <v>1276</v>
      </c>
      <c r="M2113" t="s">
        <v>16</v>
      </c>
    </row>
    <row r="2114" spans="1:13" x14ac:dyDescent="0.35">
      <c r="A2114">
        <v>292340</v>
      </c>
      <c r="B2114">
        <v>18350</v>
      </c>
      <c r="C2114" t="s">
        <v>2265</v>
      </c>
      <c r="D2114" t="s">
        <v>1972</v>
      </c>
      <c r="E2114" t="s">
        <v>2049</v>
      </c>
      <c r="F2114">
        <v>21107</v>
      </c>
      <c r="G2114">
        <v>1</v>
      </c>
      <c r="H2114" t="s">
        <v>16</v>
      </c>
      <c r="I2114" s="1">
        <v>-1426700</v>
      </c>
      <c r="J2114" s="1">
        <v>-4316200</v>
      </c>
      <c r="K2114">
        <v>802</v>
      </c>
      <c r="L2114">
        <v>2789</v>
      </c>
      <c r="M2114" t="s">
        <v>16</v>
      </c>
    </row>
    <row r="2115" spans="1:13" x14ac:dyDescent="0.35">
      <c r="A2115">
        <v>292350</v>
      </c>
      <c r="B2115">
        <v>18368</v>
      </c>
      <c r="C2115" t="s">
        <v>2266</v>
      </c>
      <c r="D2115" t="s">
        <v>1972</v>
      </c>
      <c r="E2115" t="s">
        <v>1973</v>
      </c>
      <c r="F2115">
        <v>8040</v>
      </c>
      <c r="G2115">
        <v>1</v>
      </c>
      <c r="H2115" t="s">
        <v>16</v>
      </c>
      <c r="I2115" s="1">
        <v>-1252900</v>
      </c>
      <c r="J2115" s="1">
        <v>-4155900</v>
      </c>
      <c r="K2115">
        <v>697</v>
      </c>
      <c r="L2115">
        <v>695</v>
      </c>
      <c r="M2115" t="s">
        <v>16</v>
      </c>
    </row>
    <row r="2116" spans="1:13" x14ac:dyDescent="0.35">
      <c r="A2116">
        <v>292360</v>
      </c>
      <c r="B2116">
        <v>18376</v>
      </c>
      <c r="C2116" t="s">
        <v>2267</v>
      </c>
      <c r="D2116" t="s">
        <v>1972</v>
      </c>
      <c r="E2116" t="s">
        <v>1983</v>
      </c>
      <c r="F2116">
        <v>20055</v>
      </c>
      <c r="G2116">
        <v>1</v>
      </c>
      <c r="H2116" t="s">
        <v>16</v>
      </c>
      <c r="I2116" s="1">
        <v>-1344300</v>
      </c>
      <c r="J2116" s="1">
        <v>-4223900</v>
      </c>
      <c r="K2116">
        <v>654</v>
      </c>
      <c r="L2116">
        <v>1115</v>
      </c>
      <c r="M2116" t="s">
        <v>16</v>
      </c>
    </row>
    <row r="2117" spans="1:13" x14ac:dyDescent="0.35">
      <c r="A2117">
        <v>292370</v>
      </c>
      <c r="B2117">
        <v>18384</v>
      </c>
      <c r="C2117" t="s">
        <v>2268</v>
      </c>
      <c r="D2117" t="s">
        <v>1972</v>
      </c>
      <c r="E2117" t="s">
        <v>2035</v>
      </c>
      <c r="F2117">
        <v>28671</v>
      </c>
      <c r="G2117">
        <v>1</v>
      </c>
      <c r="H2117" t="s">
        <v>16</v>
      </c>
      <c r="I2117" s="1">
        <v>-1269100</v>
      </c>
      <c r="J2117" s="1">
        <v>-4318400</v>
      </c>
      <c r="K2117">
        <v>425</v>
      </c>
      <c r="L2117">
        <v>2956</v>
      </c>
      <c r="M2117" t="s">
        <v>16</v>
      </c>
    </row>
    <row r="2118" spans="1:13" x14ac:dyDescent="0.35">
      <c r="A2118">
        <v>292380</v>
      </c>
      <c r="B2118">
        <v>18392</v>
      </c>
      <c r="C2118" t="s">
        <v>2269</v>
      </c>
      <c r="D2118" t="s">
        <v>1972</v>
      </c>
      <c r="E2118" t="s">
        <v>1979</v>
      </c>
      <c r="F2118">
        <v>28347</v>
      </c>
      <c r="G2118">
        <v>1</v>
      </c>
      <c r="H2118" t="s">
        <v>16</v>
      </c>
      <c r="I2118" s="1">
        <v>-1068800</v>
      </c>
      <c r="J2118" s="1">
        <v>-3786200</v>
      </c>
      <c r="K2118">
        <v>434</v>
      </c>
      <c r="L2118">
        <v>388</v>
      </c>
      <c r="M2118" t="s">
        <v>16</v>
      </c>
    </row>
    <row r="2119" spans="1:13" x14ac:dyDescent="0.35">
      <c r="A2119">
        <v>292390</v>
      </c>
      <c r="B2119">
        <v>18406</v>
      </c>
      <c r="C2119" t="s">
        <v>2270</v>
      </c>
      <c r="D2119" t="s">
        <v>1972</v>
      </c>
      <c r="E2119" t="s">
        <v>1989</v>
      </c>
      <c r="F2119">
        <v>12155</v>
      </c>
      <c r="G2119">
        <v>1</v>
      </c>
      <c r="H2119" t="s">
        <v>16</v>
      </c>
      <c r="I2119" s="1">
        <v>-1546400</v>
      </c>
      <c r="J2119" s="1">
        <v>-3965100</v>
      </c>
      <c r="K2119">
        <v>169</v>
      </c>
      <c r="L2119">
        <v>609</v>
      </c>
      <c r="M2119" t="s">
        <v>16</v>
      </c>
    </row>
    <row r="2120" spans="1:13" x14ac:dyDescent="0.35">
      <c r="A2120">
        <v>292400</v>
      </c>
      <c r="B2120">
        <v>18414</v>
      </c>
      <c r="C2120" t="s">
        <v>1975</v>
      </c>
      <c r="D2120" t="s">
        <v>1972</v>
      </c>
      <c r="E2120" t="s">
        <v>1975</v>
      </c>
      <c r="F2120">
        <v>101952</v>
      </c>
      <c r="G2120">
        <v>3</v>
      </c>
      <c r="H2120" t="s">
        <v>16</v>
      </c>
      <c r="I2120" s="1">
        <v>-940800</v>
      </c>
      <c r="J2120" s="1">
        <v>-3822200</v>
      </c>
      <c r="K2120">
        <v>243</v>
      </c>
      <c r="L2120">
        <v>1573</v>
      </c>
      <c r="M2120" t="s">
        <v>16</v>
      </c>
    </row>
    <row r="2121" spans="1:13" x14ac:dyDescent="0.35">
      <c r="A2121">
        <v>292405</v>
      </c>
      <c r="B2121">
        <v>15997</v>
      </c>
      <c r="C2121" t="s">
        <v>2271</v>
      </c>
      <c r="D2121" t="s">
        <v>1972</v>
      </c>
      <c r="E2121" t="s">
        <v>1372</v>
      </c>
      <c r="F2121">
        <v>14160</v>
      </c>
      <c r="G2121">
        <v>1</v>
      </c>
      <c r="H2121" t="s">
        <v>16</v>
      </c>
      <c r="I2121" s="1">
        <v>-1183400</v>
      </c>
      <c r="J2121" s="1">
        <v>-3961300</v>
      </c>
      <c r="K2121">
        <v>286</v>
      </c>
      <c r="L2121">
        <v>558</v>
      </c>
      <c r="M2121" t="s">
        <v>16</v>
      </c>
    </row>
    <row r="2122" spans="1:13" x14ac:dyDescent="0.35">
      <c r="A2122">
        <v>292410</v>
      </c>
      <c r="B2122">
        <v>18422</v>
      </c>
      <c r="C2122" t="s">
        <v>2272</v>
      </c>
      <c r="D2122" t="s">
        <v>1972</v>
      </c>
      <c r="E2122" t="s">
        <v>1981</v>
      </c>
      <c r="F2122">
        <v>7238</v>
      </c>
      <c r="G2122">
        <v>1</v>
      </c>
      <c r="H2122" t="s">
        <v>16</v>
      </c>
      <c r="I2122" s="1">
        <v>-1215000</v>
      </c>
      <c r="J2122" s="1">
        <v>-3865000</v>
      </c>
      <c r="K2122">
        <v>230</v>
      </c>
      <c r="L2122">
        <v>172</v>
      </c>
      <c r="M2122" t="s">
        <v>16</v>
      </c>
    </row>
    <row r="2123" spans="1:13" x14ac:dyDescent="0.35">
      <c r="A2123">
        <v>292420</v>
      </c>
      <c r="B2123">
        <v>18430</v>
      </c>
      <c r="C2123" t="s">
        <v>2273</v>
      </c>
      <c r="D2123" t="s">
        <v>1972</v>
      </c>
      <c r="E2123" t="s">
        <v>2104</v>
      </c>
      <c r="F2123">
        <v>17092</v>
      </c>
      <c r="G2123">
        <v>1</v>
      </c>
      <c r="H2123" t="s">
        <v>16</v>
      </c>
      <c r="I2123" s="1">
        <v>-1001400</v>
      </c>
      <c r="J2123" s="1">
        <v>-3789400</v>
      </c>
      <c r="K2123">
        <v>356</v>
      </c>
      <c r="L2123">
        <v>1110</v>
      </c>
      <c r="M2123" t="s">
        <v>16</v>
      </c>
    </row>
    <row r="2124" spans="1:13" x14ac:dyDescent="0.35">
      <c r="A2124">
        <v>292430</v>
      </c>
      <c r="B2124">
        <v>18449</v>
      </c>
      <c r="C2124" t="s">
        <v>2274</v>
      </c>
      <c r="D2124" t="s">
        <v>1972</v>
      </c>
      <c r="E2124" t="s">
        <v>1973</v>
      </c>
      <c r="F2124">
        <v>18085</v>
      </c>
      <c r="G2124">
        <v>1</v>
      </c>
      <c r="H2124" t="s">
        <v>16</v>
      </c>
      <c r="I2124" s="1">
        <v>-1315200</v>
      </c>
      <c r="J2124" s="1">
        <v>-4177300</v>
      </c>
      <c r="K2124">
        <v>1268</v>
      </c>
      <c r="L2124">
        <v>1508</v>
      </c>
      <c r="M2124" t="s">
        <v>16</v>
      </c>
    </row>
    <row r="2125" spans="1:13" x14ac:dyDescent="0.35">
      <c r="A2125">
        <v>292440</v>
      </c>
      <c r="B2125">
        <v>18457</v>
      </c>
      <c r="C2125" t="s">
        <v>2275</v>
      </c>
      <c r="D2125" t="s">
        <v>1972</v>
      </c>
      <c r="E2125" t="s">
        <v>2064</v>
      </c>
      <c r="F2125">
        <v>32844</v>
      </c>
      <c r="G2125">
        <v>1</v>
      </c>
      <c r="H2125" t="s">
        <v>16</v>
      </c>
      <c r="I2125" s="1">
        <v>-1000300</v>
      </c>
      <c r="J2125" s="1">
        <v>-4250400</v>
      </c>
      <c r="K2125">
        <v>394</v>
      </c>
      <c r="L2125">
        <v>11700</v>
      </c>
      <c r="M2125" t="s">
        <v>16</v>
      </c>
    </row>
    <row r="2126" spans="1:13" x14ac:dyDescent="0.35">
      <c r="A2126">
        <v>292450</v>
      </c>
      <c r="B2126">
        <v>18465</v>
      </c>
      <c r="C2126" t="s">
        <v>2276</v>
      </c>
      <c r="D2126" t="s">
        <v>1972</v>
      </c>
      <c r="E2126" t="s">
        <v>2049</v>
      </c>
      <c r="F2126">
        <v>15306</v>
      </c>
      <c r="G2126">
        <v>1</v>
      </c>
      <c r="H2126" t="s">
        <v>16</v>
      </c>
      <c r="I2126" s="1">
        <v>-1449300</v>
      </c>
      <c r="J2126" s="1">
        <v>-4268700</v>
      </c>
      <c r="K2126">
        <v>610</v>
      </c>
      <c r="L2126">
        <v>715</v>
      </c>
      <c r="M2126" t="s">
        <v>16</v>
      </c>
    </row>
    <row r="2127" spans="1:13" x14ac:dyDescent="0.35">
      <c r="A2127">
        <v>292460</v>
      </c>
      <c r="B2127">
        <v>18473</v>
      </c>
      <c r="C2127" t="s">
        <v>2277</v>
      </c>
      <c r="D2127" t="s">
        <v>1972</v>
      </c>
      <c r="E2127" t="s">
        <v>1999</v>
      </c>
      <c r="F2127">
        <v>20312</v>
      </c>
      <c r="G2127">
        <v>1</v>
      </c>
      <c r="H2127" t="s">
        <v>16</v>
      </c>
      <c r="I2127" s="1">
        <v>-1074300</v>
      </c>
      <c r="J2127" s="1">
        <v>-4036300</v>
      </c>
      <c r="K2127">
        <v>448</v>
      </c>
      <c r="L2127">
        <v>527</v>
      </c>
      <c r="M2127" t="s">
        <v>16</v>
      </c>
    </row>
    <row r="2128" spans="1:13" x14ac:dyDescent="0.35">
      <c r="A2128">
        <v>292465</v>
      </c>
      <c r="B2128">
        <v>26727</v>
      </c>
      <c r="C2128" t="s">
        <v>2278</v>
      </c>
      <c r="D2128" t="s">
        <v>1972</v>
      </c>
      <c r="E2128" t="s">
        <v>1981</v>
      </c>
      <c r="F2128">
        <v>10551</v>
      </c>
      <c r="G2128">
        <v>1</v>
      </c>
      <c r="H2128" t="s">
        <v>16</v>
      </c>
      <c r="I2128" s="1">
        <v>-1181300</v>
      </c>
      <c r="J2128" s="1">
        <v>-3990900</v>
      </c>
      <c r="K2128">
        <v>300</v>
      </c>
      <c r="L2128">
        <v>529</v>
      </c>
      <c r="M2128" t="s">
        <v>16</v>
      </c>
    </row>
    <row r="2129" spans="1:13" x14ac:dyDescent="0.35">
      <c r="A2129">
        <v>292467</v>
      </c>
      <c r="B2129">
        <v>47228</v>
      </c>
      <c r="C2129" t="s">
        <v>2279</v>
      </c>
      <c r="D2129" t="s">
        <v>1972</v>
      </c>
      <c r="E2129" t="s">
        <v>2056</v>
      </c>
      <c r="F2129">
        <v>8897</v>
      </c>
      <c r="G2129">
        <v>1</v>
      </c>
      <c r="H2129" t="s">
        <v>16</v>
      </c>
      <c r="I2129" s="1">
        <v>-1376200</v>
      </c>
      <c r="J2129" s="1">
        <v>-3937900</v>
      </c>
      <c r="K2129">
        <v>148</v>
      </c>
      <c r="L2129">
        <v>227</v>
      </c>
      <c r="M2129" t="s">
        <v>16</v>
      </c>
    </row>
    <row r="2130" spans="1:13" x14ac:dyDescent="0.35">
      <c r="A2130">
        <v>292470</v>
      </c>
      <c r="B2130">
        <v>18481</v>
      </c>
      <c r="C2130" t="s">
        <v>2280</v>
      </c>
      <c r="D2130" t="s">
        <v>1972</v>
      </c>
      <c r="E2130" t="s">
        <v>2009</v>
      </c>
      <c r="F2130">
        <v>13515</v>
      </c>
      <c r="G2130">
        <v>1</v>
      </c>
      <c r="H2130" t="s">
        <v>16</v>
      </c>
      <c r="I2130" s="1">
        <v>-1494000</v>
      </c>
      <c r="J2130" s="1">
        <v>-4172000</v>
      </c>
      <c r="K2130">
        <v>618</v>
      </c>
      <c r="L2130">
        <v>651</v>
      </c>
      <c r="M2130" t="s">
        <v>16</v>
      </c>
    </row>
    <row r="2131" spans="1:13" x14ac:dyDescent="0.35">
      <c r="A2131">
        <v>292480</v>
      </c>
      <c r="B2131">
        <v>18490</v>
      </c>
      <c r="C2131" t="s">
        <v>2281</v>
      </c>
      <c r="D2131" t="s">
        <v>1972</v>
      </c>
      <c r="E2131" t="s">
        <v>2051</v>
      </c>
      <c r="F2131">
        <v>24189</v>
      </c>
      <c r="G2131">
        <v>1</v>
      </c>
      <c r="H2131" t="s">
        <v>16</v>
      </c>
      <c r="I2131" s="1">
        <v>-1173000</v>
      </c>
      <c r="J2131" s="1">
        <v>-4055500</v>
      </c>
      <c r="K2131">
        <v>554</v>
      </c>
      <c r="L2131">
        <v>990</v>
      </c>
      <c r="M2131" t="s">
        <v>16</v>
      </c>
    </row>
    <row r="2132" spans="1:13" x14ac:dyDescent="0.35">
      <c r="A2132">
        <v>292490</v>
      </c>
      <c r="B2132">
        <v>18503</v>
      </c>
      <c r="C2132" t="s">
        <v>2282</v>
      </c>
      <c r="D2132" t="s">
        <v>1972</v>
      </c>
      <c r="E2132" t="s">
        <v>1985</v>
      </c>
      <c r="F2132">
        <v>8472</v>
      </c>
      <c r="G2132">
        <v>1</v>
      </c>
      <c r="H2132" t="s">
        <v>16</v>
      </c>
      <c r="I2132" s="1">
        <v>-1325900</v>
      </c>
      <c r="J2132" s="1">
        <v>-4036900</v>
      </c>
      <c r="K2132">
        <v>691</v>
      </c>
      <c r="L2132">
        <v>938</v>
      </c>
      <c r="M2132" t="s">
        <v>16</v>
      </c>
    </row>
    <row r="2133" spans="1:13" x14ac:dyDescent="0.35">
      <c r="A2133">
        <v>292500</v>
      </c>
      <c r="B2133">
        <v>18511</v>
      </c>
      <c r="C2133" t="s">
        <v>2283</v>
      </c>
      <c r="D2133" t="s">
        <v>1972</v>
      </c>
      <c r="E2133" t="s">
        <v>1996</v>
      </c>
      <c r="F2133">
        <v>21486</v>
      </c>
      <c r="G2133">
        <v>1</v>
      </c>
      <c r="H2133" t="s">
        <v>16</v>
      </c>
      <c r="I2133" s="1">
        <v>-1467000</v>
      </c>
      <c r="J2133" s="1">
        <v>-4047100</v>
      </c>
      <c r="K2133">
        <v>943</v>
      </c>
      <c r="L2133">
        <v>722</v>
      </c>
      <c r="M2133" t="s">
        <v>16</v>
      </c>
    </row>
    <row r="2134" spans="1:13" x14ac:dyDescent="0.35">
      <c r="A2134">
        <v>292510</v>
      </c>
      <c r="B2134">
        <v>18520</v>
      </c>
      <c r="C2134" t="s">
        <v>2284</v>
      </c>
      <c r="D2134" t="s">
        <v>1972</v>
      </c>
      <c r="E2134" t="s">
        <v>1996</v>
      </c>
      <c r="F2134">
        <v>44759</v>
      </c>
      <c r="G2134">
        <v>1</v>
      </c>
      <c r="H2134" t="s">
        <v>16</v>
      </c>
      <c r="I2134" s="1">
        <v>-1453000</v>
      </c>
      <c r="J2134" s="1">
        <v>-4036500</v>
      </c>
      <c r="K2134">
        <v>760</v>
      </c>
      <c r="L2134">
        <v>962</v>
      </c>
      <c r="M2134" t="s">
        <v>16</v>
      </c>
    </row>
    <row r="2135" spans="1:13" x14ac:dyDescent="0.35">
      <c r="A2135">
        <v>292520</v>
      </c>
      <c r="B2135">
        <v>18538</v>
      </c>
      <c r="C2135" t="s">
        <v>2285</v>
      </c>
      <c r="D2135" t="s">
        <v>1972</v>
      </c>
      <c r="E2135" t="s">
        <v>1992</v>
      </c>
      <c r="F2135">
        <v>30221</v>
      </c>
      <c r="G2135">
        <v>4</v>
      </c>
      <c r="H2135" t="s">
        <v>2061</v>
      </c>
      <c r="I2135" s="1">
        <v>-1243100</v>
      </c>
      <c r="J2135" s="1">
        <v>-3832800</v>
      </c>
      <c r="K2135">
        <v>60</v>
      </c>
      <c r="L2135">
        <v>318</v>
      </c>
      <c r="M2135" t="s">
        <v>16</v>
      </c>
    </row>
    <row r="2136" spans="1:13" x14ac:dyDescent="0.35">
      <c r="A2136">
        <v>292525</v>
      </c>
      <c r="B2136">
        <v>47236</v>
      </c>
      <c r="C2136" t="s">
        <v>2286</v>
      </c>
      <c r="D2136" t="s">
        <v>1972</v>
      </c>
      <c r="E2136" t="s">
        <v>2051</v>
      </c>
      <c r="F2136">
        <v>14820</v>
      </c>
      <c r="G2136">
        <v>1</v>
      </c>
      <c r="H2136" t="s">
        <v>16</v>
      </c>
      <c r="I2136" s="1">
        <v>-1086200</v>
      </c>
      <c r="J2136" s="1">
        <v>-4013400</v>
      </c>
      <c r="K2136">
        <v>362</v>
      </c>
      <c r="L2136">
        <v>465</v>
      </c>
      <c r="M2136" t="s">
        <v>16</v>
      </c>
    </row>
    <row r="2137" spans="1:13" x14ac:dyDescent="0.35">
      <c r="A2137">
        <v>292530</v>
      </c>
      <c r="B2137">
        <v>18546</v>
      </c>
      <c r="C2137" t="s">
        <v>1987</v>
      </c>
      <c r="D2137" t="s">
        <v>1972</v>
      </c>
      <c r="E2137" t="s">
        <v>1987</v>
      </c>
      <c r="F2137">
        <v>114459</v>
      </c>
      <c r="G2137">
        <v>3</v>
      </c>
      <c r="H2137" t="s">
        <v>16</v>
      </c>
      <c r="I2137" s="1">
        <v>-1645000</v>
      </c>
      <c r="J2137" s="1">
        <v>-3906500</v>
      </c>
      <c r="K2137">
        <v>49</v>
      </c>
      <c r="L2137">
        <v>2408</v>
      </c>
      <c r="M2137" t="s">
        <v>16</v>
      </c>
    </row>
    <row r="2138" spans="1:13" x14ac:dyDescent="0.35">
      <c r="A2138">
        <v>292540</v>
      </c>
      <c r="B2138">
        <v>18554</v>
      </c>
      <c r="C2138" t="s">
        <v>2287</v>
      </c>
      <c r="D2138" t="s">
        <v>1972</v>
      </c>
      <c r="E2138" t="s">
        <v>2117</v>
      </c>
      <c r="F2138">
        <v>10350</v>
      </c>
      <c r="G2138">
        <v>1</v>
      </c>
      <c r="H2138" t="s">
        <v>16</v>
      </c>
      <c r="I2138" s="1">
        <v>-1559500</v>
      </c>
      <c r="J2138" s="1">
        <v>-3987700</v>
      </c>
      <c r="K2138">
        <v>181</v>
      </c>
      <c r="L2138">
        <v>989</v>
      </c>
      <c r="M2138" t="s">
        <v>16</v>
      </c>
    </row>
    <row r="2139" spans="1:13" x14ac:dyDescent="0.35">
      <c r="A2139">
        <v>292550</v>
      </c>
      <c r="B2139">
        <v>18562</v>
      </c>
      <c r="C2139" t="s">
        <v>2288</v>
      </c>
      <c r="D2139" t="s">
        <v>1972</v>
      </c>
      <c r="E2139" t="s">
        <v>1987</v>
      </c>
      <c r="F2139">
        <v>25429</v>
      </c>
      <c r="G2139">
        <v>1</v>
      </c>
      <c r="H2139" t="s">
        <v>16</v>
      </c>
      <c r="I2139" s="1">
        <v>-1734100</v>
      </c>
      <c r="J2139" s="1">
        <v>-3922100</v>
      </c>
      <c r="K2139">
        <v>4</v>
      </c>
      <c r="L2139">
        <v>1664</v>
      </c>
      <c r="M2139" t="s">
        <v>16</v>
      </c>
    </row>
    <row r="2140" spans="1:13" x14ac:dyDescent="0.35">
      <c r="A2140">
        <v>292560</v>
      </c>
      <c r="B2140">
        <v>18570</v>
      </c>
      <c r="C2140" t="s">
        <v>626</v>
      </c>
      <c r="D2140" t="s">
        <v>1972</v>
      </c>
      <c r="E2140" t="s">
        <v>1994</v>
      </c>
      <c r="F2140">
        <v>13822</v>
      </c>
      <c r="G2140">
        <v>1</v>
      </c>
      <c r="H2140" t="s">
        <v>16</v>
      </c>
      <c r="I2140" s="1">
        <v>-1129600</v>
      </c>
      <c r="J2140" s="1">
        <v>-4198700</v>
      </c>
      <c r="K2140">
        <v>672</v>
      </c>
      <c r="L2140">
        <v>243</v>
      </c>
      <c r="M2140" t="s">
        <v>16</v>
      </c>
    </row>
    <row r="2141" spans="1:13" x14ac:dyDescent="0.35">
      <c r="A2141">
        <v>292570</v>
      </c>
      <c r="B2141">
        <v>18589</v>
      </c>
      <c r="C2141" t="s">
        <v>2289</v>
      </c>
      <c r="D2141" t="s">
        <v>1972</v>
      </c>
      <c r="E2141" t="s">
        <v>2009</v>
      </c>
      <c r="F2141">
        <v>14803</v>
      </c>
      <c r="G2141">
        <v>1</v>
      </c>
      <c r="H2141" t="s">
        <v>16</v>
      </c>
      <c r="I2141" s="1">
        <v>-1468900</v>
      </c>
      <c r="J2141" s="1">
        <v>-4167800</v>
      </c>
      <c r="K2141">
        <v>682</v>
      </c>
      <c r="L2141">
        <v>1327</v>
      </c>
      <c r="M2141" t="s">
        <v>16</v>
      </c>
    </row>
    <row r="2142" spans="1:13" x14ac:dyDescent="0.35">
      <c r="A2142">
        <v>292575</v>
      </c>
      <c r="B2142">
        <v>47244</v>
      </c>
      <c r="C2142" t="s">
        <v>2290</v>
      </c>
      <c r="D2142" t="s">
        <v>1972</v>
      </c>
      <c r="E2142" t="s">
        <v>2056</v>
      </c>
      <c r="F2142">
        <v>22684</v>
      </c>
      <c r="G2142">
        <v>1</v>
      </c>
      <c r="H2142" t="s">
        <v>16</v>
      </c>
      <c r="I2142" s="1">
        <v>-1344900</v>
      </c>
      <c r="J2142" s="1">
        <v>-3942000</v>
      </c>
      <c r="K2142">
        <v>150</v>
      </c>
      <c r="L2142">
        <v>414</v>
      </c>
      <c r="M2142" t="s">
        <v>16</v>
      </c>
    </row>
    <row r="2143" spans="1:13" x14ac:dyDescent="0.35">
      <c r="A2143">
        <v>292580</v>
      </c>
      <c r="B2143">
        <v>18597</v>
      </c>
      <c r="C2143" t="s">
        <v>1550</v>
      </c>
      <c r="D2143" t="s">
        <v>1972</v>
      </c>
      <c r="E2143" t="s">
        <v>2075</v>
      </c>
      <c r="F2143">
        <v>27186</v>
      </c>
      <c r="G2143">
        <v>1</v>
      </c>
      <c r="H2143" t="s">
        <v>16</v>
      </c>
      <c r="I2143" s="1">
        <v>-1097800</v>
      </c>
      <c r="J2143" s="1">
        <v>-3962400</v>
      </c>
      <c r="K2143">
        <v>295</v>
      </c>
      <c r="L2143">
        <v>2097</v>
      </c>
      <c r="M2143" t="s">
        <v>16</v>
      </c>
    </row>
    <row r="2144" spans="1:13" x14ac:dyDescent="0.35">
      <c r="A2144">
        <v>292590</v>
      </c>
      <c r="B2144">
        <v>18600</v>
      </c>
      <c r="C2144" t="s">
        <v>2291</v>
      </c>
      <c r="D2144" t="s">
        <v>1972</v>
      </c>
      <c r="E2144" t="s">
        <v>2075</v>
      </c>
      <c r="F2144">
        <v>27068</v>
      </c>
      <c r="G2144">
        <v>1</v>
      </c>
      <c r="H2144" t="s">
        <v>16</v>
      </c>
      <c r="I2144" s="1">
        <v>-1075300</v>
      </c>
      <c r="J2144" s="1">
        <v>-3921000</v>
      </c>
      <c r="K2144">
        <v>352</v>
      </c>
      <c r="L2144">
        <v>1271</v>
      </c>
      <c r="M2144" t="s">
        <v>16</v>
      </c>
    </row>
    <row r="2145" spans="1:13" x14ac:dyDescent="0.35">
      <c r="A2145">
        <v>292593</v>
      </c>
      <c r="B2145">
        <v>47864</v>
      </c>
      <c r="C2145" t="s">
        <v>2292</v>
      </c>
      <c r="D2145" t="s">
        <v>1972</v>
      </c>
      <c r="E2145" t="s">
        <v>2051</v>
      </c>
      <c r="F2145">
        <v>9348</v>
      </c>
      <c r="G2145">
        <v>1</v>
      </c>
      <c r="H2145" t="s">
        <v>16</v>
      </c>
      <c r="I2145" s="1">
        <v>-1141200</v>
      </c>
      <c r="J2145" s="1">
        <v>-4012800</v>
      </c>
      <c r="K2145">
        <v>420</v>
      </c>
      <c r="L2145">
        <v>368</v>
      </c>
      <c r="M2145" t="s">
        <v>16</v>
      </c>
    </row>
    <row r="2146" spans="1:13" x14ac:dyDescent="0.35">
      <c r="A2146">
        <v>292595</v>
      </c>
      <c r="B2146">
        <v>26735</v>
      </c>
      <c r="C2146" t="s">
        <v>2293</v>
      </c>
      <c r="D2146" t="s">
        <v>1972</v>
      </c>
      <c r="E2146" t="s">
        <v>1981</v>
      </c>
      <c r="F2146">
        <v>23107</v>
      </c>
      <c r="G2146">
        <v>1</v>
      </c>
      <c r="H2146" t="s">
        <v>16</v>
      </c>
      <c r="I2146" s="1">
        <v>-1240800</v>
      </c>
      <c r="J2146" s="1">
        <v>-3950100</v>
      </c>
      <c r="K2146">
        <v>238</v>
      </c>
      <c r="L2146">
        <v>1234</v>
      </c>
      <c r="M2146" t="s">
        <v>16</v>
      </c>
    </row>
    <row r="2147" spans="1:13" x14ac:dyDescent="0.35">
      <c r="A2147">
        <v>292600</v>
      </c>
      <c r="B2147">
        <v>18619</v>
      </c>
      <c r="C2147" t="s">
        <v>2294</v>
      </c>
      <c r="D2147" t="s">
        <v>1972</v>
      </c>
      <c r="E2147" t="s">
        <v>2064</v>
      </c>
      <c r="F2147">
        <v>38004</v>
      </c>
      <c r="G2147">
        <v>1</v>
      </c>
      <c r="H2147" t="s">
        <v>16</v>
      </c>
      <c r="I2147" s="1">
        <v>-962200</v>
      </c>
      <c r="J2147" s="1">
        <v>-4208100</v>
      </c>
      <c r="K2147">
        <v>388</v>
      </c>
      <c r="L2147">
        <v>4693</v>
      </c>
      <c r="M2147" t="s">
        <v>16</v>
      </c>
    </row>
    <row r="2148" spans="1:13" x14ac:dyDescent="0.35">
      <c r="A2148">
        <v>292610</v>
      </c>
      <c r="B2148">
        <v>18627</v>
      </c>
      <c r="C2148" t="s">
        <v>2295</v>
      </c>
      <c r="D2148" t="s">
        <v>1972</v>
      </c>
      <c r="E2148" t="s">
        <v>1372</v>
      </c>
      <c r="F2148">
        <v>11938</v>
      </c>
      <c r="G2148">
        <v>1</v>
      </c>
      <c r="H2148" t="s">
        <v>16</v>
      </c>
      <c r="I2148" s="1">
        <v>-1149500</v>
      </c>
      <c r="J2148" s="1">
        <v>-3942600</v>
      </c>
      <c r="K2148">
        <v>325</v>
      </c>
      <c r="L2148">
        <v>203</v>
      </c>
      <c r="M2148" t="s">
        <v>16</v>
      </c>
    </row>
    <row r="2149" spans="1:13" x14ac:dyDescent="0.35">
      <c r="A2149">
        <v>292620</v>
      </c>
      <c r="B2149">
        <v>18635</v>
      </c>
      <c r="C2149" t="s">
        <v>2296</v>
      </c>
      <c r="D2149" t="s">
        <v>1972</v>
      </c>
      <c r="E2149" t="s">
        <v>2018</v>
      </c>
      <c r="F2149">
        <v>22528</v>
      </c>
      <c r="G2149">
        <v>1</v>
      </c>
      <c r="H2149" t="s">
        <v>16</v>
      </c>
      <c r="I2149" s="1">
        <v>-1174600</v>
      </c>
      <c r="J2149" s="1">
        <v>-4491000</v>
      </c>
      <c r="K2149">
        <v>495</v>
      </c>
      <c r="L2149">
        <v>5840</v>
      </c>
      <c r="M2149" t="s">
        <v>16</v>
      </c>
    </row>
    <row r="2150" spans="1:13" x14ac:dyDescent="0.35">
      <c r="A2150">
        <v>292630</v>
      </c>
      <c r="B2150">
        <v>18643</v>
      </c>
      <c r="C2150" t="s">
        <v>2297</v>
      </c>
      <c r="D2150" t="s">
        <v>1972</v>
      </c>
      <c r="E2150" t="s">
        <v>1372</v>
      </c>
      <c r="F2150">
        <v>32522</v>
      </c>
      <c r="G2150">
        <v>1</v>
      </c>
      <c r="H2150" t="s">
        <v>16</v>
      </c>
      <c r="I2150" s="1">
        <v>-1181000</v>
      </c>
      <c r="J2150" s="1">
        <v>-3938200</v>
      </c>
      <c r="K2150">
        <v>219</v>
      </c>
      <c r="L2150">
        <v>1199</v>
      </c>
      <c r="M2150" t="s">
        <v>16</v>
      </c>
    </row>
    <row r="2151" spans="1:13" x14ac:dyDescent="0.35">
      <c r="A2151">
        <v>292640</v>
      </c>
      <c r="B2151">
        <v>18651</v>
      </c>
      <c r="C2151" t="s">
        <v>1343</v>
      </c>
      <c r="D2151" t="s">
        <v>1972</v>
      </c>
      <c r="E2151" t="s">
        <v>2049</v>
      </c>
      <c r="F2151">
        <v>29425</v>
      </c>
      <c r="G2151">
        <v>1</v>
      </c>
      <c r="H2151" t="s">
        <v>16</v>
      </c>
      <c r="I2151" s="1">
        <v>-1360900</v>
      </c>
      <c r="J2151" s="1">
        <v>-4293900</v>
      </c>
      <c r="K2151">
        <v>627</v>
      </c>
      <c r="L2151">
        <v>2698</v>
      </c>
      <c r="M2151" t="s">
        <v>16</v>
      </c>
    </row>
    <row r="2152" spans="1:13" x14ac:dyDescent="0.35">
      <c r="A2152">
        <v>292650</v>
      </c>
      <c r="B2152">
        <v>18660</v>
      </c>
      <c r="C2152" t="s">
        <v>2298</v>
      </c>
      <c r="D2152" t="s">
        <v>1972</v>
      </c>
      <c r="E2152" t="s">
        <v>1979</v>
      </c>
      <c r="F2152">
        <v>14101</v>
      </c>
      <c r="G2152">
        <v>1</v>
      </c>
      <c r="H2152" t="s">
        <v>16</v>
      </c>
      <c r="I2152" s="1">
        <v>-1104700</v>
      </c>
      <c r="J2152" s="1">
        <v>-3843300</v>
      </c>
      <c r="K2152">
        <v>180</v>
      </c>
      <c r="L2152">
        <v>699</v>
      </c>
      <c r="M2152" t="s">
        <v>16</v>
      </c>
    </row>
    <row r="2153" spans="1:13" x14ac:dyDescent="0.35">
      <c r="A2153">
        <v>292660</v>
      </c>
      <c r="B2153">
        <v>18678</v>
      </c>
      <c r="C2153" t="s">
        <v>1979</v>
      </c>
      <c r="D2153" t="s">
        <v>1972</v>
      </c>
      <c r="E2153" t="s">
        <v>1979</v>
      </c>
      <c r="F2153">
        <v>47400</v>
      </c>
      <c r="G2153">
        <v>1</v>
      </c>
      <c r="H2153" t="s">
        <v>16</v>
      </c>
      <c r="I2153" s="1">
        <v>-1083400</v>
      </c>
      <c r="J2153" s="1">
        <v>-3853600</v>
      </c>
      <c r="K2153">
        <v>228</v>
      </c>
      <c r="L2153">
        <v>807</v>
      </c>
      <c r="M2153" t="s">
        <v>16</v>
      </c>
    </row>
    <row r="2154" spans="1:13" x14ac:dyDescent="0.35">
      <c r="A2154">
        <v>292665</v>
      </c>
      <c r="B2154">
        <v>47252</v>
      </c>
      <c r="C2154" t="s">
        <v>2299</v>
      </c>
      <c r="D2154" t="s">
        <v>1972</v>
      </c>
      <c r="E2154" t="s">
        <v>2117</v>
      </c>
      <c r="F2154">
        <v>14297</v>
      </c>
      <c r="G2154">
        <v>1</v>
      </c>
      <c r="H2154" t="s">
        <v>16</v>
      </c>
      <c r="I2154" s="1">
        <v>-1545900</v>
      </c>
      <c r="J2154" s="1">
        <v>-4073900</v>
      </c>
      <c r="K2154">
        <v>0</v>
      </c>
      <c r="L2154">
        <v>1222</v>
      </c>
      <c r="M2154" t="s">
        <v>16</v>
      </c>
    </row>
    <row r="2155" spans="1:13" x14ac:dyDescent="0.35">
      <c r="A2155">
        <v>292670</v>
      </c>
      <c r="B2155">
        <v>18686</v>
      </c>
      <c r="C2155" t="s">
        <v>2300</v>
      </c>
      <c r="D2155" t="s">
        <v>1972</v>
      </c>
      <c r="E2155" t="s">
        <v>1973</v>
      </c>
      <c r="F2155">
        <v>13447</v>
      </c>
      <c r="G2155">
        <v>1</v>
      </c>
      <c r="H2155" t="s">
        <v>16</v>
      </c>
      <c r="I2155" s="1">
        <v>-1357900</v>
      </c>
      <c r="J2155" s="1">
        <v>-4181100</v>
      </c>
      <c r="K2155">
        <v>999</v>
      </c>
      <c r="L2155">
        <v>1052</v>
      </c>
      <c r="M2155" t="s">
        <v>16</v>
      </c>
    </row>
    <row r="2156" spans="1:13" x14ac:dyDescent="0.35">
      <c r="A2156">
        <v>292680</v>
      </c>
      <c r="B2156">
        <v>18694</v>
      </c>
      <c r="C2156" t="s">
        <v>2301</v>
      </c>
      <c r="D2156" t="s">
        <v>1972</v>
      </c>
      <c r="E2156" t="s">
        <v>2009</v>
      </c>
      <c r="F2156">
        <v>15096</v>
      </c>
      <c r="G2156">
        <v>1</v>
      </c>
      <c r="H2156" t="s">
        <v>16</v>
      </c>
      <c r="I2156" s="1">
        <v>-1441100</v>
      </c>
      <c r="J2156" s="1">
        <v>-4207600</v>
      </c>
      <c r="K2156">
        <v>598</v>
      </c>
      <c r="L2156">
        <v>986</v>
      </c>
      <c r="M2156" t="s">
        <v>16</v>
      </c>
    </row>
    <row r="2157" spans="1:13" x14ac:dyDescent="0.35">
      <c r="A2157">
        <v>292690</v>
      </c>
      <c r="B2157">
        <v>18708</v>
      </c>
      <c r="C2157" t="s">
        <v>2302</v>
      </c>
      <c r="D2157" t="s">
        <v>1972</v>
      </c>
      <c r="E2157" t="s">
        <v>1983</v>
      </c>
      <c r="F2157">
        <v>11385</v>
      </c>
      <c r="G2157">
        <v>1</v>
      </c>
      <c r="H2157" t="s">
        <v>16</v>
      </c>
      <c r="I2157" s="1">
        <v>-1312800</v>
      </c>
      <c r="J2157" s="1">
        <v>-4229200</v>
      </c>
      <c r="K2157">
        <v>551</v>
      </c>
      <c r="L2157">
        <v>889</v>
      </c>
      <c r="M2157" t="s">
        <v>16</v>
      </c>
    </row>
    <row r="2158" spans="1:13" x14ac:dyDescent="0.35">
      <c r="A2158">
        <v>292700</v>
      </c>
      <c r="B2158">
        <v>18716</v>
      </c>
      <c r="C2158" t="s">
        <v>2303</v>
      </c>
      <c r="D2158" t="s">
        <v>1972</v>
      </c>
      <c r="E2158" t="s">
        <v>1977</v>
      </c>
      <c r="F2158">
        <v>36169</v>
      </c>
      <c r="G2158">
        <v>1</v>
      </c>
      <c r="H2158" t="s">
        <v>16</v>
      </c>
      <c r="I2158" s="1">
        <v>-1148500</v>
      </c>
      <c r="J2158" s="1">
        <v>-3793300</v>
      </c>
      <c r="K2158">
        <v>169</v>
      </c>
      <c r="L2158">
        <v>675</v>
      </c>
      <c r="M2158" t="s">
        <v>16</v>
      </c>
    </row>
    <row r="2159" spans="1:13" x14ac:dyDescent="0.35">
      <c r="A2159">
        <v>292710</v>
      </c>
      <c r="B2159">
        <v>18724</v>
      </c>
      <c r="C2159" t="s">
        <v>2304</v>
      </c>
      <c r="D2159" t="s">
        <v>1972</v>
      </c>
      <c r="E2159" t="s">
        <v>1975</v>
      </c>
      <c r="F2159">
        <v>7023</v>
      </c>
      <c r="G2159">
        <v>1</v>
      </c>
      <c r="H2159" t="s">
        <v>16</v>
      </c>
      <c r="I2159" s="1">
        <v>-885100</v>
      </c>
      <c r="J2159" s="1">
        <v>-3875600</v>
      </c>
      <c r="K2159">
        <v>295</v>
      </c>
      <c r="L2159">
        <v>2575</v>
      </c>
      <c r="M2159" t="s">
        <v>16</v>
      </c>
    </row>
    <row r="2160" spans="1:13" x14ac:dyDescent="0.35">
      <c r="A2160">
        <v>292720</v>
      </c>
      <c r="B2160">
        <v>18732</v>
      </c>
      <c r="C2160" t="s">
        <v>1347</v>
      </c>
      <c r="D2160" t="s">
        <v>1972</v>
      </c>
      <c r="E2160" t="s">
        <v>2020</v>
      </c>
      <c r="F2160">
        <v>29358</v>
      </c>
      <c r="G2160">
        <v>1</v>
      </c>
      <c r="H2160" t="s">
        <v>16</v>
      </c>
      <c r="I2160" s="1">
        <v>-1228400</v>
      </c>
      <c r="J2160" s="1">
        <v>-4049400</v>
      </c>
      <c r="K2160">
        <v>368</v>
      </c>
      <c r="L2160">
        <v>2128</v>
      </c>
      <c r="M2160" t="s">
        <v>16</v>
      </c>
    </row>
    <row r="2161" spans="1:13" x14ac:dyDescent="0.35">
      <c r="A2161">
        <v>292730</v>
      </c>
      <c r="B2161">
        <v>18740</v>
      </c>
      <c r="C2161" t="s">
        <v>2305</v>
      </c>
      <c r="D2161" t="s">
        <v>1972</v>
      </c>
      <c r="E2161" t="s">
        <v>2015</v>
      </c>
      <c r="F2161">
        <v>13090</v>
      </c>
      <c r="G2161">
        <v>1</v>
      </c>
      <c r="H2161" t="s">
        <v>16</v>
      </c>
      <c r="I2161" s="1">
        <v>-1287100</v>
      </c>
      <c r="J2161" s="1">
        <v>-3876400</v>
      </c>
      <c r="K2161">
        <v>6</v>
      </c>
      <c r="L2161">
        <v>148</v>
      </c>
      <c r="M2161" t="s">
        <v>16</v>
      </c>
    </row>
    <row r="2162" spans="1:13" x14ac:dyDescent="0.35">
      <c r="A2162">
        <v>292740</v>
      </c>
      <c r="B2162">
        <v>16004</v>
      </c>
      <c r="C2162" t="s">
        <v>2060</v>
      </c>
      <c r="D2162" t="s">
        <v>1972</v>
      </c>
      <c r="E2162" t="s">
        <v>2060</v>
      </c>
      <c r="F2162">
        <v>2892625</v>
      </c>
      <c r="G2162">
        <v>5</v>
      </c>
      <c r="H2162" t="s">
        <v>2061</v>
      </c>
      <c r="I2162" s="1">
        <v>-1297100</v>
      </c>
      <c r="J2162" s="1">
        <v>-3851100</v>
      </c>
      <c r="K2162">
        <v>8</v>
      </c>
      <c r="L2162">
        <v>706</v>
      </c>
      <c r="M2162" t="s">
        <v>16</v>
      </c>
    </row>
    <row r="2163" spans="1:13" x14ac:dyDescent="0.35">
      <c r="A2163">
        <v>292750</v>
      </c>
      <c r="B2163">
        <v>18759</v>
      </c>
      <c r="C2163" t="s">
        <v>2306</v>
      </c>
      <c r="D2163" t="s">
        <v>1972</v>
      </c>
      <c r="E2163" t="s">
        <v>1981</v>
      </c>
      <c r="F2163">
        <v>19440</v>
      </c>
      <c r="G2163">
        <v>1</v>
      </c>
      <c r="H2163" t="s">
        <v>16</v>
      </c>
      <c r="I2163" s="1">
        <v>-1195800</v>
      </c>
      <c r="J2163" s="1">
        <v>-3897500</v>
      </c>
      <c r="K2163">
        <v>293</v>
      </c>
      <c r="L2163">
        <v>338</v>
      </c>
      <c r="M2163" t="s">
        <v>16</v>
      </c>
    </row>
    <row r="2164" spans="1:13" x14ac:dyDescent="0.35">
      <c r="A2164">
        <v>292760</v>
      </c>
      <c r="B2164">
        <v>18767</v>
      </c>
      <c r="C2164" t="s">
        <v>2307</v>
      </c>
      <c r="D2164" t="s">
        <v>1972</v>
      </c>
      <c r="E2164" t="s">
        <v>2104</v>
      </c>
      <c r="F2164">
        <v>15483</v>
      </c>
      <c r="G2164">
        <v>1</v>
      </c>
      <c r="H2164" t="s">
        <v>16</v>
      </c>
      <c r="I2164" s="1">
        <v>-973600</v>
      </c>
      <c r="J2164" s="1">
        <v>-3812600</v>
      </c>
      <c r="K2164">
        <v>317</v>
      </c>
      <c r="L2164">
        <v>848</v>
      </c>
      <c r="M2164" t="s">
        <v>16</v>
      </c>
    </row>
    <row r="2165" spans="1:13" x14ac:dyDescent="0.35">
      <c r="A2165">
        <v>292770</v>
      </c>
      <c r="B2165">
        <v>18775</v>
      </c>
      <c r="C2165" t="s">
        <v>2308</v>
      </c>
      <c r="D2165" t="s">
        <v>1972</v>
      </c>
      <c r="E2165" t="s">
        <v>1987</v>
      </c>
      <c r="F2165">
        <v>25110</v>
      </c>
      <c r="G2165">
        <v>1</v>
      </c>
      <c r="H2165" t="s">
        <v>16</v>
      </c>
      <c r="I2165" s="1">
        <v>-1627800</v>
      </c>
      <c r="J2165" s="1">
        <v>-3902500</v>
      </c>
      <c r="K2165">
        <v>32</v>
      </c>
      <c r="L2165">
        <v>1550</v>
      </c>
      <c r="M2165" t="s">
        <v>16</v>
      </c>
    </row>
    <row r="2166" spans="1:13" x14ac:dyDescent="0.35">
      <c r="A2166">
        <v>292780</v>
      </c>
      <c r="B2166">
        <v>18783</v>
      </c>
      <c r="C2166" t="s">
        <v>2309</v>
      </c>
      <c r="D2166" t="s">
        <v>1972</v>
      </c>
      <c r="E2166" t="s">
        <v>1989</v>
      </c>
      <c r="F2166">
        <v>6386</v>
      </c>
      <c r="G2166">
        <v>1</v>
      </c>
      <c r="H2166" t="s">
        <v>16</v>
      </c>
      <c r="I2166" s="1">
        <v>-1496100</v>
      </c>
      <c r="J2166" s="1">
        <v>-3981200</v>
      </c>
      <c r="K2166">
        <v>281</v>
      </c>
      <c r="L2166">
        <v>250</v>
      </c>
      <c r="M2166" t="s">
        <v>16</v>
      </c>
    </row>
    <row r="2167" spans="1:13" x14ac:dyDescent="0.35">
      <c r="A2167">
        <v>292790</v>
      </c>
      <c r="B2167">
        <v>18791</v>
      </c>
      <c r="C2167" t="s">
        <v>719</v>
      </c>
      <c r="D2167" t="s">
        <v>1972</v>
      </c>
      <c r="E2167" t="s">
        <v>1985</v>
      </c>
      <c r="F2167">
        <v>10564</v>
      </c>
      <c r="G2167">
        <v>1</v>
      </c>
      <c r="H2167" t="s">
        <v>16</v>
      </c>
      <c r="I2167" s="1">
        <v>-1329200</v>
      </c>
      <c r="J2167" s="1">
        <v>-3981900</v>
      </c>
      <c r="K2167">
        <v>398</v>
      </c>
      <c r="L2167">
        <v>356</v>
      </c>
      <c r="M2167" t="s">
        <v>16</v>
      </c>
    </row>
    <row r="2168" spans="1:13" x14ac:dyDescent="0.35">
      <c r="A2168">
        <v>292800</v>
      </c>
      <c r="B2168">
        <v>18805</v>
      </c>
      <c r="C2168" t="s">
        <v>2310</v>
      </c>
      <c r="D2168" t="s">
        <v>1972</v>
      </c>
      <c r="E2168" t="s">
        <v>1372</v>
      </c>
      <c r="F2168">
        <v>33633</v>
      </c>
      <c r="G2168">
        <v>1</v>
      </c>
      <c r="H2168" t="s">
        <v>16</v>
      </c>
      <c r="I2168" s="1">
        <v>-1125600</v>
      </c>
      <c r="J2168" s="1">
        <v>-3937500</v>
      </c>
      <c r="K2168">
        <v>370</v>
      </c>
      <c r="L2168">
        <v>1597</v>
      </c>
      <c r="M2168" t="s">
        <v>16</v>
      </c>
    </row>
    <row r="2169" spans="1:13" x14ac:dyDescent="0.35">
      <c r="A2169">
        <v>292805</v>
      </c>
      <c r="B2169">
        <v>26743</v>
      </c>
      <c r="C2169" t="s">
        <v>720</v>
      </c>
      <c r="D2169" t="s">
        <v>1972</v>
      </c>
      <c r="E2169" t="s">
        <v>1989</v>
      </c>
      <c r="F2169">
        <v>15184</v>
      </c>
      <c r="G2169">
        <v>1</v>
      </c>
      <c r="H2169" t="s">
        <v>16</v>
      </c>
      <c r="I2169" s="1">
        <v>-1542900</v>
      </c>
      <c r="J2169" s="1">
        <v>-3933400</v>
      </c>
      <c r="K2169">
        <v>195</v>
      </c>
      <c r="L2169">
        <v>785</v>
      </c>
      <c r="M2169" t="s">
        <v>16</v>
      </c>
    </row>
    <row r="2170" spans="1:13" x14ac:dyDescent="0.35">
      <c r="A2170">
        <v>292810</v>
      </c>
      <c r="B2170">
        <v>18813</v>
      </c>
      <c r="C2170" t="s">
        <v>2311</v>
      </c>
      <c r="D2170" t="s">
        <v>1972</v>
      </c>
      <c r="E2170" t="s">
        <v>2067</v>
      </c>
      <c r="F2170">
        <v>40571</v>
      </c>
      <c r="G2170">
        <v>1</v>
      </c>
      <c r="H2170" t="s">
        <v>16</v>
      </c>
      <c r="I2170" s="1">
        <v>-1339800</v>
      </c>
      <c r="J2170" s="1">
        <v>-4419800</v>
      </c>
      <c r="K2170">
        <v>436</v>
      </c>
      <c r="L2170">
        <v>1890</v>
      </c>
      <c r="M2170" t="s">
        <v>16</v>
      </c>
    </row>
    <row r="2171" spans="1:13" x14ac:dyDescent="0.35">
      <c r="A2171">
        <v>292820</v>
      </c>
      <c r="B2171">
        <v>18821</v>
      </c>
      <c r="C2171" t="s">
        <v>396</v>
      </c>
      <c r="D2171" t="s">
        <v>1972</v>
      </c>
      <c r="E2171" t="s">
        <v>2067</v>
      </c>
      <c r="F2171">
        <v>25947</v>
      </c>
      <c r="G2171">
        <v>1</v>
      </c>
      <c r="H2171" t="s">
        <v>16</v>
      </c>
      <c r="I2171" s="1">
        <v>-1298300</v>
      </c>
      <c r="J2171" s="1">
        <v>-4405100</v>
      </c>
      <c r="K2171">
        <v>526</v>
      </c>
      <c r="L2171">
        <v>1999</v>
      </c>
      <c r="M2171" t="s">
        <v>16</v>
      </c>
    </row>
    <row r="2172" spans="1:13" x14ac:dyDescent="0.35">
      <c r="A2172">
        <v>292830</v>
      </c>
      <c r="B2172">
        <v>18830</v>
      </c>
      <c r="C2172" t="s">
        <v>2312</v>
      </c>
      <c r="D2172" t="s">
        <v>1972</v>
      </c>
      <c r="E2172" t="s">
        <v>1981</v>
      </c>
      <c r="F2172">
        <v>9199</v>
      </c>
      <c r="G2172">
        <v>1</v>
      </c>
      <c r="H2172" t="s">
        <v>16</v>
      </c>
      <c r="I2172" s="1">
        <v>-1201700</v>
      </c>
      <c r="J2172" s="1">
        <v>-3886700</v>
      </c>
      <c r="K2172">
        <v>278</v>
      </c>
      <c r="L2172">
        <v>250</v>
      </c>
      <c r="M2172" t="s">
        <v>16</v>
      </c>
    </row>
    <row r="2173" spans="1:13" x14ac:dyDescent="0.35">
      <c r="A2173">
        <v>292840</v>
      </c>
      <c r="B2173">
        <v>17256</v>
      </c>
      <c r="C2173" t="s">
        <v>2313</v>
      </c>
      <c r="D2173" t="s">
        <v>1972</v>
      </c>
      <c r="E2173" t="s">
        <v>2001</v>
      </c>
      <c r="F2173">
        <v>26135</v>
      </c>
      <c r="G2173">
        <v>1</v>
      </c>
      <c r="H2173" t="s">
        <v>16</v>
      </c>
      <c r="I2173" s="1">
        <v>-1100900</v>
      </c>
      <c r="J2173" s="1">
        <v>-4451900</v>
      </c>
      <c r="K2173">
        <v>440</v>
      </c>
      <c r="L2173">
        <v>6071</v>
      </c>
      <c r="M2173" t="s">
        <v>16</v>
      </c>
    </row>
    <row r="2174" spans="1:13" x14ac:dyDescent="0.35">
      <c r="A2174">
        <v>292850</v>
      </c>
      <c r="B2174">
        <v>18848</v>
      </c>
      <c r="C2174" t="s">
        <v>1564</v>
      </c>
      <c r="D2174" t="s">
        <v>1972</v>
      </c>
      <c r="E2174" t="s">
        <v>1981</v>
      </c>
      <c r="F2174">
        <v>9914</v>
      </c>
      <c r="G2174">
        <v>1</v>
      </c>
      <c r="H2174" t="s">
        <v>16</v>
      </c>
      <c r="I2174" s="1">
        <v>-1277200</v>
      </c>
      <c r="J2174" s="1">
        <v>-3952300</v>
      </c>
      <c r="K2174">
        <v>227</v>
      </c>
      <c r="L2174">
        <v>710</v>
      </c>
      <c r="M2174" t="s">
        <v>16</v>
      </c>
    </row>
    <row r="2175" spans="1:13" x14ac:dyDescent="0.35">
      <c r="A2175">
        <v>292860</v>
      </c>
      <c r="B2175">
        <v>18856</v>
      </c>
      <c r="C2175" t="s">
        <v>2314</v>
      </c>
      <c r="D2175" t="s">
        <v>1972</v>
      </c>
      <c r="E2175" t="s">
        <v>2015</v>
      </c>
      <c r="F2175">
        <v>58028</v>
      </c>
      <c r="G2175">
        <v>2</v>
      </c>
      <c r="H2175" t="s">
        <v>16</v>
      </c>
      <c r="I2175" s="1">
        <v>-1254700</v>
      </c>
      <c r="J2175" s="1">
        <v>-3871200</v>
      </c>
      <c r="K2175">
        <v>42</v>
      </c>
      <c r="L2175">
        <v>518</v>
      </c>
      <c r="M2175" t="s">
        <v>16</v>
      </c>
    </row>
    <row r="2176" spans="1:13" x14ac:dyDescent="0.35">
      <c r="A2176">
        <v>292870</v>
      </c>
      <c r="B2176">
        <v>18864</v>
      </c>
      <c r="C2176" t="s">
        <v>2315</v>
      </c>
      <c r="D2176" t="s">
        <v>1972</v>
      </c>
      <c r="E2176" t="s">
        <v>2015</v>
      </c>
      <c r="F2176">
        <v>84256</v>
      </c>
      <c r="G2176">
        <v>2</v>
      </c>
      <c r="H2176" t="s">
        <v>16</v>
      </c>
      <c r="I2176" s="1">
        <v>-1296900</v>
      </c>
      <c r="J2176" s="1">
        <v>-3926100</v>
      </c>
      <c r="K2176">
        <v>213</v>
      </c>
      <c r="L2176">
        <v>259</v>
      </c>
      <c r="M2176" t="s">
        <v>16</v>
      </c>
    </row>
    <row r="2177" spans="1:13" x14ac:dyDescent="0.35">
      <c r="A2177">
        <v>292880</v>
      </c>
      <c r="B2177">
        <v>18872</v>
      </c>
      <c r="C2177" t="s">
        <v>2316</v>
      </c>
      <c r="D2177" t="s">
        <v>1972</v>
      </c>
      <c r="E2177" t="s">
        <v>1981</v>
      </c>
      <c r="F2177">
        <v>44532</v>
      </c>
      <c r="G2177">
        <v>1</v>
      </c>
      <c r="H2177" t="s">
        <v>16</v>
      </c>
      <c r="I2177" s="1">
        <v>-1243000</v>
      </c>
      <c r="J2177" s="1">
        <v>-3925100</v>
      </c>
      <c r="K2177">
        <v>242</v>
      </c>
      <c r="L2177">
        <v>365</v>
      </c>
      <c r="M2177" t="s">
        <v>16</v>
      </c>
    </row>
    <row r="2178" spans="1:13" x14ac:dyDescent="0.35">
      <c r="A2178">
        <v>292890</v>
      </c>
      <c r="B2178">
        <v>18880</v>
      </c>
      <c r="C2178" t="s">
        <v>2317</v>
      </c>
      <c r="D2178" t="s">
        <v>1972</v>
      </c>
      <c r="E2178" t="s">
        <v>2018</v>
      </c>
      <c r="F2178">
        <v>25158</v>
      </c>
      <c r="G2178">
        <v>1</v>
      </c>
      <c r="H2178" t="s">
        <v>16</v>
      </c>
      <c r="I2178" s="1">
        <v>-1236300</v>
      </c>
      <c r="J2178" s="1">
        <v>-4497300</v>
      </c>
      <c r="K2178">
        <v>497</v>
      </c>
      <c r="L2178">
        <v>14819</v>
      </c>
      <c r="M2178" t="s">
        <v>16</v>
      </c>
    </row>
    <row r="2179" spans="1:13" x14ac:dyDescent="0.35">
      <c r="A2179">
        <v>292895</v>
      </c>
      <c r="B2179">
        <v>47872</v>
      </c>
      <c r="C2179" t="s">
        <v>1964</v>
      </c>
      <c r="D2179" t="s">
        <v>1972</v>
      </c>
      <c r="E2179" t="s">
        <v>1372</v>
      </c>
      <c r="F2179">
        <v>8818</v>
      </c>
      <c r="G2179">
        <v>1</v>
      </c>
      <c r="H2179" t="s">
        <v>16</v>
      </c>
      <c r="I2179" s="1">
        <v>-1150300</v>
      </c>
      <c r="J2179" s="1">
        <v>-3954200</v>
      </c>
      <c r="K2179">
        <v>0</v>
      </c>
      <c r="L2179">
        <v>265</v>
      </c>
      <c r="M2179" t="s">
        <v>16</v>
      </c>
    </row>
    <row r="2180" spans="1:13" x14ac:dyDescent="0.35">
      <c r="A2180">
        <v>292900</v>
      </c>
      <c r="B2180">
        <v>18902</v>
      </c>
      <c r="C2180" t="s">
        <v>2318</v>
      </c>
      <c r="D2180" t="s">
        <v>1972</v>
      </c>
      <c r="E2180" t="s">
        <v>2015</v>
      </c>
      <c r="F2180">
        <v>15302</v>
      </c>
      <c r="G2180">
        <v>1</v>
      </c>
      <c r="H2180" t="s">
        <v>16</v>
      </c>
      <c r="I2180" s="1">
        <v>-1260500</v>
      </c>
      <c r="J2180" s="1">
        <v>-3897200</v>
      </c>
      <c r="K2180">
        <v>45</v>
      </c>
      <c r="L2180">
        <v>95</v>
      </c>
      <c r="M2180" t="s">
        <v>16</v>
      </c>
    </row>
    <row r="2181" spans="1:13" x14ac:dyDescent="0.35">
      <c r="A2181">
        <v>292905</v>
      </c>
      <c r="B2181">
        <v>47880</v>
      </c>
      <c r="C2181" t="s">
        <v>2319</v>
      </c>
      <c r="D2181" t="s">
        <v>1972</v>
      </c>
      <c r="E2181" t="s">
        <v>2067</v>
      </c>
      <c r="F2181">
        <v>12815</v>
      </c>
      <c r="G2181">
        <v>1</v>
      </c>
      <c r="H2181" t="s">
        <v>16</v>
      </c>
      <c r="I2181" s="1">
        <v>-1340200</v>
      </c>
      <c r="J2181" s="1">
        <v>-4419500</v>
      </c>
      <c r="K2181">
        <v>40</v>
      </c>
      <c r="L2181">
        <v>846</v>
      </c>
      <c r="M2181" t="s">
        <v>16</v>
      </c>
    </row>
    <row r="2182" spans="1:13" x14ac:dyDescent="0.35">
      <c r="A2182">
        <v>292910</v>
      </c>
      <c r="B2182">
        <v>18899</v>
      </c>
      <c r="C2182" t="s">
        <v>2320</v>
      </c>
      <c r="D2182" t="s">
        <v>1972</v>
      </c>
      <c r="E2182" t="s">
        <v>2015</v>
      </c>
      <c r="F2182">
        <v>20265</v>
      </c>
      <c r="G2182">
        <v>1</v>
      </c>
      <c r="H2182" t="s">
        <v>16</v>
      </c>
      <c r="I2182" s="1">
        <v>-1284700</v>
      </c>
      <c r="J2182" s="1">
        <v>-3908900</v>
      </c>
      <c r="K2182">
        <v>195</v>
      </c>
      <c r="L2182">
        <v>197</v>
      </c>
      <c r="M2182" t="s">
        <v>16</v>
      </c>
    </row>
    <row r="2183" spans="1:13" x14ac:dyDescent="0.35">
      <c r="A2183">
        <v>292920</v>
      </c>
      <c r="B2183">
        <v>18910</v>
      </c>
      <c r="C2183" t="s">
        <v>2321</v>
      </c>
      <c r="D2183" t="s">
        <v>1972</v>
      </c>
      <c r="E2183" t="s">
        <v>2060</v>
      </c>
      <c r="F2183">
        <v>29829</v>
      </c>
      <c r="G2183">
        <v>4</v>
      </c>
      <c r="H2183" t="s">
        <v>2061</v>
      </c>
      <c r="I2183" s="1">
        <v>-1262800</v>
      </c>
      <c r="J2183" s="1">
        <v>-3868000</v>
      </c>
      <c r="K2183">
        <v>11</v>
      </c>
      <c r="L2183">
        <v>266</v>
      </c>
      <c r="M2183" t="s">
        <v>16</v>
      </c>
    </row>
    <row r="2184" spans="1:13" x14ac:dyDescent="0.35">
      <c r="A2184">
        <v>292925</v>
      </c>
      <c r="B2184">
        <v>26751</v>
      </c>
      <c r="C2184" t="s">
        <v>2322</v>
      </c>
      <c r="D2184" t="s">
        <v>1972</v>
      </c>
      <c r="E2184" t="s">
        <v>1994</v>
      </c>
      <c r="F2184">
        <v>18468</v>
      </c>
      <c r="G2184">
        <v>1</v>
      </c>
      <c r="H2184" t="s">
        <v>16</v>
      </c>
      <c r="I2184" s="1">
        <v>-1122900</v>
      </c>
      <c r="J2184" s="1">
        <v>-4191200</v>
      </c>
      <c r="K2184">
        <v>692</v>
      </c>
      <c r="L2184">
        <v>1156</v>
      </c>
      <c r="M2184" t="s">
        <v>16</v>
      </c>
    </row>
    <row r="2185" spans="1:13" x14ac:dyDescent="0.35">
      <c r="A2185">
        <v>292930</v>
      </c>
      <c r="B2185">
        <v>18929</v>
      </c>
      <c r="C2185" t="s">
        <v>2323</v>
      </c>
      <c r="D2185" t="s">
        <v>1972</v>
      </c>
      <c r="E2185" t="s">
        <v>1981</v>
      </c>
      <c r="F2185">
        <v>29205</v>
      </c>
      <c r="G2185">
        <v>1</v>
      </c>
      <c r="H2185" t="s">
        <v>16</v>
      </c>
      <c r="I2185" s="1">
        <v>-1243300</v>
      </c>
      <c r="J2185" s="1">
        <v>-3896700</v>
      </c>
      <c r="K2185">
        <v>234</v>
      </c>
      <c r="L2185">
        <v>293</v>
      </c>
      <c r="M2185" t="s">
        <v>16</v>
      </c>
    </row>
    <row r="2186" spans="1:13" x14ac:dyDescent="0.35">
      <c r="A2186">
        <v>292935</v>
      </c>
      <c r="B2186">
        <v>47899</v>
      </c>
      <c r="C2186" t="s">
        <v>2324</v>
      </c>
      <c r="D2186" t="s">
        <v>1972</v>
      </c>
      <c r="E2186" t="s">
        <v>1989</v>
      </c>
      <c r="F2186">
        <v>6095</v>
      </c>
      <c r="G2186">
        <v>1</v>
      </c>
      <c r="H2186" t="s">
        <v>16</v>
      </c>
      <c r="I2186" s="1">
        <v>-1508400</v>
      </c>
      <c r="J2186" s="1">
        <v>-3933900</v>
      </c>
      <c r="K2186">
        <v>180</v>
      </c>
      <c r="L2186">
        <v>53</v>
      </c>
      <c r="M2186" t="s">
        <v>16</v>
      </c>
    </row>
    <row r="2187" spans="1:13" x14ac:dyDescent="0.35">
      <c r="A2187">
        <v>292937</v>
      </c>
      <c r="B2187">
        <v>47902</v>
      </c>
      <c r="C2187" t="s">
        <v>2325</v>
      </c>
      <c r="D2187" t="s">
        <v>1972</v>
      </c>
      <c r="E2187" t="s">
        <v>2051</v>
      </c>
      <c r="F2187">
        <v>10477</v>
      </c>
      <c r="G2187">
        <v>1</v>
      </c>
      <c r="H2187" t="s">
        <v>16</v>
      </c>
      <c r="I2187" s="1">
        <v>-1141200</v>
      </c>
      <c r="J2187" s="1">
        <v>-3986700</v>
      </c>
      <c r="K2187">
        <v>361</v>
      </c>
      <c r="L2187">
        <v>369</v>
      </c>
      <c r="M2187" t="s">
        <v>16</v>
      </c>
    </row>
    <row r="2188" spans="1:13" x14ac:dyDescent="0.35">
      <c r="A2188">
        <v>292940</v>
      </c>
      <c r="B2188">
        <v>18937</v>
      </c>
      <c r="C2188" t="s">
        <v>2326</v>
      </c>
      <c r="D2188" t="s">
        <v>1972</v>
      </c>
      <c r="E2188" t="s">
        <v>1985</v>
      </c>
      <c r="F2188">
        <v>10270</v>
      </c>
      <c r="G2188">
        <v>1</v>
      </c>
      <c r="H2188" t="s">
        <v>16</v>
      </c>
      <c r="I2188" s="1">
        <v>-1304800</v>
      </c>
      <c r="J2188" s="1">
        <v>-3945600</v>
      </c>
      <c r="K2188">
        <v>293</v>
      </c>
      <c r="L2188">
        <v>207</v>
      </c>
      <c r="M2188" t="s">
        <v>16</v>
      </c>
    </row>
    <row r="2189" spans="1:13" x14ac:dyDescent="0.35">
      <c r="A2189">
        <v>292950</v>
      </c>
      <c r="B2189">
        <v>18945</v>
      </c>
      <c r="C2189" t="s">
        <v>2327</v>
      </c>
      <c r="D2189" t="s">
        <v>1972</v>
      </c>
      <c r="E2189" t="s">
        <v>1992</v>
      </c>
      <c r="F2189">
        <v>40321</v>
      </c>
      <c r="G2189">
        <v>4</v>
      </c>
      <c r="H2189" t="s">
        <v>2061</v>
      </c>
      <c r="I2189" s="1">
        <v>-1251300</v>
      </c>
      <c r="J2189" s="1">
        <v>-3849500</v>
      </c>
      <c r="K2189">
        <v>37</v>
      </c>
      <c r="L2189">
        <v>549</v>
      </c>
      <c r="M2189" t="s">
        <v>16</v>
      </c>
    </row>
    <row r="2190" spans="1:13" x14ac:dyDescent="0.35">
      <c r="A2190">
        <v>292960</v>
      </c>
      <c r="B2190">
        <v>18953</v>
      </c>
      <c r="C2190" t="s">
        <v>2328</v>
      </c>
      <c r="D2190" t="s">
        <v>1972</v>
      </c>
      <c r="E2190" t="s">
        <v>2015</v>
      </c>
      <c r="F2190">
        <v>16518</v>
      </c>
      <c r="G2190">
        <v>1</v>
      </c>
      <c r="H2190" t="s">
        <v>16</v>
      </c>
      <c r="I2190" s="1">
        <v>-1272800</v>
      </c>
      <c r="J2190" s="1">
        <v>-3918200</v>
      </c>
      <c r="K2190">
        <v>226</v>
      </c>
      <c r="L2190">
        <v>125</v>
      </c>
      <c r="M2190" t="s">
        <v>16</v>
      </c>
    </row>
    <row r="2191" spans="1:13" x14ac:dyDescent="0.35">
      <c r="A2191">
        <v>292970</v>
      </c>
      <c r="B2191">
        <v>18961</v>
      </c>
      <c r="C2191" t="s">
        <v>2329</v>
      </c>
      <c r="D2191" t="s">
        <v>1972</v>
      </c>
      <c r="E2191" t="s">
        <v>1977</v>
      </c>
      <c r="F2191">
        <v>18104</v>
      </c>
      <c r="G2191">
        <v>1</v>
      </c>
      <c r="H2191" t="s">
        <v>16</v>
      </c>
      <c r="I2191" s="1">
        <v>-1160000</v>
      </c>
      <c r="J2191" s="1">
        <v>-3860000</v>
      </c>
      <c r="K2191">
        <v>213</v>
      </c>
      <c r="L2191">
        <v>974</v>
      </c>
      <c r="M2191" t="s">
        <v>16</v>
      </c>
    </row>
    <row r="2192" spans="1:13" x14ac:dyDescent="0.35">
      <c r="A2192">
        <v>292975</v>
      </c>
      <c r="B2192">
        <v>47910</v>
      </c>
      <c r="C2192" t="s">
        <v>2330</v>
      </c>
      <c r="D2192" t="s">
        <v>1972</v>
      </c>
      <c r="E2192" t="s">
        <v>2015</v>
      </c>
      <c r="F2192">
        <v>11051</v>
      </c>
      <c r="G2192">
        <v>1</v>
      </c>
      <c r="H2192" t="s">
        <v>16</v>
      </c>
      <c r="I2192" s="1">
        <v>-1273800</v>
      </c>
      <c r="J2192" s="1">
        <v>-3876900</v>
      </c>
      <c r="K2192">
        <v>44</v>
      </c>
      <c r="L2192">
        <v>158</v>
      </c>
      <c r="M2192" t="s">
        <v>16</v>
      </c>
    </row>
    <row r="2193" spans="1:13" x14ac:dyDescent="0.35">
      <c r="A2193">
        <v>292980</v>
      </c>
      <c r="B2193">
        <v>18970</v>
      </c>
      <c r="C2193" t="s">
        <v>2331</v>
      </c>
      <c r="D2193" t="s">
        <v>1972</v>
      </c>
      <c r="E2193" t="s">
        <v>2051</v>
      </c>
      <c r="F2193">
        <v>11866</v>
      </c>
      <c r="G2193">
        <v>1</v>
      </c>
      <c r="H2193" t="s">
        <v>16</v>
      </c>
      <c r="I2193" s="1">
        <v>-1094100</v>
      </c>
      <c r="J2193" s="1">
        <v>-4041800</v>
      </c>
      <c r="K2193">
        <v>542</v>
      </c>
      <c r="L2193">
        <v>499</v>
      </c>
      <c r="M2193" t="s">
        <v>16</v>
      </c>
    </row>
    <row r="2194" spans="1:13" x14ac:dyDescent="0.35">
      <c r="A2194">
        <v>292990</v>
      </c>
      <c r="B2194">
        <v>18988</v>
      </c>
      <c r="C2194" t="s">
        <v>1973</v>
      </c>
      <c r="D2194" t="s">
        <v>1972</v>
      </c>
      <c r="E2194" t="s">
        <v>1973</v>
      </c>
      <c r="F2194">
        <v>40543</v>
      </c>
      <c r="G2194">
        <v>1</v>
      </c>
      <c r="H2194" t="s">
        <v>16</v>
      </c>
      <c r="I2194" s="1">
        <v>-1241900</v>
      </c>
      <c r="J2194" s="1">
        <v>-4177000</v>
      </c>
      <c r="K2194">
        <v>812</v>
      </c>
      <c r="L2194">
        <v>2825</v>
      </c>
      <c r="M2194" t="s">
        <v>16</v>
      </c>
    </row>
    <row r="2195" spans="1:13" x14ac:dyDescent="0.35">
      <c r="A2195">
        <v>293000</v>
      </c>
      <c r="B2195">
        <v>18996</v>
      </c>
      <c r="C2195" t="s">
        <v>2332</v>
      </c>
      <c r="D2195" t="s">
        <v>1972</v>
      </c>
      <c r="E2195" t="s">
        <v>2049</v>
      </c>
      <c r="F2195">
        <v>10712</v>
      </c>
      <c r="G2195">
        <v>1</v>
      </c>
      <c r="H2195" t="s">
        <v>16</v>
      </c>
      <c r="I2195" s="1">
        <v>-1457300</v>
      </c>
      <c r="J2195" s="1">
        <v>-4294000</v>
      </c>
      <c r="K2195">
        <v>533</v>
      </c>
      <c r="L2195">
        <v>2004</v>
      </c>
      <c r="M2195" t="s">
        <v>16</v>
      </c>
    </row>
    <row r="2196" spans="1:13" x14ac:dyDescent="0.35">
      <c r="A2196">
        <v>293010</v>
      </c>
      <c r="B2196">
        <v>19003</v>
      </c>
      <c r="C2196" t="s">
        <v>1999</v>
      </c>
      <c r="D2196" t="s">
        <v>1972</v>
      </c>
      <c r="E2196" t="s">
        <v>1999</v>
      </c>
      <c r="F2196">
        <v>72511</v>
      </c>
      <c r="G2196">
        <v>2</v>
      </c>
      <c r="H2196" t="s">
        <v>16</v>
      </c>
      <c r="I2196" s="1">
        <v>-1046300</v>
      </c>
      <c r="J2196" s="1">
        <v>-4019100</v>
      </c>
      <c r="K2196">
        <v>538</v>
      </c>
      <c r="L2196">
        <v>816</v>
      </c>
      <c r="M2196" t="s">
        <v>16</v>
      </c>
    </row>
    <row r="2197" spans="1:13" x14ac:dyDescent="0.35">
      <c r="A2197">
        <v>293015</v>
      </c>
      <c r="B2197">
        <v>47929</v>
      </c>
      <c r="C2197" t="s">
        <v>2333</v>
      </c>
      <c r="D2197" t="s">
        <v>1972</v>
      </c>
      <c r="E2197" t="s">
        <v>2035</v>
      </c>
      <c r="F2197">
        <v>31130</v>
      </c>
      <c r="G2197">
        <v>1</v>
      </c>
      <c r="H2197" t="s">
        <v>16</v>
      </c>
      <c r="I2197" s="1">
        <v>-1357200</v>
      </c>
      <c r="J2197" s="1">
        <v>-4359800</v>
      </c>
      <c r="K2197">
        <v>0</v>
      </c>
      <c r="L2197">
        <v>2677</v>
      </c>
      <c r="M2197" t="s">
        <v>16</v>
      </c>
    </row>
    <row r="2198" spans="1:13" x14ac:dyDescent="0.35">
      <c r="A2198">
        <v>293020</v>
      </c>
      <c r="B2198">
        <v>19011</v>
      </c>
      <c r="C2198" t="s">
        <v>2334</v>
      </c>
      <c r="D2198" t="s">
        <v>1972</v>
      </c>
      <c r="E2198" t="s">
        <v>2064</v>
      </c>
      <c r="F2198">
        <v>36517</v>
      </c>
      <c r="G2198">
        <v>1</v>
      </c>
      <c r="H2198" t="s">
        <v>16</v>
      </c>
      <c r="I2198" s="1">
        <v>-974600</v>
      </c>
      <c r="J2198" s="1">
        <v>-4188500</v>
      </c>
      <c r="K2198">
        <v>410</v>
      </c>
      <c r="L2198">
        <v>12871</v>
      </c>
      <c r="M2198" t="s">
        <v>16</v>
      </c>
    </row>
    <row r="2199" spans="1:13" x14ac:dyDescent="0.35">
      <c r="A2199">
        <v>293030</v>
      </c>
      <c r="B2199">
        <v>19020</v>
      </c>
      <c r="C2199" t="s">
        <v>2335</v>
      </c>
      <c r="D2199" t="s">
        <v>1972</v>
      </c>
      <c r="E2199" t="s">
        <v>2067</v>
      </c>
      <c r="F2199">
        <v>17422</v>
      </c>
      <c r="G2199">
        <v>1</v>
      </c>
      <c r="H2199" t="s">
        <v>16</v>
      </c>
      <c r="I2199" s="1">
        <v>-1276100</v>
      </c>
      <c r="J2199" s="1">
        <v>-4395000</v>
      </c>
      <c r="K2199">
        <v>500</v>
      </c>
      <c r="L2199">
        <v>1441</v>
      </c>
      <c r="M2199" t="s">
        <v>16</v>
      </c>
    </row>
    <row r="2200" spans="1:13" x14ac:dyDescent="0.35">
      <c r="A2200">
        <v>293040</v>
      </c>
      <c r="B2200">
        <v>19038</v>
      </c>
      <c r="C2200" t="s">
        <v>2336</v>
      </c>
      <c r="D2200" t="s">
        <v>1972</v>
      </c>
      <c r="E2200" t="s">
        <v>1981</v>
      </c>
      <c r="F2200">
        <v>15149</v>
      </c>
      <c r="G2200">
        <v>1</v>
      </c>
      <c r="H2200" t="s">
        <v>16</v>
      </c>
      <c r="I2200" s="1">
        <v>-1216000</v>
      </c>
      <c r="J2200" s="1">
        <v>-3933200</v>
      </c>
      <c r="K2200">
        <v>311</v>
      </c>
      <c r="L2200">
        <v>536</v>
      </c>
      <c r="M2200" t="s">
        <v>16</v>
      </c>
    </row>
    <row r="2201" spans="1:13" x14ac:dyDescent="0.35">
      <c r="A2201">
        <v>293050</v>
      </c>
      <c r="B2201">
        <v>19046</v>
      </c>
      <c r="C2201" t="s">
        <v>1372</v>
      </c>
      <c r="D2201" t="s">
        <v>1972</v>
      </c>
      <c r="E2201" t="s">
        <v>1372</v>
      </c>
      <c r="F2201">
        <v>71383</v>
      </c>
      <c r="G2201">
        <v>2</v>
      </c>
      <c r="H2201" t="s">
        <v>16</v>
      </c>
      <c r="I2201" s="1">
        <v>-1166400</v>
      </c>
      <c r="J2201" s="1">
        <v>-3900800</v>
      </c>
      <c r="K2201">
        <v>379</v>
      </c>
      <c r="L2201">
        <v>568</v>
      </c>
      <c r="M2201" t="s">
        <v>16</v>
      </c>
    </row>
    <row r="2202" spans="1:13" x14ac:dyDescent="0.35">
      <c r="A2202">
        <v>293060</v>
      </c>
      <c r="B2202">
        <v>19054</v>
      </c>
      <c r="C2202" t="s">
        <v>2337</v>
      </c>
      <c r="D2202" t="s">
        <v>1972</v>
      </c>
      <c r="E2202" t="s">
        <v>2051</v>
      </c>
      <c r="F2202">
        <v>12120</v>
      </c>
      <c r="G2202">
        <v>1</v>
      </c>
      <c r="H2202" t="s">
        <v>16</v>
      </c>
      <c r="I2202" s="1">
        <v>-1141600</v>
      </c>
      <c r="J2202" s="1">
        <v>-4030200</v>
      </c>
      <c r="K2202">
        <v>478</v>
      </c>
      <c r="L2202">
        <v>373</v>
      </c>
      <c r="M2202" t="s">
        <v>16</v>
      </c>
    </row>
    <row r="2203" spans="1:13" x14ac:dyDescent="0.35">
      <c r="A2203">
        <v>293070</v>
      </c>
      <c r="B2203">
        <v>19062</v>
      </c>
      <c r="C2203" t="s">
        <v>2338</v>
      </c>
      <c r="D2203" t="s">
        <v>1972</v>
      </c>
      <c r="E2203" t="s">
        <v>2060</v>
      </c>
      <c r="F2203">
        <v>109269</v>
      </c>
      <c r="G2203">
        <v>4</v>
      </c>
      <c r="H2203" t="s">
        <v>2061</v>
      </c>
      <c r="I2203" s="1">
        <v>-1278400</v>
      </c>
      <c r="J2203" s="1">
        <v>-3840400</v>
      </c>
      <c r="K2203">
        <v>52</v>
      </c>
      <c r="L2203">
        <v>192</v>
      </c>
      <c r="M2203" t="s">
        <v>16</v>
      </c>
    </row>
    <row r="2204" spans="1:13" x14ac:dyDescent="0.35">
      <c r="A2204">
        <v>293075</v>
      </c>
      <c r="B2204">
        <v>47260</v>
      </c>
      <c r="C2204" t="s">
        <v>2339</v>
      </c>
      <c r="D2204" t="s">
        <v>1972</v>
      </c>
      <c r="E2204" t="s">
        <v>2035</v>
      </c>
      <c r="F2204">
        <v>12567</v>
      </c>
      <c r="G2204">
        <v>1</v>
      </c>
      <c r="H2204" t="s">
        <v>16</v>
      </c>
      <c r="I2204" s="1">
        <v>-1308500</v>
      </c>
      <c r="J2204" s="1">
        <v>-4346500</v>
      </c>
      <c r="K2204">
        <v>428</v>
      </c>
      <c r="L2204">
        <v>1709</v>
      </c>
      <c r="M2204" t="s">
        <v>16</v>
      </c>
    </row>
    <row r="2205" spans="1:13" x14ac:dyDescent="0.35">
      <c r="A2205">
        <v>293076</v>
      </c>
      <c r="B2205">
        <v>47937</v>
      </c>
      <c r="C2205" t="s">
        <v>2340</v>
      </c>
      <c r="D2205" t="s">
        <v>1972</v>
      </c>
      <c r="E2205" t="s">
        <v>2104</v>
      </c>
      <c r="F2205">
        <v>14069</v>
      </c>
      <c r="G2205">
        <v>1</v>
      </c>
      <c r="H2205" t="s">
        <v>16</v>
      </c>
      <c r="I2205" s="1">
        <v>-1035000</v>
      </c>
      <c r="J2205" s="1">
        <v>-3821700</v>
      </c>
      <c r="K2205">
        <v>332</v>
      </c>
      <c r="L2205">
        <v>651</v>
      </c>
      <c r="M2205" t="s">
        <v>16</v>
      </c>
    </row>
    <row r="2206" spans="1:13" x14ac:dyDescent="0.35">
      <c r="A2206">
        <v>293077</v>
      </c>
      <c r="B2206">
        <v>47279</v>
      </c>
      <c r="C2206" t="s">
        <v>2341</v>
      </c>
      <c r="D2206" t="s">
        <v>1972</v>
      </c>
      <c r="E2206" t="s">
        <v>2064</v>
      </c>
      <c r="F2206">
        <v>21315</v>
      </c>
      <c r="G2206">
        <v>4</v>
      </c>
      <c r="H2206" t="s">
        <v>1718</v>
      </c>
      <c r="I2206" s="1">
        <v>-945500</v>
      </c>
      <c r="J2206" s="1">
        <v>-4082300</v>
      </c>
      <c r="K2206">
        <v>0</v>
      </c>
      <c r="L2206">
        <v>1322</v>
      </c>
      <c r="M2206" t="s">
        <v>16</v>
      </c>
    </row>
    <row r="2207" spans="1:13" x14ac:dyDescent="0.35">
      <c r="A2207">
        <v>293080</v>
      </c>
      <c r="B2207">
        <v>19070</v>
      </c>
      <c r="C2207" t="s">
        <v>2342</v>
      </c>
      <c r="D2207" t="s">
        <v>1972</v>
      </c>
      <c r="E2207" t="s">
        <v>1994</v>
      </c>
      <c r="F2207">
        <v>18013</v>
      </c>
      <c r="G2207">
        <v>1</v>
      </c>
      <c r="H2207" t="s">
        <v>16</v>
      </c>
      <c r="I2207" s="1">
        <v>-1208900</v>
      </c>
      <c r="J2207" s="1">
        <v>-4163800</v>
      </c>
      <c r="K2207">
        <v>620</v>
      </c>
      <c r="L2207">
        <v>1095</v>
      </c>
      <c r="M2207" t="s">
        <v>16</v>
      </c>
    </row>
    <row r="2208" spans="1:13" x14ac:dyDescent="0.35">
      <c r="A2208">
        <v>293090</v>
      </c>
      <c r="B2208">
        <v>19089</v>
      </c>
      <c r="C2208" t="s">
        <v>2343</v>
      </c>
      <c r="D2208" t="s">
        <v>1972</v>
      </c>
      <c r="E2208" t="s">
        <v>2001</v>
      </c>
      <c r="F2208">
        <v>12281</v>
      </c>
      <c r="G2208">
        <v>1</v>
      </c>
      <c r="H2208" t="s">
        <v>16</v>
      </c>
      <c r="I2208" s="1">
        <v>-1270600</v>
      </c>
      <c r="J2208" s="1">
        <v>-4400700</v>
      </c>
      <c r="K2208">
        <v>532</v>
      </c>
      <c r="L2208">
        <v>1550</v>
      </c>
      <c r="M2208" t="s">
        <v>16</v>
      </c>
    </row>
    <row r="2209" spans="1:13" x14ac:dyDescent="0.35">
      <c r="A2209">
        <v>293100</v>
      </c>
      <c r="B2209">
        <v>19097</v>
      </c>
      <c r="C2209" t="s">
        <v>2344</v>
      </c>
      <c r="D2209" t="s">
        <v>1972</v>
      </c>
      <c r="E2209" t="s">
        <v>2009</v>
      </c>
      <c r="F2209">
        <v>19591</v>
      </c>
      <c r="G2209">
        <v>1</v>
      </c>
      <c r="H2209" t="s">
        <v>16</v>
      </c>
      <c r="I2209" s="1">
        <v>-1402100</v>
      </c>
      <c r="J2209" s="1">
        <v>-4124800</v>
      </c>
      <c r="K2209">
        <v>430</v>
      </c>
      <c r="L2209">
        <v>1341</v>
      </c>
      <c r="M2209" t="s">
        <v>16</v>
      </c>
    </row>
    <row r="2210" spans="1:13" x14ac:dyDescent="0.35">
      <c r="A2210">
        <v>293105</v>
      </c>
      <c r="B2210">
        <v>26760</v>
      </c>
      <c r="C2210" t="s">
        <v>2345</v>
      </c>
      <c r="D2210" t="s">
        <v>1972</v>
      </c>
      <c r="E2210" t="s">
        <v>2038</v>
      </c>
      <c r="F2210">
        <v>15745</v>
      </c>
      <c r="G2210">
        <v>1</v>
      </c>
      <c r="H2210" t="s">
        <v>16</v>
      </c>
      <c r="I2210" s="1">
        <v>-1354600</v>
      </c>
      <c r="J2210" s="1">
        <v>-4249100</v>
      </c>
      <c r="K2210">
        <v>835</v>
      </c>
      <c r="L2210">
        <v>825</v>
      </c>
      <c r="M2210" t="s">
        <v>16</v>
      </c>
    </row>
    <row r="2211" spans="1:13" x14ac:dyDescent="0.35">
      <c r="A2211">
        <v>293110</v>
      </c>
      <c r="B2211">
        <v>19100</v>
      </c>
      <c r="C2211" t="s">
        <v>2346</v>
      </c>
      <c r="D2211" t="s">
        <v>1972</v>
      </c>
      <c r="E2211" t="s">
        <v>1981</v>
      </c>
      <c r="F2211">
        <v>7589</v>
      </c>
      <c r="G2211">
        <v>1</v>
      </c>
      <c r="H2211" t="s">
        <v>16</v>
      </c>
      <c r="I2211" s="1">
        <v>-1197900</v>
      </c>
      <c r="J2211" s="1">
        <v>-3910400</v>
      </c>
      <c r="K2211">
        <v>248</v>
      </c>
      <c r="L2211">
        <v>209</v>
      </c>
      <c r="M2211" t="s">
        <v>16</v>
      </c>
    </row>
    <row r="2212" spans="1:13" x14ac:dyDescent="0.35">
      <c r="A2212">
        <v>293120</v>
      </c>
      <c r="B2212">
        <v>19119</v>
      </c>
      <c r="C2212" t="s">
        <v>1600</v>
      </c>
      <c r="D2212" t="s">
        <v>1972</v>
      </c>
      <c r="E2212" t="s">
        <v>2056</v>
      </c>
      <c r="F2212">
        <v>18217</v>
      </c>
      <c r="G2212">
        <v>1</v>
      </c>
      <c r="H2212" t="s">
        <v>16</v>
      </c>
      <c r="I2212" s="1">
        <v>-1353800</v>
      </c>
      <c r="J2212" s="1">
        <v>-3909900</v>
      </c>
      <c r="K2212">
        <v>15</v>
      </c>
      <c r="L2212">
        <v>408</v>
      </c>
      <c r="M2212" t="s">
        <v>16</v>
      </c>
    </row>
    <row r="2213" spans="1:13" x14ac:dyDescent="0.35">
      <c r="A2213">
        <v>293130</v>
      </c>
      <c r="B2213">
        <v>19127</v>
      </c>
      <c r="C2213" t="s">
        <v>2347</v>
      </c>
      <c r="D2213" t="s">
        <v>1972</v>
      </c>
      <c r="E2213" t="s">
        <v>2020</v>
      </c>
      <c r="F2213">
        <v>17254</v>
      </c>
      <c r="G2213">
        <v>1</v>
      </c>
      <c r="H2213" t="s">
        <v>16</v>
      </c>
      <c r="I2213" s="1">
        <v>-1184700</v>
      </c>
      <c r="J2213" s="1">
        <v>-4079100</v>
      </c>
      <c r="K2213">
        <v>820</v>
      </c>
      <c r="L2213">
        <v>663</v>
      </c>
      <c r="M2213" t="s">
        <v>16</v>
      </c>
    </row>
    <row r="2214" spans="1:13" x14ac:dyDescent="0.35">
      <c r="A2214">
        <v>293135</v>
      </c>
      <c r="B2214">
        <v>26778</v>
      </c>
      <c r="C2214" t="s">
        <v>2348</v>
      </c>
      <c r="D2214" t="s">
        <v>1972</v>
      </c>
      <c r="E2214" t="s">
        <v>1987</v>
      </c>
      <c r="F2214">
        <v>118702</v>
      </c>
      <c r="G2214">
        <v>3</v>
      </c>
      <c r="H2214" t="s">
        <v>16</v>
      </c>
      <c r="I2214" s="1">
        <v>-1753500</v>
      </c>
      <c r="J2214" s="1">
        <v>-3974200</v>
      </c>
      <c r="K2214">
        <v>186</v>
      </c>
      <c r="L2214">
        <v>1153</v>
      </c>
      <c r="M2214" t="s">
        <v>16</v>
      </c>
    </row>
    <row r="2215" spans="1:13" x14ac:dyDescent="0.35">
      <c r="A2215">
        <v>293140</v>
      </c>
      <c r="B2215">
        <v>19135</v>
      </c>
      <c r="C2215" t="s">
        <v>2349</v>
      </c>
      <c r="D2215" t="s">
        <v>1972</v>
      </c>
      <c r="E2215" t="s">
        <v>1981</v>
      </c>
      <c r="F2215">
        <v>8306</v>
      </c>
      <c r="G2215">
        <v>1</v>
      </c>
      <c r="H2215" t="s">
        <v>16</v>
      </c>
      <c r="I2215" s="1">
        <v>-1230300</v>
      </c>
      <c r="J2215" s="1">
        <v>-3864300</v>
      </c>
      <c r="K2215">
        <v>121</v>
      </c>
      <c r="L2215">
        <v>277</v>
      </c>
      <c r="M2215" t="s">
        <v>16</v>
      </c>
    </row>
    <row r="2216" spans="1:13" x14ac:dyDescent="0.35">
      <c r="A2216">
        <v>293150</v>
      </c>
      <c r="B2216">
        <v>19143</v>
      </c>
      <c r="C2216" t="s">
        <v>2350</v>
      </c>
      <c r="D2216" t="s">
        <v>1972</v>
      </c>
      <c r="E2216" t="s">
        <v>1372</v>
      </c>
      <c r="F2216">
        <v>20702</v>
      </c>
      <c r="G2216">
        <v>1</v>
      </c>
      <c r="H2216" t="s">
        <v>16</v>
      </c>
      <c r="I2216" s="1">
        <v>-1148900</v>
      </c>
      <c r="J2216" s="1">
        <v>-3899800</v>
      </c>
      <c r="K2216">
        <v>430</v>
      </c>
      <c r="L2216">
        <v>317</v>
      </c>
      <c r="M2216" t="s">
        <v>16</v>
      </c>
    </row>
    <row r="2217" spans="1:13" x14ac:dyDescent="0.35">
      <c r="A2217">
        <v>293160</v>
      </c>
      <c r="B2217">
        <v>19151</v>
      </c>
      <c r="C2217" t="s">
        <v>2351</v>
      </c>
      <c r="D2217" t="s">
        <v>1972</v>
      </c>
      <c r="E2217" t="s">
        <v>1989</v>
      </c>
      <c r="F2217">
        <v>12429</v>
      </c>
      <c r="G2217">
        <v>1</v>
      </c>
      <c r="H2217" t="s">
        <v>16</v>
      </c>
      <c r="I2217" s="1">
        <v>-1360200</v>
      </c>
      <c r="J2217" s="1">
        <v>-3949100</v>
      </c>
      <c r="K2217">
        <v>192</v>
      </c>
      <c r="L2217">
        <v>288</v>
      </c>
      <c r="M2217" t="s">
        <v>16</v>
      </c>
    </row>
    <row r="2218" spans="1:13" x14ac:dyDescent="0.35">
      <c r="A2218">
        <v>293170</v>
      </c>
      <c r="B2218">
        <v>19160</v>
      </c>
      <c r="C2218" t="s">
        <v>1777</v>
      </c>
      <c r="D2218" t="s">
        <v>1972</v>
      </c>
      <c r="E2218" t="s">
        <v>1992</v>
      </c>
      <c r="F2218">
        <v>12310</v>
      </c>
      <c r="G2218">
        <v>1</v>
      </c>
      <c r="H2218" t="s">
        <v>16</v>
      </c>
      <c r="I2218" s="1">
        <v>-1239200</v>
      </c>
      <c r="J2218" s="1">
        <v>-3862500</v>
      </c>
      <c r="K2218">
        <v>720</v>
      </c>
      <c r="L2218">
        <v>198</v>
      </c>
      <c r="M2218" t="s">
        <v>16</v>
      </c>
    </row>
    <row r="2219" spans="1:13" x14ac:dyDescent="0.35">
      <c r="A2219">
        <v>293180</v>
      </c>
      <c r="B2219">
        <v>19178</v>
      </c>
      <c r="C2219" t="s">
        <v>2352</v>
      </c>
      <c r="D2219" t="s">
        <v>1972</v>
      </c>
      <c r="E2219" t="s">
        <v>2009</v>
      </c>
      <c r="F2219">
        <v>18483</v>
      </c>
      <c r="G2219">
        <v>1</v>
      </c>
      <c r="H2219" t="s">
        <v>16</v>
      </c>
      <c r="I2219" s="1">
        <v>-1497600</v>
      </c>
      <c r="J2219" s="1">
        <v>-4141100</v>
      </c>
      <c r="K2219">
        <v>530</v>
      </c>
      <c r="L2219">
        <v>1779</v>
      </c>
      <c r="M2219" t="s">
        <v>16</v>
      </c>
    </row>
    <row r="2220" spans="1:13" x14ac:dyDescent="0.35">
      <c r="A2220">
        <v>293190</v>
      </c>
      <c r="B2220">
        <v>19186</v>
      </c>
      <c r="C2220" t="s">
        <v>2353</v>
      </c>
      <c r="D2220" t="s">
        <v>1972</v>
      </c>
      <c r="E2220" t="s">
        <v>2075</v>
      </c>
      <c r="F2220">
        <v>48740</v>
      </c>
      <c r="G2220">
        <v>1</v>
      </c>
      <c r="H2220" t="s">
        <v>16</v>
      </c>
      <c r="I2220" s="1">
        <v>-1096300</v>
      </c>
      <c r="J2220" s="1">
        <v>-3878700</v>
      </c>
      <c r="K2220">
        <v>209</v>
      </c>
      <c r="L2220">
        <v>2801</v>
      </c>
      <c r="M2220" t="s">
        <v>16</v>
      </c>
    </row>
    <row r="2221" spans="1:13" x14ac:dyDescent="0.35">
      <c r="A2221">
        <v>293200</v>
      </c>
      <c r="B2221">
        <v>19194</v>
      </c>
      <c r="C2221" t="s">
        <v>2354</v>
      </c>
      <c r="D2221" t="s">
        <v>1972</v>
      </c>
      <c r="E2221" t="s">
        <v>2075</v>
      </c>
      <c r="F2221">
        <v>24662</v>
      </c>
      <c r="G2221">
        <v>1</v>
      </c>
      <c r="H2221" t="s">
        <v>16</v>
      </c>
      <c r="I2221" s="1">
        <v>-984200</v>
      </c>
      <c r="J2221" s="1">
        <v>-3948200</v>
      </c>
      <c r="K2221">
        <v>439</v>
      </c>
      <c r="L2221">
        <v>2950</v>
      </c>
      <c r="M2221" t="s">
        <v>16</v>
      </c>
    </row>
    <row r="2222" spans="1:13" x14ac:dyDescent="0.35">
      <c r="A2222">
        <v>293210</v>
      </c>
      <c r="B2222">
        <v>19208</v>
      </c>
      <c r="C2222" t="s">
        <v>2355</v>
      </c>
      <c r="D2222" t="s">
        <v>1972</v>
      </c>
      <c r="E2222" t="s">
        <v>1985</v>
      </c>
      <c r="F2222">
        <v>20708</v>
      </c>
      <c r="G2222">
        <v>1</v>
      </c>
      <c r="H2222" t="s">
        <v>16</v>
      </c>
      <c r="I2222" s="1">
        <v>-1326800</v>
      </c>
      <c r="J2222" s="1">
        <v>-3966300</v>
      </c>
      <c r="K2222">
        <v>324</v>
      </c>
      <c r="L2222">
        <v>762</v>
      </c>
      <c r="M2222" t="s">
        <v>16</v>
      </c>
    </row>
    <row r="2223" spans="1:13" x14ac:dyDescent="0.35">
      <c r="A2223">
        <v>293220</v>
      </c>
      <c r="B2223">
        <v>19216</v>
      </c>
      <c r="C2223" t="s">
        <v>2356</v>
      </c>
      <c r="D2223" t="s">
        <v>1972</v>
      </c>
      <c r="E2223" t="s">
        <v>1989</v>
      </c>
      <c r="F2223">
        <v>20478</v>
      </c>
      <c r="G2223">
        <v>1</v>
      </c>
      <c r="H2223" t="s">
        <v>16</v>
      </c>
      <c r="I2223" s="1">
        <v>-1431300</v>
      </c>
      <c r="J2223" s="1">
        <v>-3932300</v>
      </c>
      <c r="K2223">
        <v>68</v>
      </c>
      <c r="L2223">
        <v>221</v>
      </c>
      <c r="M2223" t="s">
        <v>16</v>
      </c>
    </row>
    <row r="2224" spans="1:13" x14ac:dyDescent="0.35">
      <c r="A2224">
        <v>293230</v>
      </c>
      <c r="B2224">
        <v>19224</v>
      </c>
      <c r="C2224" t="s">
        <v>2357</v>
      </c>
      <c r="D2224" t="s">
        <v>1972</v>
      </c>
      <c r="E2224" t="s">
        <v>1989</v>
      </c>
      <c r="F2224">
        <v>24791</v>
      </c>
      <c r="G2224">
        <v>1</v>
      </c>
      <c r="H2224" t="s">
        <v>16</v>
      </c>
      <c r="I2224" s="1">
        <v>-1421400</v>
      </c>
      <c r="J2224" s="1">
        <v>-3952300</v>
      </c>
      <c r="K2224">
        <v>109</v>
      </c>
      <c r="L2224">
        <v>332</v>
      </c>
      <c r="M2224" t="s">
        <v>16</v>
      </c>
    </row>
    <row r="2225" spans="1:13" x14ac:dyDescent="0.35">
      <c r="A2225">
        <v>293240</v>
      </c>
      <c r="B2225">
        <v>19232</v>
      </c>
      <c r="C2225" t="s">
        <v>2358</v>
      </c>
      <c r="D2225" t="s">
        <v>1972</v>
      </c>
      <c r="E2225" t="s">
        <v>1994</v>
      </c>
      <c r="F2225">
        <v>13719</v>
      </c>
      <c r="G2225">
        <v>1</v>
      </c>
      <c r="H2225" t="s">
        <v>16</v>
      </c>
      <c r="I2225" s="1">
        <v>-1133700</v>
      </c>
      <c r="J2225" s="1">
        <v>-4213300</v>
      </c>
      <c r="K2225">
        <v>582</v>
      </c>
      <c r="L2225">
        <v>515</v>
      </c>
      <c r="M2225" t="s">
        <v>16</v>
      </c>
    </row>
    <row r="2226" spans="1:13" x14ac:dyDescent="0.35">
      <c r="A2226">
        <v>293245</v>
      </c>
      <c r="B2226">
        <v>47287</v>
      </c>
      <c r="C2226" t="s">
        <v>2359</v>
      </c>
      <c r="D2226" t="s">
        <v>1972</v>
      </c>
      <c r="E2226" t="s">
        <v>1999</v>
      </c>
      <c r="F2226">
        <v>16081</v>
      </c>
      <c r="G2226">
        <v>1</v>
      </c>
      <c r="H2226" t="s">
        <v>16</v>
      </c>
      <c r="I2226" s="1">
        <v>-1073300</v>
      </c>
      <c r="J2226" s="1">
        <v>-4132600</v>
      </c>
      <c r="K2226">
        <v>738</v>
      </c>
      <c r="L2226">
        <v>1812</v>
      </c>
      <c r="M2226" t="s">
        <v>16</v>
      </c>
    </row>
    <row r="2227" spans="1:13" x14ac:dyDescent="0.35">
      <c r="A2227">
        <v>293250</v>
      </c>
      <c r="B2227">
        <v>19240</v>
      </c>
      <c r="C2227" t="s">
        <v>2360</v>
      </c>
      <c r="D2227" t="s">
        <v>1972</v>
      </c>
      <c r="E2227" t="s">
        <v>1989</v>
      </c>
      <c r="F2227">
        <v>25277</v>
      </c>
      <c r="G2227">
        <v>1</v>
      </c>
      <c r="H2227" t="s">
        <v>16</v>
      </c>
      <c r="I2227" s="1">
        <v>-1529300</v>
      </c>
      <c r="J2227" s="1">
        <v>-3907500</v>
      </c>
      <c r="K2227">
        <v>28</v>
      </c>
      <c r="L2227">
        <v>1159</v>
      </c>
      <c r="M2227" t="s">
        <v>16</v>
      </c>
    </row>
    <row r="2228" spans="1:13" x14ac:dyDescent="0.35">
      <c r="A2228">
        <v>293260</v>
      </c>
      <c r="B2228">
        <v>19259</v>
      </c>
      <c r="C2228" t="s">
        <v>2361</v>
      </c>
      <c r="D2228" t="s">
        <v>1972</v>
      </c>
      <c r="E2228" t="s">
        <v>2049</v>
      </c>
      <c r="F2228">
        <v>15822</v>
      </c>
      <c r="G2228">
        <v>1</v>
      </c>
      <c r="H2228" t="s">
        <v>16</v>
      </c>
      <c r="I2228" s="1">
        <v>-1477100</v>
      </c>
      <c r="J2228" s="1">
        <v>-4265500</v>
      </c>
      <c r="K2228">
        <v>637</v>
      </c>
      <c r="L2228">
        <v>895</v>
      </c>
      <c r="M2228" t="s">
        <v>16</v>
      </c>
    </row>
    <row r="2229" spans="1:13" x14ac:dyDescent="0.35">
      <c r="A2229">
        <v>293270</v>
      </c>
      <c r="B2229">
        <v>19267</v>
      </c>
      <c r="C2229" t="s">
        <v>2362</v>
      </c>
      <c r="D2229" t="s">
        <v>1972</v>
      </c>
      <c r="E2229" t="s">
        <v>1989</v>
      </c>
      <c r="F2229">
        <v>22070</v>
      </c>
      <c r="G2229">
        <v>1</v>
      </c>
      <c r="H2229" t="s">
        <v>16</v>
      </c>
      <c r="I2229" s="1">
        <v>-1459300</v>
      </c>
      <c r="J2229" s="1">
        <v>-3928400</v>
      </c>
      <c r="K2229">
        <v>102</v>
      </c>
      <c r="L2229">
        <v>337</v>
      </c>
      <c r="M2229" t="s">
        <v>16</v>
      </c>
    </row>
    <row r="2230" spans="1:13" x14ac:dyDescent="0.35">
      <c r="A2230">
        <v>293280</v>
      </c>
      <c r="B2230">
        <v>19275</v>
      </c>
      <c r="C2230" t="s">
        <v>2363</v>
      </c>
      <c r="D2230" t="s">
        <v>1972</v>
      </c>
      <c r="E2230" t="s">
        <v>1973</v>
      </c>
      <c r="F2230">
        <v>19229</v>
      </c>
      <c r="G2230">
        <v>1</v>
      </c>
      <c r="H2230" t="s">
        <v>16</v>
      </c>
      <c r="I2230" s="1">
        <v>-1208200</v>
      </c>
      <c r="J2230" s="1">
        <v>-4109400</v>
      </c>
      <c r="K2230">
        <v>530</v>
      </c>
      <c r="L2230">
        <v>717</v>
      </c>
      <c r="M2230" t="s">
        <v>16</v>
      </c>
    </row>
    <row r="2231" spans="1:13" x14ac:dyDescent="0.35">
      <c r="A2231">
        <v>293290</v>
      </c>
      <c r="B2231">
        <v>19283</v>
      </c>
      <c r="C2231" t="s">
        <v>2056</v>
      </c>
      <c r="D2231" t="s">
        <v>1972</v>
      </c>
      <c r="E2231" t="s">
        <v>2056</v>
      </c>
      <c r="F2231">
        <v>84931</v>
      </c>
      <c r="G2231">
        <v>2</v>
      </c>
      <c r="H2231" t="s">
        <v>16</v>
      </c>
      <c r="I2231" s="1">
        <v>-1337000</v>
      </c>
      <c r="J2231" s="1">
        <v>-3907300</v>
      </c>
      <c r="K2231">
        <v>39</v>
      </c>
      <c r="L2231">
        <v>1190</v>
      </c>
      <c r="M2231" t="s">
        <v>16</v>
      </c>
    </row>
    <row r="2232" spans="1:13" x14ac:dyDescent="0.35">
      <c r="A2232">
        <v>293300</v>
      </c>
      <c r="B2232">
        <v>19291</v>
      </c>
      <c r="C2232" t="s">
        <v>2364</v>
      </c>
      <c r="D2232" t="s">
        <v>1972</v>
      </c>
      <c r="E2232" t="s">
        <v>1372</v>
      </c>
      <c r="F2232">
        <v>21512</v>
      </c>
      <c r="G2232">
        <v>1</v>
      </c>
      <c r="H2232" t="s">
        <v>16</v>
      </c>
      <c r="I2232" s="1">
        <v>-1141200</v>
      </c>
      <c r="J2232" s="1">
        <v>-3946200</v>
      </c>
      <c r="K2232">
        <v>358</v>
      </c>
      <c r="L2232">
        <v>356</v>
      </c>
      <c r="M2232" t="s">
        <v>16</v>
      </c>
    </row>
    <row r="2233" spans="1:13" x14ac:dyDescent="0.35">
      <c r="A2233">
        <v>293305</v>
      </c>
      <c r="B2233">
        <v>26786</v>
      </c>
      <c r="C2233" t="s">
        <v>2365</v>
      </c>
      <c r="D2233" t="s">
        <v>1972</v>
      </c>
      <c r="E2233" t="s">
        <v>2020</v>
      </c>
      <c r="F2233">
        <v>14479</v>
      </c>
      <c r="G2233">
        <v>1</v>
      </c>
      <c r="H2233" t="s">
        <v>16</v>
      </c>
      <c r="I2233" s="1">
        <v>-1160700</v>
      </c>
      <c r="J2233" s="1">
        <v>-4013700</v>
      </c>
      <c r="K2233">
        <v>459</v>
      </c>
      <c r="L2233">
        <v>549</v>
      </c>
      <c r="M2233" t="s">
        <v>16</v>
      </c>
    </row>
    <row r="2234" spans="1:13" x14ac:dyDescent="0.35">
      <c r="A2234">
        <v>293310</v>
      </c>
      <c r="B2234">
        <v>19305</v>
      </c>
      <c r="C2234" t="s">
        <v>2366</v>
      </c>
      <c r="D2234" t="s">
        <v>1972</v>
      </c>
      <c r="E2234" t="s">
        <v>2051</v>
      </c>
      <c r="F2234">
        <v>8569</v>
      </c>
      <c r="G2234">
        <v>1</v>
      </c>
      <c r="H2234" t="s">
        <v>16</v>
      </c>
      <c r="I2234" s="1">
        <v>-1152900</v>
      </c>
      <c r="J2234" s="1">
        <v>-4032000</v>
      </c>
      <c r="K2234">
        <v>462</v>
      </c>
      <c r="L2234">
        <v>220</v>
      </c>
      <c r="M2234" t="s">
        <v>16</v>
      </c>
    </row>
    <row r="2235" spans="1:13" x14ac:dyDescent="0.35">
      <c r="A2235">
        <v>293315</v>
      </c>
      <c r="B2235">
        <v>26794</v>
      </c>
      <c r="C2235" t="s">
        <v>2367</v>
      </c>
      <c r="D2235" t="s">
        <v>1972</v>
      </c>
      <c r="E2235" t="s">
        <v>2051</v>
      </c>
      <c r="F2235">
        <v>13949</v>
      </c>
      <c r="G2235">
        <v>1</v>
      </c>
      <c r="H2235" t="s">
        <v>16</v>
      </c>
      <c r="I2235" s="1">
        <v>-1125900</v>
      </c>
      <c r="J2235" s="1">
        <v>-4094200</v>
      </c>
      <c r="K2235">
        <v>742</v>
      </c>
      <c r="L2235">
        <v>1165</v>
      </c>
      <c r="M2235" t="s">
        <v>16</v>
      </c>
    </row>
    <row r="2236" spans="1:13" x14ac:dyDescent="0.35">
      <c r="A2236">
        <v>293317</v>
      </c>
      <c r="B2236">
        <v>47945</v>
      </c>
      <c r="C2236" t="s">
        <v>2368</v>
      </c>
      <c r="D2236" t="s">
        <v>1972</v>
      </c>
      <c r="E2236" t="s">
        <v>2015</v>
      </c>
      <c r="F2236">
        <v>9054</v>
      </c>
      <c r="G2236">
        <v>1</v>
      </c>
      <c r="H2236" t="s">
        <v>16</v>
      </c>
      <c r="I2236" s="1">
        <v>-1297100</v>
      </c>
      <c r="J2236" s="1">
        <v>-3939400</v>
      </c>
      <c r="K2236">
        <v>280</v>
      </c>
      <c r="L2236">
        <v>167</v>
      </c>
      <c r="M2236" t="s">
        <v>16</v>
      </c>
    </row>
    <row r="2237" spans="1:13" x14ac:dyDescent="0.35">
      <c r="A2237">
        <v>293320</v>
      </c>
      <c r="B2237">
        <v>19313</v>
      </c>
      <c r="C2237" t="s">
        <v>1387</v>
      </c>
      <c r="D2237" t="s">
        <v>1972</v>
      </c>
      <c r="E2237" t="s">
        <v>2060</v>
      </c>
      <c r="F2237">
        <v>35060</v>
      </c>
      <c r="G2237">
        <v>4</v>
      </c>
      <c r="H2237" t="s">
        <v>2061</v>
      </c>
      <c r="I2237" s="1">
        <v>-1296000</v>
      </c>
      <c r="J2237" s="1">
        <v>-3860900</v>
      </c>
      <c r="K2237">
        <v>13</v>
      </c>
      <c r="L2237">
        <v>252</v>
      </c>
      <c r="M2237" t="s">
        <v>16</v>
      </c>
    </row>
    <row r="2238" spans="1:13" x14ac:dyDescent="0.35">
      <c r="A2238">
        <v>293325</v>
      </c>
      <c r="B2238">
        <v>47295</v>
      </c>
      <c r="C2238" t="s">
        <v>2369</v>
      </c>
      <c r="D2238" t="s">
        <v>1972</v>
      </c>
      <c r="E2238" t="s">
        <v>1987</v>
      </c>
      <c r="F2238">
        <v>7174</v>
      </c>
      <c r="G2238">
        <v>1</v>
      </c>
      <c r="H2238" t="s">
        <v>16</v>
      </c>
      <c r="I2238" s="1">
        <v>-1722300</v>
      </c>
      <c r="J2238" s="1">
        <v>-4009000</v>
      </c>
      <c r="K2238">
        <v>100</v>
      </c>
      <c r="L2238">
        <v>828</v>
      </c>
      <c r="M2238" t="s">
        <v>16</v>
      </c>
    </row>
    <row r="2239" spans="1:13" x14ac:dyDescent="0.35">
      <c r="A2239">
        <v>293330</v>
      </c>
      <c r="B2239">
        <v>19321</v>
      </c>
      <c r="C2239" t="s">
        <v>2370</v>
      </c>
      <c r="D2239" t="s">
        <v>1972</v>
      </c>
      <c r="E2239" t="s">
        <v>1996</v>
      </c>
      <c r="F2239">
        <v>308204</v>
      </c>
      <c r="G2239">
        <v>3</v>
      </c>
      <c r="H2239" t="s">
        <v>16</v>
      </c>
      <c r="I2239" s="1">
        <v>-1486600</v>
      </c>
      <c r="J2239" s="1">
        <v>-4083900</v>
      </c>
      <c r="K2239">
        <v>923</v>
      </c>
      <c r="L2239">
        <v>3204</v>
      </c>
      <c r="M2239" t="s">
        <v>16</v>
      </c>
    </row>
    <row r="2240" spans="1:13" x14ac:dyDescent="0.35">
      <c r="A2240">
        <v>293340</v>
      </c>
      <c r="B2240">
        <v>19330</v>
      </c>
      <c r="C2240" t="s">
        <v>2371</v>
      </c>
      <c r="D2240" t="s">
        <v>1972</v>
      </c>
      <c r="E2240" t="s">
        <v>1973</v>
      </c>
      <c r="F2240">
        <v>8610</v>
      </c>
      <c r="G2240">
        <v>1</v>
      </c>
      <c r="H2240" t="s">
        <v>16</v>
      </c>
      <c r="I2240" s="1">
        <v>-1228700</v>
      </c>
      <c r="J2240" s="1">
        <v>-4116800</v>
      </c>
      <c r="K2240">
        <v>460</v>
      </c>
      <c r="L2240">
        <v>415</v>
      </c>
      <c r="M2240" t="s">
        <v>16</v>
      </c>
    </row>
    <row r="2241" spans="1:13" x14ac:dyDescent="0.35">
      <c r="A2241">
        <v>293345</v>
      </c>
      <c r="B2241">
        <v>28134</v>
      </c>
      <c r="C2241" t="s">
        <v>2372</v>
      </c>
      <c r="D2241" t="s">
        <v>1972</v>
      </c>
      <c r="E2241" t="s">
        <v>2001</v>
      </c>
      <c r="F2241">
        <v>12982</v>
      </c>
      <c r="G2241">
        <v>1</v>
      </c>
      <c r="H2241" t="s">
        <v>16</v>
      </c>
      <c r="I2241" s="1">
        <v>-1212000</v>
      </c>
      <c r="J2241" s="1">
        <v>-4388800</v>
      </c>
      <c r="K2241">
        <v>583</v>
      </c>
      <c r="L2241">
        <v>3043</v>
      </c>
      <c r="M2241" t="s">
        <v>16</v>
      </c>
    </row>
    <row r="2242" spans="1:13" x14ac:dyDescent="0.35">
      <c r="A2242">
        <v>293350</v>
      </c>
      <c r="B2242">
        <v>19348</v>
      </c>
      <c r="C2242" t="s">
        <v>2373</v>
      </c>
      <c r="D2242" t="s">
        <v>1972</v>
      </c>
      <c r="E2242" t="s">
        <v>1989</v>
      </c>
      <c r="F2242">
        <v>23985</v>
      </c>
      <c r="G2242">
        <v>1</v>
      </c>
      <c r="H2242" t="s">
        <v>16</v>
      </c>
      <c r="I2242" s="1">
        <v>-1368700</v>
      </c>
      <c r="J2242" s="1">
        <v>-3947900</v>
      </c>
      <c r="K2242">
        <v>178</v>
      </c>
      <c r="L2242">
        <v>661</v>
      </c>
      <c r="M2242" t="s">
        <v>16</v>
      </c>
    </row>
    <row r="2243" spans="1:13" x14ac:dyDescent="0.35">
      <c r="A2243">
        <v>293360</v>
      </c>
      <c r="B2243">
        <v>19356</v>
      </c>
      <c r="C2243" t="s">
        <v>2374</v>
      </c>
      <c r="D2243" t="s">
        <v>1972</v>
      </c>
      <c r="E2243" t="s">
        <v>2022</v>
      </c>
      <c r="F2243">
        <v>45700</v>
      </c>
      <c r="G2243">
        <v>1</v>
      </c>
      <c r="H2243" t="s">
        <v>16</v>
      </c>
      <c r="I2243" s="1">
        <v>-1082200</v>
      </c>
      <c r="J2243" s="1">
        <v>-4273100</v>
      </c>
      <c r="K2243">
        <v>402</v>
      </c>
      <c r="L2243">
        <v>5671</v>
      </c>
      <c r="M2243" t="s">
        <v>16</v>
      </c>
    </row>
    <row r="2244" spans="1:13" x14ac:dyDescent="0.35">
      <c r="A2244">
        <v>310010</v>
      </c>
      <c r="B2244">
        <v>19518</v>
      </c>
      <c r="C2244" t="s">
        <v>2375</v>
      </c>
      <c r="D2244" t="s">
        <v>2376</v>
      </c>
      <c r="E2244" t="s">
        <v>2377</v>
      </c>
      <c r="F2244">
        <v>6556</v>
      </c>
      <c r="G2244">
        <v>1</v>
      </c>
      <c r="H2244" t="s">
        <v>16</v>
      </c>
      <c r="I2244" s="1">
        <v>-1848600</v>
      </c>
      <c r="J2244" s="1">
        <v>-4740300</v>
      </c>
      <c r="K2244">
        <v>742</v>
      </c>
      <c r="L2244">
        <v>894</v>
      </c>
      <c r="M2244" t="s">
        <v>16</v>
      </c>
    </row>
    <row r="2245" spans="1:13" x14ac:dyDescent="0.35">
      <c r="A2245">
        <v>310020</v>
      </c>
      <c r="B2245">
        <v>19526</v>
      </c>
      <c r="C2245" t="s">
        <v>2378</v>
      </c>
      <c r="D2245" t="s">
        <v>2376</v>
      </c>
      <c r="E2245" t="s">
        <v>2379</v>
      </c>
      <c r="F2245">
        <v>22474</v>
      </c>
      <c r="G2245">
        <v>1</v>
      </c>
      <c r="H2245" t="s">
        <v>16</v>
      </c>
      <c r="I2245" s="1">
        <v>-1916000</v>
      </c>
      <c r="J2245" s="1">
        <v>-4544600</v>
      </c>
      <c r="K2245">
        <v>647</v>
      </c>
      <c r="L2245">
        <v>1816</v>
      </c>
      <c r="M2245" t="s">
        <v>16</v>
      </c>
    </row>
    <row r="2246" spans="1:13" x14ac:dyDescent="0.35">
      <c r="A2246">
        <v>310030</v>
      </c>
      <c r="B2246">
        <v>19534</v>
      </c>
      <c r="C2246" t="s">
        <v>2380</v>
      </c>
      <c r="D2246" t="s">
        <v>2376</v>
      </c>
      <c r="E2246" t="s">
        <v>2381</v>
      </c>
      <c r="F2246">
        <v>12867</v>
      </c>
      <c r="G2246">
        <v>1</v>
      </c>
      <c r="H2246" t="s">
        <v>16</v>
      </c>
      <c r="I2246" s="1">
        <v>-2030100</v>
      </c>
      <c r="J2246" s="1">
        <v>-4247800</v>
      </c>
      <c r="K2246">
        <v>548</v>
      </c>
      <c r="L2246">
        <v>471</v>
      </c>
      <c r="M2246" t="s">
        <v>16</v>
      </c>
    </row>
    <row r="2247" spans="1:13" x14ac:dyDescent="0.35">
      <c r="A2247">
        <v>310040</v>
      </c>
      <c r="B2247">
        <v>19542</v>
      </c>
      <c r="C2247" t="s">
        <v>2382</v>
      </c>
      <c r="D2247" t="s">
        <v>2376</v>
      </c>
      <c r="E2247" t="s">
        <v>2383</v>
      </c>
      <c r="F2247">
        <v>4056</v>
      </c>
      <c r="G2247">
        <v>1</v>
      </c>
      <c r="H2247" t="s">
        <v>16</v>
      </c>
      <c r="I2247" s="1">
        <v>-2036300</v>
      </c>
      <c r="J2247" s="1">
        <v>-4314500</v>
      </c>
      <c r="K2247">
        <v>421</v>
      </c>
      <c r="L2247">
        <v>100</v>
      </c>
      <c r="M2247" t="s">
        <v>16</v>
      </c>
    </row>
    <row r="2248" spans="1:13" x14ac:dyDescent="0.35">
      <c r="A2248">
        <v>310050</v>
      </c>
      <c r="B2248">
        <v>19550</v>
      </c>
      <c r="C2248" t="s">
        <v>2384</v>
      </c>
      <c r="D2248" t="s">
        <v>2376</v>
      </c>
      <c r="E2248" t="s">
        <v>2385</v>
      </c>
      <c r="F2248">
        <v>11127</v>
      </c>
      <c r="G2248">
        <v>4</v>
      </c>
      <c r="H2248" t="s">
        <v>2386</v>
      </c>
      <c r="I2248" s="1">
        <v>-1907300</v>
      </c>
      <c r="J2248" s="1">
        <v>-4254600</v>
      </c>
      <c r="K2248">
        <v>472</v>
      </c>
      <c r="L2248">
        <v>811</v>
      </c>
      <c r="M2248" t="s">
        <v>16</v>
      </c>
    </row>
    <row r="2249" spans="1:13" x14ac:dyDescent="0.35">
      <c r="A2249">
        <v>310060</v>
      </c>
      <c r="B2249">
        <v>19569</v>
      </c>
      <c r="C2249" t="s">
        <v>2387</v>
      </c>
      <c r="D2249" t="s">
        <v>2376</v>
      </c>
      <c r="E2249" t="s">
        <v>2388</v>
      </c>
      <c r="F2249">
        <v>16435</v>
      </c>
      <c r="G2249">
        <v>1</v>
      </c>
      <c r="H2249" t="s">
        <v>16</v>
      </c>
      <c r="I2249" s="1">
        <v>-1799600</v>
      </c>
      <c r="J2249" s="1">
        <v>-4238900</v>
      </c>
      <c r="K2249">
        <v>407</v>
      </c>
      <c r="L2249">
        <v>1317</v>
      </c>
      <c r="M2249" t="s">
        <v>16</v>
      </c>
    </row>
    <row r="2250" spans="1:13" x14ac:dyDescent="0.35">
      <c r="A2250">
        <v>310070</v>
      </c>
      <c r="B2250">
        <v>19577</v>
      </c>
      <c r="C2250" t="s">
        <v>2389</v>
      </c>
      <c r="D2250" t="s">
        <v>2376</v>
      </c>
      <c r="E2250" t="s">
        <v>2390</v>
      </c>
      <c r="F2250">
        <v>2093</v>
      </c>
      <c r="G2250">
        <v>1</v>
      </c>
      <c r="H2250" t="s">
        <v>16</v>
      </c>
      <c r="I2250" s="1">
        <v>-2005600</v>
      </c>
      <c r="J2250" s="1">
        <v>-4810900</v>
      </c>
      <c r="K2250">
        <v>543</v>
      </c>
      <c r="L2250">
        <v>489</v>
      </c>
      <c r="M2250" t="s">
        <v>16</v>
      </c>
    </row>
    <row r="2251" spans="1:13" x14ac:dyDescent="0.35">
      <c r="A2251">
        <v>310080</v>
      </c>
      <c r="B2251">
        <v>19585</v>
      </c>
      <c r="C2251" t="s">
        <v>2391</v>
      </c>
      <c r="D2251" t="s">
        <v>2376</v>
      </c>
      <c r="E2251" t="s">
        <v>2392</v>
      </c>
      <c r="F2251">
        <v>4054</v>
      </c>
      <c r="G2251">
        <v>1</v>
      </c>
      <c r="H2251" t="s">
        <v>16</v>
      </c>
      <c r="I2251" s="1">
        <v>-2094300</v>
      </c>
      <c r="J2251" s="1">
        <v>-4539300</v>
      </c>
      <c r="K2251">
        <v>823</v>
      </c>
      <c r="L2251">
        <v>235</v>
      </c>
      <c r="M2251" t="s">
        <v>16</v>
      </c>
    </row>
    <row r="2252" spans="1:13" x14ac:dyDescent="0.35">
      <c r="A2252">
        <v>310090</v>
      </c>
      <c r="B2252">
        <v>19593</v>
      </c>
      <c r="C2252" t="s">
        <v>2393</v>
      </c>
      <c r="D2252" t="s">
        <v>2376</v>
      </c>
      <c r="E2252" t="s">
        <v>2394</v>
      </c>
      <c r="F2252">
        <v>18518</v>
      </c>
      <c r="G2252">
        <v>1</v>
      </c>
      <c r="H2252" t="s">
        <v>16</v>
      </c>
      <c r="I2252" s="1">
        <v>-1708200</v>
      </c>
      <c r="J2252" s="1">
        <v>-4093600</v>
      </c>
      <c r="K2252">
        <v>273</v>
      </c>
      <c r="L2252">
        <v>817</v>
      </c>
      <c r="M2252" t="s">
        <v>16</v>
      </c>
    </row>
    <row r="2253" spans="1:13" x14ac:dyDescent="0.35">
      <c r="A2253">
        <v>310100</v>
      </c>
      <c r="B2253">
        <v>19607</v>
      </c>
      <c r="C2253" t="s">
        <v>2395</v>
      </c>
      <c r="D2253" t="s">
        <v>2376</v>
      </c>
      <c r="E2253" t="s">
        <v>2396</v>
      </c>
      <c r="F2253">
        <v>12674</v>
      </c>
      <c r="G2253">
        <v>1</v>
      </c>
      <c r="H2253" t="s">
        <v>16</v>
      </c>
      <c r="I2253" s="1">
        <v>-1574700</v>
      </c>
      <c r="J2253" s="1">
        <v>-4146000</v>
      </c>
      <c r="K2253">
        <v>758</v>
      </c>
      <c r="L2253">
        <v>1257</v>
      </c>
      <c r="M2253" t="s">
        <v>16</v>
      </c>
    </row>
    <row r="2254" spans="1:13" x14ac:dyDescent="0.35">
      <c r="A2254">
        <v>310110</v>
      </c>
      <c r="B2254">
        <v>19615</v>
      </c>
      <c r="C2254" t="s">
        <v>2397</v>
      </c>
      <c r="D2254" t="s">
        <v>2376</v>
      </c>
      <c r="E2254" t="s">
        <v>2398</v>
      </c>
      <c r="F2254">
        <v>24232</v>
      </c>
      <c r="G2254">
        <v>1</v>
      </c>
      <c r="H2254" t="s">
        <v>16</v>
      </c>
      <c r="I2254" s="1">
        <v>-1949600</v>
      </c>
      <c r="J2254" s="1">
        <v>-4106400</v>
      </c>
      <c r="K2254">
        <v>80</v>
      </c>
      <c r="L2254">
        <v>1349</v>
      </c>
      <c r="M2254" t="s">
        <v>16</v>
      </c>
    </row>
    <row r="2255" spans="1:13" x14ac:dyDescent="0.35">
      <c r="A2255">
        <v>310120</v>
      </c>
      <c r="B2255">
        <v>19623</v>
      </c>
      <c r="C2255" t="s">
        <v>2399</v>
      </c>
      <c r="D2255" t="s">
        <v>2376</v>
      </c>
      <c r="E2255" t="s">
        <v>2400</v>
      </c>
      <c r="F2255">
        <v>6099</v>
      </c>
      <c r="G2255">
        <v>1</v>
      </c>
      <c r="H2255" t="s">
        <v>16</v>
      </c>
      <c r="I2255" s="1">
        <v>-2197600</v>
      </c>
      <c r="J2255" s="1">
        <v>-4460300</v>
      </c>
      <c r="K2255">
        <v>974</v>
      </c>
      <c r="L2255">
        <v>650</v>
      </c>
      <c r="M2255" t="s">
        <v>16</v>
      </c>
    </row>
    <row r="2256" spans="1:13" x14ac:dyDescent="0.35">
      <c r="A2256">
        <v>310130</v>
      </c>
      <c r="B2256">
        <v>19631</v>
      </c>
      <c r="C2256" t="s">
        <v>2401</v>
      </c>
      <c r="D2256" t="s">
        <v>2376</v>
      </c>
      <c r="E2256" t="s">
        <v>2402</v>
      </c>
      <c r="F2256">
        <v>2825</v>
      </c>
      <c r="G2256">
        <v>1</v>
      </c>
      <c r="H2256" t="s">
        <v>16</v>
      </c>
      <c r="I2256" s="1">
        <v>-2217100</v>
      </c>
      <c r="J2256" s="1">
        <v>-4464200</v>
      </c>
      <c r="K2256">
        <v>1132</v>
      </c>
      <c r="L2256">
        <v>161</v>
      </c>
      <c r="M2256" t="s">
        <v>16</v>
      </c>
    </row>
    <row r="2257" spans="1:13" x14ac:dyDescent="0.35">
      <c r="A2257">
        <v>310140</v>
      </c>
      <c r="B2257">
        <v>19640</v>
      </c>
      <c r="C2257" t="s">
        <v>2403</v>
      </c>
      <c r="D2257" t="s">
        <v>2376</v>
      </c>
      <c r="E2257" t="s">
        <v>2404</v>
      </c>
      <c r="F2257">
        <v>2872</v>
      </c>
      <c r="G2257">
        <v>1</v>
      </c>
      <c r="H2257" t="s">
        <v>16</v>
      </c>
      <c r="I2257" s="1">
        <v>-2220100</v>
      </c>
      <c r="J2257" s="1">
        <v>-4661600</v>
      </c>
      <c r="K2257">
        <v>1011</v>
      </c>
      <c r="L2257">
        <v>57</v>
      </c>
      <c r="M2257" t="s">
        <v>16</v>
      </c>
    </row>
    <row r="2258" spans="1:13" x14ac:dyDescent="0.35">
      <c r="A2258">
        <v>310150</v>
      </c>
      <c r="B2258">
        <v>19658</v>
      </c>
      <c r="C2258" t="s">
        <v>2405</v>
      </c>
      <c r="D2258" t="s">
        <v>2376</v>
      </c>
      <c r="E2258" t="s">
        <v>2406</v>
      </c>
      <c r="F2258">
        <v>50000</v>
      </c>
      <c r="G2258">
        <v>1</v>
      </c>
      <c r="H2258" t="s">
        <v>16</v>
      </c>
      <c r="I2258" s="1">
        <v>-2188800</v>
      </c>
      <c r="J2258" s="1">
        <v>-4270400</v>
      </c>
      <c r="K2258">
        <v>140</v>
      </c>
      <c r="L2258">
        <v>511</v>
      </c>
      <c r="M2258" t="s">
        <v>16</v>
      </c>
    </row>
    <row r="2259" spans="1:13" x14ac:dyDescent="0.35">
      <c r="A2259">
        <v>310160</v>
      </c>
      <c r="B2259">
        <v>19666</v>
      </c>
      <c r="C2259" t="s">
        <v>2407</v>
      </c>
      <c r="D2259" t="s">
        <v>2376</v>
      </c>
      <c r="E2259" t="s">
        <v>2407</v>
      </c>
      <c r="F2259">
        <v>71628</v>
      </c>
      <c r="G2259">
        <v>2</v>
      </c>
      <c r="H2259" t="s">
        <v>16</v>
      </c>
      <c r="I2259" s="1">
        <v>-2142900</v>
      </c>
      <c r="J2259" s="1">
        <v>-4594700</v>
      </c>
      <c r="K2259">
        <v>881</v>
      </c>
      <c r="L2259">
        <v>848</v>
      </c>
      <c r="M2259" t="s">
        <v>16</v>
      </c>
    </row>
    <row r="2260" spans="1:13" x14ac:dyDescent="0.35">
      <c r="A2260">
        <v>310163</v>
      </c>
      <c r="B2260">
        <v>50547</v>
      </c>
      <c r="C2260" t="s">
        <v>2408</v>
      </c>
      <c r="D2260" t="s">
        <v>2376</v>
      </c>
      <c r="E2260" t="s">
        <v>2409</v>
      </c>
      <c r="F2260">
        <v>5900</v>
      </c>
      <c r="G2260">
        <v>1</v>
      </c>
      <c r="H2260" t="s">
        <v>16</v>
      </c>
      <c r="I2260" s="1">
        <v>-2114500</v>
      </c>
      <c r="J2260" s="1">
        <v>-4377700</v>
      </c>
      <c r="K2260">
        <v>1052</v>
      </c>
      <c r="L2260">
        <v>126</v>
      </c>
      <c r="M2260" t="s">
        <v>16</v>
      </c>
    </row>
    <row r="2261" spans="1:13" x14ac:dyDescent="0.35">
      <c r="A2261">
        <v>310170</v>
      </c>
      <c r="B2261">
        <v>19674</v>
      </c>
      <c r="C2261" t="s">
        <v>2410</v>
      </c>
      <c r="D2261" t="s">
        <v>2376</v>
      </c>
      <c r="E2261" t="s">
        <v>2410</v>
      </c>
      <c r="F2261">
        <v>36907</v>
      </c>
      <c r="G2261">
        <v>1</v>
      </c>
      <c r="H2261" t="s">
        <v>16</v>
      </c>
      <c r="I2261" s="1">
        <v>-1618400</v>
      </c>
      <c r="J2261" s="1">
        <v>-4069400</v>
      </c>
      <c r="K2261">
        <v>187</v>
      </c>
      <c r="L2261">
        <v>2300</v>
      </c>
      <c r="M2261" t="s">
        <v>16</v>
      </c>
    </row>
    <row r="2262" spans="1:13" x14ac:dyDescent="0.35">
      <c r="A2262">
        <v>310180</v>
      </c>
      <c r="B2262">
        <v>19682</v>
      </c>
      <c r="C2262" t="s">
        <v>2411</v>
      </c>
      <c r="D2262" t="s">
        <v>2376</v>
      </c>
      <c r="E2262" t="s">
        <v>2412</v>
      </c>
      <c r="F2262">
        <v>7007</v>
      </c>
      <c r="G2262">
        <v>1</v>
      </c>
      <c r="H2262" t="s">
        <v>16</v>
      </c>
      <c r="I2262" s="1">
        <v>-1897400</v>
      </c>
      <c r="J2262" s="1">
        <v>-4197000</v>
      </c>
      <c r="K2262">
        <v>192</v>
      </c>
      <c r="L2262">
        <v>167</v>
      </c>
      <c r="M2262" t="s">
        <v>16</v>
      </c>
    </row>
    <row r="2263" spans="1:13" x14ac:dyDescent="0.35">
      <c r="A2263">
        <v>310190</v>
      </c>
      <c r="B2263">
        <v>19690</v>
      </c>
      <c r="C2263" t="s">
        <v>2413</v>
      </c>
      <c r="D2263" t="s">
        <v>2376</v>
      </c>
      <c r="E2263" t="s">
        <v>2414</v>
      </c>
      <c r="F2263">
        <v>17821</v>
      </c>
      <c r="G2263">
        <v>1</v>
      </c>
      <c r="H2263" t="s">
        <v>16</v>
      </c>
      <c r="I2263" s="1">
        <v>-2086400</v>
      </c>
      <c r="J2263" s="1">
        <v>-4638800</v>
      </c>
      <c r="K2263">
        <v>876</v>
      </c>
      <c r="L2263">
        <v>458</v>
      </c>
      <c r="M2263" t="s">
        <v>16</v>
      </c>
    </row>
    <row r="2264" spans="1:13" x14ac:dyDescent="0.35">
      <c r="A2264">
        <v>310200</v>
      </c>
      <c r="B2264">
        <v>19704</v>
      </c>
      <c r="C2264" t="s">
        <v>2415</v>
      </c>
      <c r="D2264" t="s">
        <v>2376</v>
      </c>
      <c r="E2264" t="s">
        <v>2407</v>
      </c>
      <c r="F2264">
        <v>13286</v>
      </c>
      <c r="G2264">
        <v>1</v>
      </c>
      <c r="H2264" t="s">
        <v>16</v>
      </c>
      <c r="I2264" s="1">
        <v>-2124900</v>
      </c>
      <c r="J2264" s="1">
        <v>-4614300</v>
      </c>
      <c r="K2264">
        <v>843</v>
      </c>
      <c r="L2264">
        <v>366</v>
      </c>
      <c r="M2264" t="s">
        <v>16</v>
      </c>
    </row>
    <row r="2265" spans="1:13" x14ac:dyDescent="0.35">
      <c r="A2265">
        <v>310205</v>
      </c>
      <c r="B2265">
        <v>54933</v>
      </c>
      <c r="C2265" t="s">
        <v>2416</v>
      </c>
      <c r="D2265" t="s">
        <v>2376</v>
      </c>
      <c r="E2265" t="s">
        <v>2381</v>
      </c>
      <c r="F2265">
        <v>5048</v>
      </c>
      <c r="G2265">
        <v>1</v>
      </c>
      <c r="H2265" t="s">
        <v>16</v>
      </c>
      <c r="I2265" s="1">
        <v>-2043400</v>
      </c>
      <c r="J2265" s="1">
        <v>-4186800</v>
      </c>
      <c r="K2265">
        <v>1000</v>
      </c>
      <c r="L2265">
        <v>104</v>
      </c>
      <c r="M2265" t="s">
        <v>16</v>
      </c>
    </row>
    <row r="2266" spans="1:13" x14ac:dyDescent="0.35">
      <c r="A2266">
        <v>310210</v>
      </c>
      <c r="B2266">
        <v>19712</v>
      </c>
      <c r="C2266" t="s">
        <v>2417</v>
      </c>
      <c r="D2266" t="s">
        <v>2376</v>
      </c>
      <c r="E2266" t="s">
        <v>1388</v>
      </c>
      <c r="F2266">
        <v>12657</v>
      </c>
      <c r="G2266">
        <v>1</v>
      </c>
      <c r="H2266" t="s">
        <v>16</v>
      </c>
      <c r="I2266" s="1">
        <v>-2102600</v>
      </c>
      <c r="J2266" s="1">
        <v>-4341100</v>
      </c>
      <c r="K2266">
        <v>793</v>
      </c>
      <c r="L2266">
        <v>518</v>
      </c>
      <c r="M2266" t="s">
        <v>16</v>
      </c>
    </row>
    <row r="2267" spans="1:13" x14ac:dyDescent="0.35">
      <c r="A2267">
        <v>310220</v>
      </c>
      <c r="B2267">
        <v>19720</v>
      </c>
      <c r="C2267" t="s">
        <v>2418</v>
      </c>
      <c r="D2267" t="s">
        <v>2376</v>
      </c>
      <c r="E2267" t="s">
        <v>2398</v>
      </c>
      <c r="F2267">
        <v>4558</v>
      </c>
      <c r="G2267">
        <v>1</v>
      </c>
      <c r="H2267" t="s">
        <v>16</v>
      </c>
      <c r="I2267" s="1">
        <v>-1941700</v>
      </c>
      <c r="J2267" s="1">
        <v>-4172900</v>
      </c>
      <c r="K2267">
        <v>390</v>
      </c>
      <c r="L2267">
        <v>367</v>
      </c>
      <c r="M2267" t="s">
        <v>16</v>
      </c>
    </row>
    <row r="2268" spans="1:13" x14ac:dyDescent="0.35">
      <c r="A2268">
        <v>310230</v>
      </c>
      <c r="B2268">
        <v>19739</v>
      </c>
      <c r="C2268" t="s">
        <v>2419</v>
      </c>
      <c r="D2268" t="s">
        <v>2376</v>
      </c>
      <c r="E2268" t="s">
        <v>2420</v>
      </c>
      <c r="F2268">
        <v>15251</v>
      </c>
      <c r="G2268">
        <v>1</v>
      </c>
      <c r="H2268" t="s">
        <v>16</v>
      </c>
      <c r="I2268" s="1">
        <v>-2010700</v>
      </c>
      <c r="J2268" s="1">
        <v>-4304900</v>
      </c>
      <c r="K2268">
        <v>572</v>
      </c>
      <c r="L2268">
        <v>599</v>
      </c>
      <c r="M2268" t="s">
        <v>16</v>
      </c>
    </row>
    <row r="2269" spans="1:13" x14ac:dyDescent="0.35">
      <c r="A2269">
        <v>310240</v>
      </c>
      <c r="B2269">
        <v>19747</v>
      </c>
      <c r="C2269" t="s">
        <v>2421</v>
      </c>
      <c r="D2269" t="s">
        <v>2376</v>
      </c>
      <c r="E2269" t="s">
        <v>2422</v>
      </c>
      <c r="F2269">
        <v>3482</v>
      </c>
      <c r="G2269">
        <v>1</v>
      </c>
      <c r="H2269" t="s">
        <v>16</v>
      </c>
      <c r="I2269" s="1">
        <v>-1873600</v>
      </c>
      <c r="J2269" s="1">
        <v>-4336500</v>
      </c>
      <c r="K2269">
        <v>657</v>
      </c>
      <c r="L2269">
        <v>374</v>
      </c>
      <c r="M2269" t="s">
        <v>16</v>
      </c>
    </row>
    <row r="2270" spans="1:13" x14ac:dyDescent="0.35">
      <c r="A2270">
        <v>310250</v>
      </c>
      <c r="B2270">
        <v>19755</v>
      </c>
      <c r="C2270" t="s">
        <v>2423</v>
      </c>
      <c r="D2270" t="s">
        <v>2376</v>
      </c>
      <c r="E2270" t="s">
        <v>1388</v>
      </c>
      <c r="F2270">
        <v>5245</v>
      </c>
      <c r="G2270">
        <v>1</v>
      </c>
      <c r="H2270" t="s">
        <v>16</v>
      </c>
      <c r="I2270" s="1">
        <v>-2050700</v>
      </c>
      <c r="J2270" s="1">
        <v>-4280300</v>
      </c>
      <c r="K2270">
        <v>580</v>
      </c>
      <c r="L2270">
        <v>145</v>
      </c>
      <c r="M2270" t="s">
        <v>16</v>
      </c>
    </row>
    <row r="2271" spans="1:13" x14ac:dyDescent="0.35">
      <c r="A2271">
        <v>310260</v>
      </c>
      <c r="B2271">
        <v>19763</v>
      </c>
      <c r="C2271" t="s">
        <v>2424</v>
      </c>
      <c r="D2271" t="s">
        <v>2376</v>
      </c>
      <c r="E2271" t="s">
        <v>2404</v>
      </c>
      <c r="F2271">
        <v>34956</v>
      </c>
      <c r="G2271">
        <v>1</v>
      </c>
      <c r="H2271" t="s">
        <v>16</v>
      </c>
      <c r="I2271" s="1">
        <v>-2206800</v>
      </c>
      <c r="J2271" s="1">
        <v>-4656900</v>
      </c>
      <c r="K2271">
        <v>913</v>
      </c>
      <c r="L2271">
        <v>467</v>
      </c>
      <c r="M2271" t="s">
        <v>16</v>
      </c>
    </row>
    <row r="2272" spans="1:13" x14ac:dyDescent="0.35">
      <c r="A2272">
        <v>310270</v>
      </c>
      <c r="B2272">
        <v>19771</v>
      </c>
      <c r="C2272" t="s">
        <v>2425</v>
      </c>
      <c r="D2272" t="s">
        <v>2376</v>
      </c>
      <c r="E2272" t="s">
        <v>2426</v>
      </c>
      <c r="F2272">
        <v>9089</v>
      </c>
      <c r="G2272">
        <v>1</v>
      </c>
      <c r="H2272" t="s">
        <v>16</v>
      </c>
      <c r="I2272" s="1">
        <v>-1596600</v>
      </c>
      <c r="J2272" s="1">
        <v>-4149800</v>
      </c>
      <c r="K2272">
        <v>721</v>
      </c>
      <c r="L2272">
        <v>673</v>
      </c>
      <c r="M2272" t="s">
        <v>16</v>
      </c>
    </row>
    <row r="2273" spans="1:13" x14ac:dyDescent="0.35">
      <c r="A2273">
        <v>310280</v>
      </c>
      <c r="B2273">
        <v>19780</v>
      </c>
      <c r="C2273" t="s">
        <v>2427</v>
      </c>
      <c r="D2273" t="s">
        <v>2376</v>
      </c>
      <c r="E2273" t="s">
        <v>2400</v>
      </c>
      <c r="F2273">
        <v>12035</v>
      </c>
      <c r="G2273">
        <v>1</v>
      </c>
      <c r="H2273" t="s">
        <v>16</v>
      </c>
      <c r="I2273" s="1">
        <v>-2174000</v>
      </c>
      <c r="J2273" s="1">
        <v>-4430900</v>
      </c>
      <c r="K2273">
        <v>998</v>
      </c>
      <c r="L2273">
        <v>1004</v>
      </c>
      <c r="M2273" t="s">
        <v>16</v>
      </c>
    </row>
    <row r="2274" spans="1:13" x14ac:dyDescent="0.35">
      <c r="A2274">
        <v>310285</v>
      </c>
      <c r="B2274">
        <v>55174</v>
      </c>
      <c r="C2274" t="s">
        <v>2428</v>
      </c>
      <c r="D2274" t="s">
        <v>2376</v>
      </c>
      <c r="E2274" t="s">
        <v>2429</v>
      </c>
      <c r="F2274">
        <v>8130</v>
      </c>
      <c r="G2274">
        <v>1</v>
      </c>
      <c r="H2274" t="s">
        <v>16</v>
      </c>
      <c r="I2274" s="1">
        <v>-1773000</v>
      </c>
      <c r="J2274" s="1">
        <v>-4226500</v>
      </c>
      <c r="K2274">
        <v>891</v>
      </c>
      <c r="L2274">
        <v>184</v>
      </c>
      <c r="M2274" t="s">
        <v>16</v>
      </c>
    </row>
    <row r="2275" spans="1:13" x14ac:dyDescent="0.35">
      <c r="A2275">
        <v>310290</v>
      </c>
      <c r="B2275">
        <v>19798</v>
      </c>
      <c r="C2275" t="s">
        <v>2430</v>
      </c>
      <c r="D2275" t="s">
        <v>2376</v>
      </c>
      <c r="E2275" t="s">
        <v>2409</v>
      </c>
      <c r="F2275">
        <v>11172</v>
      </c>
      <c r="G2275">
        <v>1</v>
      </c>
      <c r="H2275" t="s">
        <v>16</v>
      </c>
      <c r="I2275" s="1">
        <v>-2131800</v>
      </c>
      <c r="J2275" s="1">
        <v>-4374700</v>
      </c>
      <c r="K2275">
        <v>1058</v>
      </c>
      <c r="L2275">
        <v>525</v>
      </c>
      <c r="M2275" t="s">
        <v>16</v>
      </c>
    </row>
    <row r="2276" spans="1:13" x14ac:dyDescent="0.35">
      <c r="A2276">
        <v>310300</v>
      </c>
      <c r="B2276">
        <v>19801</v>
      </c>
      <c r="C2276" t="s">
        <v>2431</v>
      </c>
      <c r="D2276" t="s">
        <v>2376</v>
      </c>
      <c r="E2276" t="s">
        <v>2385</v>
      </c>
      <c r="F2276">
        <v>9435</v>
      </c>
      <c r="G2276">
        <v>4</v>
      </c>
      <c r="H2276" t="s">
        <v>2386</v>
      </c>
      <c r="I2276" s="1">
        <v>-1965300</v>
      </c>
      <c r="J2276" s="1">
        <v>-4287200</v>
      </c>
      <c r="K2276">
        <v>398</v>
      </c>
      <c r="L2276">
        <v>877</v>
      </c>
      <c r="M2276" t="s">
        <v>16</v>
      </c>
    </row>
    <row r="2277" spans="1:13" x14ac:dyDescent="0.35">
      <c r="A2277">
        <v>310310</v>
      </c>
      <c r="B2277">
        <v>19810</v>
      </c>
      <c r="C2277" t="s">
        <v>2432</v>
      </c>
      <c r="D2277" t="s">
        <v>2376</v>
      </c>
      <c r="E2277" t="s">
        <v>2433</v>
      </c>
      <c r="F2277">
        <v>1962</v>
      </c>
      <c r="G2277">
        <v>1</v>
      </c>
      <c r="H2277" t="s">
        <v>16</v>
      </c>
      <c r="I2277" s="1">
        <v>-2101600</v>
      </c>
      <c r="J2277" s="1">
        <v>-4210900</v>
      </c>
      <c r="K2277">
        <v>312</v>
      </c>
      <c r="L2277">
        <v>85</v>
      </c>
      <c r="M2277" t="s">
        <v>16</v>
      </c>
    </row>
    <row r="2278" spans="1:13" x14ac:dyDescent="0.35">
      <c r="A2278">
        <v>310320</v>
      </c>
      <c r="B2278">
        <v>19828</v>
      </c>
      <c r="C2278" t="s">
        <v>2434</v>
      </c>
      <c r="D2278" t="s">
        <v>2376</v>
      </c>
      <c r="E2278" t="s">
        <v>2435</v>
      </c>
      <c r="F2278">
        <v>2384</v>
      </c>
      <c r="G2278">
        <v>1</v>
      </c>
      <c r="H2278" t="s">
        <v>16</v>
      </c>
      <c r="I2278" s="1">
        <v>-1919900</v>
      </c>
      <c r="J2278" s="1">
        <v>-4424800</v>
      </c>
      <c r="K2278">
        <v>739</v>
      </c>
      <c r="L2278">
        <v>185</v>
      </c>
      <c r="M2278" t="s">
        <v>16</v>
      </c>
    </row>
    <row r="2279" spans="1:13" x14ac:dyDescent="0.35">
      <c r="A2279">
        <v>310330</v>
      </c>
      <c r="B2279">
        <v>19836</v>
      </c>
      <c r="C2279" t="s">
        <v>2436</v>
      </c>
      <c r="D2279" t="s">
        <v>2376</v>
      </c>
      <c r="E2279" t="s">
        <v>2437</v>
      </c>
      <c r="F2279">
        <v>1875</v>
      </c>
      <c r="G2279">
        <v>1</v>
      </c>
      <c r="H2279" t="s">
        <v>16</v>
      </c>
      <c r="I2279" s="1">
        <v>-2134300</v>
      </c>
      <c r="J2279" s="1">
        <v>-4337800</v>
      </c>
      <c r="K2279">
        <v>573</v>
      </c>
      <c r="L2279">
        <v>105</v>
      </c>
      <c r="M2279" t="s">
        <v>16</v>
      </c>
    </row>
    <row r="2280" spans="1:13" x14ac:dyDescent="0.35">
      <c r="A2280">
        <v>310340</v>
      </c>
      <c r="B2280">
        <v>19844</v>
      </c>
      <c r="C2280" t="s">
        <v>2438</v>
      </c>
      <c r="D2280" t="s">
        <v>2376</v>
      </c>
      <c r="E2280" t="s">
        <v>2439</v>
      </c>
      <c r="F2280">
        <v>36083</v>
      </c>
      <c r="G2280">
        <v>1</v>
      </c>
      <c r="H2280" t="s">
        <v>16</v>
      </c>
      <c r="I2280" s="1">
        <v>-1685000</v>
      </c>
      <c r="J2280" s="1">
        <v>-4207000</v>
      </c>
      <c r="K2280">
        <v>307</v>
      </c>
      <c r="L2280">
        <v>2235</v>
      </c>
      <c r="M2280" t="s">
        <v>16</v>
      </c>
    </row>
    <row r="2281" spans="1:13" x14ac:dyDescent="0.35">
      <c r="A2281">
        <v>310350</v>
      </c>
      <c r="B2281">
        <v>19852</v>
      </c>
      <c r="C2281" t="s">
        <v>2440</v>
      </c>
      <c r="D2281" t="s">
        <v>2376</v>
      </c>
      <c r="E2281" t="s">
        <v>2441</v>
      </c>
      <c r="F2281">
        <v>106403</v>
      </c>
      <c r="G2281">
        <v>3</v>
      </c>
      <c r="H2281" t="s">
        <v>16</v>
      </c>
      <c r="I2281" s="1">
        <v>-1864900</v>
      </c>
      <c r="J2281" s="1">
        <v>-4818700</v>
      </c>
      <c r="K2281">
        <v>921</v>
      </c>
      <c r="L2281">
        <v>2730</v>
      </c>
      <c r="M2281" t="s">
        <v>16</v>
      </c>
    </row>
    <row r="2282" spans="1:13" x14ac:dyDescent="0.35">
      <c r="A2282">
        <v>310360</v>
      </c>
      <c r="B2282">
        <v>19860</v>
      </c>
      <c r="C2282" t="s">
        <v>2442</v>
      </c>
      <c r="D2282" t="s">
        <v>2376</v>
      </c>
      <c r="E2282" t="s">
        <v>2400</v>
      </c>
      <c r="F2282">
        <v>2544</v>
      </c>
      <c r="G2282">
        <v>1</v>
      </c>
      <c r="H2282" t="s">
        <v>16</v>
      </c>
      <c r="I2282" s="1">
        <v>-2191100</v>
      </c>
      <c r="J2282" s="1">
        <v>-4425600</v>
      </c>
      <c r="K2282">
        <v>1049</v>
      </c>
      <c r="L2282">
        <v>89</v>
      </c>
      <c r="M2282" t="s">
        <v>16</v>
      </c>
    </row>
    <row r="2283" spans="1:13" x14ac:dyDescent="0.35">
      <c r="A2283">
        <v>310370</v>
      </c>
      <c r="B2283">
        <v>19879</v>
      </c>
      <c r="C2283" t="s">
        <v>2443</v>
      </c>
      <c r="D2283" t="s">
        <v>2376</v>
      </c>
      <c r="E2283" t="s">
        <v>1388</v>
      </c>
      <c r="F2283">
        <v>8029</v>
      </c>
      <c r="G2283">
        <v>1</v>
      </c>
      <c r="H2283" t="s">
        <v>16</v>
      </c>
      <c r="I2283" s="1">
        <v>-2066700</v>
      </c>
      <c r="J2283" s="1">
        <v>-4252100</v>
      </c>
      <c r="K2283">
        <v>1040</v>
      </c>
      <c r="L2283">
        <v>304</v>
      </c>
      <c r="M2283" t="s">
        <v>16</v>
      </c>
    </row>
    <row r="2284" spans="1:13" x14ac:dyDescent="0.35">
      <c r="A2284">
        <v>310375</v>
      </c>
      <c r="B2284">
        <v>50563</v>
      </c>
      <c r="C2284" t="s">
        <v>2444</v>
      </c>
      <c r="D2284" t="s">
        <v>2376</v>
      </c>
      <c r="E2284" t="s">
        <v>2441</v>
      </c>
      <c r="F2284">
        <v>6113</v>
      </c>
      <c r="G2284">
        <v>1</v>
      </c>
      <c r="H2284" t="s">
        <v>16</v>
      </c>
      <c r="I2284" s="1">
        <v>-1843700</v>
      </c>
      <c r="J2284" s="1">
        <v>-4918700</v>
      </c>
      <c r="K2284">
        <v>461</v>
      </c>
      <c r="L2284">
        <v>298</v>
      </c>
      <c r="M2284" t="s">
        <v>16</v>
      </c>
    </row>
    <row r="2285" spans="1:13" x14ac:dyDescent="0.35">
      <c r="A2285">
        <v>310380</v>
      </c>
      <c r="B2285">
        <v>19887</v>
      </c>
      <c r="C2285" t="s">
        <v>2445</v>
      </c>
      <c r="D2285" t="s">
        <v>2376</v>
      </c>
      <c r="E2285" t="s">
        <v>2446</v>
      </c>
      <c r="F2285">
        <v>2699</v>
      </c>
      <c r="G2285">
        <v>1</v>
      </c>
      <c r="H2285" t="s">
        <v>16</v>
      </c>
      <c r="I2285" s="1">
        <v>-1903400</v>
      </c>
      <c r="J2285" s="1">
        <v>-4615600</v>
      </c>
      <c r="K2285">
        <v>1031</v>
      </c>
      <c r="L2285">
        <v>172</v>
      </c>
      <c r="M2285" t="s">
        <v>16</v>
      </c>
    </row>
    <row r="2286" spans="1:13" x14ac:dyDescent="0.35">
      <c r="A2286">
        <v>310390</v>
      </c>
      <c r="B2286">
        <v>19895</v>
      </c>
      <c r="C2286" t="s">
        <v>2447</v>
      </c>
      <c r="D2286" t="s">
        <v>2376</v>
      </c>
      <c r="E2286" t="s">
        <v>2448</v>
      </c>
      <c r="F2286">
        <v>7201</v>
      </c>
      <c r="G2286">
        <v>1</v>
      </c>
      <c r="H2286" t="s">
        <v>16</v>
      </c>
      <c r="I2286" s="1">
        <v>-1994800</v>
      </c>
      <c r="J2286" s="1">
        <v>-4516600</v>
      </c>
      <c r="K2286">
        <v>821</v>
      </c>
      <c r="L2286">
        <v>245</v>
      </c>
      <c r="M2286" t="s">
        <v>16</v>
      </c>
    </row>
    <row r="2287" spans="1:13" x14ac:dyDescent="0.35">
      <c r="A2287">
        <v>310400</v>
      </c>
      <c r="B2287">
        <v>19909</v>
      </c>
      <c r="C2287" t="s">
        <v>2449</v>
      </c>
      <c r="D2287" t="s">
        <v>2376</v>
      </c>
      <c r="E2287" t="s">
        <v>2450</v>
      </c>
      <c r="F2287">
        <v>87764</v>
      </c>
      <c r="G2287">
        <v>2</v>
      </c>
      <c r="H2287" t="s">
        <v>16</v>
      </c>
      <c r="I2287" s="1">
        <v>-1959300</v>
      </c>
      <c r="J2287" s="1">
        <v>-4694100</v>
      </c>
      <c r="K2287">
        <v>997</v>
      </c>
      <c r="L2287">
        <v>1165</v>
      </c>
      <c r="M2287" t="s">
        <v>16</v>
      </c>
    </row>
    <row r="2288" spans="1:13" x14ac:dyDescent="0.35">
      <c r="A2288">
        <v>310410</v>
      </c>
      <c r="B2288">
        <v>19917</v>
      </c>
      <c r="C2288" t="s">
        <v>2451</v>
      </c>
      <c r="D2288" t="s">
        <v>2376</v>
      </c>
      <c r="E2288" t="s">
        <v>2452</v>
      </c>
      <c r="F2288">
        <v>7994</v>
      </c>
      <c r="G2288">
        <v>1</v>
      </c>
      <c r="H2288" t="s">
        <v>16</v>
      </c>
      <c r="I2288" s="1">
        <v>-2136400</v>
      </c>
      <c r="J2288" s="1">
        <v>-4694000</v>
      </c>
      <c r="K2288">
        <v>693</v>
      </c>
      <c r="L2288">
        <v>162</v>
      </c>
      <c r="M2288" t="s">
        <v>16</v>
      </c>
    </row>
    <row r="2289" spans="1:13" x14ac:dyDescent="0.35">
      <c r="A2289">
        <v>310420</v>
      </c>
      <c r="B2289">
        <v>19925</v>
      </c>
      <c r="C2289" t="s">
        <v>2453</v>
      </c>
      <c r="D2289" t="s">
        <v>2376</v>
      </c>
      <c r="E2289" t="s">
        <v>2454</v>
      </c>
      <c r="F2289">
        <v>34763</v>
      </c>
      <c r="G2289">
        <v>1</v>
      </c>
      <c r="H2289" t="s">
        <v>16</v>
      </c>
      <c r="I2289" s="1">
        <v>-2028200</v>
      </c>
      <c r="J2289" s="1">
        <v>-4553900</v>
      </c>
      <c r="K2289">
        <v>740</v>
      </c>
      <c r="L2289">
        <v>510</v>
      </c>
      <c r="M2289" t="s">
        <v>16</v>
      </c>
    </row>
    <row r="2290" spans="1:13" x14ac:dyDescent="0.35">
      <c r="A2290">
        <v>310430</v>
      </c>
      <c r="B2290">
        <v>19933</v>
      </c>
      <c r="C2290" t="s">
        <v>2455</v>
      </c>
      <c r="D2290" t="s">
        <v>2376</v>
      </c>
      <c r="E2290" t="s">
        <v>2407</v>
      </c>
      <c r="F2290">
        <v>13181</v>
      </c>
      <c r="G2290">
        <v>1</v>
      </c>
      <c r="H2290" t="s">
        <v>16</v>
      </c>
      <c r="I2290" s="1">
        <v>-2135900</v>
      </c>
      <c r="J2290" s="1">
        <v>-4614600</v>
      </c>
      <c r="K2290">
        <v>815</v>
      </c>
      <c r="L2290">
        <v>280</v>
      </c>
      <c r="M2290" t="s">
        <v>16</v>
      </c>
    </row>
    <row r="2291" spans="1:13" x14ac:dyDescent="0.35">
      <c r="A2291">
        <v>310440</v>
      </c>
      <c r="B2291">
        <v>19941</v>
      </c>
      <c r="C2291" t="s">
        <v>2456</v>
      </c>
      <c r="D2291" t="s">
        <v>2376</v>
      </c>
      <c r="E2291" t="s">
        <v>2406</v>
      </c>
      <c r="F2291">
        <v>2995</v>
      </c>
      <c r="G2291">
        <v>1</v>
      </c>
      <c r="H2291" t="s">
        <v>16</v>
      </c>
      <c r="I2291" s="1">
        <v>-2161000</v>
      </c>
      <c r="J2291" s="1">
        <v>-4283600</v>
      </c>
      <c r="K2291">
        <v>250</v>
      </c>
      <c r="L2291">
        <v>159</v>
      </c>
      <c r="M2291" t="s">
        <v>16</v>
      </c>
    </row>
    <row r="2292" spans="1:13" x14ac:dyDescent="0.35">
      <c r="A2292">
        <v>310445</v>
      </c>
      <c r="B2292">
        <v>55182</v>
      </c>
      <c r="C2292" t="s">
        <v>2457</v>
      </c>
      <c r="D2292" t="s">
        <v>2376</v>
      </c>
      <c r="E2292" t="s">
        <v>2429</v>
      </c>
      <c r="F2292">
        <v>4832</v>
      </c>
      <c r="G2292">
        <v>1</v>
      </c>
      <c r="H2292" t="s">
        <v>16</v>
      </c>
      <c r="I2292" s="1">
        <v>-1786700</v>
      </c>
      <c r="J2292" s="1">
        <v>-4255700</v>
      </c>
      <c r="K2292">
        <v>682</v>
      </c>
      <c r="L2292">
        <v>243</v>
      </c>
      <c r="M2292" t="s">
        <v>16</v>
      </c>
    </row>
    <row r="2293" spans="1:13" x14ac:dyDescent="0.35">
      <c r="A2293">
        <v>310450</v>
      </c>
      <c r="B2293">
        <v>19950</v>
      </c>
      <c r="C2293" t="s">
        <v>2458</v>
      </c>
      <c r="D2293" t="s">
        <v>2376</v>
      </c>
      <c r="E2293" t="s">
        <v>2459</v>
      </c>
      <c r="F2293">
        <v>17592</v>
      </c>
      <c r="G2293">
        <v>1</v>
      </c>
      <c r="H2293" t="s">
        <v>16</v>
      </c>
      <c r="I2293" s="1">
        <v>-1591700</v>
      </c>
      <c r="J2293" s="1">
        <v>-4610600</v>
      </c>
      <c r="K2293">
        <v>509</v>
      </c>
      <c r="L2293">
        <v>5322</v>
      </c>
      <c r="M2293" t="s">
        <v>16</v>
      </c>
    </row>
    <row r="2294" spans="1:13" x14ac:dyDescent="0.35">
      <c r="A2294">
        <v>310460</v>
      </c>
      <c r="B2294">
        <v>19968</v>
      </c>
      <c r="C2294" t="s">
        <v>2460</v>
      </c>
      <c r="D2294" t="s">
        <v>2376</v>
      </c>
      <c r="E2294" t="s">
        <v>2461</v>
      </c>
      <c r="F2294">
        <v>12510</v>
      </c>
      <c r="G2294">
        <v>1</v>
      </c>
      <c r="H2294" t="s">
        <v>16</v>
      </c>
      <c r="I2294" s="1">
        <v>-2131500</v>
      </c>
      <c r="J2294" s="1">
        <v>-4286200</v>
      </c>
      <c r="K2294">
        <v>257</v>
      </c>
      <c r="L2294">
        <v>159</v>
      </c>
      <c r="M2294" t="s">
        <v>16</v>
      </c>
    </row>
    <row r="2295" spans="1:13" x14ac:dyDescent="0.35">
      <c r="A2295">
        <v>310470</v>
      </c>
      <c r="B2295">
        <v>19976</v>
      </c>
      <c r="C2295" t="s">
        <v>2462</v>
      </c>
      <c r="D2295" t="s">
        <v>2376</v>
      </c>
      <c r="E2295" t="s">
        <v>2463</v>
      </c>
      <c r="F2295">
        <v>15078</v>
      </c>
      <c r="G2295">
        <v>1</v>
      </c>
      <c r="H2295" t="s">
        <v>16</v>
      </c>
      <c r="I2295" s="1">
        <v>-1804400</v>
      </c>
      <c r="J2295" s="1">
        <v>-4111000</v>
      </c>
      <c r="K2295">
        <v>240</v>
      </c>
      <c r="L2295">
        <v>1838</v>
      </c>
      <c r="M2295" t="s">
        <v>16</v>
      </c>
    </row>
    <row r="2296" spans="1:13" x14ac:dyDescent="0.35">
      <c r="A2296">
        <v>310480</v>
      </c>
      <c r="B2296">
        <v>19984</v>
      </c>
      <c r="C2296" t="s">
        <v>2464</v>
      </c>
      <c r="D2296" t="s">
        <v>2376</v>
      </c>
      <c r="E2296" t="s">
        <v>2465</v>
      </c>
      <c r="F2296">
        <v>4589</v>
      </c>
      <c r="G2296">
        <v>1</v>
      </c>
      <c r="H2296" t="s">
        <v>16</v>
      </c>
      <c r="I2296" s="1">
        <v>-1810900</v>
      </c>
      <c r="J2296" s="1">
        <v>-4426700</v>
      </c>
      <c r="K2296">
        <v>534</v>
      </c>
      <c r="L2296">
        <v>1250</v>
      </c>
      <c r="M2296" t="s">
        <v>16</v>
      </c>
    </row>
    <row r="2297" spans="1:13" x14ac:dyDescent="0.35">
      <c r="A2297">
        <v>310490</v>
      </c>
      <c r="B2297">
        <v>19992</v>
      </c>
      <c r="C2297" t="s">
        <v>2466</v>
      </c>
      <c r="D2297" t="s">
        <v>2376</v>
      </c>
      <c r="E2297" t="s">
        <v>2402</v>
      </c>
      <c r="F2297">
        <v>18016</v>
      </c>
      <c r="G2297">
        <v>1</v>
      </c>
      <c r="H2297" t="s">
        <v>16</v>
      </c>
      <c r="I2297" s="1">
        <v>-2195900</v>
      </c>
      <c r="J2297" s="1">
        <v>-4489000</v>
      </c>
      <c r="K2297">
        <v>893</v>
      </c>
      <c r="L2297">
        <v>751</v>
      </c>
      <c r="M2297" t="s">
        <v>16</v>
      </c>
    </row>
    <row r="2298" spans="1:13" x14ac:dyDescent="0.35">
      <c r="A2298">
        <v>310500</v>
      </c>
      <c r="B2298">
        <v>20001</v>
      </c>
      <c r="C2298" t="s">
        <v>2467</v>
      </c>
      <c r="D2298" t="s">
        <v>2376</v>
      </c>
      <c r="E2298" t="s">
        <v>2435</v>
      </c>
      <c r="F2298">
        <v>8274</v>
      </c>
      <c r="G2298">
        <v>4</v>
      </c>
      <c r="H2298" t="s">
        <v>2468</v>
      </c>
      <c r="I2298" s="1">
        <v>-1928800</v>
      </c>
      <c r="J2298" s="1">
        <v>-4395700</v>
      </c>
      <c r="K2298">
        <v>603</v>
      </c>
      <c r="L2298">
        <v>554</v>
      </c>
      <c r="M2298" t="s">
        <v>16</v>
      </c>
    </row>
    <row r="2299" spans="1:13" x14ac:dyDescent="0.35">
      <c r="A2299">
        <v>310510</v>
      </c>
      <c r="B2299">
        <v>20010</v>
      </c>
      <c r="C2299" t="s">
        <v>2469</v>
      </c>
      <c r="D2299" t="s">
        <v>2376</v>
      </c>
      <c r="E2299" t="s">
        <v>2470</v>
      </c>
      <c r="F2299">
        <v>21850</v>
      </c>
      <c r="G2299">
        <v>1</v>
      </c>
      <c r="H2299" t="s">
        <v>16</v>
      </c>
      <c r="I2299" s="1">
        <v>-2000600</v>
      </c>
      <c r="J2299" s="1">
        <v>-4597700</v>
      </c>
      <c r="K2299">
        <v>706</v>
      </c>
      <c r="L2299">
        <v>1455</v>
      </c>
      <c r="M2299" t="s">
        <v>16</v>
      </c>
    </row>
    <row r="2300" spans="1:13" x14ac:dyDescent="0.35">
      <c r="A2300">
        <v>310520</v>
      </c>
      <c r="B2300">
        <v>20028</v>
      </c>
      <c r="C2300" t="s">
        <v>2471</v>
      </c>
      <c r="D2300" t="s">
        <v>2376</v>
      </c>
      <c r="E2300" t="s">
        <v>2410</v>
      </c>
      <c r="F2300">
        <v>5337</v>
      </c>
      <c r="G2300">
        <v>1</v>
      </c>
      <c r="H2300" t="s">
        <v>16</v>
      </c>
      <c r="I2300" s="1">
        <v>-1588500</v>
      </c>
      <c r="J2300" s="1">
        <v>-4055900</v>
      </c>
      <c r="K2300">
        <v>292</v>
      </c>
      <c r="L2300">
        <v>484</v>
      </c>
      <c r="M2300" t="s">
        <v>16</v>
      </c>
    </row>
    <row r="2301" spans="1:13" x14ac:dyDescent="0.35">
      <c r="A2301">
        <v>310530</v>
      </c>
      <c r="B2301">
        <v>20036</v>
      </c>
      <c r="C2301" t="s">
        <v>2472</v>
      </c>
      <c r="D2301" t="s">
        <v>2376</v>
      </c>
      <c r="E2301" t="s">
        <v>2404</v>
      </c>
      <c r="F2301">
        <v>5106</v>
      </c>
      <c r="G2301">
        <v>1</v>
      </c>
      <c r="H2301" t="s">
        <v>16</v>
      </c>
      <c r="I2301" s="1">
        <v>-2172800</v>
      </c>
      <c r="J2301" s="1">
        <v>-4638600</v>
      </c>
      <c r="K2301">
        <v>962</v>
      </c>
      <c r="L2301">
        <v>46</v>
      </c>
      <c r="M2301" t="s">
        <v>16</v>
      </c>
    </row>
    <row r="2302" spans="1:13" x14ac:dyDescent="0.35">
      <c r="A2302">
        <v>310540</v>
      </c>
      <c r="B2302">
        <v>20044</v>
      </c>
      <c r="C2302" t="s">
        <v>2473</v>
      </c>
      <c r="D2302" t="s">
        <v>2376</v>
      </c>
      <c r="E2302" t="s">
        <v>2420</v>
      </c>
      <c r="F2302">
        <v>26421</v>
      </c>
      <c r="G2302">
        <v>4</v>
      </c>
      <c r="H2302" t="s">
        <v>2468</v>
      </c>
      <c r="I2302" s="1">
        <v>-1994600</v>
      </c>
      <c r="J2302" s="1">
        <v>-4348700</v>
      </c>
      <c r="K2302">
        <v>740</v>
      </c>
      <c r="L2302">
        <v>340</v>
      </c>
      <c r="M2302" t="s">
        <v>16</v>
      </c>
    </row>
    <row r="2303" spans="1:13" x14ac:dyDescent="0.35">
      <c r="A2303">
        <v>310550</v>
      </c>
      <c r="B2303">
        <v>20052</v>
      </c>
      <c r="C2303" t="s">
        <v>2474</v>
      </c>
      <c r="D2303" t="s">
        <v>2376</v>
      </c>
      <c r="E2303" t="s">
        <v>2433</v>
      </c>
      <c r="F2303">
        <v>5656</v>
      </c>
      <c r="G2303">
        <v>1</v>
      </c>
      <c r="H2303" t="s">
        <v>16</v>
      </c>
      <c r="I2303" s="1">
        <v>-2124500</v>
      </c>
      <c r="J2303" s="1">
        <v>-4223800</v>
      </c>
      <c r="K2303">
        <v>205</v>
      </c>
      <c r="L2303">
        <v>199</v>
      </c>
      <c r="M2303" t="s">
        <v>16</v>
      </c>
    </row>
    <row r="2304" spans="1:13" x14ac:dyDescent="0.35">
      <c r="A2304">
        <v>310560</v>
      </c>
      <c r="B2304">
        <v>20060</v>
      </c>
      <c r="C2304" t="s">
        <v>2409</v>
      </c>
      <c r="D2304" t="s">
        <v>2376</v>
      </c>
      <c r="E2304" t="s">
        <v>2409</v>
      </c>
      <c r="F2304">
        <v>122377</v>
      </c>
      <c r="G2304">
        <v>3</v>
      </c>
      <c r="H2304" t="s">
        <v>16</v>
      </c>
      <c r="I2304" s="1">
        <v>-2122600</v>
      </c>
      <c r="J2304" s="1">
        <v>-4377400</v>
      </c>
      <c r="K2304">
        <v>1164</v>
      </c>
      <c r="L2304">
        <v>788</v>
      </c>
      <c r="M2304" t="s">
        <v>16</v>
      </c>
    </row>
    <row r="2305" spans="1:13" x14ac:dyDescent="0.35">
      <c r="A2305">
        <v>310570</v>
      </c>
      <c r="B2305">
        <v>20079</v>
      </c>
      <c r="C2305" t="s">
        <v>2475</v>
      </c>
      <c r="D2305" t="s">
        <v>2376</v>
      </c>
      <c r="E2305" t="s">
        <v>2383</v>
      </c>
      <c r="F2305">
        <v>6965</v>
      </c>
      <c r="G2305">
        <v>1</v>
      </c>
      <c r="H2305" t="s">
        <v>16</v>
      </c>
      <c r="I2305" s="1">
        <v>-2028300</v>
      </c>
      <c r="J2305" s="1">
        <v>-4304100</v>
      </c>
      <c r="K2305">
        <v>400</v>
      </c>
      <c r="L2305">
        <v>386</v>
      </c>
      <c r="M2305" t="s">
        <v>16</v>
      </c>
    </row>
    <row r="2306" spans="1:13" x14ac:dyDescent="0.35">
      <c r="A2306">
        <v>310590</v>
      </c>
      <c r="B2306">
        <v>20095</v>
      </c>
      <c r="C2306" t="s">
        <v>2476</v>
      </c>
      <c r="D2306" t="s">
        <v>2376</v>
      </c>
      <c r="E2306" t="s">
        <v>2409</v>
      </c>
      <c r="F2306">
        <v>19352</v>
      </c>
      <c r="G2306">
        <v>1</v>
      </c>
      <c r="H2306" t="s">
        <v>16</v>
      </c>
      <c r="I2306" s="1">
        <v>-2118700</v>
      </c>
      <c r="J2306" s="1">
        <v>-4397600</v>
      </c>
      <c r="K2306">
        <v>922</v>
      </c>
      <c r="L2306">
        <v>81</v>
      </c>
      <c r="M2306" t="s">
        <v>16</v>
      </c>
    </row>
    <row r="2307" spans="1:13" x14ac:dyDescent="0.35">
      <c r="A2307">
        <v>310600</v>
      </c>
      <c r="B2307">
        <v>20109</v>
      </c>
      <c r="C2307" t="s">
        <v>2477</v>
      </c>
      <c r="D2307" t="s">
        <v>2376</v>
      </c>
      <c r="E2307" t="s">
        <v>2420</v>
      </c>
      <c r="F2307">
        <v>9968</v>
      </c>
      <c r="G2307">
        <v>1</v>
      </c>
      <c r="H2307" t="s">
        <v>16</v>
      </c>
      <c r="I2307" s="1">
        <v>-1983000</v>
      </c>
      <c r="J2307" s="1">
        <v>-4309100</v>
      </c>
      <c r="K2307">
        <v>686</v>
      </c>
      <c r="L2307">
        <v>108</v>
      </c>
      <c r="M2307" t="s">
        <v>16</v>
      </c>
    </row>
    <row r="2308" spans="1:13" x14ac:dyDescent="0.35">
      <c r="A2308">
        <v>310610</v>
      </c>
      <c r="B2308">
        <v>20117</v>
      </c>
      <c r="C2308" t="s">
        <v>2478</v>
      </c>
      <c r="D2308" t="s">
        <v>2376</v>
      </c>
      <c r="E2308" t="s">
        <v>2437</v>
      </c>
      <c r="F2308">
        <v>3067</v>
      </c>
      <c r="G2308">
        <v>1</v>
      </c>
      <c r="H2308" t="s">
        <v>16</v>
      </c>
      <c r="I2308" s="1">
        <v>-2194900</v>
      </c>
      <c r="J2308" s="1">
        <v>-4341500</v>
      </c>
      <c r="K2308">
        <v>493</v>
      </c>
      <c r="L2308">
        <v>392</v>
      </c>
      <c r="M2308" t="s">
        <v>16</v>
      </c>
    </row>
    <row r="2309" spans="1:13" x14ac:dyDescent="0.35">
      <c r="A2309">
        <v>310620</v>
      </c>
      <c r="B2309">
        <v>19500</v>
      </c>
      <c r="C2309" t="s">
        <v>2479</v>
      </c>
      <c r="D2309" t="s">
        <v>2376</v>
      </c>
      <c r="E2309" t="s">
        <v>2479</v>
      </c>
      <c r="F2309">
        <v>2412937</v>
      </c>
      <c r="G2309">
        <v>5</v>
      </c>
      <c r="H2309" t="s">
        <v>2468</v>
      </c>
      <c r="I2309" s="1">
        <v>-1981700</v>
      </c>
      <c r="J2309" s="1">
        <v>-4395600</v>
      </c>
      <c r="K2309">
        <v>858</v>
      </c>
      <c r="L2309">
        <v>330</v>
      </c>
      <c r="M2309" t="s">
        <v>16</v>
      </c>
    </row>
    <row r="2310" spans="1:13" x14ac:dyDescent="0.35">
      <c r="A2310">
        <v>310630</v>
      </c>
      <c r="B2310">
        <v>20125</v>
      </c>
      <c r="C2310" t="s">
        <v>2480</v>
      </c>
      <c r="D2310" t="s">
        <v>2376</v>
      </c>
      <c r="E2310" t="s">
        <v>2385</v>
      </c>
      <c r="F2310">
        <v>21369</v>
      </c>
      <c r="G2310">
        <v>4</v>
      </c>
      <c r="H2310" t="s">
        <v>2386</v>
      </c>
      <c r="I2310" s="1">
        <v>-1922000</v>
      </c>
      <c r="J2310" s="1">
        <v>-4248400</v>
      </c>
      <c r="K2310">
        <v>300</v>
      </c>
      <c r="L2310">
        <v>336</v>
      </c>
      <c r="M2310" t="s">
        <v>16</v>
      </c>
    </row>
    <row r="2311" spans="1:13" x14ac:dyDescent="0.35">
      <c r="A2311">
        <v>310640</v>
      </c>
      <c r="B2311">
        <v>20133</v>
      </c>
      <c r="C2311" t="s">
        <v>2481</v>
      </c>
      <c r="D2311" t="s">
        <v>2376</v>
      </c>
      <c r="E2311" t="s">
        <v>2482</v>
      </c>
      <c r="F2311">
        <v>7267</v>
      </c>
      <c r="G2311">
        <v>4</v>
      </c>
      <c r="H2311" t="s">
        <v>2468</v>
      </c>
      <c r="I2311" s="1">
        <v>-2040800</v>
      </c>
      <c r="J2311" s="1">
        <v>-4402400</v>
      </c>
      <c r="K2311">
        <v>832</v>
      </c>
      <c r="L2311">
        <v>365</v>
      </c>
      <c r="M2311" t="s">
        <v>16</v>
      </c>
    </row>
    <row r="2312" spans="1:13" x14ac:dyDescent="0.35">
      <c r="A2312">
        <v>310650</v>
      </c>
      <c r="B2312">
        <v>20141</v>
      </c>
      <c r="C2312" t="s">
        <v>2483</v>
      </c>
      <c r="D2312" t="s">
        <v>2376</v>
      </c>
      <c r="E2312" t="s">
        <v>2429</v>
      </c>
      <c r="F2312">
        <v>13214</v>
      </c>
      <c r="G2312">
        <v>1</v>
      </c>
      <c r="H2312" t="s">
        <v>16</v>
      </c>
      <c r="I2312" s="1">
        <v>-1695200</v>
      </c>
      <c r="J2312" s="1">
        <v>-4246600</v>
      </c>
      <c r="K2312">
        <v>401</v>
      </c>
      <c r="L2312">
        <v>586</v>
      </c>
      <c r="M2312" t="s">
        <v>16</v>
      </c>
    </row>
    <row r="2313" spans="1:13" x14ac:dyDescent="0.35">
      <c r="A2313">
        <v>310660</v>
      </c>
      <c r="B2313">
        <v>20150</v>
      </c>
      <c r="C2313" t="s">
        <v>2484</v>
      </c>
      <c r="D2313" t="s">
        <v>2376</v>
      </c>
      <c r="E2313" t="s">
        <v>2394</v>
      </c>
      <c r="F2313">
        <v>4588</v>
      </c>
      <c r="G2313">
        <v>1</v>
      </c>
      <c r="H2313" t="s">
        <v>16</v>
      </c>
      <c r="I2313" s="1">
        <v>-1706300</v>
      </c>
      <c r="J2313" s="1">
        <v>-4057400</v>
      </c>
      <c r="K2313">
        <v>278</v>
      </c>
      <c r="L2313">
        <v>425</v>
      </c>
      <c r="M2313" t="s">
        <v>16</v>
      </c>
    </row>
    <row r="2314" spans="1:13" x14ac:dyDescent="0.35">
      <c r="A2314">
        <v>310665</v>
      </c>
      <c r="B2314">
        <v>55190</v>
      </c>
      <c r="C2314" t="s">
        <v>2485</v>
      </c>
      <c r="D2314" t="s">
        <v>2376</v>
      </c>
      <c r="E2314" t="s">
        <v>2396</v>
      </c>
      <c r="F2314">
        <v>4399</v>
      </c>
      <c r="G2314">
        <v>1</v>
      </c>
      <c r="H2314" t="s">
        <v>16</v>
      </c>
      <c r="I2314" s="1">
        <v>-1561300</v>
      </c>
      <c r="J2314" s="1">
        <v>-4174500</v>
      </c>
      <c r="K2314">
        <v>692</v>
      </c>
      <c r="L2314">
        <v>493</v>
      </c>
      <c r="M2314" t="s">
        <v>16</v>
      </c>
    </row>
    <row r="2315" spans="1:13" x14ac:dyDescent="0.35">
      <c r="A2315">
        <v>310670</v>
      </c>
      <c r="B2315">
        <v>20168</v>
      </c>
      <c r="C2315" t="s">
        <v>2486</v>
      </c>
      <c r="D2315" t="s">
        <v>2376</v>
      </c>
      <c r="E2315" t="s">
        <v>2479</v>
      </c>
      <c r="F2315">
        <v>415098</v>
      </c>
      <c r="G2315">
        <v>4</v>
      </c>
      <c r="H2315" t="s">
        <v>2468</v>
      </c>
      <c r="I2315" s="1">
        <v>-1996800</v>
      </c>
      <c r="J2315" s="1">
        <v>-4419800</v>
      </c>
      <c r="K2315">
        <v>860</v>
      </c>
      <c r="L2315">
        <v>345</v>
      </c>
      <c r="M2315" t="s">
        <v>16</v>
      </c>
    </row>
    <row r="2316" spans="1:13" x14ac:dyDescent="0.35">
      <c r="A2316">
        <v>310680</v>
      </c>
      <c r="B2316">
        <v>20176</v>
      </c>
      <c r="C2316" t="s">
        <v>2487</v>
      </c>
      <c r="D2316" t="s">
        <v>2376</v>
      </c>
      <c r="E2316" t="s">
        <v>2437</v>
      </c>
      <c r="F2316">
        <v>3880</v>
      </c>
      <c r="G2316">
        <v>1</v>
      </c>
      <c r="H2316" t="s">
        <v>16</v>
      </c>
      <c r="I2316" s="1">
        <v>-2160600</v>
      </c>
      <c r="J2316" s="1">
        <v>-4375700</v>
      </c>
      <c r="K2316">
        <v>763</v>
      </c>
      <c r="L2316">
        <v>284</v>
      </c>
      <c r="M2316" t="s">
        <v>16</v>
      </c>
    </row>
    <row r="2317" spans="1:13" x14ac:dyDescent="0.35">
      <c r="A2317">
        <v>310690</v>
      </c>
      <c r="B2317">
        <v>20184</v>
      </c>
      <c r="C2317" t="s">
        <v>2488</v>
      </c>
      <c r="D2317" t="s">
        <v>2376</v>
      </c>
      <c r="E2317" t="s">
        <v>2437</v>
      </c>
      <c r="F2317">
        <v>13638</v>
      </c>
      <c r="G2317">
        <v>1</v>
      </c>
      <c r="H2317" t="s">
        <v>16</v>
      </c>
      <c r="I2317" s="1">
        <v>-2172500</v>
      </c>
      <c r="J2317" s="1">
        <v>-4305900</v>
      </c>
      <c r="K2317">
        <v>601</v>
      </c>
      <c r="L2317">
        <v>139</v>
      </c>
      <c r="M2317" t="s">
        <v>16</v>
      </c>
    </row>
    <row r="2318" spans="1:13" x14ac:dyDescent="0.35">
      <c r="A2318">
        <v>310700</v>
      </c>
      <c r="B2318">
        <v>20192</v>
      </c>
      <c r="C2318" t="s">
        <v>2489</v>
      </c>
      <c r="D2318" t="s">
        <v>2376</v>
      </c>
      <c r="E2318" t="s">
        <v>2379</v>
      </c>
      <c r="F2318">
        <v>2592</v>
      </c>
      <c r="G2318">
        <v>1</v>
      </c>
      <c r="H2318" t="s">
        <v>16</v>
      </c>
      <c r="I2318" s="1">
        <v>-1878300</v>
      </c>
      <c r="J2318" s="1">
        <v>-4550200</v>
      </c>
      <c r="K2318">
        <v>629</v>
      </c>
      <c r="L2318">
        <v>457</v>
      </c>
      <c r="M2318" t="s">
        <v>16</v>
      </c>
    </row>
    <row r="2319" spans="1:13" x14ac:dyDescent="0.35">
      <c r="A2319">
        <v>310710</v>
      </c>
      <c r="B2319">
        <v>20206</v>
      </c>
      <c r="C2319" t="s">
        <v>2490</v>
      </c>
      <c r="D2319" t="s">
        <v>2376</v>
      </c>
      <c r="E2319" t="s">
        <v>2491</v>
      </c>
      <c r="F2319">
        <v>37801</v>
      </c>
      <c r="G2319">
        <v>1</v>
      </c>
      <c r="H2319" t="s">
        <v>16</v>
      </c>
      <c r="I2319" s="1">
        <v>-2109000</v>
      </c>
      <c r="J2319" s="1">
        <v>-4556600</v>
      </c>
      <c r="K2319">
        <v>775</v>
      </c>
      <c r="L2319">
        <v>858</v>
      </c>
      <c r="M2319" t="s">
        <v>16</v>
      </c>
    </row>
    <row r="2320" spans="1:13" x14ac:dyDescent="0.35">
      <c r="A2320">
        <v>310720</v>
      </c>
      <c r="B2320">
        <v>20214</v>
      </c>
      <c r="C2320" t="s">
        <v>2492</v>
      </c>
      <c r="D2320" t="s">
        <v>2376</v>
      </c>
      <c r="E2320" t="s">
        <v>2400</v>
      </c>
      <c r="F2320">
        <v>5034</v>
      </c>
      <c r="G2320">
        <v>1</v>
      </c>
      <c r="H2320" t="s">
        <v>16</v>
      </c>
      <c r="I2320" s="1">
        <v>-2216800</v>
      </c>
      <c r="J2320" s="1">
        <v>-4439500</v>
      </c>
      <c r="K2320">
        <v>1210</v>
      </c>
      <c r="L2320">
        <v>501</v>
      </c>
      <c r="M2320" t="s">
        <v>16</v>
      </c>
    </row>
    <row r="2321" spans="1:13" x14ac:dyDescent="0.35">
      <c r="A2321">
        <v>310730</v>
      </c>
      <c r="B2321">
        <v>20222</v>
      </c>
      <c r="C2321" t="s">
        <v>2493</v>
      </c>
      <c r="D2321" t="s">
        <v>2376</v>
      </c>
      <c r="E2321" t="s">
        <v>2494</v>
      </c>
      <c r="F2321">
        <v>44657</v>
      </c>
      <c r="G2321">
        <v>1</v>
      </c>
      <c r="H2321" t="s">
        <v>16</v>
      </c>
      <c r="I2321" s="1">
        <v>-1710800</v>
      </c>
      <c r="J2321" s="1">
        <v>-4381500</v>
      </c>
      <c r="K2321">
        <v>698</v>
      </c>
      <c r="L2321">
        <v>3232</v>
      </c>
      <c r="M2321" t="s">
        <v>16</v>
      </c>
    </row>
    <row r="2322" spans="1:13" x14ac:dyDescent="0.35">
      <c r="A2322">
        <v>310740</v>
      </c>
      <c r="B2322">
        <v>20230</v>
      </c>
      <c r="C2322" t="s">
        <v>2448</v>
      </c>
      <c r="D2322" t="s">
        <v>2376</v>
      </c>
      <c r="E2322" t="s">
        <v>2448</v>
      </c>
      <c r="F2322">
        <v>42260</v>
      </c>
      <c r="G2322">
        <v>1</v>
      </c>
      <c r="H2322" t="s">
        <v>16</v>
      </c>
      <c r="I2322" s="1">
        <v>-1973600</v>
      </c>
      <c r="J2322" s="1">
        <v>-4525200</v>
      </c>
      <c r="K2322">
        <v>769</v>
      </c>
      <c r="L2322">
        <v>1209</v>
      </c>
      <c r="M2322" t="s">
        <v>16</v>
      </c>
    </row>
    <row r="2323" spans="1:13" x14ac:dyDescent="0.35">
      <c r="A2323">
        <v>310750</v>
      </c>
      <c r="B2323">
        <v>20249</v>
      </c>
      <c r="C2323" t="s">
        <v>2495</v>
      </c>
      <c r="D2323" t="s">
        <v>2376</v>
      </c>
      <c r="E2323" t="s">
        <v>2400</v>
      </c>
      <c r="F2323">
        <v>6481</v>
      </c>
      <c r="G2323">
        <v>1</v>
      </c>
      <c r="H2323" t="s">
        <v>16</v>
      </c>
      <c r="I2323" s="1">
        <v>-2194700</v>
      </c>
      <c r="J2323" s="1">
        <v>-4419100</v>
      </c>
      <c r="K2323">
        <v>1112</v>
      </c>
      <c r="L2323">
        <v>395</v>
      </c>
      <c r="M2323" t="s">
        <v>16</v>
      </c>
    </row>
    <row r="2324" spans="1:13" x14ac:dyDescent="0.35">
      <c r="A2324">
        <v>310760</v>
      </c>
      <c r="B2324">
        <v>20257</v>
      </c>
      <c r="C2324" t="s">
        <v>2496</v>
      </c>
      <c r="D2324" t="s">
        <v>2376</v>
      </c>
      <c r="E2324" t="s">
        <v>2414</v>
      </c>
      <c r="F2324">
        <v>3787</v>
      </c>
      <c r="G2324">
        <v>1</v>
      </c>
      <c r="H2324" t="s">
        <v>16</v>
      </c>
      <c r="I2324" s="1">
        <v>-2101700</v>
      </c>
      <c r="J2324" s="1">
        <v>-4652300</v>
      </c>
      <c r="K2324">
        <v>990</v>
      </c>
      <c r="L2324">
        <v>209</v>
      </c>
      <c r="M2324" t="s">
        <v>16</v>
      </c>
    </row>
    <row r="2325" spans="1:13" x14ac:dyDescent="0.35">
      <c r="A2325">
        <v>310770</v>
      </c>
      <c r="B2325">
        <v>20265</v>
      </c>
      <c r="C2325" t="s">
        <v>2497</v>
      </c>
      <c r="D2325" t="s">
        <v>2376</v>
      </c>
      <c r="E2325" t="s">
        <v>2420</v>
      </c>
      <c r="F2325">
        <v>50000</v>
      </c>
      <c r="G2325">
        <v>2</v>
      </c>
      <c r="H2325" t="s">
        <v>16</v>
      </c>
      <c r="I2325" s="1">
        <v>-1970400</v>
      </c>
      <c r="J2325" s="1">
        <v>-4347400</v>
      </c>
      <c r="K2325">
        <v>693</v>
      </c>
      <c r="L2325">
        <v>195</v>
      </c>
      <c r="M2325" t="s">
        <v>16</v>
      </c>
    </row>
    <row r="2326" spans="1:13" x14ac:dyDescent="0.35">
      <c r="A2326">
        <v>310780</v>
      </c>
      <c r="B2326">
        <v>20273</v>
      </c>
      <c r="C2326" t="s">
        <v>2498</v>
      </c>
      <c r="D2326" t="s">
        <v>2376</v>
      </c>
      <c r="E2326" t="s">
        <v>2499</v>
      </c>
      <c r="F2326">
        <v>15198</v>
      </c>
      <c r="G2326">
        <v>1</v>
      </c>
      <c r="H2326" t="s">
        <v>16</v>
      </c>
      <c r="I2326" s="1">
        <v>-1982900</v>
      </c>
      <c r="J2326" s="1">
        <v>-4231600</v>
      </c>
      <c r="K2326">
        <v>542</v>
      </c>
      <c r="L2326">
        <v>590</v>
      </c>
      <c r="M2326" t="s">
        <v>16</v>
      </c>
    </row>
    <row r="2327" spans="1:13" x14ac:dyDescent="0.35">
      <c r="A2327">
        <v>310790</v>
      </c>
      <c r="B2327">
        <v>20281</v>
      </c>
      <c r="C2327" t="s">
        <v>2500</v>
      </c>
      <c r="D2327" t="s">
        <v>2376</v>
      </c>
      <c r="E2327" t="s">
        <v>2501</v>
      </c>
      <c r="F2327">
        <v>10482</v>
      </c>
      <c r="G2327">
        <v>1</v>
      </c>
      <c r="H2327" t="s">
        <v>16</v>
      </c>
      <c r="I2327" s="1">
        <v>-2247100</v>
      </c>
      <c r="J2327" s="1">
        <v>-4614500</v>
      </c>
      <c r="K2327">
        <v>1375</v>
      </c>
      <c r="L2327">
        <v>229</v>
      </c>
      <c r="M2327" t="s">
        <v>16</v>
      </c>
    </row>
    <row r="2328" spans="1:13" x14ac:dyDescent="0.35">
      <c r="A2328">
        <v>310800</v>
      </c>
      <c r="B2328">
        <v>20290</v>
      </c>
      <c r="C2328" t="s">
        <v>1438</v>
      </c>
      <c r="D2328" t="s">
        <v>2376</v>
      </c>
      <c r="E2328" t="s">
        <v>2502</v>
      </c>
      <c r="F2328">
        <v>17194</v>
      </c>
      <c r="G2328">
        <v>1</v>
      </c>
      <c r="H2328" t="s">
        <v>16</v>
      </c>
      <c r="I2328" s="1">
        <v>-2103300</v>
      </c>
      <c r="J2328" s="1">
        <v>-4475800</v>
      </c>
      <c r="K2328">
        <v>952</v>
      </c>
      <c r="L2328">
        <v>706</v>
      </c>
      <c r="M2328" t="s">
        <v>16</v>
      </c>
    </row>
    <row r="2329" spans="1:13" x14ac:dyDescent="0.35">
      <c r="A2329">
        <v>310810</v>
      </c>
      <c r="B2329">
        <v>20303</v>
      </c>
      <c r="C2329" t="s">
        <v>172</v>
      </c>
      <c r="D2329" t="s">
        <v>2376</v>
      </c>
      <c r="E2329" t="s">
        <v>2482</v>
      </c>
      <c r="F2329">
        <v>6715</v>
      </c>
      <c r="G2329">
        <v>4</v>
      </c>
      <c r="H2329" t="s">
        <v>2468</v>
      </c>
      <c r="I2329" s="1">
        <v>-2032700</v>
      </c>
      <c r="J2329" s="1">
        <v>-4423900</v>
      </c>
      <c r="K2329">
        <v>930</v>
      </c>
      <c r="L2329">
        <v>301</v>
      </c>
      <c r="M2329" t="s">
        <v>16</v>
      </c>
    </row>
    <row r="2330" spans="1:13" x14ac:dyDescent="0.35">
      <c r="A2330">
        <v>310820</v>
      </c>
      <c r="B2330">
        <v>20311</v>
      </c>
      <c r="C2330" t="s">
        <v>2503</v>
      </c>
      <c r="D2330" t="s">
        <v>2376</v>
      </c>
      <c r="E2330" t="s">
        <v>2459</v>
      </c>
      <c r="F2330">
        <v>5828</v>
      </c>
      <c r="G2330">
        <v>1</v>
      </c>
      <c r="H2330" t="s">
        <v>16</v>
      </c>
      <c r="I2330" s="1">
        <v>-1656700</v>
      </c>
      <c r="J2330" s="1">
        <v>-4599000</v>
      </c>
      <c r="K2330">
        <v>651</v>
      </c>
      <c r="L2330">
        <v>1778</v>
      </c>
      <c r="M2330" t="s">
        <v>16</v>
      </c>
    </row>
    <row r="2331" spans="1:13" x14ac:dyDescent="0.35">
      <c r="A2331">
        <v>310825</v>
      </c>
      <c r="B2331">
        <v>55204</v>
      </c>
      <c r="C2331" t="s">
        <v>2504</v>
      </c>
      <c r="D2331" t="s">
        <v>2376</v>
      </c>
      <c r="E2331" t="s">
        <v>2505</v>
      </c>
      <c r="F2331">
        <v>8787</v>
      </c>
      <c r="G2331">
        <v>1</v>
      </c>
      <c r="H2331" t="s">
        <v>16</v>
      </c>
      <c r="I2331" s="1">
        <v>-1532300</v>
      </c>
      <c r="J2331" s="1">
        <v>-4475400</v>
      </c>
      <c r="K2331">
        <v>629</v>
      </c>
      <c r="L2331">
        <v>3900</v>
      </c>
      <c r="M2331" t="s">
        <v>16</v>
      </c>
    </row>
    <row r="2332" spans="1:13" x14ac:dyDescent="0.35">
      <c r="A2332">
        <v>310830</v>
      </c>
      <c r="B2332">
        <v>20320</v>
      </c>
      <c r="C2332" t="s">
        <v>2506</v>
      </c>
      <c r="D2332" t="s">
        <v>2376</v>
      </c>
      <c r="E2332" t="s">
        <v>2501</v>
      </c>
      <c r="F2332">
        <v>14892</v>
      </c>
      <c r="G2332">
        <v>1</v>
      </c>
      <c r="H2332" t="s">
        <v>16</v>
      </c>
      <c r="I2332" s="1">
        <v>-2227400</v>
      </c>
      <c r="J2332" s="1">
        <v>-4616500</v>
      </c>
      <c r="K2332">
        <v>892</v>
      </c>
      <c r="L2332">
        <v>300</v>
      </c>
      <c r="M2332" t="s">
        <v>16</v>
      </c>
    </row>
    <row r="2333" spans="1:13" x14ac:dyDescent="0.35">
      <c r="A2333">
        <v>310840</v>
      </c>
      <c r="B2333">
        <v>20338</v>
      </c>
      <c r="C2333" t="s">
        <v>2507</v>
      </c>
      <c r="D2333" t="s">
        <v>2376</v>
      </c>
      <c r="E2333" t="s">
        <v>2404</v>
      </c>
      <c r="F2333">
        <v>14853</v>
      </c>
      <c r="G2333">
        <v>1</v>
      </c>
      <c r="H2333" t="s">
        <v>16</v>
      </c>
      <c r="I2333" s="1">
        <v>-2163300</v>
      </c>
      <c r="J2333" s="1">
        <v>-4639500</v>
      </c>
      <c r="K2333">
        <v>1008</v>
      </c>
      <c r="L2333">
        <v>333</v>
      </c>
      <c r="M2333" t="s">
        <v>16</v>
      </c>
    </row>
    <row r="2334" spans="1:13" x14ac:dyDescent="0.35">
      <c r="A2334">
        <v>310850</v>
      </c>
      <c r="B2334">
        <v>20346</v>
      </c>
      <c r="C2334" t="s">
        <v>2508</v>
      </c>
      <c r="D2334" t="s">
        <v>2376</v>
      </c>
      <c r="E2334" t="s">
        <v>2509</v>
      </c>
      <c r="F2334">
        <v>6435</v>
      </c>
      <c r="G2334">
        <v>1</v>
      </c>
      <c r="H2334" t="s">
        <v>16</v>
      </c>
      <c r="I2334" s="1">
        <v>-1687200</v>
      </c>
      <c r="J2334" s="1">
        <v>-4301100</v>
      </c>
      <c r="K2334">
        <v>948</v>
      </c>
      <c r="L2334">
        <v>1571</v>
      </c>
      <c r="M2334" t="s">
        <v>16</v>
      </c>
    </row>
    <row r="2335" spans="1:13" x14ac:dyDescent="0.35">
      <c r="A2335">
        <v>310855</v>
      </c>
      <c r="B2335">
        <v>55212</v>
      </c>
      <c r="C2335" t="s">
        <v>2510</v>
      </c>
      <c r="D2335" t="s">
        <v>2376</v>
      </c>
      <c r="E2335" t="s">
        <v>2511</v>
      </c>
      <c r="F2335">
        <v>12821</v>
      </c>
      <c r="G2335">
        <v>1</v>
      </c>
      <c r="H2335" t="s">
        <v>16</v>
      </c>
      <c r="I2335" s="1">
        <v>-1701000</v>
      </c>
      <c r="J2335" s="1">
        <v>-4600900</v>
      </c>
      <c r="K2335">
        <v>530</v>
      </c>
      <c r="L2335">
        <v>2515</v>
      </c>
      <c r="M2335" t="s">
        <v>16</v>
      </c>
    </row>
    <row r="2336" spans="1:13" x14ac:dyDescent="0.35">
      <c r="A2336">
        <v>310860</v>
      </c>
      <c r="B2336">
        <v>20354</v>
      </c>
      <c r="C2336" t="s">
        <v>2512</v>
      </c>
      <c r="D2336" t="s">
        <v>2376</v>
      </c>
      <c r="E2336" t="s">
        <v>2513</v>
      </c>
      <c r="F2336">
        <v>31165</v>
      </c>
      <c r="G2336">
        <v>1</v>
      </c>
      <c r="H2336" t="s">
        <v>16</v>
      </c>
      <c r="I2336" s="1">
        <v>-1620800</v>
      </c>
      <c r="J2336" s="1">
        <v>-4442900</v>
      </c>
      <c r="K2336">
        <v>732</v>
      </c>
      <c r="L2336">
        <v>1398</v>
      </c>
      <c r="M2336" t="s">
        <v>16</v>
      </c>
    </row>
    <row r="2337" spans="1:13" x14ac:dyDescent="0.35">
      <c r="A2337">
        <v>310870</v>
      </c>
      <c r="B2337">
        <v>20362</v>
      </c>
      <c r="C2337" t="s">
        <v>2514</v>
      </c>
      <c r="D2337" t="s">
        <v>2376</v>
      </c>
      <c r="E2337" t="s">
        <v>1388</v>
      </c>
      <c r="F2337">
        <v>4592</v>
      </c>
      <c r="G2337">
        <v>1</v>
      </c>
      <c r="H2337" t="s">
        <v>16</v>
      </c>
      <c r="I2337" s="1">
        <v>-2092100</v>
      </c>
      <c r="J2337" s="1">
        <v>-4324200</v>
      </c>
      <c r="K2337">
        <v>640</v>
      </c>
      <c r="L2337">
        <v>223</v>
      </c>
      <c r="M2337" t="s">
        <v>16</v>
      </c>
    </row>
    <row r="2338" spans="1:13" x14ac:dyDescent="0.35">
      <c r="A2338">
        <v>310880</v>
      </c>
      <c r="B2338">
        <v>20370</v>
      </c>
      <c r="C2338" t="s">
        <v>2515</v>
      </c>
      <c r="D2338" t="s">
        <v>2376</v>
      </c>
      <c r="E2338" t="s">
        <v>2516</v>
      </c>
      <c r="F2338">
        <v>5208</v>
      </c>
      <c r="G2338">
        <v>4</v>
      </c>
      <c r="H2338" t="s">
        <v>2386</v>
      </c>
      <c r="I2338" s="1">
        <v>-1905600</v>
      </c>
      <c r="J2338" s="1">
        <v>-4271600</v>
      </c>
      <c r="K2338">
        <v>425</v>
      </c>
      <c r="L2338">
        <v>377</v>
      </c>
      <c r="M2338" t="s">
        <v>16</v>
      </c>
    </row>
    <row r="2339" spans="1:13" x14ac:dyDescent="0.35">
      <c r="A2339">
        <v>310890</v>
      </c>
      <c r="B2339">
        <v>20389</v>
      </c>
      <c r="C2339" t="s">
        <v>2517</v>
      </c>
      <c r="D2339" t="s">
        <v>2376</v>
      </c>
      <c r="E2339" t="s">
        <v>2518</v>
      </c>
      <c r="F2339">
        <v>14452</v>
      </c>
      <c r="G2339">
        <v>1</v>
      </c>
      <c r="H2339" t="s">
        <v>16</v>
      </c>
      <c r="I2339" s="1">
        <v>-2247400</v>
      </c>
      <c r="J2339" s="1">
        <v>-4560800</v>
      </c>
      <c r="K2339">
        <v>922</v>
      </c>
      <c r="L2339">
        <v>361</v>
      </c>
      <c r="M2339" t="s">
        <v>16</v>
      </c>
    </row>
    <row r="2340" spans="1:13" x14ac:dyDescent="0.35">
      <c r="A2340">
        <v>310900</v>
      </c>
      <c r="B2340">
        <v>20397</v>
      </c>
      <c r="C2340" t="s">
        <v>2519</v>
      </c>
      <c r="D2340" t="s">
        <v>2376</v>
      </c>
      <c r="E2340" t="s">
        <v>2479</v>
      </c>
      <c r="F2340">
        <v>31965</v>
      </c>
      <c r="G2340">
        <v>4</v>
      </c>
      <c r="H2340" t="s">
        <v>2468</v>
      </c>
      <c r="I2340" s="1">
        <v>-2014300</v>
      </c>
      <c r="J2340" s="1">
        <v>-4420000</v>
      </c>
      <c r="K2340">
        <v>892</v>
      </c>
      <c r="L2340">
        <v>640</v>
      </c>
      <c r="M2340" t="s">
        <v>16</v>
      </c>
    </row>
    <row r="2341" spans="1:13" x14ac:dyDescent="0.35">
      <c r="A2341">
        <v>310910</v>
      </c>
      <c r="B2341">
        <v>20400</v>
      </c>
      <c r="C2341" t="s">
        <v>2520</v>
      </c>
      <c r="D2341" t="s">
        <v>2376</v>
      </c>
      <c r="E2341" t="s">
        <v>2501</v>
      </c>
      <c r="F2341">
        <v>10864</v>
      </c>
      <c r="G2341">
        <v>1</v>
      </c>
      <c r="H2341" t="s">
        <v>16</v>
      </c>
      <c r="I2341" s="1">
        <v>-2244100</v>
      </c>
      <c r="J2341" s="1">
        <v>-4635100</v>
      </c>
      <c r="K2341">
        <v>1204</v>
      </c>
      <c r="L2341">
        <v>355</v>
      </c>
      <c r="M2341" t="s">
        <v>16</v>
      </c>
    </row>
    <row r="2342" spans="1:13" x14ac:dyDescent="0.35">
      <c r="A2342">
        <v>310920</v>
      </c>
      <c r="B2342">
        <v>20419</v>
      </c>
      <c r="C2342" t="s">
        <v>2521</v>
      </c>
      <c r="D2342" t="s">
        <v>2376</v>
      </c>
      <c r="E2342" t="s">
        <v>2465</v>
      </c>
      <c r="F2342">
        <v>9522</v>
      </c>
      <c r="G2342">
        <v>1</v>
      </c>
      <c r="H2342" t="s">
        <v>16</v>
      </c>
      <c r="I2342" s="1">
        <v>-1787300</v>
      </c>
      <c r="J2342" s="1">
        <v>-4418000</v>
      </c>
      <c r="K2342">
        <v>586</v>
      </c>
      <c r="L2342">
        <v>1610</v>
      </c>
      <c r="M2342" t="s">
        <v>16</v>
      </c>
    </row>
    <row r="2343" spans="1:13" x14ac:dyDescent="0.35">
      <c r="A2343">
        <v>310925</v>
      </c>
      <c r="B2343">
        <v>55220</v>
      </c>
      <c r="C2343" t="s">
        <v>2522</v>
      </c>
      <c r="D2343" t="s">
        <v>2376</v>
      </c>
      <c r="E2343" t="s">
        <v>2499</v>
      </c>
      <c r="F2343">
        <v>3960</v>
      </c>
      <c r="G2343">
        <v>4</v>
      </c>
      <c r="H2343" t="s">
        <v>2386</v>
      </c>
      <c r="I2343" s="1">
        <v>-1940700</v>
      </c>
      <c r="J2343" s="1">
        <v>-4226500</v>
      </c>
      <c r="K2343">
        <v>410</v>
      </c>
      <c r="L2343">
        <v>162</v>
      </c>
      <c r="M2343" t="s">
        <v>16</v>
      </c>
    </row>
    <row r="2344" spans="1:13" x14ac:dyDescent="0.35">
      <c r="A2344">
        <v>310930</v>
      </c>
      <c r="B2344">
        <v>20427</v>
      </c>
      <c r="C2344" t="s">
        <v>44</v>
      </c>
      <c r="D2344" t="s">
        <v>2376</v>
      </c>
      <c r="E2344" t="s">
        <v>2459</v>
      </c>
      <c r="F2344">
        <v>21472</v>
      </c>
      <c r="G2344">
        <v>4</v>
      </c>
      <c r="H2344" t="s">
        <v>2523</v>
      </c>
      <c r="I2344" s="1">
        <v>-1561800</v>
      </c>
      <c r="J2344" s="1">
        <v>-4642300</v>
      </c>
      <c r="K2344">
        <v>538</v>
      </c>
      <c r="L2344">
        <v>5219</v>
      </c>
      <c r="M2344" t="s">
        <v>16</v>
      </c>
    </row>
    <row r="2345" spans="1:13" x14ac:dyDescent="0.35">
      <c r="A2345">
        <v>310940</v>
      </c>
      <c r="B2345">
        <v>20435</v>
      </c>
      <c r="C2345" t="s">
        <v>2524</v>
      </c>
      <c r="D2345" t="s">
        <v>2376</v>
      </c>
      <c r="E2345" t="s">
        <v>2525</v>
      </c>
      <c r="F2345">
        <v>26133</v>
      </c>
      <c r="G2345">
        <v>1</v>
      </c>
      <c r="H2345" t="s">
        <v>16</v>
      </c>
      <c r="I2345" s="1">
        <v>-1735100</v>
      </c>
      <c r="J2345" s="1">
        <v>-4496200</v>
      </c>
      <c r="K2345">
        <v>538</v>
      </c>
      <c r="L2345">
        <v>7225</v>
      </c>
      <c r="M2345" t="s">
        <v>16</v>
      </c>
    </row>
    <row r="2346" spans="1:13" x14ac:dyDescent="0.35">
      <c r="A2346">
        <v>310945</v>
      </c>
      <c r="B2346">
        <v>55239</v>
      </c>
      <c r="C2346" t="s">
        <v>2526</v>
      </c>
      <c r="D2346" t="s">
        <v>2376</v>
      </c>
      <c r="E2346" t="s">
        <v>2459</v>
      </c>
      <c r="F2346">
        <v>6294</v>
      </c>
      <c r="G2346">
        <v>1</v>
      </c>
      <c r="H2346" t="s">
        <v>16</v>
      </c>
      <c r="I2346" s="1">
        <v>-1603000</v>
      </c>
      <c r="J2346" s="1">
        <v>-4709100</v>
      </c>
      <c r="K2346">
        <v>923</v>
      </c>
      <c r="L2346">
        <v>1025</v>
      </c>
      <c r="M2346" t="s">
        <v>16</v>
      </c>
    </row>
    <row r="2347" spans="1:13" x14ac:dyDescent="0.35">
      <c r="A2347">
        <v>310950</v>
      </c>
      <c r="B2347">
        <v>20443</v>
      </c>
      <c r="C2347" t="s">
        <v>2527</v>
      </c>
      <c r="D2347" t="s">
        <v>2376</v>
      </c>
      <c r="E2347" t="s">
        <v>2452</v>
      </c>
      <c r="F2347">
        <v>13614</v>
      </c>
      <c r="G2347">
        <v>1</v>
      </c>
      <c r="H2347" t="s">
        <v>16</v>
      </c>
      <c r="I2347" s="1">
        <v>-2147200</v>
      </c>
      <c r="J2347" s="1">
        <v>-4639600</v>
      </c>
      <c r="K2347">
        <v>927</v>
      </c>
      <c r="L2347">
        <v>367</v>
      </c>
      <c r="M2347" t="s">
        <v>16</v>
      </c>
    </row>
    <row r="2348" spans="1:13" x14ac:dyDescent="0.35">
      <c r="A2348">
        <v>310960</v>
      </c>
      <c r="B2348">
        <v>20451</v>
      </c>
      <c r="C2348" t="s">
        <v>2528</v>
      </c>
      <c r="D2348" t="s">
        <v>2376</v>
      </c>
      <c r="E2348" t="s">
        <v>2435</v>
      </c>
      <c r="F2348">
        <v>3802</v>
      </c>
      <c r="G2348">
        <v>1</v>
      </c>
      <c r="H2348" t="s">
        <v>16</v>
      </c>
      <c r="I2348" s="1">
        <v>-1952500</v>
      </c>
      <c r="J2348" s="1">
        <v>-4445400</v>
      </c>
      <c r="K2348">
        <v>716</v>
      </c>
      <c r="L2348">
        <v>61</v>
      </c>
      <c r="M2348" t="s">
        <v>16</v>
      </c>
    </row>
    <row r="2349" spans="1:13" x14ac:dyDescent="0.35">
      <c r="A2349">
        <v>310970</v>
      </c>
      <c r="B2349">
        <v>20460</v>
      </c>
      <c r="C2349" t="s">
        <v>2529</v>
      </c>
      <c r="D2349" t="s">
        <v>2376</v>
      </c>
      <c r="E2349" t="s">
        <v>2530</v>
      </c>
      <c r="F2349">
        <v>10820</v>
      </c>
      <c r="G2349">
        <v>1</v>
      </c>
      <c r="H2349" t="s">
        <v>16</v>
      </c>
      <c r="I2349" s="1">
        <v>-2235500</v>
      </c>
      <c r="J2349" s="1">
        <v>-4577900</v>
      </c>
      <c r="K2349">
        <v>849</v>
      </c>
      <c r="L2349">
        <v>305</v>
      </c>
      <c r="M2349" t="s">
        <v>16</v>
      </c>
    </row>
    <row r="2350" spans="1:13" x14ac:dyDescent="0.35">
      <c r="A2350">
        <v>310980</v>
      </c>
      <c r="B2350">
        <v>20478</v>
      </c>
      <c r="C2350" t="s">
        <v>2531</v>
      </c>
      <c r="D2350" t="s">
        <v>2376</v>
      </c>
      <c r="E2350" t="s">
        <v>2532</v>
      </c>
      <c r="F2350">
        <v>2470</v>
      </c>
      <c r="G2350">
        <v>1</v>
      </c>
      <c r="H2350" t="s">
        <v>16</v>
      </c>
      <c r="I2350" s="1">
        <v>-1851500</v>
      </c>
      <c r="J2350" s="1">
        <v>-4950100</v>
      </c>
      <c r="K2350">
        <v>469</v>
      </c>
      <c r="L2350">
        <v>202</v>
      </c>
      <c r="M2350" t="s">
        <v>16</v>
      </c>
    </row>
    <row r="2351" spans="1:13" x14ac:dyDescent="0.35">
      <c r="A2351">
        <v>310990</v>
      </c>
      <c r="B2351">
        <v>20486</v>
      </c>
      <c r="C2351" t="s">
        <v>2533</v>
      </c>
      <c r="D2351" t="s">
        <v>2376</v>
      </c>
      <c r="E2351" t="s">
        <v>2435</v>
      </c>
      <c r="F2351">
        <v>9490</v>
      </c>
      <c r="G2351">
        <v>1</v>
      </c>
      <c r="H2351" t="s">
        <v>16</v>
      </c>
      <c r="I2351" s="1">
        <v>-1929500</v>
      </c>
      <c r="J2351" s="1">
        <v>-4441900</v>
      </c>
      <c r="K2351">
        <v>742</v>
      </c>
      <c r="L2351">
        <v>156</v>
      </c>
      <c r="M2351" t="s">
        <v>16</v>
      </c>
    </row>
    <row r="2352" spans="1:13" x14ac:dyDescent="0.35">
      <c r="A2352">
        <v>311000</v>
      </c>
      <c r="B2352">
        <v>20494</v>
      </c>
      <c r="C2352" t="s">
        <v>2534</v>
      </c>
      <c r="D2352" t="s">
        <v>2376</v>
      </c>
      <c r="E2352" t="s">
        <v>2479</v>
      </c>
      <c r="F2352">
        <v>39039</v>
      </c>
      <c r="G2352">
        <v>4</v>
      </c>
      <c r="H2352" t="s">
        <v>2468</v>
      </c>
      <c r="I2352" s="1">
        <v>-1988000</v>
      </c>
      <c r="J2352" s="1">
        <v>-4367000</v>
      </c>
      <c r="K2352">
        <v>945</v>
      </c>
      <c r="L2352">
        <v>541</v>
      </c>
      <c r="M2352" t="s">
        <v>16</v>
      </c>
    </row>
    <row r="2353" spans="1:13" x14ac:dyDescent="0.35">
      <c r="A2353">
        <v>311010</v>
      </c>
      <c r="B2353">
        <v>20508</v>
      </c>
      <c r="C2353" t="s">
        <v>2535</v>
      </c>
      <c r="D2353" t="s">
        <v>2376</v>
      </c>
      <c r="E2353" t="s">
        <v>2433</v>
      </c>
      <c r="F2353">
        <v>4537</v>
      </c>
      <c r="G2353">
        <v>1</v>
      </c>
      <c r="H2353" t="s">
        <v>16</v>
      </c>
      <c r="I2353" s="1">
        <v>-2069600</v>
      </c>
      <c r="J2353" s="1">
        <v>-4192500</v>
      </c>
      <c r="K2353">
        <v>750</v>
      </c>
      <c r="L2353">
        <v>106</v>
      </c>
      <c r="M2353" t="s">
        <v>16</v>
      </c>
    </row>
    <row r="2354" spans="1:13" x14ac:dyDescent="0.35">
      <c r="A2354">
        <v>311020</v>
      </c>
      <c r="B2354">
        <v>20516</v>
      </c>
      <c r="C2354" t="s">
        <v>2536</v>
      </c>
      <c r="D2354" t="s">
        <v>2376</v>
      </c>
      <c r="E2354" t="s">
        <v>1388</v>
      </c>
      <c r="F2354">
        <v>4015</v>
      </c>
      <c r="G2354">
        <v>1</v>
      </c>
      <c r="H2354" t="s">
        <v>16</v>
      </c>
      <c r="I2354" s="1">
        <v>-2079100</v>
      </c>
      <c r="J2354" s="1">
        <v>-4279700</v>
      </c>
      <c r="K2354">
        <v>698</v>
      </c>
      <c r="L2354">
        <v>83</v>
      </c>
      <c r="M2354" t="s">
        <v>16</v>
      </c>
    </row>
    <row r="2355" spans="1:13" x14ac:dyDescent="0.35">
      <c r="A2355">
        <v>311030</v>
      </c>
      <c r="B2355">
        <v>20524</v>
      </c>
      <c r="C2355" t="s">
        <v>2537</v>
      </c>
      <c r="D2355" t="s">
        <v>2376</v>
      </c>
      <c r="E2355" t="s">
        <v>2404</v>
      </c>
      <c r="F2355">
        <v>13901</v>
      </c>
      <c r="G2355">
        <v>1</v>
      </c>
      <c r="H2355" t="s">
        <v>16</v>
      </c>
      <c r="I2355" s="1">
        <v>-2192400</v>
      </c>
      <c r="J2355" s="1">
        <v>-4638600</v>
      </c>
      <c r="K2355">
        <v>1105</v>
      </c>
      <c r="L2355">
        <v>713</v>
      </c>
      <c r="M2355" t="s">
        <v>16</v>
      </c>
    </row>
    <row r="2356" spans="1:13" x14ac:dyDescent="0.35">
      <c r="A2356">
        <v>311040</v>
      </c>
      <c r="B2356">
        <v>20532</v>
      </c>
      <c r="C2356" t="s">
        <v>2538</v>
      </c>
      <c r="D2356" t="s">
        <v>2376</v>
      </c>
      <c r="E2356" t="s">
        <v>2454</v>
      </c>
      <c r="F2356">
        <v>3204</v>
      </c>
      <c r="G2356">
        <v>1</v>
      </c>
      <c r="H2356" t="s">
        <v>16</v>
      </c>
      <c r="I2356" s="1">
        <v>-2062500</v>
      </c>
      <c r="J2356" s="1">
        <v>-4515700</v>
      </c>
      <c r="K2356">
        <v>957</v>
      </c>
      <c r="L2356">
        <v>222</v>
      </c>
      <c r="M2356" t="s">
        <v>16</v>
      </c>
    </row>
    <row r="2357" spans="1:13" x14ac:dyDescent="0.35">
      <c r="A2357">
        <v>311050</v>
      </c>
      <c r="B2357">
        <v>20540</v>
      </c>
      <c r="C2357" t="s">
        <v>2539</v>
      </c>
      <c r="D2357" t="s">
        <v>2376</v>
      </c>
      <c r="E2357" t="s">
        <v>2501</v>
      </c>
      <c r="F2357">
        <v>19708</v>
      </c>
      <c r="G2357">
        <v>1</v>
      </c>
      <c r="H2357" t="s">
        <v>16</v>
      </c>
      <c r="I2357" s="1">
        <v>-2275500</v>
      </c>
      <c r="J2357" s="1">
        <v>-4614500</v>
      </c>
      <c r="K2357">
        <v>1048</v>
      </c>
      <c r="L2357">
        <v>527</v>
      </c>
      <c r="M2357" t="s">
        <v>16</v>
      </c>
    </row>
    <row r="2358" spans="1:13" x14ac:dyDescent="0.35">
      <c r="A2358">
        <v>311060</v>
      </c>
      <c r="B2358">
        <v>20559</v>
      </c>
      <c r="C2358" t="s">
        <v>2540</v>
      </c>
      <c r="D2358" t="s">
        <v>2376</v>
      </c>
      <c r="E2358" t="s">
        <v>2501</v>
      </c>
      <c r="F2358">
        <v>25010</v>
      </c>
      <c r="G2358">
        <v>1</v>
      </c>
      <c r="H2358" t="s">
        <v>16</v>
      </c>
      <c r="I2358" s="1">
        <v>-2261200</v>
      </c>
      <c r="J2358" s="1">
        <v>-4605800</v>
      </c>
      <c r="K2358">
        <v>907</v>
      </c>
      <c r="L2358">
        <v>242</v>
      </c>
      <c r="M2358" t="s">
        <v>16</v>
      </c>
    </row>
    <row r="2359" spans="1:13" x14ac:dyDescent="0.35">
      <c r="A2359">
        <v>311070</v>
      </c>
      <c r="B2359">
        <v>20567</v>
      </c>
      <c r="C2359" t="s">
        <v>2541</v>
      </c>
      <c r="D2359" t="s">
        <v>2376</v>
      </c>
      <c r="E2359" t="s">
        <v>2402</v>
      </c>
      <c r="F2359">
        <v>12520</v>
      </c>
      <c r="G2359">
        <v>1</v>
      </c>
      <c r="H2359" t="s">
        <v>16</v>
      </c>
      <c r="I2359" s="1">
        <v>-2185200</v>
      </c>
      <c r="J2359" s="1">
        <v>-4529600</v>
      </c>
      <c r="K2359">
        <v>950</v>
      </c>
      <c r="L2359">
        <v>245</v>
      </c>
      <c r="M2359" t="s">
        <v>16</v>
      </c>
    </row>
    <row r="2360" spans="1:13" x14ac:dyDescent="0.35">
      <c r="A2360">
        <v>311080</v>
      </c>
      <c r="B2360">
        <v>20575</v>
      </c>
      <c r="C2360" t="s">
        <v>2542</v>
      </c>
      <c r="D2360" t="s">
        <v>2376</v>
      </c>
      <c r="E2360" t="s">
        <v>2412</v>
      </c>
      <c r="F2360">
        <v>3592</v>
      </c>
      <c r="G2360">
        <v>1</v>
      </c>
      <c r="H2360" t="s">
        <v>16</v>
      </c>
      <c r="I2360" s="1">
        <v>-1823900</v>
      </c>
      <c r="J2360" s="1">
        <v>-4174800</v>
      </c>
      <c r="K2360">
        <v>268</v>
      </c>
      <c r="L2360">
        <v>441</v>
      </c>
      <c r="M2360" t="s">
        <v>16</v>
      </c>
    </row>
    <row r="2361" spans="1:13" x14ac:dyDescent="0.35">
      <c r="A2361">
        <v>311090</v>
      </c>
      <c r="B2361">
        <v>20583</v>
      </c>
      <c r="C2361" t="s">
        <v>2543</v>
      </c>
      <c r="D2361" t="s">
        <v>2376</v>
      </c>
      <c r="E2361" t="s">
        <v>2491</v>
      </c>
      <c r="F2361">
        <v>15169</v>
      </c>
      <c r="G2361">
        <v>1</v>
      </c>
      <c r="H2361" t="s">
        <v>16</v>
      </c>
      <c r="I2361" s="1">
        <v>-2183600</v>
      </c>
      <c r="J2361" s="1">
        <v>-4540100</v>
      </c>
      <c r="K2361">
        <v>928</v>
      </c>
      <c r="L2361">
        <v>336</v>
      </c>
      <c r="M2361" t="s">
        <v>16</v>
      </c>
    </row>
    <row r="2362" spans="1:13" x14ac:dyDescent="0.35">
      <c r="A2362">
        <v>311100</v>
      </c>
      <c r="B2362">
        <v>20591</v>
      </c>
      <c r="C2362" t="s">
        <v>1807</v>
      </c>
      <c r="D2362" t="s">
        <v>2376</v>
      </c>
      <c r="E2362" t="s">
        <v>2404</v>
      </c>
      <c r="F2362">
        <v>20251</v>
      </c>
      <c r="G2362">
        <v>1</v>
      </c>
      <c r="H2362" t="s">
        <v>16</v>
      </c>
      <c r="I2362" s="1">
        <v>-2171100</v>
      </c>
      <c r="J2362" s="1">
        <v>-4624600</v>
      </c>
      <c r="K2362">
        <v>1076</v>
      </c>
      <c r="L2362">
        <v>577</v>
      </c>
      <c r="M2362" t="s">
        <v>16</v>
      </c>
    </row>
    <row r="2363" spans="1:13" x14ac:dyDescent="0.35">
      <c r="A2363">
        <v>311110</v>
      </c>
      <c r="B2363">
        <v>20605</v>
      </c>
      <c r="C2363" t="s">
        <v>2544</v>
      </c>
      <c r="D2363" t="s">
        <v>2376</v>
      </c>
      <c r="E2363" t="s">
        <v>2545</v>
      </c>
      <c r="F2363">
        <v>18680</v>
      </c>
      <c r="G2363">
        <v>1</v>
      </c>
      <c r="H2363" t="s">
        <v>16</v>
      </c>
      <c r="I2363" s="1">
        <v>-1953600</v>
      </c>
      <c r="J2363" s="1">
        <v>-4948600</v>
      </c>
      <c r="K2363">
        <v>494</v>
      </c>
      <c r="L2363">
        <v>3663</v>
      </c>
      <c r="M2363" t="s">
        <v>16</v>
      </c>
    </row>
    <row r="2364" spans="1:13" x14ac:dyDescent="0.35">
      <c r="A2364">
        <v>311115</v>
      </c>
      <c r="B2364">
        <v>55247</v>
      </c>
      <c r="C2364" t="s">
        <v>2546</v>
      </c>
      <c r="D2364" t="s">
        <v>2376</v>
      </c>
      <c r="E2364" t="s">
        <v>2513</v>
      </c>
      <c r="F2364">
        <v>3828</v>
      </c>
      <c r="G2364">
        <v>1</v>
      </c>
      <c r="H2364" t="s">
        <v>16</v>
      </c>
      <c r="I2364" s="1">
        <v>-1650400</v>
      </c>
      <c r="J2364" s="1">
        <v>-4481100</v>
      </c>
      <c r="K2364">
        <v>600</v>
      </c>
      <c r="L2364">
        <v>506</v>
      </c>
      <c r="M2364" t="s">
        <v>16</v>
      </c>
    </row>
    <row r="2365" spans="1:13" x14ac:dyDescent="0.35">
      <c r="A2365">
        <v>311120</v>
      </c>
      <c r="B2365">
        <v>20613</v>
      </c>
      <c r="C2365" t="s">
        <v>2392</v>
      </c>
      <c r="D2365" t="s">
        <v>2376</v>
      </c>
      <c r="E2365" t="s">
        <v>2392</v>
      </c>
      <c r="F2365">
        <v>51375</v>
      </c>
      <c r="G2365">
        <v>2</v>
      </c>
      <c r="H2365" t="s">
        <v>16</v>
      </c>
      <c r="I2365" s="1">
        <v>-2089700</v>
      </c>
      <c r="J2365" s="1">
        <v>-4527700</v>
      </c>
      <c r="K2365">
        <v>945</v>
      </c>
      <c r="L2365">
        <v>526</v>
      </c>
      <c r="M2365" t="s">
        <v>16</v>
      </c>
    </row>
    <row r="2366" spans="1:13" x14ac:dyDescent="0.35">
      <c r="A2366">
        <v>311130</v>
      </c>
      <c r="B2366">
        <v>20621</v>
      </c>
      <c r="C2366" t="s">
        <v>2547</v>
      </c>
      <c r="D2366" t="s">
        <v>2376</v>
      </c>
      <c r="E2366" t="s">
        <v>2491</v>
      </c>
      <c r="F2366">
        <v>11476</v>
      </c>
      <c r="G2366">
        <v>1</v>
      </c>
      <c r="H2366" t="s">
        <v>16</v>
      </c>
      <c r="I2366" s="1">
        <v>-2110700</v>
      </c>
      <c r="J2366" s="1">
        <v>-4583000</v>
      </c>
      <c r="K2366">
        <v>785</v>
      </c>
      <c r="L2366">
        <v>273</v>
      </c>
      <c r="M2366" t="s">
        <v>16</v>
      </c>
    </row>
    <row r="2367" spans="1:13" x14ac:dyDescent="0.35">
      <c r="A2367">
        <v>311140</v>
      </c>
      <c r="B2367">
        <v>20630</v>
      </c>
      <c r="C2367" t="s">
        <v>2548</v>
      </c>
      <c r="D2367" t="s">
        <v>2376</v>
      </c>
      <c r="E2367" t="s">
        <v>2390</v>
      </c>
      <c r="F2367">
        <v>6570</v>
      </c>
      <c r="G2367">
        <v>1</v>
      </c>
      <c r="H2367" t="s">
        <v>16</v>
      </c>
      <c r="I2367" s="1">
        <v>-1976100</v>
      </c>
      <c r="J2367" s="1">
        <v>-4857200</v>
      </c>
      <c r="K2367">
        <v>642</v>
      </c>
      <c r="L2367">
        <v>1261</v>
      </c>
      <c r="M2367" t="s">
        <v>16</v>
      </c>
    </row>
    <row r="2368" spans="1:13" x14ac:dyDescent="0.35">
      <c r="A2368">
        <v>311150</v>
      </c>
      <c r="B2368">
        <v>20648</v>
      </c>
      <c r="C2368" t="s">
        <v>2549</v>
      </c>
      <c r="D2368" t="s">
        <v>2376</v>
      </c>
      <c r="E2368" t="s">
        <v>2450</v>
      </c>
      <c r="F2368">
        <v>13184</v>
      </c>
      <c r="G2368">
        <v>1</v>
      </c>
      <c r="H2368" t="s">
        <v>16</v>
      </c>
      <c r="I2368" s="1">
        <v>-1969600</v>
      </c>
      <c r="J2368" s="1">
        <v>-4617100</v>
      </c>
      <c r="K2368">
        <v>1050</v>
      </c>
      <c r="L2368">
        <v>719</v>
      </c>
      <c r="M2368" t="s">
        <v>16</v>
      </c>
    </row>
    <row r="2369" spans="1:13" x14ac:dyDescent="0.35">
      <c r="A2369">
        <v>311160</v>
      </c>
      <c r="B2369">
        <v>20656</v>
      </c>
      <c r="C2369" t="s">
        <v>2550</v>
      </c>
      <c r="D2369" t="s">
        <v>2376</v>
      </c>
      <c r="E2369" t="s">
        <v>2491</v>
      </c>
      <c r="F2369">
        <v>26954</v>
      </c>
      <c r="G2369">
        <v>1</v>
      </c>
      <c r="H2369" t="s">
        <v>16</v>
      </c>
      <c r="I2369" s="1">
        <v>-2123500</v>
      </c>
      <c r="J2369" s="1">
        <v>-4575900</v>
      </c>
      <c r="K2369">
        <v>843</v>
      </c>
      <c r="L2369">
        <v>769</v>
      </c>
      <c r="M2369" t="s">
        <v>16</v>
      </c>
    </row>
    <row r="2370" spans="1:13" x14ac:dyDescent="0.35">
      <c r="A2370">
        <v>311170</v>
      </c>
      <c r="B2370">
        <v>20664</v>
      </c>
      <c r="C2370" t="s">
        <v>2551</v>
      </c>
      <c r="D2370" t="s">
        <v>2376</v>
      </c>
      <c r="E2370" t="s">
        <v>1388</v>
      </c>
      <c r="F2370">
        <v>4668</v>
      </c>
      <c r="G2370">
        <v>1</v>
      </c>
      <c r="H2370" t="s">
        <v>16</v>
      </c>
      <c r="I2370" s="1">
        <v>-2068600</v>
      </c>
      <c r="J2370" s="1">
        <v>-4262000</v>
      </c>
      <c r="K2370">
        <v>718</v>
      </c>
      <c r="L2370">
        <v>175</v>
      </c>
      <c r="M2370" t="s">
        <v>16</v>
      </c>
    </row>
    <row r="2371" spans="1:13" x14ac:dyDescent="0.35">
      <c r="A2371">
        <v>311180</v>
      </c>
      <c r="B2371">
        <v>20672</v>
      </c>
      <c r="C2371" t="s">
        <v>2066</v>
      </c>
      <c r="D2371" t="s">
        <v>2376</v>
      </c>
      <c r="E2371" t="s">
        <v>2441</v>
      </c>
      <c r="F2371">
        <v>11313</v>
      </c>
      <c r="G2371">
        <v>1</v>
      </c>
      <c r="H2371" t="s">
        <v>16</v>
      </c>
      <c r="I2371" s="1">
        <v>-1872500</v>
      </c>
      <c r="J2371" s="1">
        <v>-4920400</v>
      </c>
      <c r="K2371">
        <v>662</v>
      </c>
      <c r="L2371">
        <v>845</v>
      </c>
      <c r="M2371" t="s">
        <v>16</v>
      </c>
    </row>
    <row r="2372" spans="1:13" x14ac:dyDescent="0.35">
      <c r="A2372">
        <v>311190</v>
      </c>
      <c r="B2372">
        <v>20680</v>
      </c>
      <c r="C2372" t="s">
        <v>2552</v>
      </c>
      <c r="D2372" t="s">
        <v>2376</v>
      </c>
      <c r="E2372" t="s">
        <v>2392</v>
      </c>
      <c r="F2372">
        <v>5712</v>
      </c>
      <c r="G2372">
        <v>1</v>
      </c>
      <c r="H2372" t="s">
        <v>16</v>
      </c>
      <c r="I2372" s="1">
        <v>-2102100</v>
      </c>
      <c r="J2372" s="1">
        <v>-4518200</v>
      </c>
      <c r="K2372">
        <v>867</v>
      </c>
      <c r="L2372">
        <v>212</v>
      </c>
      <c r="M2372" t="s">
        <v>16</v>
      </c>
    </row>
    <row r="2373" spans="1:13" x14ac:dyDescent="0.35">
      <c r="A2373">
        <v>311200</v>
      </c>
      <c r="B2373">
        <v>20699</v>
      </c>
      <c r="C2373" t="s">
        <v>2071</v>
      </c>
      <c r="D2373" t="s">
        <v>2376</v>
      </c>
      <c r="E2373" t="s">
        <v>2392</v>
      </c>
      <c r="F2373">
        <v>15499</v>
      </c>
      <c r="G2373">
        <v>1</v>
      </c>
      <c r="H2373" t="s">
        <v>16</v>
      </c>
      <c r="I2373" s="1">
        <v>-2076700</v>
      </c>
      <c r="J2373" s="1">
        <v>-4527600</v>
      </c>
      <c r="K2373">
        <v>967</v>
      </c>
      <c r="L2373">
        <v>720</v>
      </c>
      <c r="M2373" t="s">
        <v>16</v>
      </c>
    </row>
    <row r="2374" spans="1:13" x14ac:dyDescent="0.35">
      <c r="A2374">
        <v>311205</v>
      </c>
      <c r="B2374">
        <v>55255</v>
      </c>
      <c r="C2374" t="s">
        <v>2553</v>
      </c>
      <c r="D2374" t="s">
        <v>2376</v>
      </c>
      <c r="E2374" t="s">
        <v>2388</v>
      </c>
      <c r="F2374">
        <v>3967</v>
      </c>
      <c r="G2374">
        <v>1</v>
      </c>
      <c r="H2374" t="s">
        <v>16</v>
      </c>
      <c r="I2374" s="1">
        <v>-1852600</v>
      </c>
      <c r="J2374" s="1">
        <v>-4262700</v>
      </c>
      <c r="K2374">
        <v>650</v>
      </c>
      <c r="L2374">
        <v>141</v>
      </c>
      <c r="M2374" t="s">
        <v>16</v>
      </c>
    </row>
    <row r="2375" spans="1:13" x14ac:dyDescent="0.35">
      <c r="A2375">
        <v>311210</v>
      </c>
      <c r="B2375">
        <v>20702</v>
      </c>
      <c r="C2375" t="s">
        <v>2554</v>
      </c>
      <c r="D2375" t="s">
        <v>2376</v>
      </c>
      <c r="E2375" t="s">
        <v>2381</v>
      </c>
      <c r="F2375">
        <v>4863</v>
      </c>
      <c r="G2375">
        <v>1</v>
      </c>
      <c r="H2375" t="s">
        <v>16</v>
      </c>
      <c r="I2375" s="1">
        <v>-2052100</v>
      </c>
      <c r="J2375" s="1">
        <v>-4190700</v>
      </c>
      <c r="K2375">
        <v>850</v>
      </c>
      <c r="L2375">
        <v>130</v>
      </c>
      <c r="M2375" t="s">
        <v>16</v>
      </c>
    </row>
    <row r="2376" spans="1:13" x14ac:dyDescent="0.35">
      <c r="A2376">
        <v>311220</v>
      </c>
      <c r="B2376">
        <v>20710</v>
      </c>
      <c r="C2376" t="s">
        <v>2555</v>
      </c>
      <c r="D2376" t="s">
        <v>2376</v>
      </c>
      <c r="E2376" t="s">
        <v>2409</v>
      </c>
      <c r="F2376">
        <v>4598</v>
      </c>
      <c r="G2376">
        <v>1</v>
      </c>
      <c r="H2376" t="s">
        <v>16</v>
      </c>
      <c r="I2376" s="1">
        <v>-2092300</v>
      </c>
      <c r="J2376" s="1">
        <v>-4361800</v>
      </c>
      <c r="K2376">
        <v>825</v>
      </c>
      <c r="L2376">
        <v>110</v>
      </c>
      <c r="M2376" t="s">
        <v>16</v>
      </c>
    </row>
    <row r="2377" spans="1:13" x14ac:dyDescent="0.35">
      <c r="A2377">
        <v>311230</v>
      </c>
      <c r="B2377">
        <v>20729</v>
      </c>
      <c r="C2377" t="s">
        <v>2429</v>
      </c>
      <c r="D2377" t="s">
        <v>2376</v>
      </c>
      <c r="E2377" t="s">
        <v>2429</v>
      </c>
      <c r="F2377">
        <v>33061</v>
      </c>
      <c r="G2377">
        <v>1</v>
      </c>
      <c r="H2377" t="s">
        <v>16</v>
      </c>
      <c r="I2377" s="1">
        <v>-1769100</v>
      </c>
      <c r="J2377" s="1">
        <v>-4251600</v>
      </c>
      <c r="K2377">
        <v>948</v>
      </c>
      <c r="L2377">
        <v>965</v>
      </c>
      <c r="M2377" t="s">
        <v>16</v>
      </c>
    </row>
    <row r="2378" spans="1:13" x14ac:dyDescent="0.35">
      <c r="A2378">
        <v>311240</v>
      </c>
      <c r="B2378">
        <v>20737</v>
      </c>
      <c r="C2378" t="s">
        <v>2556</v>
      </c>
      <c r="D2378" t="s">
        <v>2376</v>
      </c>
      <c r="E2378" t="s">
        <v>2414</v>
      </c>
      <c r="F2378">
        <v>7154</v>
      </c>
      <c r="G2378">
        <v>1</v>
      </c>
      <c r="H2378" t="s">
        <v>16</v>
      </c>
      <c r="I2378" s="1">
        <v>-2061600</v>
      </c>
      <c r="J2378" s="1">
        <v>-4705400</v>
      </c>
      <c r="K2378">
        <v>792</v>
      </c>
      <c r="L2378">
        <v>296</v>
      </c>
      <c r="M2378" t="s">
        <v>16</v>
      </c>
    </row>
    <row r="2379" spans="1:13" x14ac:dyDescent="0.35">
      <c r="A2379">
        <v>311250</v>
      </c>
      <c r="B2379">
        <v>20745</v>
      </c>
      <c r="C2379" t="s">
        <v>2557</v>
      </c>
      <c r="D2379" t="s">
        <v>2376</v>
      </c>
      <c r="E2379" t="s">
        <v>2435</v>
      </c>
      <c r="F2379">
        <v>8763</v>
      </c>
      <c r="G2379">
        <v>4</v>
      </c>
      <c r="H2379" t="s">
        <v>2468</v>
      </c>
      <c r="I2379" s="1">
        <v>-1954900</v>
      </c>
      <c r="J2379" s="1">
        <v>-4411700</v>
      </c>
      <c r="K2379">
        <v>830</v>
      </c>
      <c r="L2379">
        <v>94</v>
      </c>
      <c r="M2379" t="s">
        <v>16</v>
      </c>
    </row>
    <row r="2380" spans="1:13" x14ac:dyDescent="0.35">
      <c r="A2380">
        <v>311260</v>
      </c>
      <c r="B2380">
        <v>20753</v>
      </c>
      <c r="C2380" t="s">
        <v>2558</v>
      </c>
      <c r="D2380" t="s">
        <v>2376</v>
      </c>
      <c r="E2380" t="s">
        <v>2532</v>
      </c>
      <c r="F2380">
        <v>15302</v>
      </c>
      <c r="G2380">
        <v>1</v>
      </c>
      <c r="H2380" t="s">
        <v>16</v>
      </c>
      <c r="I2380" s="1">
        <v>-1868200</v>
      </c>
      <c r="J2380" s="1">
        <v>-4957000</v>
      </c>
      <c r="K2380">
        <v>564</v>
      </c>
      <c r="L2380">
        <v>621</v>
      </c>
      <c r="M2380" t="s">
        <v>16</v>
      </c>
    </row>
    <row r="2381" spans="1:13" x14ac:dyDescent="0.35">
      <c r="A2381">
        <v>311265</v>
      </c>
      <c r="B2381">
        <v>50571</v>
      </c>
      <c r="C2381" t="s">
        <v>2559</v>
      </c>
      <c r="D2381" t="s">
        <v>2376</v>
      </c>
      <c r="E2381" t="s">
        <v>2412</v>
      </c>
      <c r="F2381">
        <v>4801</v>
      </c>
      <c r="G2381">
        <v>1</v>
      </c>
      <c r="H2381" t="s">
        <v>16</v>
      </c>
      <c r="I2381" s="1">
        <v>-1906700</v>
      </c>
      <c r="J2381" s="1">
        <v>-4185800</v>
      </c>
      <c r="K2381">
        <v>230</v>
      </c>
      <c r="L2381">
        <v>275</v>
      </c>
      <c r="M2381" t="s">
        <v>16</v>
      </c>
    </row>
    <row r="2382" spans="1:13" x14ac:dyDescent="0.35">
      <c r="A2382">
        <v>311270</v>
      </c>
      <c r="B2382">
        <v>20761</v>
      </c>
      <c r="C2382" t="s">
        <v>2560</v>
      </c>
      <c r="D2382" t="s">
        <v>2376</v>
      </c>
      <c r="E2382" t="s">
        <v>2513</v>
      </c>
      <c r="F2382">
        <v>14106</v>
      </c>
      <c r="G2382">
        <v>1</v>
      </c>
      <c r="H2382" t="s">
        <v>16</v>
      </c>
      <c r="I2382" s="1">
        <v>-1632400</v>
      </c>
      <c r="J2382" s="1">
        <v>-4371100</v>
      </c>
      <c r="K2382">
        <v>571</v>
      </c>
      <c r="L2382">
        <v>970</v>
      </c>
      <c r="M2382" t="s">
        <v>16</v>
      </c>
    </row>
    <row r="2383" spans="1:13" x14ac:dyDescent="0.35">
      <c r="A2383">
        <v>311280</v>
      </c>
      <c r="B2383">
        <v>20770</v>
      </c>
      <c r="C2383" t="s">
        <v>2561</v>
      </c>
      <c r="D2383" t="s">
        <v>2376</v>
      </c>
      <c r="E2383" t="s">
        <v>2414</v>
      </c>
      <c r="F2383">
        <v>7634</v>
      </c>
      <c r="G2383">
        <v>1</v>
      </c>
      <c r="H2383" t="s">
        <v>16</v>
      </c>
      <c r="I2383" s="1">
        <v>-2061500</v>
      </c>
      <c r="J2383" s="1">
        <v>-4605000</v>
      </c>
      <c r="K2383">
        <v>766</v>
      </c>
      <c r="L2383">
        <v>522</v>
      </c>
      <c r="M2383" t="s">
        <v>16</v>
      </c>
    </row>
    <row r="2384" spans="1:13" x14ac:dyDescent="0.35">
      <c r="A2384">
        <v>311290</v>
      </c>
      <c r="B2384">
        <v>20788</v>
      </c>
      <c r="C2384" t="s">
        <v>2562</v>
      </c>
      <c r="D2384" t="s">
        <v>2376</v>
      </c>
      <c r="E2384" t="s">
        <v>2381</v>
      </c>
      <c r="F2384">
        <v>8855</v>
      </c>
      <c r="G2384">
        <v>1</v>
      </c>
      <c r="H2384" t="s">
        <v>16</v>
      </c>
      <c r="I2384" s="1">
        <v>-2017200</v>
      </c>
      <c r="J2384" s="1">
        <v>-4227100</v>
      </c>
      <c r="K2384">
        <v>592</v>
      </c>
      <c r="L2384">
        <v>188</v>
      </c>
      <c r="M2384" t="s">
        <v>16</v>
      </c>
    </row>
    <row r="2385" spans="1:13" x14ac:dyDescent="0.35">
      <c r="A2385">
        <v>311300</v>
      </c>
      <c r="B2385">
        <v>20796</v>
      </c>
      <c r="C2385" t="s">
        <v>2563</v>
      </c>
      <c r="D2385" t="s">
        <v>2376</v>
      </c>
      <c r="E2385" t="s">
        <v>2439</v>
      </c>
      <c r="F2385">
        <v>21530</v>
      </c>
      <c r="G2385">
        <v>1</v>
      </c>
      <c r="H2385" t="s">
        <v>16</v>
      </c>
      <c r="I2385" s="1">
        <v>-1718900</v>
      </c>
      <c r="J2385" s="1">
        <v>-4169500</v>
      </c>
      <c r="K2385">
        <v>910</v>
      </c>
      <c r="L2385">
        <v>1240</v>
      </c>
      <c r="M2385" t="s">
        <v>16</v>
      </c>
    </row>
    <row r="2386" spans="1:13" x14ac:dyDescent="0.35">
      <c r="A2386">
        <v>311310</v>
      </c>
      <c r="B2386">
        <v>20800</v>
      </c>
      <c r="C2386" t="s">
        <v>2564</v>
      </c>
      <c r="D2386" t="s">
        <v>2376</v>
      </c>
      <c r="E2386" t="s">
        <v>2409</v>
      </c>
      <c r="F2386">
        <v>3445</v>
      </c>
      <c r="G2386">
        <v>1</v>
      </c>
      <c r="H2386" t="s">
        <v>16</v>
      </c>
      <c r="I2386" s="1">
        <v>-2087600</v>
      </c>
      <c r="J2386" s="1">
        <v>-4373900</v>
      </c>
      <c r="K2386">
        <v>822</v>
      </c>
      <c r="L2386">
        <v>160</v>
      </c>
      <c r="M2386" t="s">
        <v>16</v>
      </c>
    </row>
    <row r="2387" spans="1:13" x14ac:dyDescent="0.35">
      <c r="A2387">
        <v>311320</v>
      </c>
      <c r="B2387">
        <v>20818</v>
      </c>
      <c r="C2387" t="s">
        <v>2565</v>
      </c>
      <c r="D2387" t="s">
        <v>2376</v>
      </c>
      <c r="E2387" t="s">
        <v>2409</v>
      </c>
      <c r="F2387">
        <v>22240</v>
      </c>
      <c r="G2387">
        <v>1</v>
      </c>
      <c r="H2387" t="s">
        <v>16</v>
      </c>
      <c r="I2387" s="1">
        <v>-2095400</v>
      </c>
      <c r="J2387" s="1">
        <v>-4380600</v>
      </c>
      <c r="K2387">
        <v>1080</v>
      </c>
      <c r="L2387">
        <v>486</v>
      </c>
      <c r="M2387" t="s">
        <v>16</v>
      </c>
    </row>
    <row r="2388" spans="1:13" x14ac:dyDescent="0.35">
      <c r="A2388">
        <v>311330</v>
      </c>
      <c r="B2388">
        <v>20826</v>
      </c>
      <c r="C2388" t="s">
        <v>2566</v>
      </c>
      <c r="D2388" t="s">
        <v>2376</v>
      </c>
      <c r="E2388" t="s">
        <v>2433</v>
      </c>
      <c r="F2388">
        <v>32068</v>
      </c>
      <c r="G2388">
        <v>1</v>
      </c>
      <c r="H2388" t="s">
        <v>16</v>
      </c>
      <c r="I2388" s="1">
        <v>-2073300</v>
      </c>
      <c r="J2388" s="1">
        <v>-4202900</v>
      </c>
      <c r="K2388">
        <v>408</v>
      </c>
      <c r="L2388">
        <v>352</v>
      </c>
      <c r="M2388" t="s">
        <v>16</v>
      </c>
    </row>
    <row r="2389" spans="1:13" x14ac:dyDescent="0.35">
      <c r="A2389">
        <v>311340</v>
      </c>
      <c r="B2389">
        <v>20834</v>
      </c>
      <c r="C2389" t="s">
        <v>2499</v>
      </c>
      <c r="D2389" t="s">
        <v>2376</v>
      </c>
      <c r="E2389" t="s">
        <v>2499</v>
      </c>
      <c r="F2389">
        <v>81731</v>
      </c>
      <c r="G2389">
        <v>2</v>
      </c>
      <c r="H2389" t="s">
        <v>16</v>
      </c>
      <c r="I2389" s="1">
        <v>-1979000</v>
      </c>
      <c r="J2389" s="1">
        <v>-4213900</v>
      </c>
      <c r="K2389">
        <v>578</v>
      </c>
      <c r="L2389">
        <v>1250</v>
      </c>
      <c r="M2389" t="s">
        <v>16</v>
      </c>
    </row>
    <row r="2390" spans="1:13" x14ac:dyDescent="0.35">
      <c r="A2390">
        <v>311350</v>
      </c>
      <c r="B2390">
        <v>20842</v>
      </c>
      <c r="C2390" t="s">
        <v>2567</v>
      </c>
      <c r="D2390" t="s">
        <v>2376</v>
      </c>
      <c r="E2390" t="s">
        <v>2429</v>
      </c>
      <c r="F2390">
        <v>10145</v>
      </c>
      <c r="G2390">
        <v>1</v>
      </c>
      <c r="H2390" t="s">
        <v>16</v>
      </c>
      <c r="I2390" s="1">
        <v>-1752700</v>
      </c>
      <c r="J2390" s="1">
        <v>-4301600</v>
      </c>
      <c r="K2390">
        <v>726</v>
      </c>
      <c r="L2390">
        <v>1454</v>
      </c>
      <c r="M2390" t="s">
        <v>16</v>
      </c>
    </row>
    <row r="2391" spans="1:13" x14ac:dyDescent="0.35">
      <c r="A2391">
        <v>311360</v>
      </c>
      <c r="B2391">
        <v>20850</v>
      </c>
      <c r="C2391" t="s">
        <v>2568</v>
      </c>
      <c r="D2391" t="s">
        <v>2376</v>
      </c>
      <c r="E2391" t="s">
        <v>2530</v>
      </c>
      <c r="F2391">
        <v>6029</v>
      </c>
      <c r="G2391">
        <v>1</v>
      </c>
      <c r="H2391" t="s">
        <v>16</v>
      </c>
      <c r="I2391" s="1">
        <v>-2204300</v>
      </c>
      <c r="J2391" s="1">
        <v>-4569900</v>
      </c>
      <c r="K2391">
        <v>816</v>
      </c>
      <c r="L2391">
        <v>181</v>
      </c>
      <c r="M2391" t="s">
        <v>16</v>
      </c>
    </row>
    <row r="2392" spans="1:13" x14ac:dyDescent="0.35">
      <c r="A2392">
        <v>311370</v>
      </c>
      <c r="B2392">
        <v>20869</v>
      </c>
      <c r="C2392" t="s">
        <v>2569</v>
      </c>
      <c r="D2392" t="s">
        <v>2376</v>
      </c>
      <c r="E2392" t="s">
        <v>2394</v>
      </c>
      <c r="F2392">
        <v>20812</v>
      </c>
      <c r="G2392">
        <v>1</v>
      </c>
      <c r="H2392" t="s">
        <v>16</v>
      </c>
      <c r="I2392" s="1">
        <v>-1770300</v>
      </c>
      <c r="J2392" s="1">
        <v>-4076600</v>
      </c>
      <c r="K2392">
        <v>159</v>
      </c>
      <c r="L2392">
        <v>3198</v>
      </c>
      <c r="M2392" t="s">
        <v>16</v>
      </c>
    </row>
    <row r="2393" spans="1:13" x14ac:dyDescent="0.35">
      <c r="A2393">
        <v>311380</v>
      </c>
      <c r="B2393">
        <v>20877</v>
      </c>
      <c r="C2393" t="s">
        <v>2570</v>
      </c>
      <c r="D2393" t="s">
        <v>2376</v>
      </c>
      <c r="E2393" t="s">
        <v>2516</v>
      </c>
      <c r="F2393">
        <v>2550</v>
      </c>
      <c r="G2393">
        <v>1</v>
      </c>
      <c r="H2393" t="s">
        <v>16</v>
      </c>
      <c r="I2393" s="1">
        <v>-1908900</v>
      </c>
      <c r="J2393" s="1">
        <v>-4314200</v>
      </c>
      <c r="K2393">
        <v>551</v>
      </c>
      <c r="L2393">
        <v>258</v>
      </c>
      <c r="M2393" t="s">
        <v>16</v>
      </c>
    </row>
    <row r="2394" spans="1:13" x14ac:dyDescent="0.35">
      <c r="A2394">
        <v>311390</v>
      </c>
      <c r="B2394">
        <v>20885</v>
      </c>
      <c r="C2394" t="s">
        <v>2571</v>
      </c>
      <c r="D2394" t="s">
        <v>2376</v>
      </c>
      <c r="E2394" t="s">
        <v>2491</v>
      </c>
      <c r="F2394">
        <v>11656</v>
      </c>
      <c r="G2394">
        <v>1</v>
      </c>
      <c r="H2394" t="s">
        <v>16</v>
      </c>
      <c r="I2394" s="1">
        <v>-2146100</v>
      </c>
      <c r="J2394" s="1">
        <v>-4522400</v>
      </c>
      <c r="K2394">
        <v>945</v>
      </c>
      <c r="L2394">
        <v>505</v>
      </c>
      <c r="M2394" t="s">
        <v>16</v>
      </c>
    </row>
    <row r="2395" spans="1:13" x14ac:dyDescent="0.35">
      <c r="A2395">
        <v>311400</v>
      </c>
      <c r="B2395">
        <v>20893</v>
      </c>
      <c r="C2395" t="s">
        <v>2572</v>
      </c>
      <c r="D2395" t="s">
        <v>2376</v>
      </c>
      <c r="E2395" t="s">
        <v>2502</v>
      </c>
      <c r="F2395">
        <v>10942</v>
      </c>
      <c r="G2395">
        <v>1</v>
      </c>
      <c r="H2395" t="s">
        <v>16</v>
      </c>
      <c r="I2395" s="1">
        <v>-2055800</v>
      </c>
      <c r="J2395" s="1">
        <v>-4487100</v>
      </c>
      <c r="K2395">
        <v>846</v>
      </c>
      <c r="L2395">
        <v>356</v>
      </c>
      <c r="M2395" t="s">
        <v>16</v>
      </c>
    </row>
    <row r="2396" spans="1:13" x14ac:dyDescent="0.35">
      <c r="A2396">
        <v>311410</v>
      </c>
      <c r="B2396">
        <v>20907</v>
      </c>
      <c r="C2396" t="s">
        <v>2573</v>
      </c>
      <c r="D2396" t="s">
        <v>2376</v>
      </c>
      <c r="E2396" t="s">
        <v>2402</v>
      </c>
      <c r="F2396">
        <v>13657</v>
      </c>
      <c r="G2396">
        <v>1</v>
      </c>
      <c r="H2396" t="s">
        <v>16</v>
      </c>
      <c r="I2396" s="1">
        <v>-2212200</v>
      </c>
      <c r="J2396" s="1">
        <v>-4512900</v>
      </c>
      <c r="K2396">
        <v>958</v>
      </c>
      <c r="L2396">
        <v>323</v>
      </c>
      <c r="M2396" t="s">
        <v>16</v>
      </c>
    </row>
    <row r="2397" spans="1:13" x14ac:dyDescent="0.35">
      <c r="A2397">
        <v>311420</v>
      </c>
      <c r="B2397">
        <v>20915</v>
      </c>
      <c r="C2397" t="s">
        <v>2574</v>
      </c>
      <c r="D2397" t="s">
        <v>2376</v>
      </c>
      <c r="E2397" t="s">
        <v>2575</v>
      </c>
      <c r="F2397">
        <v>18943</v>
      </c>
      <c r="G2397">
        <v>1</v>
      </c>
      <c r="H2397" t="s">
        <v>16</v>
      </c>
      <c r="I2397" s="1">
        <v>-2018400</v>
      </c>
      <c r="J2397" s="1">
        <v>-4477100</v>
      </c>
      <c r="K2397">
        <v>772</v>
      </c>
      <c r="L2397">
        <v>455</v>
      </c>
      <c r="M2397" t="s">
        <v>16</v>
      </c>
    </row>
    <row r="2398" spans="1:13" x14ac:dyDescent="0.35">
      <c r="A2398">
        <v>311430</v>
      </c>
      <c r="B2398">
        <v>20923</v>
      </c>
      <c r="C2398" t="s">
        <v>2576</v>
      </c>
      <c r="D2398" t="s">
        <v>2376</v>
      </c>
      <c r="E2398" t="s">
        <v>2446</v>
      </c>
      <c r="F2398">
        <v>30712</v>
      </c>
      <c r="G2398">
        <v>1</v>
      </c>
      <c r="H2398" t="s">
        <v>16</v>
      </c>
      <c r="I2398" s="1">
        <v>-1900100</v>
      </c>
      <c r="J2398" s="1">
        <v>-4631600</v>
      </c>
      <c r="K2398">
        <v>1061</v>
      </c>
      <c r="L2398">
        <v>1307</v>
      </c>
      <c r="M2398" t="s">
        <v>16</v>
      </c>
    </row>
    <row r="2399" spans="1:13" x14ac:dyDescent="0.35">
      <c r="A2399">
        <v>311440</v>
      </c>
      <c r="B2399">
        <v>20931</v>
      </c>
      <c r="C2399" t="s">
        <v>2577</v>
      </c>
      <c r="D2399" t="s">
        <v>2376</v>
      </c>
      <c r="E2399" t="s">
        <v>2407</v>
      </c>
      <c r="F2399">
        <v>19480</v>
      </c>
      <c r="G2399">
        <v>1</v>
      </c>
      <c r="H2399" t="s">
        <v>16</v>
      </c>
      <c r="I2399" s="1">
        <v>-2097200</v>
      </c>
      <c r="J2399" s="1">
        <v>-4611900</v>
      </c>
      <c r="K2399">
        <v>830</v>
      </c>
      <c r="L2399">
        <v>1064</v>
      </c>
      <c r="M2399" t="s">
        <v>16</v>
      </c>
    </row>
    <row r="2400" spans="1:13" x14ac:dyDescent="0.35">
      <c r="A2400">
        <v>311450</v>
      </c>
      <c r="B2400">
        <v>20940</v>
      </c>
      <c r="C2400" t="s">
        <v>2578</v>
      </c>
      <c r="D2400" t="s">
        <v>2376</v>
      </c>
      <c r="E2400" t="s">
        <v>2502</v>
      </c>
      <c r="F2400">
        <v>15743</v>
      </c>
      <c r="G2400">
        <v>1</v>
      </c>
      <c r="H2400" t="s">
        <v>16</v>
      </c>
      <c r="I2400" s="1">
        <v>-2054100</v>
      </c>
      <c r="J2400" s="1">
        <v>-4463500</v>
      </c>
      <c r="K2400">
        <v>903</v>
      </c>
      <c r="L2400">
        <v>400</v>
      </c>
      <c r="M2400" t="s">
        <v>16</v>
      </c>
    </row>
    <row r="2401" spans="1:13" x14ac:dyDescent="0.35">
      <c r="A2401">
        <v>311455</v>
      </c>
      <c r="B2401">
        <v>50580</v>
      </c>
      <c r="C2401" t="s">
        <v>2579</v>
      </c>
      <c r="D2401" t="s">
        <v>2376</v>
      </c>
      <c r="E2401" t="s">
        <v>2545</v>
      </c>
      <c r="F2401">
        <v>8859</v>
      </c>
      <c r="G2401">
        <v>1</v>
      </c>
      <c r="H2401" t="s">
        <v>16</v>
      </c>
      <c r="I2401" s="1">
        <v>-1969800</v>
      </c>
      <c r="J2401" s="1">
        <v>-5068800</v>
      </c>
      <c r="K2401">
        <v>431</v>
      </c>
      <c r="L2401">
        <v>2060</v>
      </c>
      <c r="M2401" t="s">
        <v>16</v>
      </c>
    </row>
    <row r="2402" spans="1:13" x14ac:dyDescent="0.35">
      <c r="A2402">
        <v>311460</v>
      </c>
      <c r="B2402">
        <v>20958</v>
      </c>
      <c r="C2402" t="s">
        <v>2580</v>
      </c>
      <c r="D2402" t="s">
        <v>2376</v>
      </c>
      <c r="E2402" t="s">
        <v>2581</v>
      </c>
      <c r="F2402">
        <v>4015</v>
      </c>
      <c r="G2402">
        <v>1</v>
      </c>
      <c r="H2402" t="s">
        <v>16</v>
      </c>
      <c r="I2402" s="1">
        <v>-2148800</v>
      </c>
      <c r="J2402" s="1">
        <v>-4464300</v>
      </c>
      <c r="K2402">
        <v>1052</v>
      </c>
      <c r="L2402">
        <v>727</v>
      </c>
      <c r="M2402" t="s">
        <v>16</v>
      </c>
    </row>
    <row r="2403" spans="1:13" x14ac:dyDescent="0.35">
      <c r="A2403">
        <v>311470</v>
      </c>
      <c r="B2403">
        <v>20966</v>
      </c>
      <c r="C2403" t="s">
        <v>2582</v>
      </c>
      <c r="D2403" t="s">
        <v>2376</v>
      </c>
      <c r="E2403" t="s">
        <v>2407</v>
      </c>
      <c r="F2403">
        <v>3234</v>
      </c>
      <c r="G2403">
        <v>1</v>
      </c>
      <c r="H2403" t="s">
        <v>16</v>
      </c>
      <c r="I2403" s="1">
        <v>-2177800</v>
      </c>
      <c r="J2403" s="1">
        <v>-4584100</v>
      </c>
      <c r="K2403">
        <v>868</v>
      </c>
      <c r="L2403">
        <v>80</v>
      </c>
      <c r="M2403" t="s">
        <v>16</v>
      </c>
    </row>
    <row r="2404" spans="1:13" x14ac:dyDescent="0.35">
      <c r="A2404">
        <v>311480</v>
      </c>
      <c r="B2404">
        <v>20974</v>
      </c>
      <c r="C2404" t="s">
        <v>2583</v>
      </c>
      <c r="D2404" t="s">
        <v>2376</v>
      </c>
      <c r="E2404" t="s">
        <v>2400</v>
      </c>
      <c r="F2404">
        <v>4611</v>
      </c>
      <c r="G2404">
        <v>1</v>
      </c>
      <c r="H2404" t="s">
        <v>16</v>
      </c>
      <c r="I2404" s="1">
        <v>-2200100</v>
      </c>
      <c r="J2404" s="1">
        <v>-4446100</v>
      </c>
      <c r="K2404">
        <v>1092</v>
      </c>
      <c r="L2404">
        <v>282</v>
      </c>
      <c r="M2404" t="s">
        <v>16</v>
      </c>
    </row>
    <row r="2405" spans="1:13" x14ac:dyDescent="0.35">
      <c r="A2405">
        <v>311490</v>
      </c>
      <c r="B2405">
        <v>20982</v>
      </c>
      <c r="C2405" t="s">
        <v>2584</v>
      </c>
      <c r="D2405" t="s">
        <v>2376</v>
      </c>
      <c r="E2405" t="s">
        <v>2585</v>
      </c>
      <c r="F2405">
        <v>2100</v>
      </c>
      <c r="G2405">
        <v>1</v>
      </c>
      <c r="H2405" t="s">
        <v>16</v>
      </c>
      <c r="I2405" s="1">
        <v>-2079300</v>
      </c>
      <c r="J2405" s="1">
        <v>-4393000</v>
      </c>
      <c r="K2405">
        <v>972</v>
      </c>
      <c r="L2405">
        <v>157</v>
      </c>
      <c r="M2405" t="s">
        <v>16</v>
      </c>
    </row>
    <row r="2406" spans="1:13" x14ac:dyDescent="0.35">
      <c r="A2406">
        <v>311500</v>
      </c>
      <c r="B2406">
        <v>20990</v>
      </c>
      <c r="C2406" t="s">
        <v>2586</v>
      </c>
      <c r="D2406" t="s">
        <v>2376</v>
      </c>
      <c r="E2406" t="s">
        <v>2441</v>
      </c>
      <c r="F2406">
        <v>2799</v>
      </c>
      <c r="G2406">
        <v>1</v>
      </c>
      <c r="H2406" t="s">
        <v>16</v>
      </c>
      <c r="I2406" s="1">
        <v>-1857600</v>
      </c>
      <c r="J2406" s="1">
        <v>-4787700</v>
      </c>
      <c r="K2406">
        <v>709</v>
      </c>
      <c r="L2406">
        <v>367</v>
      </c>
      <c r="M2406" t="s">
        <v>16</v>
      </c>
    </row>
    <row r="2407" spans="1:13" x14ac:dyDescent="0.35">
      <c r="A2407">
        <v>311510</v>
      </c>
      <c r="B2407">
        <v>21008</v>
      </c>
      <c r="C2407" t="s">
        <v>2587</v>
      </c>
      <c r="D2407" t="s">
        <v>2376</v>
      </c>
      <c r="E2407" t="s">
        <v>2414</v>
      </c>
      <c r="F2407">
        <v>17067</v>
      </c>
      <c r="G2407">
        <v>1</v>
      </c>
      <c r="H2407" t="s">
        <v>16</v>
      </c>
      <c r="I2407" s="1">
        <v>-2058300</v>
      </c>
      <c r="J2407" s="1">
        <v>-4692200</v>
      </c>
      <c r="K2407">
        <v>738</v>
      </c>
      <c r="L2407">
        <v>643</v>
      </c>
      <c r="M2407" t="s">
        <v>16</v>
      </c>
    </row>
    <row r="2408" spans="1:13" x14ac:dyDescent="0.35">
      <c r="A2408">
        <v>311520</v>
      </c>
      <c r="B2408">
        <v>21016</v>
      </c>
      <c r="C2408" t="s">
        <v>2588</v>
      </c>
      <c r="D2408" t="s">
        <v>2376</v>
      </c>
      <c r="E2408" t="s">
        <v>2589</v>
      </c>
      <c r="F2408">
        <v>3960</v>
      </c>
      <c r="G2408">
        <v>1</v>
      </c>
      <c r="H2408" t="s">
        <v>16</v>
      </c>
      <c r="I2408" s="1">
        <v>-2112900</v>
      </c>
      <c r="J2408" s="1">
        <v>-4447200</v>
      </c>
      <c r="K2408">
        <v>928</v>
      </c>
      <c r="L2408">
        <v>273</v>
      </c>
      <c r="M2408" t="s">
        <v>16</v>
      </c>
    </row>
    <row r="2409" spans="1:13" x14ac:dyDescent="0.35">
      <c r="A2409">
        <v>311530</v>
      </c>
      <c r="B2409">
        <v>21024</v>
      </c>
      <c r="C2409" t="s">
        <v>2406</v>
      </c>
      <c r="D2409" t="s">
        <v>2376</v>
      </c>
      <c r="E2409" t="s">
        <v>2406</v>
      </c>
      <c r="F2409">
        <v>67384</v>
      </c>
      <c r="G2409">
        <v>2</v>
      </c>
      <c r="H2409" t="s">
        <v>16</v>
      </c>
      <c r="I2409" s="1">
        <v>-2138900</v>
      </c>
      <c r="J2409" s="1">
        <v>-4269700</v>
      </c>
      <c r="K2409">
        <v>169</v>
      </c>
      <c r="L2409">
        <v>482</v>
      </c>
      <c r="M2409" t="s">
        <v>16</v>
      </c>
    </row>
    <row r="2410" spans="1:13" x14ac:dyDescent="0.35">
      <c r="A2410">
        <v>311535</v>
      </c>
      <c r="B2410">
        <v>55263</v>
      </c>
      <c r="C2410" t="s">
        <v>2590</v>
      </c>
      <c r="D2410" t="s">
        <v>2376</v>
      </c>
      <c r="E2410" t="s">
        <v>2420</v>
      </c>
      <c r="F2410">
        <v>4561</v>
      </c>
      <c r="G2410">
        <v>1</v>
      </c>
      <c r="H2410" t="s">
        <v>16</v>
      </c>
      <c r="I2410" s="1">
        <v>-2007500</v>
      </c>
      <c r="J2410" s="1">
        <v>-4340800</v>
      </c>
      <c r="K2410">
        <v>752</v>
      </c>
      <c r="L2410">
        <v>240</v>
      </c>
      <c r="M2410" t="s">
        <v>16</v>
      </c>
    </row>
    <row r="2411" spans="1:13" x14ac:dyDescent="0.35">
      <c r="A2411">
        <v>311540</v>
      </c>
      <c r="B2411">
        <v>21032</v>
      </c>
      <c r="C2411" t="s">
        <v>2591</v>
      </c>
      <c r="D2411" t="s">
        <v>2376</v>
      </c>
      <c r="E2411" t="s">
        <v>2585</v>
      </c>
      <c r="F2411">
        <v>3424</v>
      </c>
      <c r="G2411">
        <v>1</v>
      </c>
      <c r="H2411" t="s">
        <v>16</v>
      </c>
      <c r="I2411" s="1">
        <v>-2069000</v>
      </c>
      <c r="J2411" s="1">
        <v>-4349800</v>
      </c>
      <c r="K2411">
        <v>752</v>
      </c>
      <c r="L2411">
        <v>143</v>
      </c>
      <c r="M2411" t="s">
        <v>16</v>
      </c>
    </row>
    <row r="2412" spans="1:13" x14ac:dyDescent="0.35">
      <c r="A2412">
        <v>311545</v>
      </c>
      <c r="B2412">
        <v>50598</v>
      </c>
      <c r="C2412" t="s">
        <v>2592</v>
      </c>
      <c r="D2412" t="s">
        <v>2376</v>
      </c>
      <c r="E2412" t="s">
        <v>2463</v>
      </c>
      <c r="F2412">
        <v>6597</v>
      </c>
      <c r="G2412">
        <v>1</v>
      </c>
      <c r="H2412" t="s">
        <v>16</v>
      </c>
      <c r="I2412" s="1">
        <v>-1731200</v>
      </c>
      <c r="J2412" s="1">
        <v>-4151700</v>
      </c>
      <c r="K2412">
        <v>625</v>
      </c>
      <c r="L2412">
        <v>421</v>
      </c>
      <c r="M2412" t="s">
        <v>16</v>
      </c>
    </row>
    <row r="2413" spans="1:13" x14ac:dyDescent="0.35">
      <c r="A2413">
        <v>311547</v>
      </c>
      <c r="B2413">
        <v>55271</v>
      </c>
      <c r="C2413" t="s">
        <v>2593</v>
      </c>
      <c r="D2413" t="s">
        <v>2376</v>
      </c>
      <c r="E2413" t="s">
        <v>2594</v>
      </c>
      <c r="F2413">
        <v>5303</v>
      </c>
      <c r="G2413">
        <v>1</v>
      </c>
      <c r="H2413" t="s">
        <v>16</v>
      </c>
      <c r="I2413" s="1">
        <v>-1535800</v>
      </c>
      <c r="J2413" s="1">
        <v>-4296300</v>
      </c>
      <c r="K2413">
        <v>530</v>
      </c>
      <c r="L2413">
        <v>285</v>
      </c>
      <c r="M2413" t="s">
        <v>16</v>
      </c>
    </row>
    <row r="2414" spans="1:13" x14ac:dyDescent="0.35">
      <c r="A2414">
        <v>311550</v>
      </c>
      <c r="B2414">
        <v>21040</v>
      </c>
      <c r="C2414" t="s">
        <v>2595</v>
      </c>
      <c r="D2414" t="s">
        <v>2376</v>
      </c>
      <c r="E2414" t="s">
        <v>2402</v>
      </c>
      <c r="F2414">
        <v>21009</v>
      </c>
      <c r="G2414">
        <v>1</v>
      </c>
      <c r="H2414" t="s">
        <v>16</v>
      </c>
      <c r="I2414" s="1">
        <v>-2197700</v>
      </c>
      <c r="J2414" s="1">
        <v>-4493300</v>
      </c>
      <c r="K2414">
        <v>895</v>
      </c>
      <c r="L2414">
        <v>100</v>
      </c>
      <c r="M2414" t="s">
        <v>16</v>
      </c>
    </row>
    <row r="2415" spans="1:13" x14ac:dyDescent="0.35">
      <c r="A2415">
        <v>311560</v>
      </c>
      <c r="B2415">
        <v>21059</v>
      </c>
      <c r="C2415" t="s">
        <v>2596</v>
      </c>
      <c r="D2415" t="s">
        <v>2376</v>
      </c>
      <c r="E2415" t="s">
        <v>2379</v>
      </c>
      <c r="F2415">
        <v>1203</v>
      </c>
      <c r="G2415">
        <v>1</v>
      </c>
      <c r="H2415" t="s">
        <v>16</v>
      </c>
      <c r="I2415" s="1">
        <v>-1914800</v>
      </c>
      <c r="J2415" s="1">
        <v>-4571100</v>
      </c>
      <c r="K2415">
        <v>935</v>
      </c>
      <c r="L2415">
        <v>279</v>
      </c>
      <c r="M2415" t="s">
        <v>16</v>
      </c>
    </row>
    <row r="2416" spans="1:13" x14ac:dyDescent="0.35">
      <c r="A2416">
        <v>311570</v>
      </c>
      <c r="B2416">
        <v>21067</v>
      </c>
      <c r="C2416" t="s">
        <v>2597</v>
      </c>
      <c r="D2416" t="s">
        <v>2376</v>
      </c>
      <c r="E2416" t="s">
        <v>2598</v>
      </c>
      <c r="F2416">
        <v>6590</v>
      </c>
      <c r="G2416">
        <v>1</v>
      </c>
      <c r="H2416" t="s">
        <v>16</v>
      </c>
      <c r="I2416" s="1">
        <v>-1876200</v>
      </c>
      <c r="J2416" s="1">
        <v>-4130600</v>
      </c>
      <c r="K2416">
        <v>242</v>
      </c>
      <c r="L2416">
        <v>203</v>
      </c>
      <c r="M2416" t="s">
        <v>16</v>
      </c>
    </row>
    <row r="2417" spans="1:13" x14ac:dyDescent="0.35">
      <c r="A2417">
        <v>311580</v>
      </c>
      <c r="B2417">
        <v>21075</v>
      </c>
      <c r="C2417" t="s">
        <v>2599</v>
      </c>
      <c r="D2417" t="s">
        <v>2376</v>
      </c>
      <c r="E2417" t="s">
        <v>2441</v>
      </c>
      <c r="F2417">
        <v>10219</v>
      </c>
      <c r="G2417">
        <v>1</v>
      </c>
      <c r="H2417" t="s">
        <v>16</v>
      </c>
      <c r="I2417" s="1">
        <v>-1858400</v>
      </c>
      <c r="J2417" s="1">
        <v>-4919900</v>
      </c>
      <c r="K2417">
        <v>531</v>
      </c>
      <c r="L2417">
        <v>321</v>
      </c>
      <c r="M2417" t="s">
        <v>16</v>
      </c>
    </row>
    <row r="2418" spans="1:13" x14ac:dyDescent="0.35">
      <c r="A2418">
        <v>311590</v>
      </c>
      <c r="B2418">
        <v>21083</v>
      </c>
      <c r="C2418" t="s">
        <v>2600</v>
      </c>
      <c r="D2418" t="s">
        <v>2376</v>
      </c>
      <c r="E2418" t="s">
        <v>2437</v>
      </c>
      <c r="F2418">
        <v>2613</v>
      </c>
      <c r="G2418">
        <v>1</v>
      </c>
      <c r="H2418" t="s">
        <v>16</v>
      </c>
      <c r="I2418" s="1">
        <v>-2167200</v>
      </c>
      <c r="J2418" s="1">
        <v>-4322200</v>
      </c>
      <c r="K2418">
        <v>800</v>
      </c>
      <c r="L2418">
        <v>152</v>
      </c>
      <c r="M2418" t="s">
        <v>16</v>
      </c>
    </row>
    <row r="2419" spans="1:13" x14ac:dyDescent="0.35">
      <c r="A2419">
        <v>311600</v>
      </c>
      <c r="B2419">
        <v>21091</v>
      </c>
      <c r="C2419" t="s">
        <v>2601</v>
      </c>
      <c r="D2419" t="s">
        <v>2376</v>
      </c>
      <c r="E2419" t="s">
        <v>2381</v>
      </c>
      <c r="F2419">
        <v>5465</v>
      </c>
      <c r="G2419">
        <v>1</v>
      </c>
      <c r="H2419" t="s">
        <v>16</v>
      </c>
      <c r="I2419" s="1">
        <v>-2004400</v>
      </c>
      <c r="J2419" s="1">
        <v>-4168800</v>
      </c>
      <c r="K2419">
        <v>370</v>
      </c>
      <c r="L2419">
        <v>212</v>
      </c>
      <c r="M2419" t="s">
        <v>16</v>
      </c>
    </row>
    <row r="2420" spans="1:13" x14ac:dyDescent="0.35">
      <c r="A2420">
        <v>311610</v>
      </c>
      <c r="B2420">
        <v>21105</v>
      </c>
      <c r="C2420" t="s">
        <v>2602</v>
      </c>
      <c r="D2420" t="s">
        <v>2376</v>
      </c>
      <c r="E2420" t="s">
        <v>2429</v>
      </c>
      <c r="F2420">
        <v>15449</v>
      </c>
      <c r="G2420">
        <v>1</v>
      </c>
      <c r="H2420" t="s">
        <v>16</v>
      </c>
      <c r="I2420" s="1">
        <v>-1708700</v>
      </c>
      <c r="J2420" s="1">
        <v>-4253500</v>
      </c>
      <c r="K2420">
        <v>597</v>
      </c>
      <c r="L2420">
        <v>827</v>
      </c>
      <c r="M2420" t="s">
        <v>16</v>
      </c>
    </row>
    <row r="2421" spans="1:13" x14ac:dyDescent="0.35">
      <c r="A2421">
        <v>311615</v>
      </c>
      <c r="B2421">
        <v>55280</v>
      </c>
      <c r="C2421" t="s">
        <v>2603</v>
      </c>
      <c r="D2421" t="s">
        <v>2376</v>
      </c>
      <c r="E2421" t="s">
        <v>2505</v>
      </c>
      <c r="F2421">
        <v>10266</v>
      </c>
      <c r="G2421">
        <v>1</v>
      </c>
      <c r="H2421" t="s">
        <v>16</v>
      </c>
      <c r="I2421" s="1">
        <v>-1530600</v>
      </c>
      <c r="J2421" s="1">
        <v>-4561800</v>
      </c>
      <c r="K2421">
        <v>858</v>
      </c>
      <c r="L2421">
        <v>3214</v>
      </c>
      <c r="M2421" t="s">
        <v>16</v>
      </c>
    </row>
    <row r="2422" spans="1:13" x14ac:dyDescent="0.35">
      <c r="A2422">
        <v>311620</v>
      </c>
      <c r="B2422">
        <v>21113</v>
      </c>
      <c r="C2422" t="s">
        <v>2604</v>
      </c>
      <c r="D2422" t="s">
        <v>2376</v>
      </c>
      <c r="E2422" t="s">
        <v>2437</v>
      </c>
      <c r="F2422">
        <v>2893</v>
      </c>
      <c r="G2422">
        <v>1</v>
      </c>
      <c r="H2422" t="s">
        <v>16</v>
      </c>
      <c r="I2422" s="1">
        <v>-2200300</v>
      </c>
      <c r="J2422" s="1">
        <v>-4305800</v>
      </c>
      <c r="K2422">
        <v>332</v>
      </c>
      <c r="L2422">
        <v>252</v>
      </c>
      <c r="M2422" t="s">
        <v>16</v>
      </c>
    </row>
    <row r="2423" spans="1:13" x14ac:dyDescent="0.35">
      <c r="A2423">
        <v>311630</v>
      </c>
      <c r="B2423">
        <v>21121</v>
      </c>
      <c r="C2423" t="s">
        <v>2605</v>
      </c>
      <c r="D2423" t="s">
        <v>2376</v>
      </c>
      <c r="E2423" t="s">
        <v>1388</v>
      </c>
      <c r="F2423">
        <v>6539</v>
      </c>
      <c r="G2423">
        <v>1</v>
      </c>
      <c r="H2423" t="s">
        <v>16</v>
      </c>
      <c r="I2423" s="1">
        <v>-2090500</v>
      </c>
      <c r="J2423" s="1">
        <v>-4336600</v>
      </c>
      <c r="K2423">
        <v>660</v>
      </c>
      <c r="L2423">
        <v>153</v>
      </c>
      <c r="M2423" t="s">
        <v>16</v>
      </c>
    </row>
    <row r="2424" spans="1:13" x14ac:dyDescent="0.35">
      <c r="A2424">
        <v>311640</v>
      </c>
      <c r="B2424">
        <v>21130</v>
      </c>
      <c r="C2424" t="s">
        <v>2606</v>
      </c>
      <c r="D2424" t="s">
        <v>2376</v>
      </c>
      <c r="E2424" t="s">
        <v>2414</v>
      </c>
      <c r="F2424">
        <v>4295</v>
      </c>
      <c r="G2424">
        <v>1</v>
      </c>
      <c r="H2424" t="s">
        <v>16</v>
      </c>
      <c r="I2424" s="1">
        <v>-2039900</v>
      </c>
      <c r="J2424" s="1">
        <v>-4726700</v>
      </c>
      <c r="K2424">
        <v>749</v>
      </c>
      <c r="L2424">
        <v>210</v>
      </c>
      <c r="M2424" t="s">
        <v>16</v>
      </c>
    </row>
    <row r="2425" spans="1:13" x14ac:dyDescent="0.35">
      <c r="A2425">
        <v>311650</v>
      </c>
      <c r="B2425">
        <v>21148</v>
      </c>
      <c r="C2425" t="s">
        <v>2607</v>
      </c>
      <c r="D2425" t="s">
        <v>2376</v>
      </c>
      <c r="E2425" t="s">
        <v>2513</v>
      </c>
      <c r="F2425">
        <v>8131</v>
      </c>
      <c r="G2425">
        <v>1</v>
      </c>
      <c r="H2425" t="s">
        <v>16</v>
      </c>
      <c r="I2425" s="1">
        <v>-1708000</v>
      </c>
      <c r="J2425" s="1">
        <v>-4420900</v>
      </c>
      <c r="K2425">
        <v>632</v>
      </c>
      <c r="L2425">
        <v>705</v>
      </c>
      <c r="M2425" t="s">
        <v>16</v>
      </c>
    </row>
    <row r="2426" spans="1:13" x14ac:dyDescent="0.35">
      <c r="A2426">
        <v>311660</v>
      </c>
      <c r="B2426">
        <v>21156</v>
      </c>
      <c r="C2426" t="s">
        <v>2608</v>
      </c>
      <c r="D2426" t="s">
        <v>2376</v>
      </c>
      <c r="E2426" t="s">
        <v>2575</v>
      </c>
      <c r="F2426">
        <v>24590</v>
      </c>
      <c r="G2426">
        <v>1</v>
      </c>
      <c r="H2426" t="s">
        <v>16</v>
      </c>
      <c r="I2426" s="1">
        <v>-2044300</v>
      </c>
      <c r="J2426" s="1">
        <v>-4476600</v>
      </c>
      <c r="K2426">
        <v>832</v>
      </c>
      <c r="L2426">
        <v>630</v>
      </c>
      <c r="M2426" t="s">
        <v>16</v>
      </c>
    </row>
    <row r="2427" spans="1:13" x14ac:dyDescent="0.35">
      <c r="A2427">
        <v>311670</v>
      </c>
      <c r="B2427">
        <v>21164</v>
      </c>
      <c r="C2427" t="s">
        <v>2609</v>
      </c>
      <c r="D2427" t="s">
        <v>2376</v>
      </c>
      <c r="E2427" t="s">
        <v>1388</v>
      </c>
      <c r="F2427">
        <v>6886</v>
      </c>
      <c r="G2427">
        <v>1</v>
      </c>
      <c r="H2427" t="s">
        <v>16</v>
      </c>
      <c r="I2427" s="1">
        <v>-2085700</v>
      </c>
      <c r="J2427" s="1">
        <v>-4280300</v>
      </c>
      <c r="K2427">
        <v>720</v>
      </c>
      <c r="L2427">
        <v>106</v>
      </c>
      <c r="M2427" t="s">
        <v>16</v>
      </c>
    </row>
    <row r="2428" spans="1:13" x14ac:dyDescent="0.35">
      <c r="A2428">
        <v>311680</v>
      </c>
      <c r="B2428">
        <v>21172</v>
      </c>
      <c r="C2428" t="s">
        <v>2610</v>
      </c>
      <c r="D2428" t="s">
        <v>2376</v>
      </c>
      <c r="E2428" t="s">
        <v>2516</v>
      </c>
      <c r="F2428">
        <v>9281</v>
      </c>
      <c r="G2428">
        <v>1</v>
      </c>
      <c r="H2428" t="s">
        <v>16</v>
      </c>
      <c r="I2428" s="1">
        <v>-1823400</v>
      </c>
      <c r="J2428" s="1">
        <v>-4284000</v>
      </c>
      <c r="K2428">
        <v>691</v>
      </c>
      <c r="L2428">
        <v>347</v>
      </c>
      <c r="M2428" t="s">
        <v>16</v>
      </c>
    </row>
    <row r="2429" spans="1:13" x14ac:dyDescent="0.35">
      <c r="A2429">
        <v>311690</v>
      </c>
      <c r="B2429">
        <v>21180</v>
      </c>
      <c r="C2429" t="s">
        <v>2611</v>
      </c>
      <c r="D2429" t="s">
        <v>2376</v>
      </c>
      <c r="E2429" t="s">
        <v>2545</v>
      </c>
      <c r="F2429">
        <v>3087</v>
      </c>
      <c r="G2429">
        <v>1</v>
      </c>
      <c r="H2429" t="s">
        <v>16</v>
      </c>
      <c r="I2429" s="1">
        <v>-1969800</v>
      </c>
      <c r="J2429" s="1">
        <v>-4908100</v>
      </c>
      <c r="K2429">
        <v>557</v>
      </c>
      <c r="L2429">
        <v>1042</v>
      </c>
      <c r="M2429" t="s">
        <v>16</v>
      </c>
    </row>
    <row r="2430" spans="1:13" x14ac:dyDescent="0.35">
      <c r="A2430">
        <v>311700</v>
      </c>
      <c r="B2430">
        <v>21199</v>
      </c>
      <c r="C2430" t="s">
        <v>2612</v>
      </c>
      <c r="D2430" t="s">
        <v>2376</v>
      </c>
      <c r="E2430" t="s">
        <v>2426</v>
      </c>
      <c r="F2430">
        <v>8720</v>
      </c>
      <c r="G2430">
        <v>1</v>
      </c>
      <c r="H2430" t="s">
        <v>16</v>
      </c>
      <c r="I2430" s="1">
        <v>-1629600</v>
      </c>
      <c r="J2430" s="1">
        <v>-4179300</v>
      </c>
      <c r="K2430">
        <v>620</v>
      </c>
      <c r="L2430">
        <v>656</v>
      </c>
      <c r="M2430" t="s">
        <v>16</v>
      </c>
    </row>
    <row r="2431" spans="1:13" x14ac:dyDescent="0.35">
      <c r="A2431">
        <v>311710</v>
      </c>
      <c r="B2431">
        <v>21202</v>
      </c>
      <c r="C2431" t="s">
        <v>2613</v>
      </c>
      <c r="D2431" t="s">
        <v>2376</v>
      </c>
      <c r="E2431" t="s">
        <v>2407</v>
      </c>
      <c r="F2431">
        <v>10215</v>
      </c>
      <c r="G2431">
        <v>1</v>
      </c>
      <c r="H2431" t="s">
        <v>16</v>
      </c>
      <c r="I2431" s="1">
        <v>-2109400</v>
      </c>
      <c r="J2431" s="1">
        <v>-4620400</v>
      </c>
      <c r="K2431">
        <v>985</v>
      </c>
      <c r="L2431">
        <v>349</v>
      </c>
      <c r="M2431" t="s">
        <v>16</v>
      </c>
    </row>
    <row r="2432" spans="1:13" x14ac:dyDescent="0.35">
      <c r="A2432">
        <v>311720</v>
      </c>
      <c r="B2432">
        <v>21210</v>
      </c>
      <c r="C2432" t="s">
        <v>2614</v>
      </c>
      <c r="D2432" t="s">
        <v>2376</v>
      </c>
      <c r="E2432" t="s">
        <v>2530</v>
      </c>
      <c r="F2432">
        <v>2726</v>
      </c>
      <c r="G2432">
        <v>1</v>
      </c>
      <c r="H2432" t="s">
        <v>16</v>
      </c>
      <c r="I2432" s="1">
        <v>-2216000</v>
      </c>
      <c r="J2432" s="1">
        <v>-4545500</v>
      </c>
      <c r="K2432">
        <v>1068</v>
      </c>
      <c r="L2432">
        <v>101</v>
      </c>
      <c r="M2432" t="s">
        <v>16</v>
      </c>
    </row>
    <row r="2433" spans="1:13" x14ac:dyDescent="0.35">
      <c r="A2433">
        <v>311730</v>
      </c>
      <c r="B2433">
        <v>21229</v>
      </c>
      <c r="C2433" t="s">
        <v>2615</v>
      </c>
      <c r="D2433" t="s">
        <v>2376</v>
      </c>
      <c r="E2433" t="s">
        <v>2390</v>
      </c>
      <c r="F2433">
        <v>20426</v>
      </c>
      <c r="G2433">
        <v>1</v>
      </c>
      <c r="H2433" t="s">
        <v>16</v>
      </c>
      <c r="I2433" s="1">
        <v>-1991500</v>
      </c>
      <c r="J2433" s="1">
        <v>-4838800</v>
      </c>
      <c r="K2433">
        <v>509</v>
      </c>
      <c r="L2433">
        <v>1348</v>
      </c>
      <c r="M2433" t="s">
        <v>16</v>
      </c>
    </row>
    <row r="2434" spans="1:13" x14ac:dyDescent="0.35">
      <c r="A2434">
        <v>311740</v>
      </c>
      <c r="B2434">
        <v>21237</v>
      </c>
      <c r="C2434" t="s">
        <v>2616</v>
      </c>
      <c r="D2434" t="s">
        <v>2376</v>
      </c>
      <c r="E2434" t="s">
        <v>2398</v>
      </c>
      <c r="F2434">
        <v>4396</v>
      </c>
      <c r="G2434">
        <v>1</v>
      </c>
      <c r="H2434" t="s">
        <v>16</v>
      </c>
      <c r="I2434" s="1">
        <v>-1992800</v>
      </c>
      <c r="J2434" s="1">
        <v>-4169400</v>
      </c>
      <c r="K2434">
        <v>294</v>
      </c>
      <c r="L2434">
        <v>254</v>
      </c>
      <c r="M2434" t="s">
        <v>16</v>
      </c>
    </row>
    <row r="2435" spans="1:13" x14ac:dyDescent="0.35">
      <c r="A2435">
        <v>311750</v>
      </c>
      <c r="B2435">
        <v>21245</v>
      </c>
      <c r="C2435" t="s">
        <v>2617</v>
      </c>
      <c r="D2435" t="s">
        <v>2376</v>
      </c>
      <c r="E2435" t="s">
        <v>2422</v>
      </c>
      <c r="F2435">
        <v>18070</v>
      </c>
      <c r="G2435">
        <v>1</v>
      </c>
      <c r="H2435" t="s">
        <v>16</v>
      </c>
      <c r="I2435" s="1">
        <v>-1903700</v>
      </c>
      <c r="J2435" s="1">
        <v>-4342500</v>
      </c>
      <c r="K2435">
        <v>701</v>
      </c>
      <c r="L2435">
        <v>1671</v>
      </c>
      <c r="M2435" t="s">
        <v>16</v>
      </c>
    </row>
    <row r="2436" spans="1:13" x14ac:dyDescent="0.35">
      <c r="A2436">
        <v>311760</v>
      </c>
      <c r="B2436">
        <v>21253</v>
      </c>
      <c r="C2436" t="s">
        <v>2618</v>
      </c>
      <c r="D2436" t="s">
        <v>2376</v>
      </c>
      <c r="E2436" t="s">
        <v>2575</v>
      </c>
      <c r="F2436">
        <v>4725</v>
      </c>
      <c r="G2436">
        <v>1</v>
      </c>
      <c r="H2436" t="s">
        <v>16</v>
      </c>
      <c r="I2436" s="1">
        <v>-1975300</v>
      </c>
      <c r="J2436" s="1">
        <v>-4489700</v>
      </c>
      <c r="K2436">
        <v>650</v>
      </c>
      <c r="L2436">
        <v>249</v>
      </c>
      <c r="M2436" t="s">
        <v>16</v>
      </c>
    </row>
    <row r="2437" spans="1:13" x14ac:dyDescent="0.35">
      <c r="A2437">
        <v>311770</v>
      </c>
      <c r="B2437">
        <v>21261</v>
      </c>
      <c r="C2437" t="s">
        <v>2619</v>
      </c>
      <c r="D2437" t="s">
        <v>2376</v>
      </c>
      <c r="E2437" t="s">
        <v>2402</v>
      </c>
      <c r="F2437">
        <v>12708</v>
      </c>
      <c r="G2437">
        <v>1</v>
      </c>
      <c r="H2437" t="s">
        <v>16</v>
      </c>
      <c r="I2437" s="1">
        <v>-2188100</v>
      </c>
      <c r="J2437" s="1">
        <v>-4508500</v>
      </c>
      <c r="K2437">
        <v>880</v>
      </c>
      <c r="L2437">
        <v>370</v>
      </c>
      <c r="M2437" t="s">
        <v>16</v>
      </c>
    </row>
    <row r="2438" spans="1:13" x14ac:dyDescent="0.35">
      <c r="A2438">
        <v>311780</v>
      </c>
      <c r="B2438">
        <v>21270</v>
      </c>
      <c r="C2438" t="s">
        <v>2620</v>
      </c>
      <c r="D2438" t="s">
        <v>2376</v>
      </c>
      <c r="E2438" t="s">
        <v>2530</v>
      </c>
      <c r="F2438">
        <v>10204</v>
      </c>
      <c r="G2438">
        <v>1</v>
      </c>
      <c r="H2438" t="s">
        <v>16</v>
      </c>
      <c r="I2438" s="1">
        <v>-2241300</v>
      </c>
      <c r="J2438" s="1">
        <v>-4579800</v>
      </c>
      <c r="K2438">
        <v>863</v>
      </c>
      <c r="L2438">
        <v>182</v>
      </c>
      <c r="M2438" t="s">
        <v>16</v>
      </c>
    </row>
    <row r="2439" spans="1:13" x14ac:dyDescent="0.35">
      <c r="A2439">
        <v>311783</v>
      </c>
      <c r="B2439">
        <v>55298</v>
      </c>
      <c r="C2439" t="s">
        <v>2621</v>
      </c>
      <c r="D2439" t="s">
        <v>2376</v>
      </c>
      <c r="E2439" t="s">
        <v>2505</v>
      </c>
      <c r="F2439">
        <v>6279</v>
      </c>
      <c r="G2439">
        <v>1</v>
      </c>
      <c r="H2439" t="s">
        <v>16</v>
      </c>
      <c r="I2439" s="1">
        <v>-1529400</v>
      </c>
      <c r="J2439" s="1">
        <v>-4441800</v>
      </c>
      <c r="K2439">
        <v>637</v>
      </c>
      <c r="L2439">
        <v>1617</v>
      </c>
      <c r="M2439" t="s">
        <v>16</v>
      </c>
    </row>
    <row r="2440" spans="1:13" x14ac:dyDescent="0.35">
      <c r="A2440">
        <v>311787</v>
      </c>
      <c r="B2440">
        <v>55301</v>
      </c>
      <c r="C2440" t="s">
        <v>2622</v>
      </c>
      <c r="D2440" t="s">
        <v>2376</v>
      </c>
      <c r="E2440" t="s">
        <v>2479</v>
      </c>
      <c r="F2440">
        <v>5680</v>
      </c>
      <c r="G2440">
        <v>4</v>
      </c>
      <c r="H2440" t="s">
        <v>2468</v>
      </c>
      <c r="I2440" s="1">
        <v>-1963300</v>
      </c>
      <c r="J2440" s="1">
        <v>-4398300</v>
      </c>
      <c r="K2440">
        <v>750</v>
      </c>
      <c r="L2440">
        <v>42</v>
      </c>
      <c r="M2440" t="s">
        <v>16</v>
      </c>
    </row>
    <row r="2441" spans="1:13" x14ac:dyDescent="0.35">
      <c r="A2441">
        <v>311790</v>
      </c>
      <c r="B2441">
        <v>21288</v>
      </c>
      <c r="C2441" t="s">
        <v>2623</v>
      </c>
      <c r="D2441" t="s">
        <v>2376</v>
      </c>
      <c r="E2441" t="s">
        <v>2501</v>
      </c>
      <c r="F2441">
        <v>9692</v>
      </c>
      <c r="G2441">
        <v>1</v>
      </c>
      <c r="H2441" t="s">
        <v>16</v>
      </c>
      <c r="I2441" s="1">
        <v>-2215300</v>
      </c>
      <c r="J2441" s="1">
        <v>-4603900</v>
      </c>
      <c r="K2441">
        <v>862</v>
      </c>
      <c r="L2441">
        <v>205</v>
      </c>
      <c r="M2441" t="s">
        <v>16</v>
      </c>
    </row>
    <row r="2442" spans="1:13" x14ac:dyDescent="0.35">
      <c r="A2442">
        <v>311800</v>
      </c>
      <c r="B2442">
        <v>21296</v>
      </c>
      <c r="C2442" t="s">
        <v>2624</v>
      </c>
      <c r="D2442" t="s">
        <v>2376</v>
      </c>
      <c r="E2442" t="s">
        <v>2585</v>
      </c>
      <c r="F2442">
        <v>45984</v>
      </c>
      <c r="G2442">
        <v>1</v>
      </c>
      <c r="H2442" t="s">
        <v>16</v>
      </c>
      <c r="I2442" s="1">
        <v>-2050000</v>
      </c>
      <c r="J2442" s="1">
        <v>-4385800</v>
      </c>
      <c r="K2442">
        <v>871</v>
      </c>
      <c r="L2442">
        <v>305</v>
      </c>
      <c r="M2442" t="s">
        <v>16</v>
      </c>
    </row>
    <row r="2443" spans="1:13" x14ac:dyDescent="0.35">
      <c r="A2443">
        <v>311810</v>
      </c>
      <c r="B2443">
        <v>21300</v>
      </c>
      <c r="C2443" t="s">
        <v>2625</v>
      </c>
      <c r="D2443" t="s">
        <v>2376</v>
      </c>
      <c r="E2443" t="s">
        <v>2422</v>
      </c>
      <c r="F2443">
        <v>5110</v>
      </c>
      <c r="G2443">
        <v>1</v>
      </c>
      <c r="H2443" t="s">
        <v>16</v>
      </c>
      <c r="I2443" s="1">
        <v>-1880700</v>
      </c>
      <c r="J2443" s="1">
        <v>-4368100</v>
      </c>
      <c r="K2443">
        <v>1050</v>
      </c>
      <c r="L2443">
        <v>483</v>
      </c>
      <c r="M2443" t="s">
        <v>16</v>
      </c>
    </row>
    <row r="2444" spans="1:13" x14ac:dyDescent="0.35">
      <c r="A2444">
        <v>311820</v>
      </c>
      <c r="B2444">
        <v>21318</v>
      </c>
      <c r="C2444" t="s">
        <v>2626</v>
      </c>
      <c r="D2444" t="s">
        <v>2376</v>
      </c>
      <c r="E2444" t="s">
        <v>2390</v>
      </c>
      <c r="F2444">
        <v>6580</v>
      </c>
      <c r="G2444">
        <v>1</v>
      </c>
      <c r="H2444" t="s">
        <v>16</v>
      </c>
      <c r="I2444" s="1">
        <v>-1993700</v>
      </c>
      <c r="J2444" s="1">
        <v>-4754200</v>
      </c>
      <c r="K2444">
        <v>673</v>
      </c>
      <c r="L2444">
        <v>616</v>
      </c>
      <c r="M2444" t="s">
        <v>16</v>
      </c>
    </row>
    <row r="2445" spans="1:13" x14ac:dyDescent="0.35">
      <c r="A2445">
        <v>311830</v>
      </c>
      <c r="B2445">
        <v>21326</v>
      </c>
      <c r="C2445" t="s">
        <v>2585</v>
      </c>
      <c r="D2445" t="s">
        <v>2376</v>
      </c>
      <c r="E2445" t="s">
        <v>2585</v>
      </c>
      <c r="F2445">
        <v>109280</v>
      </c>
      <c r="G2445">
        <v>3</v>
      </c>
      <c r="H2445" t="s">
        <v>16</v>
      </c>
      <c r="I2445" s="1">
        <v>-2066000</v>
      </c>
      <c r="J2445" s="1">
        <v>-4378600</v>
      </c>
      <c r="K2445">
        <v>995</v>
      </c>
      <c r="L2445">
        <v>369</v>
      </c>
      <c r="M2445" t="s">
        <v>16</v>
      </c>
    </row>
    <row r="2446" spans="1:13" x14ac:dyDescent="0.35">
      <c r="A2446">
        <v>311840</v>
      </c>
      <c r="B2446">
        <v>21334</v>
      </c>
      <c r="C2446" t="s">
        <v>2627</v>
      </c>
      <c r="D2446" t="s">
        <v>2376</v>
      </c>
      <c r="E2446" t="s">
        <v>2398</v>
      </c>
      <c r="F2446">
        <v>21793</v>
      </c>
      <c r="G2446">
        <v>1</v>
      </c>
      <c r="H2446" t="s">
        <v>16</v>
      </c>
      <c r="I2446" s="1">
        <v>-1917200</v>
      </c>
      <c r="J2446" s="1">
        <v>-4147200</v>
      </c>
      <c r="K2446">
        <v>121</v>
      </c>
      <c r="L2446">
        <v>1408</v>
      </c>
      <c r="M2446" t="s">
        <v>16</v>
      </c>
    </row>
    <row r="2447" spans="1:13" x14ac:dyDescent="0.35">
      <c r="A2447">
        <v>311850</v>
      </c>
      <c r="B2447">
        <v>21342</v>
      </c>
      <c r="C2447" t="s">
        <v>2628</v>
      </c>
      <c r="D2447" t="s">
        <v>2376</v>
      </c>
      <c r="E2447" t="s">
        <v>2518</v>
      </c>
      <c r="F2447">
        <v>1695</v>
      </c>
      <c r="G2447">
        <v>1</v>
      </c>
      <c r="H2447" t="s">
        <v>16</v>
      </c>
      <c r="I2447" s="1">
        <v>-2255100</v>
      </c>
      <c r="J2447" s="1">
        <v>-4592100</v>
      </c>
      <c r="K2447">
        <v>1035</v>
      </c>
      <c r="L2447">
        <v>85</v>
      </c>
      <c r="M2447" t="s">
        <v>16</v>
      </c>
    </row>
    <row r="2448" spans="1:13" x14ac:dyDescent="0.35">
      <c r="A2448">
        <v>311860</v>
      </c>
      <c r="B2448">
        <v>21350</v>
      </c>
      <c r="C2448" t="s">
        <v>2629</v>
      </c>
      <c r="D2448" t="s">
        <v>2376</v>
      </c>
      <c r="E2448" t="s">
        <v>2479</v>
      </c>
      <c r="F2448">
        <v>608650</v>
      </c>
      <c r="G2448">
        <v>4</v>
      </c>
      <c r="H2448" t="s">
        <v>2468</v>
      </c>
      <c r="I2448" s="1">
        <v>-1993200</v>
      </c>
      <c r="J2448" s="1">
        <v>-4405400</v>
      </c>
      <c r="K2448">
        <v>902</v>
      </c>
      <c r="L2448">
        <v>194</v>
      </c>
      <c r="M2448" t="s">
        <v>16</v>
      </c>
    </row>
    <row r="2449" spans="1:13" x14ac:dyDescent="0.35">
      <c r="A2449">
        <v>311870</v>
      </c>
      <c r="B2449">
        <v>21369</v>
      </c>
      <c r="C2449" t="s">
        <v>2630</v>
      </c>
      <c r="D2449" t="s">
        <v>2376</v>
      </c>
      <c r="E2449" t="s">
        <v>2491</v>
      </c>
      <c r="F2449">
        <v>9466</v>
      </c>
      <c r="G2449">
        <v>1</v>
      </c>
      <c r="H2449" t="s">
        <v>16</v>
      </c>
      <c r="I2449" s="1">
        <v>-2118900</v>
      </c>
      <c r="J2449" s="1">
        <v>-4544100</v>
      </c>
      <c r="K2449">
        <v>867</v>
      </c>
      <c r="L2449">
        <v>296</v>
      </c>
      <c r="M2449" t="s">
        <v>16</v>
      </c>
    </row>
    <row r="2450" spans="1:13" x14ac:dyDescent="0.35">
      <c r="A2450">
        <v>311880</v>
      </c>
      <c r="B2450">
        <v>21377</v>
      </c>
      <c r="C2450" t="s">
        <v>2631</v>
      </c>
      <c r="D2450" t="s">
        <v>2376</v>
      </c>
      <c r="E2450" t="s">
        <v>2513</v>
      </c>
      <c r="F2450">
        <v>26131</v>
      </c>
      <c r="G2450">
        <v>1</v>
      </c>
      <c r="H2450" t="s">
        <v>16</v>
      </c>
      <c r="I2450" s="1">
        <v>-1668500</v>
      </c>
      <c r="J2450" s="1">
        <v>-4436500</v>
      </c>
      <c r="K2450">
        <v>760</v>
      </c>
      <c r="L2450">
        <v>2236</v>
      </c>
      <c r="M2450" t="s">
        <v>16</v>
      </c>
    </row>
    <row r="2451" spans="1:13" x14ac:dyDescent="0.35">
      <c r="A2451">
        <v>311890</v>
      </c>
      <c r="B2451">
        <v>21385</v>
      </c>
      <c r="C2451" t="s">
        <v>2632</v>
      </c>
      <c r="D2451" t="s">
        <v>2376</v>
      </c>
      <c r="E2451" t="s">
        <v>2435</v>
      </c>
      <c r="F2451">
        <v>9033</v>
      </c>
      <c r="G2451">
        <v>1</v>
      </c>
      <c r="H2451" t="s">
        <v>16</v>
      </c>
      <c r="I2451" s="1">
        <v>-1912500</v>
      </c>
      <c r="J2451" s="1">
        <v>-4432100</v>
      </c>
      <c r="K2451">
        <v>720</v>
      </c>
      <c r="L2451">
        <v>823</v>
      </c>
      <c r="M2451" t="s">
        <v>16</v>
      </c>
    </row>
    <row r="2452" spans="1:13" x14ac:dyDescent="0.35">
      <c r="A2452">
        <v>311900</v>
      </c>
      <c r="B2452">
        <v>21393</v>
      </c>
      <c r="C2452" t="s">
        <v>2633</v>
      </c>
      <c r="D2452" t="s">
        <v>2376</v>
      </c>
      <c r="E2452" t="s">
        <v>2530</v>
      </c>
      <c r="F2452">
        <v>3570</v>
      </c>
      <c r="G2452">
        <v>1</v>
      </c>
      <c r="H2452" t="s">
        <v>16</v>
      </c>
      <c r="I2452" s="1">
        <v>-2179300</v>
      </c>
      <c r="J2452" s="1">
        <v>-4570100</v>
      </c>
      <c r="K2452">
        <v>819</v>
      </c>
      <c r="L2452">
        <v>179</v>
      </c>
      <c r="M2452" t="s">
        <v>16</v>
      </c>
    </row>
    <row r="2453" spans="1:13" x14ac:dyDescent="0.35">
      <c r="A2453">
        <v>311910</v>
      </c>
      <c r="B2453">
        <v>21407</v>
      </c>
      <c r="C2453" t="s">
        <v>2634</v>
      </c>
      <c r="D2453" t="s">
        <v>2376</v>
      </c>
      <c r="E2453" t="s">
        <v>2465</v>
      </c>
      <c r="F2453">
        <v>22741</v>
      </c>
      <c r="G2453">
        <v>1</v>
      </c>
      <c r="H2453" t="s">
        <v>16</v>
      </c>
      <c r="I2453" s="1">
        <v>-1838100</v>
      </c>
      <c r="J2453" s="1">
        <v>-4445600</v>
      </c>
      <c r="K2453">
        <v>636</v>
      </c>
      <c r="L2453">
        <v>2524</v>
      </c>
      <c r="M2453" t="s">
        <v>16</v>
      </c>
    </row>
    <row r="2454" spans="1:13" x14ac:dyDescent="0.35">
      <c r="A2454">
        <v>311920</v>
      </c>
      <c r="B2454">
        <v>21415</v>
      </c>
      <c r="C2454" t="s">
        <v>2635</v>
      </c>
      <c r="D2454" t="s">
        <v>2376</v>
      </c>
      <c r="E2454" t="s">
        <v>2412</v>
      </c>
      <c r="F2454">
        <v>10776</v>
      </c>
      <c r="G2454">
        <v>1</v>
      </c>
      <c r="H2454" t="s">
        <v>16</v>
      </c>
      <c r="I2454" s="1">
        <v>-1862200</v>
      </c>
      <c r="J2454" s="1">
        <v>-4228600</v>
      </c>
      <c r="K2454">
        <v>467</v>
      </c>
      <c r="L2454">
        <v>576</v>
      </c>
      <c r="M2454" t="s">
        <v>16</v>
      </c>
    </row>
    <row r="2455" spans="1:13" x14ac:dyDescent="0.35">
      <c r="A2455">
        <v>311930</v>
      </c>
      <c r="B2455">
        <v>21423</v>
      </c>
      <c r="C2455" t="s">
        <v>2636</v>
      </c>
      <c r="D2455" t="s">
        <v>2376</v>
      </c>
      <c r="E2455" t="s">
        <v>2377</v>
      </c>
      <c r="F2455">
        <v>27392</v>
      </c>
      <c r="G2455">
        <v>1</v>
      </c>
      <c r="H2455" t="s">
        <v>16</v>
      </c>
      <c r="I2455" s="1">
        <v>-1847300</v>
      </c>
      <c r="J2455" s="1">
        <v>-4720000</v>
      </c>
      <c r="K2455">
        <v>976</v>
      </c>
      <c r="L2455">
        <v>3296</v>
      </c>
      <c r="M2455" t="s">
        <v>16</v>
      </c>
    </row>
    <row r="2456" spans="1:13" x14ac:dyDescent="0.35">
      <c r="A2456">
        <v>311940</v>
      </c>
      <c r="B2456">
        <v>21431</v>
      </c>
      <c r="C2456" t="s">
        <v>2637</v>
      </c>
      <c r="D2456" t="s">
        <v>2376</v>
      </c>
      <c r="E2456" t="s">
        <v>2385</v>
      </c>
      <c r="F2456">
        <v>100805</v>
      </c>
      <c r="G2456">
        <v>4</v>
      </c>
      <c r="H2456" t="s">
        <v>2386</v>
      </c>
      <c r="I2456" s="1">
        <v>-1951900</v>
      </c>
      <c r="J2456" s="1">
        <v>-4262900</v>
      </c>
      <c r="K2456">
        <v>250</v>
      </c>
      <c r="L2456">
        <v>221</v>
      </c>
      <c r="M2456" t="s">
        <v>16</v>
      </c>
    </row>
    <row r="2457" spans="1:13" x14ac:dyDescent="0.35">
      <c r="A2457">
        <v>311950</v>
      </c>
      <c r="B2457">
        <v>21440</v>
      </c>
      <c r="C2457" t="s">
        <v>2638</v>
      </c>
      <c r="D2457" t="s">
        <v>2376</v>
      </c>
      <c r="E2457" t="s">
        <v>2439</v>
      </c>
      <c r="F2457">
        <v>9120</v>
      </c>
      <c r="G2457">
        <v>1</v>
      </c>
      <c r="H2457" t="s">
        <v>16</v>
      </c>
      <c r="I2457" s="1">
        <v>-1661900</v>
      </c>
      <c r="J2457" s="1">
        <v>-4218200</v>
      </c>
      <c r="K2457">
        <v>322</v>
      </c>
      <c r="L2457">
        <v>813</v>
      </c>
      <c r="M2457" t="s">
        <v>16</v>
      </c>
    </row>
    <row r="2458" spans="1:13" x14ac:dyDescent="0.35">
      <c r="A2458">
        <v>311960</v>
      </c>
      <c r="B2458">
        <v>21458</v>
      </c>
      <c r="C2458" t="s">
        <v>2639</v>
      </c>
      <c r="D2458" t="s">
        <v>2376</v>
      </c>
      <c r="E2458" t="s">
        <v>2437</v>
      </c>
      <c r="F2458">
        <v>2457</v>
      </c>
      <c r="G2458">
        <v>1</v>
      </c>
      <c r="H2458" t="s">
        <v>16</v>
      </c>
      <c r="I2458" s="1">
        <v>-2158800</v>
      </c>
      <c r="J2458" s="1">
        <v>-4326600</v>
      </c>
      <c r="K2458">
        <v>484</v>
      </c>
      <c r="L2458">
        <v>130</v>
      </c>
      <c r="M2458" t="s">
        <v>16</v>
      </c>
    </row>
    <row r="2459" spans="1:13" x14ac:dyDescent="0.35">
      <c r="A2459">
        <v>311970</v>
      </c>
      <c r="B2459">
        <v>21466</v>
      </c>
      <c r="C2459" t="s">
        <v>2640</v>
      </c>
      <c r="D2459" t="s">
        <v>2376</v>
      </c>
      <c r="E2459" t="s">
        <v>2589</v>
      </c>
      <c r="F2459">
        <v>3194</v>
      </c>
      <c r="G2459">
        <v>1</v>
      </c>
      <c r="H2459" t="s">
        <v>16</v>
      </c>
      <c r="I2459" s="1">
        <v>-2102400</v>
      </c>
      <c r="J2459" s="1">
        <v>-4422300</v>
      </c>
      <c r="K2459">
        <v>931</v>
      </c>
      <c r="L2459">
        <v>141</v>
      </c>
      <c r="M2459" t="s">
        <v>16</v>
      </c>
    </row>
    <row r="2460" spans="1:13" x14ac:dyDescent="0.35">
      <c r="A2460">
        <v>311980</v>
      </c>
      <c r="B2460">
        <v>21474</v>
      </c>
      <c r="C2460" t="s">
        <v>2641</v>
      </c>
      <c r="D2460" t="s">
        <v>2376</v>
      </c>
      <c r="E2460" t="s">
        <v>2470</v>
      </c>
      <c r="F2460">
        <v>3423</v>
      </c>
      <c r="G2460">
        <v>1</v>
      </c>
      <c r="H2460" t="s">
        <v>16</v>
      </c>
      <c r="I2460" s="1">
        <v>-1982400</v>
      </c>
      <c r="J2460" s="1">
        <v>-4590400</v>
      </c>
      <c r="K2460">
        <v>648</v>
      </c>
      <c r="L2460">
        <v>644</v>
      </c>
      <c r="M2460" t="s">
        <v>16</v>
      </c>
    </row>
    <row r="2461" spans="1:13" x14ac:dyDescent="0.35">
      <c r="A2461">
        <v>311990</v>
      </c>
      <c r="B2461">
        <v>21482</v>
      </c>
      <c r="C2461" t="s">
        <v>2642</v>
      </c>
      <c r="D2461" t="s">
        <v>2376</v>
      </c>
      <c r="E2461" t="s">
        <v>2501</v>
      </c>
      <c r="F2461">
        <v>3724</v>
      </c>
      <c r="G2461">
        <v>1</v>
      </c>
      <c r="H2461" t="s">
        <v>16</v>
      </c>
      <c r="I2461" s="1">
        <v>-2263000</v>
      </c>
      <c r="J2461" s="1">
        <v>-4602000</v>
      </c>
      <c r="K2461">
        <v>911</v>
      </c>
      <c r="L2461">
        <v>123</v>
      </c>
      <c r="M2461" t="s">
        <v>16</v>
      </c>
    </row>
    <row r="2462" spans="1:13" x14ac:dyDescent="0.35">
      <c r="A2462">
        <v>311995</v>
      </c>
      <c r="B2462">
        <v>55310</v>
      </c>
      <c r="C2462" t="s">
        <v>2643</v>
      </c>
      <c r="D2462" t="s">
        <v>2376</v>
      </c>
      <c r="E2462" t="s">
        <v>2454</v>
      </c>
      <c r="F2462">
        <v>5635</v>
      </c>
      <c r="G2462">
        <v>1</v>
      </c>
      <c r="H2462" t="s">
        <v>16</v>
      </c>
      <c r="I2462" s="1">
        <v>-2044900</v>
      </c>
      <c r="J2462" s="1">
        <v>-4555500</v>
      </c>
      <c r="K2462">
        <v>844</v>
      </c>
      <c r="L2462">
        <v>105</v>
      </c>
      <c r="M2462" t="s">
        <v>16</v>
      </c>
    </row>
    <row r="2463" spans="1:13" x14ac:dyDescent="0.35">
      <c r="A2463">
        <v>312000</v>
      </c>
      <c r="B2463">
        <v>21490</v>
      </c>
      <c r="C2463" t="s">
        <v>2644</v>
      </c>
      <c r="D2463" t="s">
        <v>2376</v>
      </c>
      <c r="E2463" t="s">
        <v>2499</v>
      </c>
      <c r="F2463">
        <v>3155</v>
      </c>
      <c r="G2463">
        <v>4</v>
      </c>
      <c r="H2463" t="s">
        <v>2386</v>
      </c>
      <c r="I2463" s="1">
        <v>-1983200</v>
      </c>
      <c r="J2463" s="1">
        <v>-4239600</v>
      </c>
      <c r="K2463">
        <v>425</v>
      </c>
      <c r="L2463">
        <v>198</v>
      </c>
      <c r="M2463" t="s">
        <v>16</v>
      </c>
    </row>
    <row r="2464" spans="1:13" x14ac:dyDescent="0.35">
      <c r="A2464">
        <v>312010</v>
      </c>
      <c r="B2464">
        <v>21504</v>
      </c>
      <c r="C2464" t="s">
        <v>2645</v>
      </c>
      <c r="D2464" t="s">
        <v>2376</v>
      </c>
      <c r="E2464" t="s">
        <v>2646</v>
      </c>
      <c r="F2464">
        <v>4332</v>
      </c>
      <c r="G2464">
        <v>1</v>
      </c>
      <c r="H2464" t="s">
        <v>16</v>
      </c>
      <c r="I2464" s="1">
        <v>-1807100</v>
      </c>
      <c r="J2464" s="1">
        <v>-4347100</v>
      </c>
      <c r="K2464">
        <v>726</v>
      </c>
      <c r="L2464">
        <v>484</v>
      </c>
      <c r="M2464" t="s">
        <v>16</v>
      </c>
    </row>
    <row r="2465" spans="1:13" x14ac:dyDescent="0.35">
      <c r="A2465">
        <v>312015</v>
      </c>
      <c r="B2465">
        <v>55328</v>
      </c>
      <c r="C2465" t="s">
        <v>2647</v>
      </c>
      <c r="D2465" t="s">
        <v>2376</v>
      </c>
      <c r="E2465" t="s">
        <v>2394</v>
      </c>
      <c r="F2465">
        <v>5659</v>
      </c>
      <c r="G2465">
        <v>1</v>
      </c>
      <c r="H2465" t="s">
        <v>16</v>
      </c>
      <c r="I2465" s="1">
        <v>-1723700</v>
      </c>
      <c r="J2465" s="1">
        <v>-4091200</v>
      </c>
      <c r="K2465">
        <v>282</v>
      </c>
      <c r="L2465">
        <v>969</v>
      </c>
      <c r="M2465" t="s">
        <v>16</v>
      </c>
    </row>
    <row r="2466" spans="1:13" x14ac:dyDescent="0.35">
      <c r="A2466">
        <v>312020</v>
      </c>
      <c r="B2466">
        <v>21512</v>
      </c>
      <c r="C2466" t="s">
        <v>2648</v>
      </c>
      <c r="D2466" t="s">
        <v>2376</v>
      </c>
      <c r="E2466" t="s">
        <v>2392</v>
      </c>
      <c r="F2466">
        <v>10631</v>
      </c>
      <c r="G2466">
        <v>1</v>
      </c>
      <c r="H2466" t="s">
        <v>16</v>
      </c>
      <c r="I2466" s="1">
        <v>-2087600</v>
      </c>
      <c r="J2466" s="1">
        <v>-4551900</v>
      </c>
      <c r="K2466">
        <v>873</v>
      </c>
      <c r="L2466">
        <v>627</v>
      </c>
      <c r="M2466" t="s">
        <v>16</v>
      </c>
    </row>
    <row r="2467" spans="1:13" x14ac:dyDescent="0.35">
      <c r="A2467">
        <v>312030</v>
      </c>
      <c r="B2467">
        <v>21520</v>
      </c>
      <c r="C2467" t="s">
        <v>2649</v>
      </c>
      <c r="D2467" t="s">
        <v>2376</v>
      </c>
      <c r="E2467" t="s">
        <v>2509</v>
      </c>
      <c r="F2467">
        <v>5731</v>
      </c>
      <c r="G2467">
        <v>1</v>
      </c>
      <c r="H2467" t="s">
        <v>16</v>
      </c>
      <c r="I2467" s="1">
        <v>-1680000</v>
      </c>
      <c r="J2467" s="1">
        <v>-4286200</v>
      </c>
      <c r="K2467">
        <v>728</v>
      </c>
      <c r="L2467">
        <v>840</v>
      </c>
      <c r="M2467" t="s">
        <v>16</v>
      </c>
    </row>
    <row r="2468" spans="1:13" x14ac:dyDescent="0.35">
      <c r="A2468">
        <v>312040</v>
      </c>
      <c r="B2468">
        <v>21539</v>
      </c>
      <c r="C2468" t="s">
        <v>2650</v>
      </c>
      <c r="D2468" t="s">
        <v>2376</v>
      </c>
      <c r="E2468" t="s">
        <v>2585</v>
      </c>
      <c r="F2468">
        <v>4881</v>
      </c>
      <c r="G2468">
        <v>1</v>
      </c>
      <c r="H2468" t="s">
        <v>16</v>
      </c>
      <c r="I2468" s="1">
        <v>-2083200</v>
      </c>
      <c r="J2468" s="1">
        <v>-4380600</v>
      </c>
      <c r="K2468">
        <v>1005</v>
      </c>
      <c r="L2468">
        <v>132</v>
      </c>
      <c r="M2468" t="s">
        <v>16</v>
      </c>
    </row>
    <row r="2469" spans="1:13" x14ac:dyDescent="0.35">
      <c r="A2469">
        <v>312050</v>
      </c>
      <c r="B2469">
        <v>21547</v>
      </c>
      <c r="C2469" t="s">
        <v>2651</v>
      </c>
      <c r="D2469" t="s">
        <v>2376</v>
      </c>
      <c r="E2469" t="s">
        <v>2518</v>
      </c>
      <c r="F2469">
        <v>10955</v>
      </c>
      <c r="G2469">
        <v>1</v>
      </c>
      <c r="H2469" t="s">
        <v>16</v>
      </c>
      <c r="I2469" s="1">
        <v>-2221200</v>
      </c>
      <c r="J2469" s="1">
        <v>-4526400</v>
      </c>
      <c r="K2469">
        <v>1025</v>
      </c>
      <c r="L2469">
        <v>311</v>
      </c>
      <c r="M2469" t="s">
        <v>16</v>
      </c>
    </row>
    <row r="2470" spans="1:13" x14ac:dyDescent="0.35">
      <c r="A2470">
        <v>312060</v>
      </c>
      <c r="B2470">
        <v>21555</v>
      </c>
      <c r="C2470" t="s">
        <v>2652</v>
      </c>
      <c r="D2470" t="s">
        <v>2376</v>
      </c>
      <c r="E2470" t="s">
        <v>2482</v>
      </c>
      <c r="F2470">
        <v>4593</v>
      </c>
      <c r="G2470">
        <v>1</v>
      </c>
      <c r="H2470" t="s">
        <v>16</v>
      </c>
      <c r="I2470" s="1">
        <v>-2038400</v>
      </c>
      <c r="J2470" s="1">
        <v>-4433700</v>
      </c>
      <c r="K2470">
        <v>908</v>
      </c>
      <c r="L2470">
        <v>166</v>
      </c>
      <c r="M2470" t="s">
        <v>16</v>
      </c>
    </row>
    <row r="2471" spans="1:13" x14ac:dyDescent="0.35">
      <c r="A2471">
        <v>312070</v>
      </c>
      <c r="B2471">
        <v>21563</v>
      </c>
      <c r="C2471" t="s">
        <v>2653</v>
      </c>
      <c r="D2471" t="s">
        <v>2376</v>
      </c>
      <c r="E2471" t="s">
        <v>2377</v>
      </c>
      <c r="F2471">
        <v>3760</v>
      </c>
      <c r="G2471">
        <v>1</v>
      </c>
      <c r="H2471" t="s">
        <v>16</v>
      </c>
      <c r="I2471" s="1">
        <v>-1894600</v>
      </c>
      <c r="J2471" s="1">
        <v>-4667400</v>
      </c>
      <c r="K2471">
        <v>859</v>
      </c>
      <c r="L2471">
        <v>185</v>
      </c>
      <c r="M2471" t="s">
        <v>16</v>
      </c>
    </row>
    <row r="2472" spans="1:13" x14ac:dyDescent="0.35">
      <c r="A2472">
        <v>312080</v>
      </c>
      <c r="B2472">
        <v>21571</v>
      </c>
      <c r="C2472" t="s">
        <v>2654</v>
      </c>
      <c r="D2472" t="s">
        <v>2376</v>
      </c>
      <c r="E2472" t="s">
        <v>2400</v>
      </c>
      <c r="F2472">
        <v>14656</v>
      </c>
      <c r="G2472">
        <v>1</v>
      </c>
      <c r="H2472" t="s">
        <v>16</v>
      </c>
      <c r="I2472" s="1">
        <v>-2183900</v>
      </c>
      <c r="J2472" s="1">
        <v>-4480800</v>
      </c>
      <c r="K2472">
        <v>1010</v>
      </c>
      <c r="L2472">
        <v>523</v>
      </c>
      <c r="M2472" t="s">
        <v>16</v>
      </c>
    </row>
    <row r="2473" spans="1:13" x14ac:dyDescent="0.35">
      <c r="A2473">
        <v>312083</v>
      </c>
      <c r="B2473">
        <v>55336</v>
      </c>
      <c r="C2473" t="s">
        <v>2655</v>
      </c>
      <c r="D2473" t="s">
        <v>2376</v>
      </c>
      <c r="E2473" t="s">
        <v>2398</v>
      </c>
      <c r="F2473">
        <v>4404</v>
      </c>
      <c r="G2473">
        <v>1</v>
      </c>
      <c r="H2473" t="s">
        <v>16</v>
      </c>
      <c r="I2473" s="1">
        <v>-1896900</v>
      </c>
      <c r="J2473" s="1">
        <v>-4109900</v>
      </c>
      <c r="K2473">
        <v>180</v>
      </c>
      <c r="L2473">
        <v>227</v>
      </c>
      <c r="M2473" t="s">
        <v>16</v>
      </c>
    </row>
    <row r="2474" spans="1:13" x14ac:dyDescent="0.35">
      <c r="A2474">
        <v>312087</v>
      </c>
      <c r="B2474">
        <v>55344</v>
      </c>
      <c r="C2474" t="s">
        <v>2656</v>
      </c>
      <c r="D2474" t="s">
        <v>2376</v>
      </c>
      <c r="E2474" t="s">
        <v>2396</v>
      </c>
      <c r="F2474">
        <v>6907</v>
      </c>
      <c r="G2474">
        <v>1</v>
      </c>
      <c r="H2474" t="s">
        <v>16</v>
      </c>
      <c r="I2474" s="1">
        <v>-1593800</v>
      </c>
      <c r="J2474" s="1">
        <v>-4184400</v>
      </c>
      <c r="K2474">
        <v>890</v>
      </c>
      <c r="L2474">
        <v>570</v>
      </c>
      <c r="M2474" t="s">
        <v>16</v>
      </c>
    </row>
    <row r="2475" spans="1:13" x14ac:dyDescent="0.35">
      <c r="A2475">
        <v>312090</v>
      </c>
      <c r="B2475">
        <v>21580</v>
      </c>
      <c r="C2475" t="s">
        <v>2465</v>
      </c>
      <c r="D2475" t="s">
        <v>2376</v>
      </c>
      <c r="E2475" t="s">
        <v>2465</v>
      </c>
      <c r="F2475">
        <v>71611</v>
      </c>
      <c r="G2475">
        <v>2</v>
      </c>
      <c r="H2475" t="s">
        <v>16</v>
      </c>
      <c r="I2475" s="1">
        <v>-1875600</v>
      </c>
      <c r="J2475" s="1">
        <v>-4443100</v>
      </c>
      <c r="K2475">
        <v>632</v>
      </c>
      <c r="L2475">
        <v>3295</v>
      </c>
      <c r="M2475" t="s">
        <v>16</v>
      </c>
    </row>
    <row r="2476" spans="1:13" x14ac:dyDescent="0.35">
      <c r="A2476">
        <v>312100</v>
      </c>
      <c r="B2476">
        <v>21598</v>
      </c>
      <c r="C2476" t="s">
        <v>2657</v>
      </c>
      <c r="D2476" t="s">
        <v>2376</v>
      </c>
      <c r="E2476" t="s">
        <v>2646</v>
      </c>
      <c r="F2476">
        <v>5418</v>
      </c>
      <c r="G2476">
        <v>1</v>
      </c>
      <c r="H2476" t="s">
        <v>16</v>
      </c>
      <c r="I2476" s="1">
        <v>-1844600</v>
      </c>
      <c r="J2476" s="1">
        <v>-4365600</v>
      </c>
      <c r="K2476">
        <v>1231</v>
      </c>
      <c r="L2476">
        <v>309</v>
      </c>
      <c r="M2476" t="s">
        <v>16</v>
      </c>
    </row>
    <row r="2477" spans="1:13" x14ac:dyDescent="0.35">
      <c r="A2477">
        <v>312110</v>
      </c>
      <c r="B2477">
        <v>21601</v>
      </c>
      <c r="C2477" t="s">
        <v>2658</v>
      </c>
      <c r="D2477" t="s">
        <v>2376</v>
      </c>
      <c r="E2477" t="s">
        <v>2518</v>
      </c>
      <c r="F2477">
        <v>7834</v>
      </c>
      <c r="G2477">
        <v>1</v>
      </c>
      <c r="H2477" t="s">
        <v>16</v>
      </c>
      <c r="I2477" s="1">
        <v>-2250900</v>
      </c>
      <c r="J2477" s="1">
        <v>-4528000</v>
      </c>
      <c r="K2477">
        <v>1200</v>
      </c>
      <c r="L2477">
        <v>408</v>
      </c>
      <c r="M2477" t="s">
        <v>16</v>
      </c>
    </row>
    <row r="2478" spans="1:13" x14ac:dyDescent="0.35">
      <c r="A2478">
        <v>312120</v>
      </c>
      <c r="B2478">
        <v>21610</v>
      </c>
      <c r="C2478" t="s">
        <v>2659</v>
      </c>
      <c r="D2478" t="s">
        <v>2376</v>
      </c>
      <c r="E2478" t="s">
        <v>2414</v>
      </c>
      <c r="F2478">
        <v>6698</v>
      </c>
      <c r="G2478">
        <v>1</v>
      </c>
      <c r="H2478" t="s">
        <v>16</v>
      </c>
      <c r="I2478" s="1">
        <v>-2034400</v>
      </c>
      <c r="J2478" s="1">
        <v>-4685400</v>
      </c>
      <c r="K2478">
        <v>684</v>
      </c>
      <c r="L2478">
        <v>1374</v>
      </c>
      <c r="M2478" t="s">
        <v>16</v>
      </c>
    </row>
    <row r="2479" spans="1:13" x14ac:dyDescent="0.35">
      <c r="A2479">
        <v>312125</v>
      </c>
      <c r="B2479">
        <v>55352</v>
      </c>
      <c r="C2479" t="s">
        <v>2660</v>
      </c>
      <c r="D2479" t="s">
        <v>2376</v>
      </c>
      <c r="E2479" t="s">
        <v>2390</v>
      </c>
      <c r="F2479">
        <v>6600</v>
      </c>
      <c r="G2479">
        <v>1</v>
      </c>
      <c r="H2479" t="s">
        <v>16</v>
      </c>
      <c r="I2479" s="1">
        <v>-1997700</v>
      </c>
      <c r="J2479" s="1">
        <v>-4777100</v>
      </c>
      <c r="K2479">
        <v>500</v>
      </c>
      <c r="L2479">
        <v>104</v>
      </c>
      <c r="M2479" t="s">
        <v>16</v>
      </c>
    </row>
    <row r="2480" spans="1:13" x14ac:dyDescent="0.35">
      <c r="A2480">
        <v>312130</v>
      </c>
      <c r="B2480">
        <v>21628</v>
      </c>
      <c r="C2480" t="s">
        <v>2661</v>
      </c>
      <c r="D2480" t="s">
        <v>2376</v>
      </c>
      <c r="E2480" t="s">
        <v>2437</v>
      </c>
      <c r="F2480">
        <v>4876</v>
      </c>
      <c r="G2480">
        <v>1</v>
      </c>
      <c r="H2480" t="s">
        <v>16</v>
      </c>
      <c r="I2480" s="1">
        <v>-2146000</v>
      </c>
      <c r="J2480" s="1">
        <v>-4296800</v>
      </c>
      <c r="K2480">
        <v>340</v>
      </c>
      <c r="L2480">
        <v>213</v>
      </c>
      <c r="M2480" t="s">
        <v>16</v>
      </c>
    </row>
    <row r="2481" spans="1:13" x14ac:dyDescent="0.35">
      <c r="A2481">
        <v>312140</v>
      </c>
      <c r="B2481">
        <v>21636</v>
      </c>
      <c r="C2481" t="s">
        <v>2662</v>
      </c>
      <c r="D2481" t="s">
        <v>2376</v>
      </c>
      <c r="E2481" t="s">
        <v>2585</v>
      </c>
      <c r="F2481">
        <v>6914</v>
      </c>
      <c r="G2481">
        <v>1</v>
      </c>
      <c r="H2481" t="s">
        <v>16</v>
      </c>
      <c r="I2481" s="1">
        <v>-2066000</v>
      </c>
      <c r="J2481" s="1">
        <v>-4433300</v>
      </c>
      <c r="K2481">
        <v>1052</v>
      </c>
      <c r="L2481">
        <v>370</v>
      </c>
      <c r="M2481" t="s">
        <v>16</v>
      </c>
    </row>
    <row r="2482" spans="1:13" x14ac:dyDescent="0.35">
      <c r="A2482">
        <v>312150</v>
      </c>
      <c r="B2482">
        <v>21644</v>
      </c>
      <c r="C2482" t="s">
        <v>2663</v>
      </c>
      <c r="D2482" t="s">
        <v>2376</v>
      </c>
      <c r="E2482" t="s">
        <v>2409</v>
      </c>
      <c r="F2482">
        <v>3198</v>
      </c>
      <c r="G2482">
        <v>1</v>
      </c>
      <c r="H2482" t="s">
        <v>16</v>
      </c>
      <c r="I2482" s="1">
        <v>-2114700</v>
      </c>
      <c r="J2482" s="1">
        <v>-4351800</v>
      </c>
      <c r="K2482">
        <v>818</v>
      </c>
      <c r="L2482">
        <v>142</v>
      </c>
      <c r="M2482" t="s">
        <v>16</v>
      </c>
    </row>
    <row r="2483" spans="1:13" x14ac:dyDescent="0.35">
      <c r="A2483">
        <v>312160</v>
      </c>
      <c r="B2483">
        <v>21652</v>
      </c>
      <c r="C2483" t="s">
        <v>2646</v>
      </c>
      <c r="D2483" t="s">
        <v>2376</v>
      </c>
      <c r="E2483" t="s">
        <v>2646</v>
      </c>
      <c r="F2483">
        <v>44746</v>
      </c>
      <c r="G2483">
        <v>1</v>
      </c>
      <c r="H2483" t="s">
        <v>16</v>
      </c>
      <c r="I2483" s="1">
        <v>-1824900</v>
      </c>
      <c r="J2483" s="1">
        <v>-4360000</v>
      </c>
      <c r="K2483">
        <v>1113</v>
      </c>
      <c r="L2483">
        <v>3869</v>
      </c>
      <c r="M2483" t="s">
        <v>16</v>
      </c>
    </row>
    <row r="2484" spans="1:13" x14ac:dyDescent="0.35">
      <c r="A2484">
        <v>312170</v>
      </c>
      <c r="B2484">
        <v>21660</v>
      </c>
      <c r="C2484" t="s">
        <v>2664</v>
      </c>
      <c r="D2484" t="s">
        <v>2376</v>
      </c>
      <c r="E2484" t="s">
        <v>2665</v>
      </c>
      <c r="F2484">
        <v>3941</v>
      </c>
      <c r="G2484">
        <v>1</v>
      </c>
      <c r="H2484" t="s">
        <v>16</v>
      </c>
      <c r="I2484" s="1">
        <v>-2048800</v>
      </c>
      <c r="J2484" s="1">
        <v>-4319800</v>
      </c>
      <c r="K2484">
        <v>592</v>
      </c>
      <c r="L2484">
        <v>165</v>
      </c>
      <c r="M2484" t="s">
        <v>16</v>
      </c>
    </row>
    <row r="2485" spans="1:13" x14ac:dyDescent="0.35">
      <c r="A2485">
        <v>312180</v>
      </c>
      <c r="B2485">
        <v>21679</v>
      </c>
      <c r="C2485" t="s">
        <v>2666</v>
      </c>
      <c r="D2485" t="s">
        <v>2376</v>
      </c>
      <c r="E2485" t="s">
        <v>2420</v>
      </c>
      <c r="F2485">
        <v>10234</v>
      </c>
      <c r="G2485">
        <v>4</v>
      </c>
      <c r="H2485" t="s">
        <v>2386</v>
      </c>
      <c r="I2485" s="1">
        <v>-1984300</v>
      </c>
      <c r="J2485" s="1">
        <v>-4277700</v>
      </c>
      <c r="K2485">
        <v>355</v>
      </c>
      <c r="L2485">
        <v>343</v>
      </c>
      <c r="M2485" t="s">
        <v>16</v>
      </c>
    </row>
    <row r="2486" spans="1:13" x14ac:dyDescent="0.35">
      <c r="A2486">
        <v>312190</v>
      </c>
      <c r="B2486">
        <v>21687</v>
      </c>
      <c r="C2486" t="s">
        <v>2667</v>
      </c>
      <c r="D2486" t="s">
        <v>2376</v>
      </c>
      <c r="E2486" t="s">
        <v>2461</v>
      </c>
      <c r="F2486">
        <v>3276</v>
      </c>
      <c r="G2486">
        <v>1</v>
      </c>
      <c r="H2486" t="s">
        <v>16</v>
      </c>
      <c r="I2486" s="1">
        <v>-2099000</v>
      </c>
      <c r="J2486" s="1">
        <v>-4300400</v>
      </c>
      <c r="K2486">
        <v>753</v>
      </c>
      <c r="L2486">
        <v>118</v>
      </c>
      <c r="M2486" t="s">
        <v>16</v>
      </c>
    </row>
    <row r="2487" spans="1:13" x14ac:dyDescent="0.35">
      <c r="A2487">
        <v>312200</v>
      </c>
      <c r="B2487">
        <v>21695</v>
      </c>
      <c r="C2487" t="s">
        <v>2668</v>
      </c>
      <c r="D2487" t="s">
        <v>2376</v>
      </c>
      <c r="E2487" t="s">
        <v>2433</v>
      </c>
      <c r="F2487">
        <v>19245</v>
      </c>
      <c r="G2487">
        <v>1</v>
      </c>
      <c r="H2487" t="s">
        <v>16</v>
      </c>
      <c r="I2487" s="1">
        <v>-2061400</v>
      </c>
      <c r="J2487" s="1">
        <v>-4214900</v>
      </c>
      <c r="K2487">
        <v>660</v>
      </c>
      <c r="L2487">
        <v>338</v>
      </c>
      <c r="M2487" t="s">
        <v>16</v>
      </c>
    </row>
    <row r="2488" spans="1:13" x14ac:dyDescent="0.35">
      <c r="A2488">
        <v>312210</v>
      </c>
      <c r="B2488">
        <v>21709</v>
      </c>
      <c r="C2488" t="s">
        <v>2669</v>
      </c>
      <c r="D2488" t="s">
        <v>2376</v>
      </c>
      <c r="E2488" t="s">
        <v>2412</v>
      </c>
      <c r="F2488">
        <v>4934</v>
      </c>
      <c r="G2488">
        <v>1</v>
      </c>
      <c r="H2488" t="s">
        <v>16</v>
      </c>
      <c r="I2488" s="1">
        <v>-1877800</v>
      </c>
      <c r="J2488" s="1">
        <v>-4148000</v>
      </c>
      <c r="K2488">
        <v>240</v>
      </c>
      <c r="L2488">
        <v>342</v>
      </c>
      <c r="M2488" t="s">
        <v>16</v>
      </c>
    </row>
    <row r="2489" spans="1:13" x14ac:dyDescent="0.35">
      <c r="A2489">
        <v>312220</v>
      </c>
      <c r="B2489">
        <v>21717</v>
      </c>
      <c r="C2489" t="s">
        <v>2670</v>
      </c>
      <c r="D2489" t="s">
        <v>2376</v>
      </c>
      <c r="E2489" t="s">
        <v>2516</v>
      </c>
      <c r="F2489">
        <v>6724</v>
      </c>
      <c r="G2489">
        <v>1</v>
      </c>
      <c r="H2489" t="s">
        <v>16</v>
      </c>
      <c r="I2489" s="1">
        <v>-1880400</v>
      </c>
      <c r="J2489" s="1">
        <v>-4259800</v>
      </c>
      <c r="K2489">
        <v>748</v>
      </c>
      <c r="L2489">
        <v>132</v>
      </c>
      <c r="M2489" t="s">
        <v>16</v>
      </c>
    </row>
    <row r="2490" spans="1:13" x14ac:dyDescent="0.35">
      <c r="A2490">
        <v>312230</v>
      </c>
      <c r="B2490">
        <v>21725</v>
      </c>
      <c r="C2490" t="s">
        <v>2671</v>
      </c>
      <c r="D2490" t="s">
        <v>2376</v>
      </c>
      <c r="E2490" t="s">
        <v>2575</v>
      </c>
      <c r="F2490">
        <v>209921</v>
      </c>
      <c r="G2490">
        <v>3</v>
      </c>
      <c r="H2490" t="s">
        <v>16</v>
      </c>
      <c r="I2490" s="1">
        <v>-2013900</v>
      </c>
      <c r="J2490" s="1">
        <v>-4488400</v>
      </c>
      <c r="K2490">
        <v>712</v>
      </c>
      <c r="L2490">
        <v>708</v>
      </c>
      <c r="M2490" t="s">
        <v>16</v>
      </c>
    </row>
    <row r="2491" spans="1:13" x14ac:dyDescent="0.35">
      <c r="A2491">
        <v>312235</v>
      </c>
      <c r="B2491">
        <v>55360</v>
      </c>
      <c r="C2491" t="s">
        <v>2672</v>
      </c>
      <c r="D2491" t="s">
        <v>2376</v>
      </c>
      <c r="E2491" t="s">
        <v>2396</v>
      </c>
      <c r="F2491">
        <v>5793</v>
      </c>
      <c r="G2491">
        <v>1</v>
      </c>
      <c r="H2491" t="s">
        <v>16</v>
      </c>
      <c r="I2491" s="1">
        <v>-1572600</v>
      </c>
      <c r="J2491" s="1">
        <v>-4134500</v>
      </c>
      <c r="K2491">
        <v>975</v>
      </c>
      <c r="L2491">
        <v>118</v>
      </c>
      <c r="M2491" t="s">
        <v>16</v>
      </c>
    </row>
    <row r="2492" spans="1:13" x14ac:dyDescent="0.35">
      <c r="A2492">
        <v>312240</v>
      </c>
      <c r="B2492">
        <v>21733</v>
      </c>
      <c r="C2492" t="s">
        <v>2673</v>
      </c>
      <c r="D2492" t="s">
        <v>2376</v>
      </c>
      <c r="E2492" t="s">
        <v>2407</v>
      </c>
      <c r="F2492">
        <v>5619</v>
      </c>
      <c r="G2492">
        <v>1</v>
      </c>
      <c r="H2492" t="s">
        <v>16</v>
      </c>
      <c r="I2492" s="1">
        <v>-2151100</v>
      </c>
      <c r="J2492" s="1">
        <v>-4619600</v>
      </c>
      <c r="K2492">
        <v>877</v>
      </c>
      <c r="L2492">
        <v>216</v>
      </c>
      <c r="M2492" t="s">
        <v>16</v>
      </c>
    </row>
    <row r="2493" spans="1:13" x14ac:dyDescent="0.35">
      <c r="A2493">
        <v>312245</v>
      </c>
      <c r="B2493">
        <v>50601</v>
      </c>
      <c r="C2493" t="s">
        <v>2674</v>
      </c>
      <c r="D2493" t="s">
        <v>2376</v>
      </c>
      <c r="E2493" t="s">
        <v>2410</v>
      </c>
      <c r="F2493">
        <v>7852</v>
      </c>
      <c r="G2493">
        <v>1</v>
      </c>
      <c r="H2493" t="s">
        <v>16</v>
      </c>
      <c r="I2493" s="1">
        <v>-1572600</v>
      </c>
      <c r="J2493" s="1">
        <v>-4100000</v>
      </c>
      <c r="K2493">
        <v>910</v>
      </c>
      <c r="L2493">
        <v>566</v>
      </c>
      <c r="M2493" t="s">
        <v>16</v>
      </c>
    </row>
    <row r="2494" spans="1:13" x14ac:dyDescent="0.35">
      <c r="A2494">
        <v>312247</v>
      </c>
      <c r="B2494">
        <v>55379</v>
      </c>
      <c r="C2494" t="s">
        <v>2675</v>
      </c>
      <c r="D2494" t="s">
        <v>2376</v>
      </c>
      <c r="E2494" t="s">
        <v>2459</v>
      </c>
      <c r="F2494">
        <v>3781</v>
      </c>
      <c r="G2494">
        <v>1</v>
      </c>
      <c r="H2494" t="s">
        <v>16</v>
      </c>
      <c r="I2494" s="1">
        <v>-1665200</v>
      </c>
      <c r="J2494" s="1">
        <v>-4627100</v>
      </c>
      <c r="K2494">
        <v>610</v>
      </c>
      <c r="L2494">
        <v>821</v>
      </c>
      <c r="M2494" t="s">
        <v>16</v>
      </c>
    </row>
    <row r="2495" spans="1:13" x14ac:dyDescent="0.35">
      <c r="A2495">
        <v>312250</v>
      </c>
      <c r="B2495">
        <v>21741</v>
      </c>
      <c r="C2495" t="s">
        <v>2676</v>
      </c>
      <c r="D2495" t="s">
        <v>2376</v>
      </c>
      <c r="E2495" t="s">
        <v>2499</v>
      </c>
      <c r="F2495">
        <v>5593</v>
      </c>
      <c r="G2495">
        <v>4</v>
      </c>
      <c r="H2495" t="s">
        <v>2386</v>
      </c>
      <c r="I2495" s="1">
        <v>-1937400</v>
      </c>
      <c r="J2495" s="1">
        <v>-4210600</v>
      </c>
      <c r="K2495">
        <v>358</v>
      </c>
      <c r="L2495">
        <v>69</v>
      </c>
      <c r="M2495" t="s">
        <v>16</v>
      </c>
    </row>
    <row r="2496" spans="1:13" x14ac:dyDescent="0.35">
      <c r="A2496">
        <v>312260</v>
      </c>
      <c r="B2496">
        <v>21750</v>
      </c>
      <c r="C2496" t="s">
        <v>2677</v>
      </c>
      <c r="D2496" t="s">
        <v>2376</v>
      </c>
      <c r="E2496" t="s">
        <v>2422</v>
      </c>
      <c r="F2496">
        <v>4530</v>
      </c>
      <c r="G2496">
        <v>1</v>
      </c>
      <c r="H2496" t="s">
        <v>16</v>
      </c>
      <c r="I2496" s="1">
        <v>-1896700</v>
      </c>
      <c r="J2496" s="1">
        <v>-4325600</v>
      </c>
      <c r="K2496">
        <v>546</v>
      </c>
      <c r="L2496">
        <v>406</v>
      </c>
      <c r="M2496" t="s">
        <v>16</v>
      </c>
    </row>
    <row r="2497" spans="1:13" x14ac:dyDescent="0.35">
      <c r="A2497">
        <v>312270</v>
      </c>
      <c r="B2497">
        <v>21768</v>
      </c>
      <c r="C2497" t="s">
        <v>2678</v>
      </c>
      <c r="D2497" t="s">
        <v>2376</v>
      </c>
      <c r="E2497" t="s">
        <v>2383</v>
      </c>
      <c r="F2497">
        <v>5284</v>
      </c>
      <c r="G2497">
        <v>1</v>
      </c>
      <c r="H2497" t="s">
        <v>16</v>
      </c>
      <c r="I2497" s="1">
        <v>-2016000</v>
      </c>
      <c r="J2497" s="1">
        <v>-4296800</v>
      </c>
      <c r="K2497">
        <v>519</v>
      </c>
      <c r="L2497">
        <v>194</v>
      </c>
      <c r="M2497" t="s">
        <v>16</v>
      </c>
    </row>
    <row r="2498" spans="1:13" x14ac:dyDescent="0.35">
      <c r="A2498">
        <v>312280</v>
      </c>
      <c r="B2498">
        <v>21776</v>
      </c>
      <c r="C2498" t="s">
        <v>2679</v>
      </c>
      <c r="D2498" t="s">
        <v>2376</v>
      </c>
      <c r="E2498" t="s">
        <v>2518</v>
      </c>
      <c r="F2498">
        <v>3020</v>
      </c>
      <c r="G2498">
        <v>1</v>
      </c>
      <c r="H2498" t="s">
        <v>16</v>
      </c>
      <c r="I2498" s="1">
        <v>-2225400</v>
      </c>
      <c r="J2498" s="1">
        <v>-4516100</v>
      </c>
      <c r="K2498">
        <v>923</v>
      </c>
      <c r="L2498">
        <v>113</v>
      </c>
      <c r="M2498" t="s">
        <v>16</v>
      </c>
    </row>
    <row r="2499" spans="1:13" x14ac:dyDescent="0.35">
      <c r="A2499">
        <v>312290</v>
      </c>
      <c r="B2499">
        <v>21784</v>
      </c>
      <c r="C2499" t="s">
        <v>2680</v>
      </c>
      <c r="D2499" t="s">
        <v>2376</v>
      </c>
      <c r="E2499" t="s">
        <v>2406</v>
      </c>
      <c r="F2499">
        <v>5569</v>
      </c>
      <c r="G2499">
        <v>1</v>
      </c>
      <c r="H2499" t="s">
        <v>16</v>
      </c>
      <c r="I2499" s="1">
        <v>-2131600</v>
      </c>
      <c r="J2499" s="1">
        <v>-4281100</v>
      </c>
      <c r="K2499">
        <v>222</v>
      </c>
      <c r="L2499">
        <v>54</v>
      </c>
      <c r="M2499" t="s">
        <v>16</v>
      </c>
    </row>
    <row r="2500" spans="1:13" x14ac:dyDescent="0.35">
      <c r="A2500">
        <v>312300</v>
      </c>
      <c r="B2500">
        <v>21792</v>
      </c>
      <c r="C2500" t="s">
        <v>2681</v>
      </c>
      <c r="D2500" t="s">
        <v>2376</v>
      </c>
      <c r="E2500" t="s">
        <v>2589</v>
      </c>
      <c r="F2500">
        <v>9276</v>
      </c>
      <c r="G2500">
        <v>1</v>
      </c>
      <c r="H2500" t="s">
        <v>16</v>
      </c>
      <c r="I2500" s="1">
        <v>-2110900</v>
      </c>
      <c r="J2500" s="1">
        <v>-4402300</v>
      </c>
      <c r="K2500">
        <v>931</v>
      </c>
      <c r="L2500">
        <v>127</v>
      </c>
      <c r="M2500" t="s">
        <v>16</v>
      </c>
    </row>
    <row r="2501" spans="1:13" x14ac:dyDescent="0.35">
      <c r="A2501">
        <v>312310</v>
      </c>
      <c r="B2501">
        <v>21806</v>
      </c>
      <c r="C2501" t="s">
        <v>2682</v>
      </c>
      <c r="D2501" t="s">
        <v>2376</v>
      </c>
      <c r="E2501" t="s">
        <v>2516</v>
      </c>
      <c r="F2501">
        <v>5528</v>
      </c>
      <c r="G2501">
        <v>1</v>
      </c>
      <c r="H2501" t="s">
        <v>16</v>
      </c>
      <c r="I2501" s="1">
        <v>-1905800</v>
      </c>
      <c r="J2501" s="1">
        <v>-4292900</v>
      </c>
      <c r="K2501">
        <v>497</v>
      </c>
      <c r="L2501">
        <v>381</v>
      </c>
      <c r="M2501" t="s">
        <v>16</v>
      </c>
    </row>
    <row r="2502" spans="1:13" x14ac:dyDescent="0.35">
      <c r="A2502">
        <v>312320</v>
      </c>
      <c r="B2502">
        <v>21814</v>
      </c>
      <c r="C2502" t="s">
        <v>2683</v>
      </c>
      <c r="D2502" t="s">
        <v>2376</v>
      </c>
      <c r="E2502" t="s">
        <v>2448</v>
      </c>
      <c r="F2502">
        <v>13996</v>
      </c>
      <c r="G2502">
        <v>1</v>
      </c>
      <c r="H2502" t="s">
        <v>16</v>
      </c>
      <c r="I2502" s="1">
        <v>-1946300</v>
      </c>
      <c r="J2502" s="1">
        <v>-4560200</v>
      </c>
      <c r="K2502">
        <v>723</v>
      </c>
      <c r="L2502">
        <v>1110</v>
      </c>
      <c r="M2502" t="s">
        <v>16</v>
      </c>
    </row>
    <row r="2503" spans="1:13" x14ac:dyDescent="0.35">
      <c r="A2503">
        <v>312330</v>
      </c>
      <c r="B2503">
        <v>21822</v>
      </c>
      <c r="C2503" t="s">
        <v>2684</v>
      </c>
      <c r="D2503" t="s">
        <v>2376</v>
      </c>
      <c r="E2503" t="s">
        <v>2461</v>
      </c>
      <c r="F2503">
        <v>4572</v>
      </c>
      <c r="G2503">
        <v>1</v>
      </c>
      <c r="H2503" t="s">
        <v>16</v>
      </c>
      <c r="I2503" s="1">
        <v>-2097600</v>
      </c>
      <c r="J2503" s="1">
        <v>-4318900</v>
      </c>
      <c r="K2503">
        <v>672</v>
      </c>
      <c r="L2503">
        <v>231</v>
      </c>
      <c r="M2503" t="s">
        <v>16</v>
      </c>
    </row>
    <row r="2504" spans="1:13" x14ac:dyDescent="0.35">
      <c r="A2504">
        <v>312340</v>
      </c>
      <c r="B2504">
        <v>21830</v>
      </c>
      <c r="C2504" t="s">
        <v>2685</v>
      </c>
      <c r="D2504" t="s">
        <v>2376</v>
      </c>
      <c r="E2504" t="s">
        <v>2470</v>
      </c>
      <c r="F2504">
        <v>1492</v>
      </c>
      <c r="G2504">
        <v>1</v>
      </c>
      <c r="H2504" t="s">
        <v>16</v>
      </c>
      <c r="I2504" s="1">
        <v>-2028700</v>
      </c>
      <c r="J2504" s="1">
        <v>-4590300</v>
      </c>
      <c r="K2504">
        <v>679</v>
      </c>
      <c r="L2504">
        <v>153</v>
      </c>
      <c r="M2504" t="s">
        <v>16</v>
      </c>
    </row>
    <row r="2505" spans="1:13" x14ac:dyDescent="0.35">
      <c r="A2505">
        <v>312350</v>
      </c>
      <c r="B2505">
        <v>21849</v>
      </c>
      <c r="C2505" t="s">
        <v>2686</v>
      </c>
      <c r="D2505" t="s">
        <v>2376</v>
      </c>
      <c r="E2505" t="s">
        <v>2377</v>
      </c>
      <c r="F2505">
        <v>1846</v>
      </c>
      <c r="G2505">
        <v>1</v>
      </c>
      <c r="H2505" t="s">
        <v>16</v>
      </c>
      <c r="I2505" s="1">
        <v>-1843100</v>
      </c>
      <c r="J2505" s="1">
        <v>-4760900</v>
      </c>
      <c r="K2505">
        <v>713</v>
      </c>
      <c r="L2505">
        <v>313</v>
      </c>
      <c r="M2505" t="s">
        <v>16</v>
      </c>
    </row>
    <row r="2506" spans="1:13" x14ac:dyDescent="0.35">
      <c r="A2506">
        <v>312352</v>
      </c>
      <c r="B2506">
        <v>53554</v>
      </c>
      <c r="C2506" t="s">
        <v>2687</v>
      </c>
      <c r="D2506" t="s">
        <v>2376</v>
      </c>
      <c r="E2506" t="s">
        <v>2381</v>
      </c>
      <c r="F2506">
        <v>6932</v>
      </c>
      <c r="G2506">
        <v>1</v>
      </c>
      <c r="H2506" t="s">
        <v>16</v>
      </c>
      <c r="I2506" s="1">
        <v>-2020300</v>
      </c>
      <c r="J2506" s="1">
        <v>-4179800</v>
      </c>
      <c r="K2506">
        <v>705</v>
      </c>
      <c r="L2506">
        <v>217</v>
      </c>
      <c r="M2506" t="s">
        <v>16</v>
      </c>
    </row>
    <row r="2507" spans="1:13" x14ac:dyDescent="0.35">
      <c r="A2507">
        <v>312360</v>
      </c>
      <c r="B2507">
        <v>21857</v>
      </c>
      <c r="C2507" t="s">
        <v>2688</v>
      </c>
      <c r="D2507" t="s">
        <v>2376</v>
      </c>
      <c r="E2507" t="s">
        <v>2491</v>
      </c>
      <c r="F2507">
        <v>24161</v>
      </c>
      <c r="G2507">
        <v>1</v>
      </c>
      <c r="H2507" t="s">
        <v>16</v>
      </c>
      <c r="I2507" s="1">
        <v>-2161000</v>
      </c>
      <c r="J2507" s="1">
        <v>-4556500</v>
      </c>
      <c r="K2507">
        <v>907</v>
      </c>
      <c r="L2507">
        <v>498</v>
      </c>
      <c r="M2507" t="s">
        <v>16</v>
      </c>
    </row>
    <row r="2508" spans="1:13" x14ac:dyDescent="0.35">
      <c r="A2508">
        <v>312370</v>
      </c>
      <c r="B2508">
        <v>21865</v>
      </c>
      <c r="C2508" t="s">
        <v>2689</v>
      </c>
      <c r="D2508" t="s">
        <v>2376</v>
      </c>
      <c r="E2508" t="s">
        <v>2412</v>
      </c>
      <c r="F2508">
        <v>10317</v>
      </c>
      <c r="G2508">
        <v>1</v>
      </c>
      <c r="H2508" t="s">
        <v>16</v>
      </c>
      <c r="I2508" s="1">
        <v>-1921900</v>
      </c>
      <c r="J2508" s="1">
        <v>-4204600</v>
      </c>
      <c r="K2508">
        <v>231</v>
      </c>
      <c r="L2508">
        <v>188</v>
      </c>
      <c r="M2508" t="s">
        <v>16</v>
      </c>
    </row>
    <row r="2509" spans="1:13" x14ac:dyDescent="0.35">
      <c r="A2509">
        <v>312380</v>
      </c>
      <c r="B2509">
        <v>21873</v>
      </c>
      <c r="C2509" t="s">
        <v>2690</v>
      </c>
      <c r="D2509" t="s">
        <v>2376</v>
      </c>
      <c r="E2509" t="s">
        <v>2494</v>
      </c>
      <c r="F2509">
        <v>7079</v>
      </c>
      <c r="G2509">
        <v>1</v>
      </c>
      <c r="H2509" t="s">
        <v>16</v>
      </c>
      <c r="I2509" s="1">
        <v>-1728000</v>
      </c>
      <c r="J2509" s="1">
        <v>-4395000</v>
      </c>
      <c r="K2509">
        <v>671</v>
      </c>
      <c r="L2509">
        <v>631</v>
      </c>
      <c r="M2509" t="s">
        <v>16</v>
      </c>
    </row>
    <row r="2510" spans="1:13" x14ac:dyDescent="0.35">
      <c r="A2510">
        <v>312385</v>
      </c>
      <c r="B2510">
        <v>50610</v>
      </c>
      <c r="C2510" t="s">
        <v>2691</v>
      </c>
      <c r="D2510" t="s">
        <v>2376</v>
      </c>
      <c r="E2510" t="s">
        <v>2499</v>
      </c>
      <c r="F2510">
        <v>4931</v>
      </c>
      <c r="G2510">
        <v>4</v>
      </c>
      <c r="H2510" t="s">
        <v>2386</v>
      </c>
      <c r="I2510" s="1">
        <v>-1962500</v>
      </c>
      <c r="J2510" s="1">
        <v>-4223100</v>
      </c>
      <c r="K2510">
        <v>495</v>
      </c>
      <c r="L2510">
        <v>85</v>
      </c>
      <c r="M2510" t="s">
        <v>16</v>
      </c>
    </row>
    <row r="2511" spans="1:13" x14ac:dyDescent="0.35">
      <c r="A2511">
        <v>312390</v>
      </c>
      <c r="B2511">
        <v>21881</v>
      </c>
      <c r="C2511" t="s">
        <v>2692</v>
      </c>
      <c r="D2511" t="s">
        <v>2376</v>
      </c>
      <c r="E2511" t="s">
        <v>2585</v>
      </c>
      <c r="F2511">
        <v>13887</v>
      </c>
      <c r="G2511">
        <v>1</v>
      </c>
      <c r="H2511" t="s">
        <v>16</v>
      </c>
      <c r="I2511" s="1">
        <v>-2067100</v>
      </c>
      <c r="J2511" s="1">
        <v>-4406600</v>
      </c>
      <c r="K2511">
        <v>957</v>
      </c>
      <c r="L2511">
        <v>462</v>
      </c>
      <c r="M2511" t="s">
        <v>16</v>
      </c>
    </row>
    <row r="2512" spans="1:13" x14ac:dyDescent="0.35">
      <c r="A2512">
        <v>312400</v>
      </c>
      <c r="B2512">
        <v>21890</v>
      </c>
      <c r="C2512" t="s">
        <v>2693</v>
      </c>
      <c r="D2512" t="s">
        <v>2376</v>
      </c>
      <c r="E2512" t="s">
        <v>1388</v>
      </c>
      <c r="F2512">
        <v>18002</v>
      </c>
      <c r="G2512">
        <v>1</v>
      </c>
      <c r="H2512" t="s">
        <v>16</v>
      </c>
      <c r="I2512" s="1">
        <v>-2084000</v>
      </c>
      <c r="J2512" s="1">
        <v>-4265700</v>
      </c>
      <c r="K2512">
        <v>730</v>
      </c>
      <c r="L2512">
        <v>357</v>
      </c>
      <c r="M2512" t="s">
        <v>16</v>
      </c>
    </row>
    <row r="2513" spans="1:13" x14ac:dyDescent="0.35">
      <c r="A2513">
        <v>312410</v>
      </c>
      <c r="B2513">
        <v>21903</v>
      </c>
      <c r="C2513" t="s">
        <v>2694</v>
      </c>
      <c r="D2513" t="s">
        <v>2376</v>
      </c>
      <c r="E2513" t="s">
        <v>2479</v>
      </c>
      <c r="F2513">
        <v>55436</v>
      </c>
      <c r="G2513">
        <v>4</v>
      </c>
      <c r="H2513" t="s">
        <v>2468</v>
      </c>
      <c r="I2513" s="1">
        <v>-1976300</v>
      </c>
      <c r="J2513" s="1">
        <v>-4431400</v>
      </c>
      <c r="K2513">
        <v>760</v>
      </c>
      <c r="L2513">
        <v>909</v>
      </c>
      <c r="M2513" t="s">
        <v>16</v>
      </c>
    </row>
    <row r="2514" spans="1:13" x14ac:dyDescent="0.35">
      <c r="A2514">
        <v>312420</v>
      </c>
      <c r="B2514">
        <v>21911</v>
      </c>
      <c r="C2514" t="s">
        <v>2695</v>
      </c>
      <c r="D2514" t="s">
        <v>2376</v>
      </c>
      <c r="E2514" t="s">
        <v>2433</v>
      </c>
      <c r="F2514">
        <v>20835</v>
      </c>
      <c r="G2514">
        <v>1</v>
      </c>
      <c r="H2514" t="s">
        <v>16</v>
      </c>
      <c r="I2514" s="1">
        <v>-2065000</v>
      </c>
      <c r="J2514" s="1">
        <v>-4190700</v>
      </c>
      <c r="K2514">
        <v>772</v>
      </c>
      <c r="L2514">
        <v>324</v>
      </c>
      <c r="M2514" t="s">
        <v>16</v>
      </c>
    </row>
    <row r="2515" spans="1:13" x14ac:dyDescent="0.35">
      <c r="A2515">
        <v>312430</v>
      </c>
      <c r="B2515">
        <v>21920</v>
      </c>
      <c r="C2515" t="s">
        <v>2696</v>
      </c>
      <c r="D2515" t="s">
        <v>2376</v>
      </c>
      <c r="E2515" t="s">
        <v>2594</v>
      </c>
      <c r="F2515">
        <v>31322</v>
      </c>
      <c r="G2515">
        <v>1</v>
      </c>
      <c r="H2515" t="s">
        <v>16</v>
      </c>
      <c r="I2515" s="1">
        <v>-1492600</v>
      </c>
      <c r="J2515" s="1">
        <v>-4281900</v>
      </c>
      <c r="K2515">
        <v>570</v>
      </c>
      <c r="L2515">
        <v>1876</v>
      </c>
      <c r="M2515" t="s">
        <v>16</v>
      </c>
    </row>
    <row r="2516" spans="1:13" x14ac:dyDescent="0.35">
      <c r="A2516">
        <v>312440</v>
      </c>
      <c r="B2516">
        <v>21938</v>
      </c>
      <c r="C2516" t="s">
        <v>2697</v>
      </c>
      <c r="D2516" t="s">
        <v>2376</v>
      </c>
      <c r="E2516" t="s">
        <v>2501</v>
      </c>
      <c r="F2516">
        <v>4293</v>
      </c>
      <c r="G2516">
        <v>1</v>
      </c>
      <c r="H2516" t="s">
        <v>16</v>
      </c>
      <c r="I2516" s="1">
        <v>-2204600</v>
      </c>
      <c r="J2516" s="1">
        <v>-4595100</v>
      </c>
      <c r="K2516">
        <v>907</v>
      </c>
      <c r="L2516">
        <v>263</v>
      </c>
      <c r="M2516" t="s">
        <v>16</v>
      </c>
    </row>
    <row r="2517" spans="1:13" x14ac:dyDescent="0.35">
      <c r="A2517">
        <v>312450</v>
      </c>
      <c r="B2517">
        <v>21946</v>
      </c>
      <c r="C2517" t="s">
        <v>2698</v>
      </c>
      <c r="D2517" t="s">
        <v>2376</v>
      </c>
      <c r="E2517" t="s">
        <v>2501</v>
      </c>
      <c r="F2517">
        <v>10920</v>
      </c>
      <c r="G2517">
        <v>1</v>
      </c>
      <c r="H2517" t="s">
        <v>16</v>
      </c>
      <c r="I2517" s="1">
        <v>-2246300</v>
      </c>
      <c r="J2517" s="1">
        <v>-4601700</v>
      </c>
      <c r="K2517">
        <v>560</v>
      </c>
      <c r="L2517">
        <v>245</v>
      </c>
      <c r="M2517" t="s">
        <v>16</v>
      </c>
    </row>
    <row r="2518" spans="1:13" x14ac:dyDescent="0.35">
      <c r="A2518">
        <v>312460</v>
      </c>
      <c r="B2518">
        <v>21954</v>
      </c>
      <c r="C2518" t="s">
        <v>2699</v>
      </c>
      <c r="D2518" t="s">
        <v>2376</v>
      </c>
      <c r="E2518" t="s">
        <v>2406</v>
      </c>
      <c r="F2518">
        <v>2497</v>
      </c>
      <c r="G2518">
        <v>1</v>
      </c>
      <c r="H2518" t="s">
        <v>16</v>
      </c>
      <c r="I2518" s="1">
        <v>-2174200</v>
      </c>
      <c r="J2518" s="1">
        <v>-4246100</v>
      </c>
      <c r="K2518">
        <v>218</v>
      </c>
      <c r="L2518">
        <v>131</v>
      </c>
      <c r="M2518" t="s">
        <v>16</v>
      </c>
    </row>
    <row r="2519" spans="1:13" x14ac:dyDescent="0.35">
      <c r="A2519">
        <v>312470</v>
      </c>
      <c r="B2519">
        <v>21962</v>
      </c>
      <c r="C2519" t="s">
        <v>2700</v>
      </c>
      <c r="D2519" t="s">
        <v>2376</v>
      </c>
      <c r="E2519" t="s">
        <v>2448</v>
      </c>
      <c r="F2519">
        <v>3651</v>
      </c>
      <c r="G2519">
        <v>1</v>
      </c>
      <c r="H2519" t="s">
        <v>16</v>
      </c>
      <c r="I2519" s="1">
        <v>-1952200</v>
      </c>
      <c r="J2519" s="1">
        <v>-4578800</v>
      </c>
      <c r="K2519">
        <v>721</v>
      </c>
      <c r="L2519">
        <v>635</v>
      </c>
      <c r="M2519" t="s">
        <v>16</v>
      </c>
    </row>
    <row r="2520" spans="1:13" x14ac:dyDescent="0.35">
      <c r="A2520">
        <v>312480</v>
      </c>
      <c r="B2520">
        <v>21970</v>
      </c>
      <c r="C2520" t="s">
        <v>2701</v>
      </c>
      <c r="D2520" t="s">
        <v>2376</v>
      </c>
      <c r="E2520" t="s">
        <v>2377</v>
      </c>
      <c r="F2520">
        <v>7136</v>
      </c>
      <c r="G2520">
        <v>1</v>
      </c>
      <c r="H2520" t="s">
        <v>16</v>
      </c>
      <c r="I2520" s="1">
        <v>-1874600</v>
      </c>
      <c r="J2520" s="1">
        <v>-4769300</v>
      </c>
      <c r="K2520">
        <v>765</v>
      </c>
      <c r="L2520">
        <v>820</v>
      </c>
      <c r="M2520" t="s">
        <v>16</v>
      </c>
    </row>
    <row r="2521" spans="1:13" x14ac:dyDescent="0.35">
      <c r="A2521">
        <v>312490</v>
      </c>
      <c r="B2521">
        <v>21989</v>
      </c>
      <c r="C2521" t="s">
        <v>2702</v>
      </c>
      <c r="D2521" t="s">
        <v>2376</v>
      </c>
      <c r="E2521" t="s">
        <v>2433</v>
      </c>
      <c r="F2521">
        <v>10291</v>
      </c>
      <c r="G2521">
        <v>1</v>
      </c>
      <c r="H2521" t="s">
        <v>16</v>
      </c>
      <c r="I2521" s="1">
        <v>-2109900</v>
      </c>
      <c r="J2521" s="1">
        <v>-4218700</v>
      </c>
      <c r="K2521">
        <v>194</v>
      </c>
      <c r="L2521">
        <v>310</v>
      </c>
      <c r="M2521" t="s">
        <v>16</v>
      </c>
    </row>
    <row r="2522" spans="1:13" x14ac:dyDescent="0.35">
      <c r="A2522">
        <v>312500</v>
      </c>
      <c r="B2522">
        <v>21997</v>
      </c>
      <c r="C2522" t="s">
        <v>2703</v>
      </c>
      <c r="D2522" t="s">
        <v>2376</v>
      </c>
      <c r="E2522" t="s">
        <v>2437</v>
      </c>
      <c r="F2522">
        <v>3567</v>
      </c>
      <c r="G2522">
        <v>1</v>
      </c>
      <c r="H2522" t="s">
        <v>16</v>
      </c>
      <c r="I2522" s="1">
        <v>-2155100</v>
      </c>
      <c r="J2522" s="1">
        <v>-4351000</v>
      </c>
      <c r="K2522">
        <v>778</v>
      </c>
      <c r="L2522">
        <v>103</v>
      </c>
      <c r="M2522" t="s">
        <v>16</v>
      </c>
    </row>
    <row r="2523" spans="1:13" x14ac:dyDescent="0.35">
      <c r="A2523">
        <v>312510</v>
      </c>
      <c r="B2523">
        <v>22004</v>
      </c>
      <c r="C2523" t="s">
        <v>2704</v>
      </c>
      <c r="D2523" t="s">
        <v>2376</v>
      </c>
      <c r="E2523" t="s">
        <v>2501</v>
      </c>
      <c r="F2523">
        <v>24886</v>
      </c>
      <c r="G2523">
        <v>1</v>
      </c>
      <c r="H2523" t="s">
        <v>16</v>
      </c>
      <c r="I2523" s="1">
        <v>-2285500</v>
      </c>
      <c r="J2523" s="1">
        <v>-4631800</v>
      </c>
      <c r="K2523">
        <v>973</v>
      </c>
      <c r="L2523">
        <v>243</v>
      </c>
      <c r="M2523" t="s">
        <v>16</v>
      </c>
    </row>
    <row r="2524" spans="1:13" x14ac:dyDescent="0.35">
      <c r="A2524">
        <v>312520</v>
      </c>
      <c r="B2524">
        <v>22012</v>
      </c>
      <c r="C2524" t="s">
        <v>2705</v>
      </c>
      <c r="D2524" t="s">
        <v>2376</v>
      </c>
      <c r="E2524" t="s">
        <v>2407</v>
      </c>
      <c r="F2524">
        <v>2219</v>
      </c>
      <c r="G2524">
        <v>1</v>
      </c>
      <c r="H2524" t="s">
        <v>16</v>
      </c>
      <c r="I2524" s="1">
        <v>-2140600</v>
      </c>
      <c r="J2524" s="1">
        <v>-4582900</v>
      </c>
      <c r="K2524">
        <v>776</v>
      </c>
      <c r="L2524">
        <v>86</v>
      </c>
      <c r="M2524" t="s">
        <v>16</v>
      </c>
    </row>
    <row r="2525" spans="1:13" x14ac:dyDescent="0.35">
      <c r="A2525">
        <v>312530</v>
      </c>
      <c r="B2525">
        <v>22020</v>
      </c>
      <c r="C2525" t="s">
        <v>2706</v>
      </c>
      <c r="D2525" t="s">
        <v>2376</v>
      </c>
      <c r="E2525" t="s">
        <v>2433</v>
      </c>
      <c r="F2525">
        <v>3612</v>
      </c>
      <c r="G2525">
        <v>1</v>
      </c>
      <c r="H2525" t="s">
        <v>16</v>
      </c>
      <c r="I2525" s="1">
        <v>-2080800</v>
      </c>
      <c r="J2525" s="1">
        <v>-4203000</v>
      </c>
      <c r="K2525">
        <v>380</v>
      </c>
      <c r="L2525">
        <v>165</v>
      </c>
      <c r="M2525" t="s">
        <v>16</v>
      </c>
    </row>
    <row r="2526" spans="1:13" x14ac:dyDescent="0.35">
      <c r="A2526">
        <v>312540</v>
      </c>
      <c r="B2526">
        <v>22039</v>
      </c>
      <c r="C2526" t="s">
        <v>2707</v>
      </c>
      <c r="D2526" t="s">
        <v>2376</v>
      </c>
      <c r="E2526" t="s">
        <v>2646</v>
      </c>
      <c r="F2526">
        <v>5685</v>
      </c>
      <c r="G2526">
        <v>1</v>
      </c>
      <c r="H2526" t="s">
        <v>16</v>
      </c>
      <c r="I2526" s="1">
        <v>-1807700</v>
      </c>
      <c r="J2526" s="1">
        <v>-4324700</v>
      </c>
      <c r="K2526">
        <v>740</v>
      </c>
      <c r="L2526">
        <v>358</v>
      </c>
      <c r="M2526" t="s">
        <v>16</v>
      </c>
    </row>
    <row r="2527" spans="1:13" x14ac:dyDescent="0.35">
      <c r="A2527">
        <v>312550</v>
      </c>
      <c r="B2527">
        <v>22047</v>
      </c>
      <c r="C2527" t="s">
        <v>2708</v>
      </c>
      <c r="D2527" t="s">
        <v>2376</v>
      </c>
      <c r="E2527" t="s">
        <v>2646</v>
      </c>
      <c r="F2527">
        <v>3124</v>
      </c>
      <c r="G2527">
        <v>1</v>
      </c>
      <c r="H2527" t="s">
        <v>16</v>
      </c>
      <c r="I2527" s="1">
        <v>-1800400</v>
      </c>
      <c r="J2527" s="1">
        <v>-4339100</v>
      </c>
      <c r="K2527">
        <v>742</v>
      </c>
      <c r="L2527">
        <v>313</v>
      </c>
      <c r="M2527" t="s">
        <v>16</v>
      </c>
    </row>
    <row r="2528" spans="1:13" x14ac:dyDescent="0.35">
      <c r="A2528">
        <v>312560</v>
      </c>
      <c r="B2528">
        <v>22055</v>
      </c>
      <c r="C2528" t="s">
        <v>2709</v>
      </c>
      <c r="D2528" t="s">
        <v>2376</v>
      </c>
      <c r="E2528" t="s">
        <v>2410</v>
      </c>
      <c r="F2528">
        <v>6687</v>
      </c>
      <c r="G2528">
        <v>1</v>
      </c>
      <c r="H2528" t="s">
        <v>16</v>
      </c>
      <c r="I2528" s="1">
        <v>-1663900</v>
      </c>
      <c r="J2528" s="1">
        <v>-4076100</v>
      </c>
      <c r="K2528">
        <v>638</v>
      </c>
      <c r="L2528">
        <v>593</v>
      </c>
      <c r="M2528" t="s">
        <v>16</v>
      </c>
    </row>
    <row r="2529" spans="1:13" x14ac:dyDescent="0.35">
      <c r="A2529">
        <v>312570</v>
      </c>
      <c r="B2529">
        <v>22063</v>
      </c>
      <c r="C2529" t="s">
        <v>2710</v>
      </c>
      <c r="D2529" t="s">
        <v>2376</v>
      </c>
      <c r="E2529" t="s">
        <v>2465</v>
      </c>
      <c r="F2529">
        <v>13618</v>
      </c>
      <c r="G2529">
        <v>1</v>
      </c>
      <c r="H2529" t="s">
        <v>16</v>
      </c>
      <c r="I2529" s="1">
        <v>-1875800</v>
      </c>
      <c r="J2529" s="1">
        <v>-4489900</v>
      </c>
      <c r="K2529">
        <v>614</v>
      </c>
      <c r="L2529">
        <v>1553</v>
      </c>
      <c r="M2529" t="s">
        <v>16</v>
      </c>
    </row>
    <row r="2530" spans="1:13" x14ac:dyDescent="0.35">
      <c r="A2530">
        <v>312580</v>
      </c>
      <c r="B2530">
        <v>22071</v>
      </c>
      <c r="C2530" t="s">
        <v>2711</v>
      </c>
      <c r="D2530" t="s">
        <v>2376</v>
      </c>
      <c r="E2530" t="s">
        <v>2412</v>
      </c>
      <c r="F2530">
        <v>2612</v>
      </c>
      <c r="G2530">
        <v>1</v>
      </c>
      <c r="H2530" t="s">
        <v>16</v>
      </c>
      <c r="I2530" s="1">
        <v>-1915400</v>
      </c>
      <c r="J2530" s="1">
        <v>-4208200</v>
      </c>
      <c r="K2530">
        <v>250</v>
      </c>
      <c r="L2530">
        <v>152</v>
      </c>
      <c r="M2530" t="s">
        <v>16</v>
      </c>
    </row>
    <row r="2531" spans="1:13" x14ac:dyDescent="0.35">
      <c r="A2531">
        <v>312590</v>
      </c>
      <c r="B2531">
        <v>22080</v>
      </c>
      <c r="C2531" t="s">
        <v>2712</v>
      </c>
      <c r="D2531" t="s">
        <v>2376</v>
      </c>
      <c r="E2531" t="s">
        <v>2420</v>
      </c>
      <c r="F2531">
        <v>11387</v>
      </c>
      <c r="G2531">
        <v>1</v>
      </c>
      <c r="H2531" t="s">
        <v>16</v>
      </c>
      <c r="I2531" s="1">
        <v>-1923200</v>
      </c>
      <c r="J2531" s="1">
        <v>-4302300</v>
      </c>
      <c r="K2531">
        <v>425</v>
      </c>
      <c r="L2531">
        <v>1090</v>
      </c>
      <c r="M2531" t="s">
        <v>16</v>
      </c>
    </row>
    <row r="2532" spans="1:13" x14ac:dyDescent="0.35">
      <c r="A2532">
        <v>312595</v>
      </c>
      <c r="B2532">
        <v>50628</v>
      </c>
      <c r="C2532" t="s">
        <v>2713</v>
      </c>
      <c r="D2532" t="s">
        <v>2376</v>
      </c>
      <c r="E2532" t="s">
        <v>2433</v>
      </c>
      <c r="F2532">
        <v>10261</v>
      </c>
      <c r="G2532">
        <v>1</v>
      </c>
      <c r="H2532" t="s">
        <v>16</v>
      </c>
      <c r="I2532" s="1">
        <v>-2072600</v>
      </c>
      <c r="J2532" s="1">
        <v>-4227900</v>
      </c>
      <c r="K2532">
        <v>697</v>
      </c>
      <c r="L2532">
        <v>357</v>
      </c>
      <c r="M2532" t="s">
        <v>16</v>
      </c>
    </row>
    <row r="2533" spans="1:13" x14ac:dyDescent="0.35">
      <c r="A2533">
        <v>312600</v>
      </c>
      <c r="B2533">
        <v>22098</v>
      </c>
      <c r="C2533" t="s">
        <v>2714</v>
      </c>
      <c r="D2533" t="s">
        <v>2376</v>
      </c>
      <c r="E2533" t="s">
        <v>2715</v>
      </c>
      <c r="F2533">
        <v>5928</v>
      </c>
      <c r="G2533">
        <v>4</v>
      </c>
      <c r="H2533" t="s">
        <v>2468</v>
      </c>
      <c r="I2533" s="1">
        <v>-1988900</v>
      </c>
      <c r="J2533" s="1">
        <v>-4443300</v>
      </c>
      <c r="K2533">
        <v>776</v>
      </c>
      <c r="L2533">
        <v>194</v>
      </c>
      <c r="M2533" t="s">
        <v>16</v>
      </c>
    </row>
    <row r="2534" spans="1:13" x14ac:dyDescent="0.35">
      <c r="A2534">
        <v>312610</v>
      </c>
      <c r="B2534">
        <v>22101</v>
      </c>
      <c r="C2534" t="s">
        <v>2454</v>
      </c>
      <c r="D2534" t="s">
        <v>2376</v>
      </c>
      <c r="E2534" t="s">
        <v>2454</v>
      </c>
      <c r="F2534">
        <v>64585</v>
      </c>
      <c r="G2534">
        <v>2</v>
      </c>
      <c r="H2534" t="s">
        <v>16</v>
      </c>
      <c r="I2534" s="1">
        <v>-2046400</v>
      </c>
      <c r="J2534" s="1">
        <v>-4542600</v>
      </c>
      <c r="K2534">
        <v>841</v>
      </c>
      <c r="L2534">
        <v>1502</v>
      </c>
      <c r="M2534" t="s">
        <v>16</v>
      </c>
    </row>
    <row r="2535" spans="1:13" x14ac:dyDescent="0.35">
      <c r="A2535">
        <v>312620</v>
      </c>
      <c r="B2535">
        <v>22110</v>
      </c>
      <c r="C2535" t="s">
        <v>2716</v>
      </c>
      <c r="D2535" t="s">
        <v>2376</v>
      </c>
      <c r="E2535" t="s">
        <v>2459</v>
      </c>
      <c r="F2535">
        <v>6612</v>
      </c>
      <c r="G2535">
        <v>1</v>
      </c>
      <c r="H2535" t="s">
        <v>16</v>
      </c>
      <c r="I2535" s="1">
        <v>-1494700</v>
      </c>
      <c r="J2535" s="1">
        <v>-4623200</v>
      </c>
      <c r="K2535">
        <v>839</v>
      </c>
      <c r="L2535">
        <v>3691</v>
      </c>
      <c r="M2535" t="s">
        <v>16</v>
      </c>
    </row>
    <row r="2536" spans="1:13" x14ac:dyDescent="0.35">
      <c r="A2536">
        <v>312630</v>
      </c>
      <c r="B2536">
        <v>22128</v>
      </c>
      <c r="C2536" t="s">
        <v>2717</v>
      </c>
      <c r="D2536" t="s">
        <v>2376</v>
      </c>
      <c r="E2536" t="s">
        <v>2414</v>
      </c>
      <c r="F2536">
        <v>3837</v>
      </c>
      <c r="G2536">
        <v>1</v>
      </c>
      <c r="H2536" t="s">
        <v>16</v>
      </c>
      <c r="I2536" s="1">
        <v>-2084900</v>
      </c>
      <c r="J2536" s="1">
        <v>-4671800</v>
      </c>
      <c r="K2536">
        <v>856</v>
      </c>
      <c r="L2536">
        <v>218</v>
      </c>
      <c r="M2536" t="s">
        <v>16</v>
      </c>
    </row>
    <row r="2537" spans="1:13" x14ac:dyDescent="0.35">
      <c r="A2537">
        <v>312640</v>
      </c>
      <c r="B2537">
        <v>22136</v>
      </c>
      <c r="C2537" t="s">
        <v>2718</v>
      </c>
      <c r="D2537" t="s">
        <v>2376</v>
      </c>
      <c r="E2537" t="s">
        <v>2435</v>
      </c>
      <c r="F2537">
        <v>2454</v>
      </c>
      <c r="G2537">
        <v>4</v>
      </c>
      <c r="H2537" t="s">
        <v>2468</v>
      </c>
      <c r="I2537" s="1">
        <v>-1956100</v>
      </c>
      <c r="J2537" s="1">
        <v>-4444700</v>
      </c>
      <c r="K2537">
        <v>740</v>
      </c>
      <c r="L2537">
        <v>198</v>
      </c>
      <c r="M2537" t="s">
        <v>16</v>
      </c>
    </row>
    <row r="2538" spans="1:13" x14ac:dyDescent="0.35">
      <c r="A2538">
        <v>312650</v>
      </c>
      <c r="B2538">
        <v>22144</v>
      </c>
      <c r="C2538" t="s">
        <v>2719</v>
      </c>
      <c r="D2538" t="s">
        <v>2376</v>
      </c>
      <c r="E2538" t="s">
        <v>2429</v>
      </c>
      <c r="F2538">
        <v>10269</v>
      </c>
      <c r="G2538">
        <v>1</v>
      </c>
      <c r="H2538" t="s">
        <v>16</v>
      </c>
      <c r="I2538" s="1">
        <v>-1699300</v>
      </c>
      <c r="J2538" s="1">
        <v>-4235200</v>
      </c>
      <c r="K2538">
        <v>398</v>
      </c>
      <c r="L2538">
        <v>463</v>
      </c>
      <c r="M2538" t="s">
        <v>16</v>
      </c>
    </row>
    <row r="2539" spans="1:13" x14ac:dyDescent="0.35">
      <c r="A2539">
        <v>312660</v>
      </c>
      <c r="B2539">
        <v>22152</v>
      </c>
      <c r="C2539" t="s">
        <v>2720</v>
      </c>
      <c r="D2539" t="s">
        <v>2376</v>
      </c>
      <c r="E2539" t="s">
        <v>2494</v>
      </c>
      <c r="F2539">
        <v>4759</v>
      </c>
      <c r="G2539">
        <v>1</v>
      </c>
      <c r="H2539" t="s">
        <v>16</v>
      </c>
      <c r="I2539" s="1">
        <v>-1731500</v>
      </c>
      <c r="J2539" s="1">
        <v>-4423400</v>
      </c>
      <c r="K2539">
        <v>635</v>
      </c>
      <c r="L2539">
        <v>1553</v>
      </c>
      <c r="M2539" t="s">
        <v>16</v>
      </c>
    </row>
    <row r="2540" spans="1:13" x14ac:dyDescent="0.35">
      <c r="A2540">
        <v>312670</v>
      </c>
      <c r="B2540">
        <v>22160</v>
      </c>
      <c r="C2540" t="s">
        <v>2721</v>
      </c>
      <c r="D2540" t="s">
        <v>2376</v>
      </c>
      <c r="E2540" t="s">
        <v>2513</v>
      </c>
      <c r="F2540">
        <v>24838</v>
      </c>
      <c r="G2540">
        <v>1</v>
      </c>
      <c r="H2540" t="s">
        <v>16</v>
      </c>
      <c r="I2540" s="1">
        <v>-1647600</v>
      </c>
      <c r="J2540" s="1">
        <v>-4348800</v>
      </c>
      <c r="K2540">
        <v>656</v>
      </c>
      <c r="L2540">
        <v>2749</v>
      </c>
      <c r="M2540" t="s">
        <v>16</v>
      </c>
    </row>
    <row r="2541" spans="1:13" x14ac:dyDescent="0.35">
      <c r="A2541">
        <v>312675</v>
      </c>
      <c r="B2541">
        <v>55387</v>
      </c>
      <c r="C2541" t="s">
        <v>2722</v>
      </c>
      <c r="D2541" t="s">
        <v>2376</v>
      </c>
      <c r="E2541" t="s">
        <v>2463</v>
      </c>
      <c r="F2541">
        <v>5664</v>
      </c>
      <c r="G2541">
        <v>1</v>
      </c>
      <c r="H2541" t="s">
        <v>16</v>
      </c>
      <c r="I2541" s="1">
        <v>-1796000</v>
      </c>
      <c r="J2541" s="1">
        <v>-4200900</v>
      </c>
      <c r="K2541">
        <v>380</v>
      </c>
      <c r="L2541">
        <v>715</v>
      </c>
      <c r="M2541" t="s">
        <v>16</v>
      </c>
    </row>
    <row r="2542" spans="1:13" x14ac:dyDescent="0.35">
      <c r="A2542">
        <v>312680</v>
      </c>
      <c r="B2542">
        <v>22179</v>
      </c>
      <c r="C2542" t="s">
        <v>2723</v>
      </c>
      <c r="D2542" t="s">
        <v>2376</v>
      </c>
      <c r="E2542" t="s">
        <v>2463</v>
      </c>
      <c r="F2542">
        <v>6343</v>
      </c>
      <c r="G2542">
        <v>1</v>
      </c>
      <c r="H2542" t="s">
        <v>16</v>
      </c>
      <c r="I2542" s="1">
        <v>-1806600</v>
      </c>
      <c r="J2542" s="1">
        <v>-4142900</v>
      </c>
      <c r="K2542">
        <v>440</v>
      </c>
      <c r="L2542">
        <v>628</v>
      </c>
      <c r="M2542" t="s">
        <v>16</v>
      </c>
    </row>
    <row r="2543" spans="1:13" x14ac:dyDescent="0.35">
      <c r="A2543">
        <v>312690</v>
      </c>
      <c r="B2543">
        <v>22187</v>
      </c>
      <c r="C2543" t="s">
        <v>2724</v>
      </c>
      <c r="D2543" t="s">
        <v>2376</v>
      </c>
      <c r="E2543" t="s">
        <v>2412</v>
      </c>
      <c r="F2543">
        <v>8873</v>
      </c>
      <c r="G2543">
        <v>1</v>
      </c>
      <c r="H2543" t="s">
        <v>16</v>
      </c>
      <c r="I2543" s="1">
        <v>-1854500</v>
      </c>
      <c r="J2543" s="1">
        <v>-4192200</v>
      </c>
      <c r="K2543">
        <v>195</v>
      </c>
      <c r="L2543">
        <v>468</v>
      </c>
      <c r="M2543" t="s">
        <v>16</v>
      </c>
    </row>
    <row r="2544" spans="1:13" x14ac:dyDescent="0.35">
      <c r="A2544">
        <v>312695</v>
      </c>
      <c r="B2544">
        <v>55395</v>
      </c>
      <c r="C2544" t="s">
        <v>2725</v>
      </c>
      <c r="D2544" t="s">
        <v>2376</v>
      </c>
      <c r="E2544" t="s">
        <v>2388</v>
      </c>
      <c r="F2544">
        <v>3342</v>
      </c>
      <c r="G2544">
        <v>1</v>
      </c>
      <c r="H2544" t="s">
        <v>16</v>
      </c>
      <c r="I2544" s="1">
        <v>-1816800</v>
      </c>
      <c r="J2544" s="1">
        <v>-4276600</v>
      </c>
      <c r="K2544">
        <v>830</v>
      </c>
      <c r="L2544">
        <v>168</v>
      </c>
      <c r="M2544" t="s">
        <v>16</v>
      </c>
    </row>
    <row r="2545" spans="1:13" x14ac:dyDescent="0.35">
      <c r="A2545">
        <v>312700</v>
      </c>
      <c r="B2545">
        <v>22195</v>
      </c>
      <c r="C2545" t="s">
        <v>2726</v>
      </c>
      <c r="D2545" t="s">
        <v>2376</v>
      </c>
      <c r="E2545" t="s">
        <v>2545</v>
      </c>
      <c r="F2545">
        <v>13983</v>
      </c>
      <c r="G2545">
        <v>1</v>
      </c>
      <c r="H2545" t="s">
        <v>16</v>
      </c>
      <c r="I2545" s="1">
        <v>-2026800</v>
      </c>
      <c r="J2545" s="1">
        <v>-4919900</v>
      </c>
      <c r="K2545">
        <v>458</v>
      </c>
      <c r="L2545">
        <v>199</v>
      </c>
      <c r="M2545" t="s">
        <v>16</v>
      </c>
    </row>
    <row r="2546" spans="1:13" x14ac:dyDescent="0.35">
      <c r="A2546">
        <v>312705</v>
      </c>
      <c r="B2546">
        <v>24171</v>
      </c>
      <c r="C2546" t="s">
        <v>2727</v>
      </c>
      <c r="D2546" t="s">
        <v>2376</v>
      </c>
      <c r="E2546" t="s">
        <v>2394</v>
      </c>
      <c r="F2546">
        <v>4835</v>
      </c>
      <c r="G2546">
        <v>1</v>
      </c>
      <c r="H2546" t="s">
        <v>16</v>
      </c>
      <c r="I2546" s="1">
        <v>-1689100</v>
      </c>
      <c r="J2546" s="1">
        <v>-4092500</v>
      </c>
      <c r="K2546">
        <v>314</v>
      </c>
      <c r="L2546">
        <v>317</v>
      </c>
      <c r="M2546" t="s">
        <v>16</v>
      </c>
    </row>
    <row r="2547" spans="1:13" x14ac:dyDescent="0.35">
      <c r="A2547">
        <v>312707</v>
      </c>
      <c r="B2547">
        <v>55409</v>
      </c>
      <c r="C2547" t="s">
        <v>2728</v>
      </c>
      <c r="D2547" t="s">
        <v>2376</v>
      </c>
      <c r="E2547" t="s">
        <v>2396</v>
      </c>
      <c r="F2547">
        <v>6327</v>
      </c>
      <c r="G2547">
        <v>1</v>
      </c>
      <c r="H2547" t="s">
        <v>16</v>
      </c>
      <c r="I2547" s="1">
        <v>-1613100</v>
      </c>
      <c r="J2547" s="1">
        <v>-4253300</v>
      </c>
      <c r="K2547">
        <v>910</v>
      </c>
      <c r="L2547">
        <v>758</v>
      </c>
      <c r="M2547" t="s">
        <v>16</v>
      </c>
    </row>
    <row r="2548" spans="1:13" x14ac:dyDescent="0.35">
      <c r="A2548">
        <v>312710</v>
      </c>
      <c r="B2548">
        <v>22209</v>
      </c>
      <c r="C2548" t="s">
        <v>2545</v>
      </c>
      <c r="D2548" t="s">
        <v>2376</v>
      </c>
      <c r="E2548" t="s">
        <v>2545</v>
      </c>
      <c r="F2548">
        <v>51766</v>
      </c>
      <c r="G2548">
        <v>2</v>
      </c>
      <c r="H2548" t="s">
        <v>16</v>
      </c>
      <c r="I2548" s="1">
        <v>-2002500</v>
      </c>
      <c r="J2548" s="1">
        <v>-4894100</v>
      </c>
      <c r="K2548">
        <v>516</v>
      </c>
      <c r="L2548">
        <v>2429</v>
      </c>
      <c r="M2548" t="s">
        <v>16</v>
      </c>
    </row>
    <row r="2549" spans="1:13" x14ac:dyDescent="0.35">
      <c r="A2549">
        <v>312720</v>
      </c>
      <c r="B2549">
        <v>22217</v>
      </c>
      <c r="C2549" t="s">
        <v>2729</v>
      </c>
      <c r="D2549" t="s">
        <v>2376</v>
      </c>
      <c r="E2549" t="s">
        <v>2435</v>
      </c>
      <c r="F2549">
        <v>3639</v>
      </c>
      <c r="G2549">
        <v>4</v>
      </c>
      <c r="H2549" t="s">
        <v>2468</v>
      </c>
      <c r="I2549" s="1">
        <v>-1936800</v>
      </c>
      <c r="J2549" s="1">
        <v>-4405600</v>
      </c>
      <c r="K2549">
        <v>690</v>
      </c>
      <c r="L2549">
        <v>201</v>
      </c>
      <c r="M2549" t="s">
        <v>16</v>
      </c>
    </row>
    <row r="2550" spans="1:13" x14ac:dyDescent="0.35">
      <c r="A2550">
        <v>312730</v>
      </c>
      <c r="B2550">
        <v>22225</v>
      </c>
      <c r="C2550" t="s">
        <v>2730</v>
      </c>
      <c r="D2550" t="s">
        <v>2376</v>
      </c>
      <c r="E2550" t="s">
        <v>2412</v>
      </c>
      <c r="F2550">
        <v>7302</v>
      </c>
      <c r="G2550">
        <v>1</v>
      </c>
      <c r="H2550" t="s">
        <v>16</v>
      </c>
      <c r="I2550" s="1">
        <v>-1899900</v>
      </c>
      <c r="J2550" s="1">
        <v>-4153800</v>
      </c>
      <c r="K2550">
        <v>142</v>
      </c>
      <c r="L2550">
        <v>721</v>
      </c>
      <c r="M2550" t="s">
        <v>16</v>
      </c>
    </row>
    <row r="2551" spans="1:13" x14ac:dyDescent="0.35">
      <c r="A2551">
        <v>312733</v>
      </c>
      <c r="B2551">
        <v>55417</v>
      </c>
      <c r="C2551" t="s">
        <v>2731</v>
      </c>
      <c r="D2551" t="s">
        <v>2376</v>
      </c>
      <c r="E2551" t="s">
        <v>2594</v>
      </c>
      <c r="F2551">
        <v>5226</v>
      </c>
      <c r="G2551">
        <v>1</v>
      </c>
      <c r="H2551" t="s">
        <v>16</v>
      </c>
      <c r="I2551" s="1">
        <v>-1508200</v>
      </c>
      <c r="J2551" s="1">
        <v>-4312400</v>
      </c>
      <c r="K2551">
        <v>515</v>
      </c>
      <c r="L2551">
        <v>1733</v>
      </c>
      <c r="M2551" t="s">
        <v>16</v>
      </c>
    </row>
    <row r="2552" spans="1:13" x14ac:dyDescent="0.35">
      <c r="A2552">
        <v>312735</v>
      </c>
      <c r="B2552">
        <v>55425</v>
      </c>
      <c r="C2552" t="s">
        <v>2732</v>
      </c>
      <c r="D2552" t="s">
        <v>2376</v>
      </c>
      <c r="E2552" t="s">
        <v>2513</v>
      </c>
      <c r="F2552">
        <v>2932</v>
      </c>
      <c r="G2552">
        <v>1</v>
      </c>
      <c r="H2552" t="s">
        <v>16</v>
      </c>
      <c r="I2552" s="1">
        <v>-1685000</v>
      </c>
      <c r="J2552" s="1">
        <v>-4369700</v>
      </c>
      <c r="K2552">
        <v>665</v>
      </c>
      <c r="L2552">
        <v>145</v>
      </c>
      <c r="M2552" t="s">
        <v>16</v>
      </c>
    </row>
    <row r="2553" spans="1:13" x14ac:dyDescent="0.35">
      <c r="A2553">
        <v>312737</v>
      </c>
      <c r="B2553">
        <v>55433</v>
      </c>
      <c r="C2553" t="s">
        <v>2733</v>
      </c>
      <c r="D2553" t="s">
        <v>2376</v>
      </c>
      <c r="E2553" t="s">
        <v>2398</v>
      </c>
      <c r="F2553">
        <v>3052</v>
      </c>
      <c r="G2553">
        <v>1</v>
      </c>
      <c r="H2553" t="s">
        <v>16</v>
      </c>
      <c r="I2553" s="1">
        <v>-1898200</v>
      </c>
      <c r="J2553" s="1">
        <v>-4122300</v>
      </c>
      <c r="K2553">
        <v>180</v>
      </c>
      <c r="L2553">
        <v>111</v>
      </c>
      <c r="M2553" t="s">
        <v>16</v>
      </c>
    </row>
    <row r="2554" spans="1:13" x14ac:dyDescent="0.35">
      <c r="A2554">
        <v>312738</v>
      </c>
      <c r="B2554">
        <v>55441</v>
      </c>
      <c r="C2554" t="s">
        <v>2734</v>
      </c>
      <c r="D2554" t="s">
        <v>2376</v>
      </c>
      <c r="E2554" t="s">
        <v>2437</v>
      </c>
      <c r="F2554">
        <v>3643</v>
      </c>
      <c r="G2554">
        <v>1</v>
      </c>
      <c r="H2554" t="s">
        <v>16</v>
      </c>
      <c r="I2554" s="1">
        <v>-2153700</v>
      </c>
      <c r="J2554" s="1">
        <v>-4320200</v>
      </c>
      <c r="K2554">
        <v>410</v>
      </c>
      <c r="L2554">
        <v>153</v>
      </c>
      <c r="M2554" t="s">
        <v>16</v>
      </c>
    </row>
    <row r="2555" spans="1:13" x14ac:dyDescent="0.35">
      <c r="A2555">
        <v>312740</v>
      </c>
      <c r="B2555">
        <v>22233</v>
      </c>
      <c r="C2555" t="s">
        <v>2735</v>
      </c>
      <c r="D2555" t="s">
        <v>2376</v>
      </c>
      <c r="E2555" t="s">
        <v>2501</v>
      </c>
      <c r="F2555">
        <v>4270</v>
      </c>
      <c r="G2555">
        <v>1</v>
      </c>
      <c r="H2555" t="s">
        <v>16</v>
      </c>
      <c r="I2555" s="1">
        <v>-2265900</v>
      </c>
      <c r="J2555" s="1">
        <v>-4585600</v>
      </c>
      <c r="K2555">
        <v>1256</v>
      </c>
      <c r="L2555">
        <v>187</v>
      </c>
      <c r="M2555" t="s">
        <v>16</v>
      </c>
    </row>
    <row r="2556" spans="1:13" x14ac:dyDescent="0.35">
      <c r="A2556">
        <v>312750</v>
      </c>
      <c r="B2556">
        <v>22241</v>
      </c>
      <c r="C2556" t="s">
        <v>2736</v>
      </c>
      <c r="D2556" t="s">
        <v>2376</v>
      </c>
      <c r="E2556" t="s">
        <v>2516</v>
      </c>
      <c r="F2556">
        <v>5620</v>
      </c>
      <c r="G2556">
        <v>1</v>
      </c>
      <c r="H2556" t="s">
        <v>16</v>
      </c>
      <c r="I2556" s="1">
        <v>-1882200</v>
      </c>
      <c r="J2556" s="1">
        <v>-4247900</v>
      </c>
      <c r="K2556">
        <v>795</v>
      </c>
      <c r="L2556">
        <v>210</v>
      </c>
      <c r="M2556" t="s">
        <v>16</v>
      </c>
    </row>
    <row r="2557" spans="1:13" x14ac:dyDescent="0.35">
      <c r="A2557">
        <v>312760</v>
      </c>
      <c r="B2557">
        <v>22250</v>
      </c>
      <c r="C2557" t="s">
        <v>2737</v>
      </c>
      <c r="D2557" t="s">
        <v>2376</v>
      </c>
      <c r="E2557" t="s">
        <v>2646</v>
      </c>
      <c r="F2557">
        <v>11569</v>
      </c>
      <c r="G2557">
        <v>1</v>
      </c>
      <c r="H2557" t="s">
        <v>16</v>
      </c>
      <c r="I2557" s="1">
        <v>-1845400</v>
      </c>
      <c r="J2557" s="1">
        <v>-4374100</v>
      </c>
      <c r="K2557">
        <v>1113</v>
      </c>
      <c r="L2557">
        <v>874</v>
      </c>
      <c r="M2557" t="s">
        <v>16</v>
      </c>
    </row>
    <row r="2558" spans="1:13" x14ac:dyDescent="0.35">
      <c r="A2558">
        <v>312770</v>
      </c>
      <c r="B2558">
        <v>22268</v>
      </c>
      <c r="C2558" t="s">
        <v>2412</v>
      </c>
      <c r="D2558" t="s">
        <v>2376</v>
      </c>
      <c r="E2558" t="s">
        <v>2412</v>
      </c>
      <c r="F2558">
        <v>260396</v>
      </c>
      <c r="G2558">
        <v>3</v>
      </c>
      <c r="H2558" t="s">
        <v>16</v>
      </c>
      <c r="I2558" s="1">
        <v>-1885100</v>
      </c>
      <c r="J2558" s="1">
        <v>-4194900</v>
      </c>
      <c r="K2558">
        <v>170</v>
      </c>
      <c r="L2558">
        <v>2348</v>
      </c>
      <c r="M2558" t="s">
        <v>16</v>
      </c>
    </row>
    <row r="2559" spans="1:13" x14ac:dyDescent="0.35">
      <c r="A2559">
        <v>312780</v>
      </c>
      <c r="B2559">
        <v>22276</v>
      </c>
      <c r="C2559" t="s">
        <v>2738</v>
      </c>
      <c r="D2559" t="s">
        <v>2376</v>
      </c>
      <c r="E2559" t="s">
        <v>2509</v>
      </c>
      <c r="F2559">
        <v>14594</v>
      </c>
      <c r="G2559">
        <v>1</v>
      </c>
      <c r="H2559" t="s">
        <v>16</v>
      </c>
      <c r="I2559" s="1">
        <v>-1655900</v>
      </c>
      <c r="J2559" s="1">
        <v>-4289000</v>
      </c>
      <c r="K2559">
        <v>829</v>
      </c>
      <c r="L2559">
        <v>3889</v>
      </c>
      <c r="M2559" t="s">
        <v>16</v>
      </c>
    </row>
    <row r="2560" spans="1:13" x14ac:dyDescent="0.35">
      <c r="A2560">
        <v>312790</v>
      </c>
      <c r="B2560">
        <v>22284</v>
      </c>
      <c r="C2560" t="s">
        <v>2739</v>
      </c>
      <c r="D2560" t="s">
        <v>2376</v>
      </c>
      <c r="E2560" t="s">
        <v>2377</v>
      </c>
      <c r="F2560">
        <v>1412</v>
      </c>
      <c r="G2560">
        <v>1</v>
      </c>
      <c r="H2560" t="s">
        <v>16</v>
      </c>
      <c r="I2560" s="1">
        <v>-1849400</v>
      </c>
      <c r="J2560" s="1">
        <v>-4772200</v>
      </c>
      <c r="K2560">
        <v>669</v>
      </c>
      <c r="L2560">
        <v>192</v>
      </c>
      <c r="M2560" t="s">
        <v>16</v>
      </c>
    </row>
    <row r="2561" spans="1:13" x14ac:dyDescent="0.35">
      <c r="A2561">
        <v>312800</v>
      </c>
      <c r="B2561">
        <v>22292</v>
      </c>
      <c r="C2561" t="s">
        <v>2740</v>
      </c>
      <c r="D2561" t="s">
        <v>2376</v>
      </c>
      <c r="E2561" t="s">
        <v>2516</v>
      </c>
      <c r="F2561">
        <v>29286</v>
      </c>
      <c r="G2561">
        <v>1</v>
      </c>
      <c r="H2561" t="s">
        <v>16</v>
      </c>
      <c r="I2561" s="1">
        <v>-1877500</v>
      </c>
      <c r="J2561" s="1">
        <v>-4293300</v>
      </c>
      <c r="K2561">
        <v>777</v>
      </c>
      <c r="L2561">
        <v>1076</v>
      </c>
      <c r="M2561" t="s">
        <v>16</v>
      </c>
    </row>
    <row r="2562" spans="1:13" x14ac:dyDescent="0.35">
      <c r="A2562">
        <v>312810</v>
      </c>
      <c r="B2562">
        <v>22306</v>
      </c>
      <c r="C2562" t="s">
        <v>2741</v>
      </c>
      <c r="D2562" t="s">
        <v>2376</v>
      </c>
      <c r="E2562" t="s">
        <v>2491</v>
      </c>
      <c r="F2562">
        <v>13152</v>
      </c>
      <c r="G2562">
        <v>1</v>
      </c>
      <c r="H2562" t="s">
        <v>16</v>
      </c>
      <c r="I2562" s="1">
        <v>-2076200</v>
      </c>
      <c r="J2562" s="1">
        <v>-4591800</v>
      </c>
      <c r="K2562">
        <v>760</v>
      </c>
      <c r="L2562">
        <v>934</v>
      </c>
      <c r="M2562" t="s">
        <v>16</v>
      </c>
    </row>
    <row r="2563" spans="1:13" x14ac:dyDescent="0.35">
      <c r="A2563">
        <v>312820</v>
      </c>
      <c r="B2563">
        <v>22314</v>
      </c>
      <c r="C2563" t="s">
        <v>2742</v>
      </c>
      <c r="D2563" t="s">
        <v>2376</v>
      </c>
      <c r="E2563" t="s">
        <v>2383</v>
      </c>
      <c r="F2563">
        <v>10428</v>
      </c>
      <c r="G2563">
        <v>1</v>
      </c>
      <c r="H2563" t="s">
        <v>16</v>
      </c>
      <c r="I2563" s="1">
        <v>-2057100</v>
      </c>
      <c r="J2563" s="1">
        <v>-4300800</v>
      </c>
      <c r="K2563">
        <v>578</v>
      </c>
      <c r="L2563">
        <v>348</v>
      </c>
      <c r="M2563" t="s">
        <v>16</v>
      </c>
    </row>
    <row r="2564" spans="1:13" x14ac:dyDescent="0.35">
      <c r="A2564">
        <v>312825</v>
      </c>
      <c r="B2564">
        <v>55450</v>
      </c>
      <c r="C2564" t="s">
        <v>2743</v>
      </c>
      <c r="D2564" t="s">
        <v>2376</v>
      </c>
      <c r="E2564" t="s">
        <v>2494</v>
      </c>
      <c r="F2564">
        <v>4554</v>
      </c>
      <c r="G2564">
        <v>1</v>
      </c>
      <c r="H2564" t="s">
        <v>16</v>
      </c>
      <c r="I2564" s="1">
        <v>-1701400</v>
      </c>
      <c r="J2564" s="1">
        <v>-4367300</v>
      </c>
      <c r="K2564">
        <v>795</v>
      </c>
      <c r="L2564">
        <v>392</v>
      </c>
      <c r="M2564" t="s">
        <v>16</v>
      </c>
    </row>
    <row r="2565" spans="1:13" x14ac:dyDescent="0.35">
      <c r="A2565">
        <v>312830</v>
      </c>
      <c r="B2565">
        <v>22322</v>
      </c>
      <c r="C2565" t="s">
        <v>2744</v>
      </c>
      <c r="D2565" t="s">
        <v>2376</v>
      </c>
      <c r="E2565" t="s">
        <v>2452</v>
      </c>
      <c r="F2565">
        <v>18147</v>
      </c>
      <c r="G2565">
        <v>1</v>
      </c>
      <c r="H2565" t="s">
        <v>16</v>
      </c>
      <c r="I2565" s="1">
        <v>-2129900</v>
      </c>
      <c r="J2565" s="1">
        <v>-4680300</v>
      </c>
      <c r="K2565">
        <v>751</v>
      </c>
      <c r="L2565">
        <v>294</v>
      </c>
      <c r="M2565" t="s">
        <v>16</v>
      </c>
    </row>
    <row r="2566" spans="1:13" x14ac:dyDescent="0.35">
      <c r="A2566">
        <v>312840</v>
      </c>
      <c r="B2566">
        <v>22330</v>
      </c>
      <c r="C2566" t="s">
        <v>2745</v>
      </c>
      <c r="D2566" t="s">
        <v>2376</v>
      </c>
      <c r="E2566" t="s">
        <v>2461</v>
      </c>
      <c r="F2566">
        <v>9487</v>
      </c>
      <c r="G2566">
        <v>1</v>
      </c>
      <c r="H2566" t="s">
        <v>16</v>
      </c>
      <c r="I2566" s="1">
        <v>-2135200</v>
      </c>
      <c r="J2566" s="1">
        <v>-4304700</v>
      </c>
      <c r="K2566">
        <v>420</v>
      </c>
      <c r="L2566">
        <v>264</v>
      </c>
      <c r="M2566" t="s">
        <v>16</v>
      </c>
    </row>
    <row r="2567" spans="1:13" x14ac:dyDescent="0.35">
      <c r="A2567">
        <v>312850</v>
      </c>
      <c r="B2567">
        <v>22349</v>
      </c>
      <c r="C2567" t="s">
        <v>2746</v>
      </c>
      <c r="D2567" t="s">
        <v>2376</v>
      </c>
      <c r="E2567" t="s">
        <v>2437</v>
      </c>
      <c r="F2567">
        <v>4017</v>
      </c>
      <c r="G2567">
        <v>1</v>
      </c>
      <c r="H2567" t="s">
        <v>16</v>
      </c>
      <c r="I2567" s="1">
        <v>-2173200</v>
      </c>
      <c r="J2567" s="1">
        <v>-4303800</v>
      </c>
      <c r="K2567">
        <v>558</v>
      </c>
      <c r="L2567">
        <v>88</v>
      </c>
      <c r="M2567" t="s">
        <v>16</v>
      </c>
    </row>
    <row r="2568" spans="1:13" x14ac:dyDescent="0.35">
      <c r="A2568">
        <v>312860</v>
      </c>
      <c r="B2568">
        <v>48160</v>
      </c>
      <c r="C2568" t="s">
        <v>2747</v>
      </c>
      <c r="D2568" t="s">
        <v>2376</v>
      </c>
      <c r="E2568" t="s">
        <v>2511</v>
      </c>
      <c r="F2568">
        <v>6577</v>
      </c>
      <c r="G2568">
        <v>1</v>
      </c>
      <c r="H2568" t="s">
        <v>16</v>
      </c>
      <c r="I2568" s="1">
        <v>-1777100</v>
      </c>
      <c r="J2568" s="1">
        <v>-4709800</v>
      </c>
      <c r="K2568">
        <v>616</v>
      </c>
      <c r="L2568">
        <v>2065</v>
      </c>
      <c r="M2568" t="s">
        <v>16</v>
      </c>
    </row>
    <row r="2569" spans="1:13" x14ac:dyDescent="0.35">
      <c r="A2569">
        <v>312870</v>
      </c>
      <c r="B2569">
        <v>22365</v>
      </c>
      <c r="C2569" t="s">
        <v>2748</v>
      </c>
      <c r="D2569" t="s">
        <v>2376</v>
      </c>
      <c r="E2569" t="s">
        <v>2452</v>
      </c>
      <c r="F2569">
        <v>47894</v>
      </c>
      <c r="G2569">
        <v>1</v>
      </c>
      <c r="H2569" t="s">
        <v>16</v>
      </c>
      <c r="I2569" s="1">
        <v>-2130500</v>
      </c>
      <c r="J2569" s="1">
        <v>-4671300</v>
      </c>
      <c r="K2569">
        <v>829</v>
      </c>
      <c r="L2569">
        <v>285</v>
      </c>
      <c r="M2569" t="s">
        <v>16</v>
      </c>
    </row>
    <row r="2570" spans="1:13" x14ac:dyDescent="0.35">
      <c r="A2570">
        <v>312880</v>
      </c>
      <c r="B2570">
        <v>22373</v>
      </c>
      <c r="C2570" t="s">
        <v>2749</v>
      </c>
      <c r="D2570" t="s">
        <v>2376</v>
      </c>
      <c r="E2570" t="s">
        <v>2461</v>
      </c>
      <c r="F2570">
        <v>7321</v>
      </c>
      <c r="G2570">
        <v>1</v>
      </c>
      <c r="H2570" t="s">
        <v>16</v>
      </c>
      <c r="I2570" s="1">
        <v>-2115200</v>
      </c>
      <c r="J2570" s="1">
        <v>-4279700</v>
      </c>
      <c r="K2570">
        <v>302</v>
      </c>
      <c r="L2570">
        <v>158</v>
      </c>
      <c r="M2570" t="s">
        <v>16</v>
      </c>
    </row>
    <row r="2571" spans="1:13" x14ac:dyDescent="0.35">
      <c r="A2571">
        <v>312890</v>
      </c>
      <c r="B2571">
        <v>22381</v>
      </c>
      <c r="C2571" t="s">
        <v>2750</v>
      </c>
      <c r="D2571" t="s">
        <v>2376</v>
      </c>
      <c r="E2571" t="s">
        <v>2446</v>
      </c>
      <c r="F2571">
        <v>6946</v>
      </c>
      <c r="G2571">
        <v>1</v>
      </c>
      <c r="H2571" t="s">
        <v>16</v>
      </c>
      <c r="I2571" s="1">
        <v>-1884400</v>
      </c>
      <c r="J2571" s="1">
        <v>-4679300</v>
      </c>
      <c r="K2571">
        <v>912</v>
      </c>
      <c r="L2571">
        <v>370</v>
      </c>
      <c r="M2571" t="s">
        <v>16</v>
      </c>
    </row>
    <row r="2572" spans="1:13" x14ac:dyDescent="0.35">
      <c r="A2572">
        <v>312900</v>
      </c>
      <c r="B2572">
        <v>22390</v>
      </c>
      <c r="C2572" t="s">
        <v>2751</v>
      </c>
      <c r="D2572" t="s">
        <v>2376</v>
      </c>
      <c r="E2572" t="s">
        <v>2461</v>
      </c>
      <c r="F2572">
        <v>8906</v>
      </c>
      <c r="G2572">
        <v>1</v>
      </c>
      <c r="H2572" t="s">
        <v>16</v>
      </c>
      <c r="I2572" s="1">
        <v>-2100800</v>
      </c>
      <c r="J2572" s="1">
        <v>-4271800</v>
      </c>
      <c r="K2572">
        <v>298</v>
      </c>
      <c r="L2572">
        <v>294</v>
      </c>
      <c r="M2572" t="s">
        <v>16</v>
      </c>
    </row>
    <row r="2573" spans="1:13" x14ac:dyDescent="0.35">
      <c r="A2573">
        <v>312910</v>
      </c>
      <c r="B2573">
        <v>22403</v>
      </c>
      <c r="C2573" t="s">
        <v>2752</v>
      </c>
      <c r="D2573" t="s">
        <v>2376</v>
      </c>
      <c r="E2573" t="s">
        <v>2532</v>
      </c>
      <c r="F2573">
        <v>6194</v>
      </c>
      <c r="G2573">
        <v>1</v>
      </c>
      <c r="H2573" t="s">
        <v>16</v>
      </c>
      <c r="I2573" s="1">
        <v>-1921300</v>
      </c>
      <c r="J2573" s="1">
        <v>-4978600</v>
      </c>
      <c r="K2573">
        <v>543</v>
      </c>
      <c r="L2573">
        <v>1844</v>
      </c>
      <c r="M2573" t="s">
        <v>16</v>
      </c>
    </row>
    <row r="2574" spans="1:13" x14ac:dyDescent="0.35">
      <c r="A2574">
        <v>312920</v>
      </c>
      <c r="B2574">
        <v>22411</v>
      </c>
      <c r="C2574" t="s">
        <v>2753</v>
      </c>
      <c r="D2574" t="s">
        <v>2376</v>
      </c>
      <c r="E2574" t="s">
        <v>2530</v>
      </c>
      <c r="F2574">
        <v>6005</v>
      </c>
      <c r="G2574">
        <v>1</v>
      </c>
      <c r="H2574" t="s">
        <v>16</v>
      </c>
      <c r="I2574" s="1">
        <v>-2206700</v>
      </c>
      <c r="J2574" s="1">
        <v>-4554200</v>
      </c>
      <c r="K2574">
        <v>893</v>
      </c>
      <c r="L2574">
        <v>153</v>
      </c>
      <c r="M2574" t="s">
        <v>16</v>
      </c>
    </row>
    <row r="2575" spans="1:13" x14ac:dyDescent="0.35">
      <c r="A2575">
        <v>312930</v>
      </c>
      <c r="B2575">
        <v>22420</v>
      </c>
      <c r="C2575" t="s">
        <v>2754</v>
      </c>
      <c r="D2575" t="s">
        <v>2376</v>
      </c>
      <c r="E2575" t="s">
        <v>2499</v>
      </c>
      <c r="F2575">
        <v>10851</v>
      </c>
      <c r="G2575">
        <v>4</v>
      </c>
      <c r="H2575" t="s">
        <v>2386</v>
      </c>
      <c r="I2575" s="1">
        <v>-1943700</v>
      </c>
      <c r="J2575" s="1">
        <v>-4221800</v>
      </c>
      <c r="K2575">
        <v>430</v>
      </c>
      <c r="L2575">
        <v>337</v>
      </c>
      <c r="M2575" t="s">
        <v>16</v>
      </c>
    </row>
    <row r="2576" spans="1:13" x14ac:dyDescent="0.35">
      <c r="A2576">
        <v>312940</v>
      </c>
      <c r="B2576">
        <v>22438</v>
      </c>
      <c r="C2576" t="s">
        <v>2755</v>
      </c>
      <c r="D2576" t="s">
        <v>2376</v>
      </c>
      <c r="E2576" t="s">
        <v>2409</v>
      </c>
      <c r="F2576">
        <v>5057</v>
      </c>
      <c r="G2576">
        <v>1</v>
      </c>
      <c r="H2576" t="s">
        <v>16</v>
      </c>
      <c r="I2576" s="1">
        <v>-2143000</v>
      </c>
      <c r="J2576" s="1">
        <v>-4396300</v>
      </c>
      <c r="K2576">
        <v>1032</v>
      </c>
      <c r="L2576">
        <v>353</v>
      </c>
      <c r="M2576" t="s">
        <v>16</v>
      </c>
    </row>
    <row r="2577" spans="1:13" x14ac:dyDescent="0.35">
      <c r="A2577">
        <v>312950</v>
      </c>
      <c r="B2577">
        <v>22446</v>
      </c>
      <c r="C2577" t="s">
        <v>2756</v>
      </c>
      <c r="D2577" t="s">
        <v>2376</v>
      </c>
      <c r="E2577" t="s">
        <v>2450</v>
      </c>
      <c r="F2577">
        <v>22069</v>
      </c>
      <c r="G2577">
        <v>1</v>
      </c>
      <c r="H2577" t="s">
        <v>16</v>
      </c>
      <c r="I2577" s="1">
        <v>-1947800</v>
      </c>
      <c r="J2577" s="1">
        <v>-4653900</v>
      </c>
      <c r="K2577">
        <v>895</v>
      </c>
      <c r="L2577">
        <v>2707</v>
      </c>
      <c r="M2577" t="s">
        <v>16</v>
      </c>
    </row>
    <row r="2578" spans="1:13" x14ac:dyDescent="0.35">
      <c r="A2578">
        <v>312960</v>
      </c>
      <c r="B2578">
        <v>22454</v>
      </c>
      <c r="C2578" t="s">
        <v>2757</v>
      </c>
      <c r="D2578" t="s">
        <v>2376</v>
      </c>
      <c r="E2578" t="s">
        <v>2525</v>
      </c>
      <c r="F2578">
        <v>7571</v>
      </c>
      <c r="G2578">
        <v>1</v>
      </c>
      <c r="H2578" t="s">
        <v>16</v>
      </c>
      <c r="I2578" s="1">
        <v>-1686100</v>
      </c>
      <c r="J2578" s="1">
        <v>-4491400</v>
      </c>
      <c r="K2578">
        <v>470</v>
      </c>
      <c r="L2578">
        <v>870</v>
      </c>
      <c r="M2578" t="s">
        <v>16</v>
      </c>
    </row>
    <row r="2579" spans="1:13" x14ac:dyDescent="0.35">
      <c r="A2579">
        <v>312965</v>
      </c>
      <c r="B2579">
        <v>55468</v>
      </c>
      <c r="C2579" t="s">
        <v>2758</v>
      </c>
      <c r="D2579" t="s">
        <v>2376</v>
      </c>
      <c r="E2579" t="s">
        <v>2513</v>
      </c>
      <c r="F2579">
        <v>5898</v>
      </c>
      <c r="G2579">
        <v>1</v>
      </c>
      <c r="H2579" t="s">
        <v>16</v>
      </c>
      <c r="I2579" s="1">
        <v>-1566400</v>
      </c>
      <c r="J2579" s="1">
        <v>-4416400</v>
      </c>
      <c r="K2579">
        <v>750</v>
      </c>
      <c r="L2579">
        <v>359</v>
      </c>
      <c r="M2579" t="s">
        <v>16</v>
      </c>
    </row>
    <row r="2580" spans="1:13" x14ac:dyDescent="0.35">
      <c r="A2580">
        <v>312970</v>
      </c>
      <c r="B2580">
        <v>22462</v>
      </c>
      <c r="C2580" t="s">
        <v>2759</v>
      </c>
      <c r="D2580" t="s">
        <v>2376</v>
      </c>
      <c r="E2580" t="s">
        <v>2414</v>
      </c>
      <c r="F2580">
        <v>11023</v>
      </c>
      <c r="G2580">
        <v>1</v>
      </c>
      <c r="H2580" t="s">
        <v>16</v>
      </c>
      <c r="I2580" s="1">
        <v>-2046200</v>
      </c>
      <c r="J2580" s="1">
        <v>-4712200</v>
      </c>
      <c r="K2580">
        <v>1071</v>
      </c>
      <c r="L2580">
        <v>598</v>
      </c>
      <c r="M2580" t="s">
        <v>16</v>
      </c>
    </row>
    <row r="2581" spans="1:13" x14ac:dyDescent="0.35">
      <c r="A2581">
        <v>312980</v>
      </c>
      <c r="B2581">
        <v>22470</v>
      </c>
      <c r="C2581" t="s">
        <v>2760</v>
      </c>
      <c r="D2581" t="s">
        <v>2376</v>
      </c>
      <c r="E2581" t="s">
        <v>2479</v>
      </c>
      <c r="F2581">
        <v>148535</v>
      </c>
      <c r="G2581">
        <v>4</v>
      </c>
      <c r="H2581" t="s">
        <v>2468</v>
      </c>
      <c r="I2581" s="1">
        <v>-2002200</v>
      </c>
      <c r="J2581" s="1">
        <v>-4405900</v>
      </c>
      <c r="K2581">
        <v>872</v>
      </c>
      <c r="L2581">
        <v>73</v>
      </c>
      <c r="M2581" t="s">
        <v>16</v>
      </c>
    </row>
    <row r="2582" spans="1:13" x14ac:dyDescent="0.35">
      <c r="A2582">
        <v>312990</v>
      </c>
      <c r="B2582">
        <v>22489</v>
      </c>
      <c r="C2582" t="s">
        <v>2761</v>
      </c>
      <c r="D2582" t="s">
        <v>2376</v>
      </c>
      <c r="E2582" t="s">
        <v>2404</v>
      </c>
      <c r="F2582">
        <v>3382</v>
      </c>
      <c r="G2582">
        <v>1</v>
      </c>
      <c r="H2582" t="s">
        <v>16</v>
      </c>
      <c r="I2582" s="1">
        <v>-2206100</v>
      </c>
      <c r="J2582" s="1">
        <v>-4644000</v>
      </c>
      <c r="K2582">
        <v>913</v>
      </c>
      <c r="L2582">
        <v>68</v>
      </c>
      <c r="M2582" t="s">
        <v>16</v>
      </c>
    </row>
    <row r="2583" spans="1:13" x14ac:dyDescent="0.35">
      <c r="A2583">
        <v>313000</v>
      </c>
      <c r="B2583">
        <v>22497</v>
      </c>
      <c r="C2583" t="s">
        <v>2762</v>
      </c>
      <c r="D2583" t="s">
        <v>2376</v>
      </c>
      <c r="E2583" t="s">
        <v>2502</v>
      </c>
      <c r="F2583">
        <v>2825</v>
      </c>
      <c r="G2583">
        <v>1</v>
      </c>
      <c r="H2583" t="s">
        <v>16</v>
      </c>
      <c r="I2583" s="1">
        <v>-2115300</v>
      </c>
      <c r="J2583" s="1">
        <v>-4474800</v>
      </c>
      <c r="K2583">
        <v>892</v>
      </c>
      <c r="L2583">
        <v>158</v>
      </c>
      <c r="M2583" t="s">
        <v>16</v>
      </c>
    </row>
    <row r="2584" spans="1:13" x14ac:dyDescent="0.35">
      <c r="A2584">
        <v>313005</v>
      </c>
      <c r="B2584">
        <v>50636</v>
      </c>
      <c r="C2584" t="s">
        <v>2763</v>
      </c>
      <c r="D2584" t="s">
        <v>2376</v>
      </c>
      <c r="E2584" t="s">
        <v>2505</v>
      </c>
      <c r="F2584">
        <v>10331</v>
      </c>
      <c r="G2584">
        <v>1</v>
      </c>
      <c r="H2584" t="s">
        <v>16</v>
      </c>
      <c r="I2584" s="1">
        <v>-1621700</v>
      </c>
      <c r="J2584" s="1">
        <v>-4490600</v>
      </c>
      <c r="K2584">
        <v>595</v>
      </c>
      <c r="L2584">
        <v>616</v>
      </c>
      <c r="M2584" t="s">
        <v>16</v>
      </c>
    </row>
    <row r="2585" spans="1:13" x14ac:dyDescent="0.35">
      <c r="A2585">
        <v>313010</v>
      </c>
      <c r="B2585">
        <v>22500</v>
      </c>
      <c r="C2585" t="s">
        <v>2764</v>
      </c>
      <c r="D2585" t="s">
        <v>2376</v>
      </c>
      <c r="E2585" t="s">
        <v>2479</v>
      </c>
      <c r="F2585">
        <v>31135</v>
      </c>
      <c r="G2585">
        <v>4</v>
      </c>
      <c r="H2585" t="s">
        <v>2468</v>
      </c>
      <c r="I2585" s="1">
        <v>-2007000</v>
      </c>
      <c r="J2585" s="1">
        <v>-4430200</v>
      </c>
      <c r="K2585">
        <v>786</v>
      </c>
      <c r="L2585">
        <v>109</v>
      </c>
      <c r="M2585" t="s">
        <v>16</v>
      </c>
    </row>
    <row r="2586" spans="1:13" x14ac:dyDescent="0.35">
      <c r="A2586">
        <v>313020</v>
      </c>
      <c r="B2586">
        <v>22519</v>
      </c>
      <c r="C2586" t="s">
        <v>2765</v>
      </c>
      <c r="D2586" t="s">
        <v>2376</v>
      </c>
      <c r="E2586" t="s">
        <v>2575</v>
      </c>
      <c r="F2586">
        <v>8477</v>
      </c>
      <c r="G2586">
        <v>1</v>
      </c>
      <c r="H2586" t="s">
        <v>16</v>
      </c>
      <c r="I2586" s="1">
        <v>-1995500</v>
      </c>
      <c r="J2586" s="1">
        <v>-4470900</v>
      </c>
      <c r="K2586">
        <v>816</v>
      </c>
      <c r="L2586">
        <v>219</v>
      </c>
      <c r="M2586" t="s">
        <v>16</v>
      </c>
    </row>
    <row r="2587" spans="1:13" x14ac:dyDescent="0.35">
      <c r="A2587">
        <v>313030</v>
      </c>
      <c r="B2587">
        <v>22527</v>
      </c>
      <c r="C2587" t="s">
        <v>2766</v>
      </c>
      <c r="D2587" t="s">
        <v>2376</v>
      </c>
      <c r="E2587" t="s">
        <v>2470</v>
      </c>
      <c r="F2587">
        <v>7632</v>
      </c>
      <c r="G2587">
        <v>1</v>
      </c>
      <c r="H2587" t="s">
        <v>16</v>
      </c>
      <c r="I2587" s="1">
        <v>-2017400</v>
      </c>
      <c r="J2587" s="1">
        <v>-4571100</v>
      </c>
      <c r="K2587">
        <v>664</v>
      </c>
      <c r="L2587">
        <v>627</v>
      </c>
      <c r="M2587" t="s">
        <v>16</v>
      </c>
    </row>
    <row r="2588" spans="1:13" x14ac:dyDescent="0.35">
      <c r="A2588">
        <v>313040</v>
      </c>
      <c r="B2588">
        <v>22535</v>
      </c>
      <c r="C2588" t="s">
        <v>2767</v>
      </c>
      <c r="D2588" t="s">
        <v>2376</v>
      </c>
      <c r="E2588" t="s">
        <v>2581</v>
      </c>
      <c r="F2588">
        <v>5687</v>
      </c>
      <c r="G2588">
        <v>1</v>
      </c>
      <c r="H2588" t="s">
        <v>16</v>
      </c>
      <c r="I2588" s="1">
        <v>-2117000</v>
      </c>
      <c r="J2588" s="1">
        <v>-4492500</v>
      </c>
      <c r="K2588">
        <v>832</v>
      </c>
      <c r="L2588">
        <v>105</v>
      </c>
      <c r="M2588" t="s">
        <v>16</v>
      </c>
    </row>
    <row r="2589" spans="1:13" x14ac:dyDescent="0.35">
      <c r="A2589">
        <v>313050</v>
      </c>
      <c r="B2589">
        <v>22543</v>
      </c>
      <c r="C2589" t="s">
        <v>2768</v>
      </c>
      <c r="D2589" t="s">
        <v>2376</v>
      </c>
      <c r="E2589" t="s">
        <v>2491</v>
      </c>
      <c r="F2589">
        <v>11265</v>
      </c>
      <c r="G2589">
        <v>1</v>
      </c>
      <c r="H2589" t="s">
        <v>16</v>
      </c>
      <c r="I2589" s="1">
        <v>-2093600</v>
      </c>
      <c r="J2589" s="1">
        <v>-4583300</v>
      </c>
      <c r="K2589">
        <v>857</v>
      </c>
      <c r="L2589">
        <v>376</v>
      </c>
      <c r="M2589" t="s">
        <v>16</v>
      </c>
    </row>
    <row r="2590" spans="1:13" x14ac:dyDescent="0.35">
      <c r="A2590">
        <v>313055</v>
      </c>
      <c r="B2590">
        <v>55476</v>
      </c>
      <c r="C2590" t="s">
        <v>2769</v>
      </c>
      <c r="D2590" t="s">
        <v>2376</v>
      </c>
      <c r="E2590" t="s">
        <v>2499</v>
      </c>
      <c r="F2590">
        <v>6324</v>
      </c>
      <c r="G2590">
        <v>1</v>
      </c>
      <c r="H2590" t="s">
        <v>16</v>
      </c>
      <c r="I2590" s="1">
        <v>-1959700</v>
      </c>
      <c r="J2590" s="1">
        <v>-4197100</v>
      </c>
      <c r="K2590">
        <v>582</v>
      </c>
      <c r="L2590">
        <v>199</v>
      </c>
      <c r="M2590" t="s">
        <v>16</v>
      </c>
    </row>
    <row r="2591" spans="1:13" x14ac:dyDescent="0.35">
      <c r="A2591">
        <v>313060</v>
      </c>
      <c r="B2591">
        <v>22551</v>
      </c>
      <c r="C2591" t="s">
        <v>2770</v>
      </c>
      <c r="D2591" t="s">
        <v>2376</v>
      </c>
      <c r="E2591" t="s">
        <v>2404</v>
      </c>
      <c r="F2591">
        <v>7253</v>
      </c>
      <c r="G2591">
        <v>1</v>
      </c>
      <c r="H2591" t="s">
        <v>16</v>
      </c>
      <c r="I2591" s="1">
        <v>-2231700</v>
      </c>
      <c r="J2591" s="1">
        <v>-4632800</v>
      </c>
      <c r="K2591">
        <v>869</v>
      </c>
      <c r="L2591">
        <v>149</v>
      </c>
      <c r="M2591" t="s">
        <v>16</v>
      </c>
    </row>
    <row r="2592" spans="1:13" x14ac:dyDescent="0.35">
      <c r="A2592">
        <v>313065</v>
      </c>
      <c r="B2592">
        <v>55484</v>
      </c>
      <c r="C2592" t="s">
        <v>2771</v>
      </c>
      <c r="D2592" t="s">
        <v>2376</v>
      </c>
      <c r="E2592" t="s">
        <v>2396</v>
      </c>
      <c r="F2592">
        <v>7482</v>
      </c>
      <c r="G2592">
        <v>1</v>
      </c>
      <c r="H2592" t="s">
        <v>16</v>
      </c>
      <c r="I2592" s="1">
        <v>-1549200</v>
      </c>
      <c r="J2592" s="1">
        <v>-4219700</v>
      </c>
      <c r="K2592">
        <v>750</v>
      </c>
      <c r="L2592">
        <v>1008</v>
      </c>
      <c r="M2592" t="s">
        <v>16</v>
      </c>
    </row>
    <row r="2593" spans="1:13" x14ac:dyDescent="0.35">
      <c r="A2593">
        <v>313070</v>
      </c>
      <c r="B2593">
        <v>22560</v>
      </c>
      <c r="C2593" t="s">
        <v>2772</v>
      </c>
      <c r="D2593" t="s">
        <v>2376</v>
      </c>
      <c r="E2593" t="s">
        <v>2441</v>
      </c>
      <c r="F2593">
        <v>6244</v>
      </c>
      <c r="G2593">
        <v>1</v>
      </c>
      <c r="H2593" t="s">
        <v>16</v>
      </c>
      <c r="I2593" s="1">
        <v>-1903900</v>
      </c>
      <c r="J2593" s="1">
        <v>-4791700</v>
      </c>
      <c r="K2593">
        <v>809</v>
      </c>
      <c r="L2593">
        <v>833</v>
      </c>
      <c r="M2593" t="s">
        <v>16</v>
      </c>
    </row>
    <row r="2594" spans="1:13" x14ac:dyDescent="0.35">
      <c r="A2594">
        <v>313080</v>
      </c>
      <c r="B2594">
        <v>22578</v>
      </c>
      <c r="C2594" t="s">
        <v>2773</v>
      </c>
      <c r="D2594" t="s">
        <v>2376</v>
      </c>
      <c r="E2594" t="s">
        <v>2581</v>
      </c>
      <c r="F2594">
        <v>2496</v>
      </c>
      <c r="G2594">
        <v>1</v>
      </c>
      <c r="H2594" t="s">
        <v>16</v>
      </c>
      <c r="I2594" s="1">
        <v>-2140100</v>
      </c>
      <c r="J2594" s="1">
        <v>-4491700</v>
      </c>
      <c r="K2594">
        <v>951</v>
      </c>
      <c r="L2594">
        <v>305</v>
      </c>
      <c r="M2594" t="s">
        <v>16</v>
      </c>
    </row>
    <row r="2595" spans="1:13" x14ac:dyDescent="0.35">
      <c r="A2595">
        <v>313090</v>
      </c>
      <c r="B2595">
        <v>22586</v>
      </c>
      <c r="C2595" t="s">
        <v>2774</v>
      </c>
      <c r="D2595" t="s">
        <v>2376</v>
      </c>
      <c r="E2595" t="s">
        <v>2499</v>
      </c>
      <c r="F2595">
        <v>24289</v>
      </c>
      <c r="G2595">
        <v>1</v>
      </c>
      <c r="H2595" t="s">
        <v>16</v>
      </c>
      <c r="I2595" s="1">
        <v>-1954900</v>
      </c>
      <c r="J2595" s="1">
        <v>-4212000</v>
      </c>
      <c r="K2595">
        <v>482</v>
      </c>
      <c r="L2595">
        <v>847</v>
      </c>
      <c r="M2595" t="s">
        <v>16</v>
      </c>
    </row>
    <row r="2596" spans="1:13" x14ac:dyDescent="0.35">
      <c r="A2596">
        <v>313100</v>
      </c>
      <c r="B2596">
        <v>22594</v>
      </c>
      <c r="C2596" t="s">
        <v>2775</v>
      </c>
      <c r="D2596" t="s">
        <v>2376</v>
      </c>
      <c r="E2596" t="s">
        <v>2435</v>
      </c>
      <c r="F2596">
        <v>5347</v>
      </c>
      <c r="G2596">
        <v>4</v>
      </c>
      <c r="H2596" t="s">
        <v>2468</v>
      </c>
      <c r="I2596" s="1">
        <v>-1949100</v>
      </c>
      <c r="J2596" s="1">
        <v>-4439000</v>
      </c>
      <c r="K2596">
        <v>746</v>
      </c>
      <c r="L2596">
        <v>244</v>
      </c>
      <c r="M2596" t="s">
        <v>16</v>
      </c>
    </row>
    <row r="2597" spans="1:13" x14ac:dyDescent="0.35">
      <c r="A2597">
        <v>313110</v>
      </c>
      <c r="B2597">
        <v>22608</v>
      </c>
      <c r="C2597" t="s">
        <v>2776</v>
      </c>
      <c r="D2597" t="s">
        <v>2376</v>
      </c>
      <c r="E2597" t="s">
        <v>2465</v>
      </c>
      <c r="F2597">
        <v>6420</v>
      </c>
      <c r="G2597">
        <v>1</v>
      </c>
      <c r="H2597" t="s">
        <v>16</v>
      </c>
      <c r="I2597" s="1">
        <v>-1872900</v>
      </c>
      <c r="J2597" s="1">
        <v>-4436100</v>
      </c>
      <c r="K2597">
        <v>600</v>
      </c>
      <c r="L2597">
        <v>529</v>
      </c>
      <c r="M2597" t="s">
        <v>16</v>
      </c>
    </row>
    <row r="2598" spans="1:13" x14ac:dyDescent="0.35">
      <c r="A2598">
        <v>313115</v>
      </c>
      <c r="B2598">
        <v>50644</v>
      </c>
      <c r="C2598" t="s">
        <v>2777</v>
      </c>
      <c r="D2598" t="s">
        <v>2376</v>
      </c>
      <c r="E2598" t="s">
        <v>2499</v>
      </c>
      <c r="F2598">
        <v>14844</v>
      </c>
      <c r="G2598">
        <v>4</v>
      </c>
      <c r="H2598" t="s">
        <v>2386</v>
      </c>
      <c r="I2598" s="1">
        <v>-1941400</v>
      </c>
      <c r="J2598" s="1">
        <v>-4241900</v>
      </c>
      <c r="K2598">
        <v>200</v>
      </c>
      <c r="L2598">
        <v>114</v>
      </c>
      <c r="M2598" t="s">
        <v>16</v>
      </c>
    </row>
    <row r="2599" spans="1:13" x14ac:dyDescent="0.35">
      <c r="A2599">
        <v>313120</v>
      </c>
      <c r="B2599">
        <v>22616</v>
      </c>
      <c r="C2599" t="s">
        <v>2778</v>
      </c>
      <c r="D2599" t="s">
        <v>2376</v>
      </c>
      <c r="E2599" t="s">
        <v>2398</v>
      </c>
      <c r="F2599">
        <v>17128</v>
      </c>
      <c r="G2599">
        <v>1</v>
      </c>
      <c r="H2599" t="s">
        <v>16</v>
      </c>
      <c r="I2599" s="1">
        <v>-1980100</v>
      </c>
      <c r="J2599" s="1">
        <v>-4171300</v>
      </c>
      <c r="K2599">
        <v>241</v>
      </c>
      <c r="L2599">
        <v>458</v>
      </c>
      <c r="M2599" t="s">
        <v>16</v>
      </c>
    </row>
    <row r="2600" spans="1:13" x14ac:dyDescent="0.35">
      <c r="A2600">
        <v>313130</v>
      </c>
      <c r="B2600">
        <v>22624</v>
      </c>
      <c r="C2600" t="s">
        <v>2385</v>
      </c>
      <c r="D2600" t="s">
        <v>2376</v>
      </c>
      <c r="E2600" t="s">
        <v>2385</v>
      </c>
      <c r="F2600">
        <v>238397</v>
      </c>
      <c r="G2600">
        <v>4</v>
      </c>
      <c r="H2600" t="s">
        <v>2386</v>
      </c>
      <c r="I2600" s="1">
        <v>-1946800</v>
      </c>
      <c r="J2600" s="1">
        <v>-4253700</v>
      </c>
      <c r="K2600">
        <v>240</v>
      </c>
      <c r="L2600">
        <v>165</v>
      </c>
      <c r="M2600" t="s">
        <v>16</v>
      </c>
    </row>
    <row r="2601" spans="1:13" x14ac:dyDescent="0.35">
      <c r="A2601">
        <v>313140</v>
      </c>
      <c r="B2601">
        <v>22632</v>
      </c>
      <c r="C2601" t="s">
        <v>2779</v>
      </c>
      <c r="D2601" t="s">
        <v>2376</v>
      </c>
      <c r="E2601" t="s">
        <v>2532</v>
      </c>
      <c r="F2601">
        <v>4191</v>
      </c>
      <c r="G2601">
        <v>1</v>
      </c>
      <c r="H2601" t="s">
        <v>16</v>
      </c>
      <c r="I2601" s="1">
        <v>-1869200</v>
      </c>
      <c r="J2601" s="1">
        <v>-4994300</v>
      </c>
      <c r="K2601">
        <v>452</v>
      </c>
      <c r="L2601">
        <v>469</v>
      </c>
      <c r="M2601" t="s">
        <v>16</v>
      </c>
    </row>
    <row r="2602" spans="1:13" x14ac:dyDescent="0.35">
      <c r="A2602">
        <v>313150</v>
      </c>
      <c r="B2602">
        <v>22640</v>
      </c>
      <c r="C2602" t="s">
        <v>2780</v>
      </c>
      <c r="D2602" t="s">
        <v>2376</v>
      </c>
      <c r="E2602" t="s">
        <v>2501</v>
      </c>
      <c r="F2602">
        <v>9183</v>
      </c>
      <c r="G2602">
        <v>1</v>
      </c>
      <c r="H2602" t="s">
        <v>16</v>
      </c>
      <c r="I2602" s="1">
        <v>-2209900</v>
      </c>
      <c r="J2602" s="1">
        <v>-4619000</v>
      </c>
      <c r="K2602">
        <v>1182</v>
      </c>
      <c r="L2602">
        <v>298</v>
      </c>
      <c r="M2602" t="s">
        <v>16</v>
      </c>
    </row>
    <row r="2603" spans="1:13" x14ac:dyDescent="0.35">
      <c r="A2603">
        <v>313160</v>
      </c>
      <c r="B2603">
        <v>22659</v>
      </c>
      <c r="C2603" t="s">
        <v>2781</v>
      </c>
      <c r="D2603" t="s">
        <v>2376</v>
      </c>
      <c r="E2603" t="s">
        <v>2377</v>
      </c>
      <c r="F2603">
        <v>6295</v>
      </c>
      <c r="G2603">
        <v>1</v>
      </c>
      <c r="H2603" t="s">
        <v>16</v>
      </c>
      <c r="I2603" s="1">
        <v>-1898400</v>
      </c>
      <c r="J2603" s="1">
        <v>-4746100</v>
      </c>
      <c r="K2603">
        <v>951</v>
      </c>
      <c r="L2603">
        <v>357</v>
      </c>
      <c r="M2603" t="s">
        <v>16</v>
      </c>
    </row>
    <row r="2604" spans="1:13" x14ac:dyDescent="0.35">
      <c r="A2604">
        <v>313170</v>
      </c>
      <c r="B2604">
        <v>22667</v>
      </c>
      <c r="C2604" t="s">
        <v>2420</v>
      </c>
      <c r="D2604" t="s">
        <v>2376</v>
      </c>
      <c r="E2604" t="s">
        <v>2420</v>
      </c>
      <c r="F2604">
        <v>105159</v>
      </c>
      <c r="G2604">
        <v>3</v>
      </c>
      <c r="H2604" t="s">
        <v>16</v>
      </c>
      <c r="I2604" s="1">
        <v>-1961900</v>
      </c>
      <c r="J2604" s="1">
        <v>-4322700</v>
      </c>
      <c r="K2604">
        <v>779</v>
      </c>
      <c r="L2604">
        <v>1256</v>
      </c>
      <c r="M2604" t="s">
        <v>16</v>
      </c>
    </row>
    <row r="2605" spans="1:13" x14ac:dyDescent="0.35">
      <c r="A2605">
        <v>313180</v>
      </c>
      <c r="B2605">
        <v>22675</v>
      </c>
      <c r="C2605" t="s">
        <v>2782</v>
      </c>
      <c r="D2605" t="s">
        <v>2376</v>
      </c>
      <c r="E2605" t="s">
        <v>2598</v>
      </c>
      <c r="F2605">
        <v>10338</v>
      </c>
      <c r="G2605">
        <v>1</v>
      </c>
      <c r="H2605" t="s">
        <v>16</v>
      </c>
      <c r="I2605" s="1">
        <v>-1856600</v>
      </c>
      <c r="J2605" s="1">
        <v>-4123300</v>
      </c>
      <c r="K2605">
        <v>330</v>
      </c>
      <c r="L2605">
        <v>208</v>
      </c>
      <c r="M2605" t="s">
        <v>16</v>
      </c>
    </row>
    <row r="2606" spans="1:13" x14ac:dyDescent="0.35">
      <c r="A2606">
        <v>313190</v>
      </c>
      <c r="B2606">
        <v>22683</v>
      </c>
      <c r="C2606" t="s">
        <v>2783</v>
      </c>
      <c r="D2606" t="s">
        <v>2376</v>
      </c>
      <c r="E2606" t="s">
        <v>2665</v>
      </c>
      <c r="F2606">
        <v>41522</v>
      </c>
      <c r="G2606">
        <v>4</v>
      </c>
      <c r="H2606" t="s">
        <v>2468</v>
      </c>
      <c r="I2606" s="1">
        <v>-2025300</v>
      </c>
      <c r="J2606" s="1">
        <v>-4380100</v>
      </c>
      <c r="K2606">
        <v>901</v>
      </c>
      <c r="L2606">
        <v>543</v>
      </c>
      <c r="M2606" t="s">
        <v>16</v>
      </c>
    </row>
    <row r="2607" spans="1:13" x14ac:dyDescent="0.35">
      <c r="A2607">
        <v>313200</v>
      </c>
      <c r="B2607">
        <v>22691</v>
      </c>
      <c r="C2607" t="s">
        <v>2784</v>
      </c>
      <c r="D2607" t="s">
        <v>2376</v>
      </c>
      <c r="E2607" t="s">
        <v>2509</v>
      </c>
      <c r="F2607">
        <v>5018</v>
      </c>
      <c r="G2607">
        <v>1</v>
      </c>
      <c r="H2607" t="s">
        <v>16</v>
      </c>
      <c r="I2607" s="1">
        <v>-1706500</v>
      </c>
      <c r="J2607" s="1">
        <v>-4330900</v>
      </c>
      <c r="K2607">
        <v>1048</v>
      </c>
      <c r="L2607">
        <v>1788</v>
      </c>
      <c r="M2607" t="s">
        <v>16</v>
      </c>
    </row>
    <row r="2608" spans="1:13" x14ac:dyDescent="0.35">
      <c r="A2608">
        <v>313210</v>
      </c>
      <c r="B2608">
        <v>22705</v>
      </c>
      <c r="C2608" t="s">
        <v>2785</v>
      </c>
      <c r="D2608" t="s">
        <v>2376</v>
      </c>
      <c r="E2608" t="s">
        <v>2505</v>
      </c>
      <c r="F2608">
        <v>17626</v>
      </c>
      <c r="G2608">
        <v>1</v>
      </c>
      <c r="H2608" t="s">
        <v>16</v>
      </c>
      <c r="I2608" s="1">
        <v>-1510200</v>
      </c>
      <c r="J2608" s="1">
        <v>-4409200</v>
      </c>
      <c r="K2608">
        <v>445</v>
      </c>
      <c r="L2608">
        <v>1252</v>
      </c>
      <c r="M2608" t="s">
        <v>16</v>
      </c>
    </row>
    <row r="2609" spans="1:13" x14ac:dyDescent="0.35">
      <c r="A2609">
        <v>313220</v>
      </c>
      <c r="B2609">
        <v>22713</v>
      </c>
      <c r="C2609" t="s">
        <v>2482</v>
      </c>
      <c r="D2609" t="s">
        <v>2376</v>
      </c>
      <c r="E2609" t="s">
        <v>2482</v>
      </c>
      <c r="F2609">
        <v>12292</v>
      </c>
      <c r="G2609">
        <v>4</v>
      </c>
      <c r="H2609" t="s">
        <v>2468</v>
      </c>
      <c r="I2609" s="1">
        <v>-2039200</v>
      </c>
      <c r="J2609" s="1">
        <v>-4448800</v>
      </c>
      <c r="K2609">
        <v>839</v>
      </c>
      <c r="L2609">
        <v>410</v>
      </c>
      <c r="M2609" t="s">
        <v>16</v>
      </c>
    </row>
    <row r="2610" spans="1:13" x14ac:dyDescent="0.35">
      <c r="A2610">
        <v>313230</v>
      </c>
      <c r="B2610">
        <v>22721</v>
      </c>
      <c r="C2610" t="s">
        <v>2786</v>
      </c>
      <c r="D2610" t="s">
        <v>2376</v>
      </c>
      <c r="E2610" t="s">
        <v>2463</v>
      </c>
      <c r="F2610">
        <v>11497</v>
      </c>
      <c r="G2610">
        <v>1</v>
      </c>
      <c r="H2610" t="s">
        <v>16</v>
      </c>
      <c r="I2610" s="1">
        <v>-1740200</v>
      </c>
      <c r="J2610" s="1">
        <v>-4166900</v>
      </c>
      <c r="K2610">
        <v>847</v>
      </c>
      <c r="L2610">
        <v>480</v>
      </c>
      <c r="M2610" t="s">
        <v>16</v>
      </c>
    </row>
    <row r="2611" spans="1:13" x14ac:dyDescent="0.35">
      <c r="A2611">
        <v>313240</v>
      </c>
      <c r="B2611">
        <v>22730</v>
      </c>
      <c r="C2611" t="s">
        <v>2787</v>
      </c>
      <c r="D2611" t="s">
        <v>2376</v>
      </c>
      <c r="E2611" t="s">
        <v>2518</v>
      </c>
      <c r="F2611">
        <v>86673</v>
      </c>
      <c r="G2611">
        <v>2</v>
      </c>
      <c r="H2611" t="s">
        <v>16</v>
      </c>
      <c r="I2611" s="1">
        <v>-2242600</v>
      </c>
      <c r="J2611" s="1">
        <v>-4545300</v>
      </c>
      <c r="K2611">
        <v>856</v>
      </c>
      <c r="L2611">
        <v>290</v>
      </c>
      <c r="M2611" t="s">
        <v>16</v>
      </c>
    </row>
    <row r="2612" spans="1:13" x14ac:dyDescent="0.35">
      <c r="A2612">
        <v>313250</v>
      </c>
      <c r="B2612">
        <v>22748</v>
      </c>
      <c r="C2612" t="s">
        <v>2788</v>
      </c>
      <c r="D2612" t="s">
        <v>2376</v>
      </c>
      <c r="E2612" t="s">
        <v>2429</v>
      </c>
      <c r="F2612">
        <v>31883</v>
      </c>
      <c r="G2612">
        <v>1</v>
      </c>
      <c r="H2612" t="s">
        <v>16</v>
      </c>
      <c r="I2612" s="1">
        <v>-1785700</v>
      </c>
      <c r="J2612" s="1">
        <v>-4285900</v>
      </c>
      <c r="K2612">
        <v>910</v>
      </c>
      <c r="L2612">
        <v>2736</v>
      </c>
      <c r="M2612" t="s">
        <v>16</v>
      </c>
    </row>
    <row r="2613" spans="1:13" x14ac:dyDescent="0.35">
      <c r="A2613">
        <v>313260</v>
      </c>
      <c r="B2613">
        <v>22756</v>
      </c>
      <c r="C2613" t="s">
        <v>2789</v>
      </c>
      <c r="D2613" t="s">
        <v>2376</v>
      </c>
      <c r="E2613" t="s">
        <v>2406</v>
      </c>
      <c r="F2613">
        <v>4035</v>
      </c>
      <c r="G2613">
        <v>1</v>
      </c>
      <c r="H2613" t="s">
        <v>16</v>
      </c>
      <c r="I2613" s="1">
        <v>-2141600</v>
      </c>
      <c r="J2613" s="1">
        <v>-4281800</v>
      </c>
      <c r="K2613">
        <v>213</v>
      </c>
      <c r="L2613">
        <v>118</v>
      </c>
      <c r="M2613" t="s">
        <v>16</v>
      </c>
    </row>
    <row r="2614" spans="1:13" x14ac:dyDescent="0.35">
      <c r="A2614">
        <v>313270</v>
      </c>
      <c r="B2614">
        <v>22764</v>
      </c>
      <c r="C2614" t="s">
        <v>2790</v>
      </c>
      <c r="D2614" t="s">
        <v>2376</v>
      </c>
      <c r="E2614" t="s">
        <v>2412</v>
      </c>
      <c r="F2614">
        <v>22635</v>
      </c>
      <c r="G2614">
        <v>1</v>
      </c>
      <c r="H2614" t="s">
        <v>16</v>
      </c>
      <c r="I2614" s="1">
        <v>-1803100</v>
      </c>
      <c r="J2614" s="1">
        <v>-4168500</v>
      </c>
      <c r="K2614">
        <v>356</v>
      </c>
      <c r="L2614">
        <v>1418</v>
      </c>
      <c r="M2614" t="s">
        <v>16</v>
      </c>
    </row>
    <row r="2615" spans="1:13" x14ac:dyDescent="0.35">
      <c r="A2615">
        <v>313280</v>
      </c>
      <c r="B2615">
        <v>22772</v>
      </c>
      <c r="C2615" t="s">
        <v>2791</v>
      </c>
      <c r="D2615" t="s">
        <v>2376</v>
      </c>
      <c r="E2615" t="s">
        <v>2422</v>
      </c>
      <c r="F2615">
        <v>2434</v>
      </c>
      <c r="G2615">
        <v>1</v>
      </c>
      <c r="H2615" t="s">
        <v>16</v>
      </c>
      <c r="I2615" s="1">
        <v>-1941400</v>
      </c>
      <c r="J2615" s="1">
        <v>-4332100</v>
      </c>
      <c r="K2615">
        <v>689</v>
      </c>
      <c r="L2615">
        <v>381</v>
      </c>
      <c r="M2615" t="s">
        <v>16</v>
      </c>
    </row>
    <row r="2616" spans="1:13" x14ac:dyDescent="0.35">
      <c r="A2616">
        <v>313290</v>
      </c>
      <c r="B2616">
        <v>22780</v>
      </c>
      <c r="C2616" t="s">
        <v>2792</v>
      </c>
      <c r="D2616" t="s">
        <v>2376</v>
      </c>
      <c r="E2616" t="s">
        <v>2452</v>
      </c>
      <c r="F2616">
        <v>10828</v>
      </c>
      <c r="G2616">
        <v>1</v>
      </c>
      <c r="H2616" t="s">
        <v>16</v>
      </c>
      <c r="I2616" s="1">
        <v>-2107800</v>
      </c>
      <c r="J2616" s="1">
        <v>-4704800</v>
      </c>
      <c r="K2616">
        <v>1017</v>
      </c>
      <c r="L2616">
        <v>236</v>
      </c>
      <c r="M2616" t="s">
        <v>16</v>
      </c>
    </row>
    <row r="2617" spans="1:13" x14ac:dyDescent="0.35">
      <c r="A2617">
        <v>313300</v>
      </c>
      <c r="B2617">
        <v>22799</v>
      </c>
      <c r="C2617" t="s">
        <v>2793</v>
      </c>
      <c r="D2617" t="s">
        <v>2376</v>
      </c>
      <c r="E2617" t="s">
        <v>2402</v>
      </c>
      <c r="F2617">
        <v>13756</v>
      </c>
      <c r="G2617">
        <v>1</v>
      </c>
      <c r="H2617" t="s">
        <v>16</v>
      </c>
      <c r="I2617" s="1">
        <v>-2228400</v>
      </c>
      <c r="J2617" s="1">
        <v>-4487000</v>
      </c>
      <c r="K2617">
        <v>906</v>
      </c>
      <c r="L2617">
        <v>430</v>
      </c>
      <c r="M2617" t="s">
        <v>16</v>
      </c>
    </row>
    <row r="2618" spans="1:13" x14ac:dyDescent="0.35">
      <c r="A2618">
        <v>313310</v>
      </c>
      <c r="B2618">
        <v>22802</v>
      </c>
      <c r="C2618" t="s">
        <v>2794</v>
      </c>
      <c r="D2618" t="s">
        <v>2376</v>
      </c>
      <c r="E2618" t="s">
        <v>2402</v>
      </c>
      <c r="F2618">
        <v>14395</v>
      </c>
      <c r="G2618">
        <v>1</v>
      </c>
      <c r="H2618" t="s">
        <v>16</v>
      </c>
      <c r="I2618" s="1">
        <v>-2229600</v>
      </c>
      <c r="J2618" s="1">
        <v>-4493500</v>
      </c>
      <c r="K2618">
        <v>892</v>
      </c>
      <c r="L2618">
        <v>143</v>
      </c>
      <c r="M2618" t="s">
        <v>16</v>
      </c>
    </row>
    <row r="2619" spans="1:13" x14ac:dyDescent="0.35">
      <c r="A2619">
        <v>313320</v>
      </c>
      <c r="B2619">
        <v>22810</v>
      </c>
      <c r="C2619" t="s">
        <v>2795</v>
      </c>
      <c r="D2619" t="s">
        <v>2376</v>
      </c>
      <c r="E2619" t="s">
        <v>2412</v>
      </c>
      <c r="F2619">
        <v>11880</v>
      </c>
      <c r="G2619">
        <v>1</v>
      </c>
      <c r="H2619" t="s">
        <v>16</v>
      </c>
      <c r="I2619" s="1">
        <v>-1917200</v>
      </c>
      <c r="J2619" s="1">
        <v>-4186500</v>
      </c>
      <c r="K2619">
        <v>252</v>
      </c>
      <c r="L2619">
        <v>488</v>
      </c>
      <c r="M2619" t="s">
        <v>16</v>
      </c>
    </row>
    <row r="2620" spans="1:13" x14ac:dyDescent="0.35">
      <c r="A2620">
        <v>313330</v>
      </c>
      <c r="B2620">
        <v>22829</v>
      </c>
      <c r="C2620" t="s">
        <v>2796</v>
      </c>
      <c r="D2620" t="s">
        <v>2376</v>
      </c>
      <c r="E2620" t="s">
        <v>2426</v>
      </c>
      <c r="F2620">
        <v>20986</v>
      </c>
      <c r="G2620">
        <v>1</v>
      </c>
      <c r="H2620" t="s">
        <v>16</v>
      </c>
      <c r="I2620" s="1">
        <v>-1656200</v>
      </c>
      <c r="J2620" s="1">
        <v>-4150300</v>
      </c>
      <c r="K2620">
        <v>271</v>
      </c>
      <c r="L2620">
        <v>679</v>
      </c>
      <c r="M2620" t="s">
        <v>16</v>
      </c>
    </row>
    <row r="2621" spans="1:13" x14ac:dyDescent="0.35">
      <c r="A2621">
        <v>313340</v>
      </c>
      <c r="B2621">
        <v>22837</v>
      </c>
      <c r="C2621" t="s">
        <v>2797</v>
      </c>
      <c r="D2621" t="s">
        <v>2376</v>
      </c>
      <c r="E2621" t="s">
        <v>2545</v>
      </c>
      <c r="F2621">
        <v>14019</v>
      </c>
      <c r="G2621">
        <v>1</v>
      </c>
      <c r="H2621" t="s">
        <v>16</v>
      </c>
      <c r="I2621" s="1">
        <v>-1990900</v>
      </c>
      <c r="J2621" s="1">
        <v>-4938100</v>
      </c>
      <c r="K2621">
        <v>490</v>
      </c>
      <c r="L2621">
        <v>1795</v>
      </c>
      <c r="M2621" t="s">
        <v>16</v>
      </c>
    </row>
    <row r="2622" spans="1:13" x14ac:dyDescent="0.35">
      <c r="A2622">
        <v>313350</v>
      </c>
      <c r="B2622">
        <v>22845</v>
      </c>
      <c r="C2622" t="s">
        <v>2798</v>
      </c>
      <c r="D2622" t="s">
        <v>2376</v>
      </c>
      <c r="E2622" t="s">
        <v>2454</v>
      </c>
      <c r="F2622">
        <v>20653</v>
      </c>
      <c r="G2622">
        <v>1</v>
      </c>
      <c r="H2622" t="s">
        <v>16</v>
      </c>
      <c r="I2622" s="1">
        <v>-2047300</v>
      </c>
      <c r="J2622" s="1">
        <v>-4512600</v>
      </c>
      <c r="K2622">
        <v>835</v>
      </c>
      <c r="L2622">
        <v>1042</v>
      </c>
      <c r="M2622" t="s">
        <v>16</v>
      </c>
    </row>
    <row r="2623" spans="1:13" x14ac:dyDescent="0.35">
      <c r="A2623">
        <v>313360</v>
      </c>
      <c r="B2623">
        <v>22853</v>
      </c>
      <c r="C2623" t="s">
        <v>2799</v>
      </c>
      <c r="D2623" t="s">
        <v>2376</v>
      </c>
      <c r="E2623" t="s">
        <v>2501</v>
      </c>
      <c r="F2623">
        <v>7722</v>
      </c>
      <c r="G2623">
        <v>1</v>
      </c>
      <c r="H2623" t="s">
        <v>16</v>
      </c>
      <c r="I2623" s="1">
        <v>-2276800</v>
      </c>
      <c r="J2623" s="1">
        <v>-4622100</v>
      </c>
      <c r="K2623">
        <v>989</v>
      </c>
      <c r="L2623">
        <v>177</v>
      </c>
      <c r="M2623" t="s">
        <v>16</v>
      </c>
    </row>
    <row r="2624" spans="1:13" x14ac:dyDescent="0.35">
      <c r="A2624">
        <v>313370</v>
      </c>
      <c r="B2624">
        <v>22861</v>
      </c>
      <c r="C2624" t="s">
        <v>2800</v>
      </c>
      <c r="D2624" t="s">
        <v>2376</v>
      </c>
      <c r="E2624" t="s">
        <v>2482</v>
      </c>
      <c r="F2624">
        <v>8953</v>
      </c>
      <c r="G2624">
        <v>4</v>
      </c>
      <c r="H2624" t="s">
        <v>2468</v>
      </c>
      <c r="I2624" s="1">
        <v>-2019700</v>
      </c>
      <c r="J2624" s="1">
        <v>-4442100</v>
      </c>
      <c r="K2624">
        <v>892</v>
      </c>
      <c r="L2624">
        <v>295</v>
      </c>
      <c r="M2624" t="s">
        <v>16</v>
      </c>
    </row>
    <row r="2625" spans="1:13" x14ac:dyDescent="0.35">
      <c r="A2625">
        <v>313375</v>
      </c>
      <c r="B2625">
        <v>45748</v>
      </c>
      <c r="C2625" t="s">
        <v>2801</v>
      </c>
      <c r="D2625" t="s">
        <v>2376</v>
      </c>
      <c r="E2625" t="s">
        <v>2414</v>
      </c>
      <c r="F2625">
        <v>14551</v>
      </c>
      <c r="G2625">
        <v>1</v>
      </c>
      <c r="H2625" t="s">
        <v>16</v>
      </c>
      <c r="I2625" s="1">
        <v>-2073900</v>
      </c>
      <c r="J2625" s="1">
        <v>-4675200</v>
      </c>
      <c r="K2625">
        <v>735</v>
      </c>
      <c r="L2625">
        <v>154</v>
      </c>
      <c r="M2625" t="s">
        <v>16</v>
      </c>
    </row>
    <row r="2626" spans="1:13" x14ac:dyDescent="0.35">
      <c r="A2626">
        <v>313380</v>
      </c>
      <c r="B2626">
        <v>22870</v>
      </c>
      <c r="C2626" t="s">
        <v>2802</v>
      </c>
      <c r="D2626" t="s">
        <v>2376</v>
      </c>
      <c r="E2626" t="s">
        <v>2575</v>
      </c>
      <c r="F2626">
        <v>81833</v>
      </c>
      <c r="G2626">
        <v>4</v>
      </c>
      <c r="H2626" t="s">
        <v>2468</v>
      </c>
      <c r="I2626" s="1">
        <v>-2007500</v>
      </c>
      <c r="J2626" s="1">
        <v>-4457600</v>
      </c>
      <c r="K2626">
        <v>880</v>
      </c>
      <c r="L2626">
        <v>495</v>
      </c>
      <c r="M2626" t="s">
        <v>16</v>
      </c>
    </row>
    <row r="2627" spans="1:13" x14ac:dyDescent="0.35">
      <c r="A2627">
        <v>313390</v>
      </c>
      <c r="B2627">
        <v>22888</v>
      </c>
      <c r="C2627" t="s">
        <v>2803</v>
      </c>
      <c r="D2627" t="s">
        <v>2376</v>
      </c>
      <c r="E2627" t="s">
        <v>2585</v>
      </c>
      <c r="F2627">
        <v>5724</v>
      </c>
      <c r="G2627">
        <v>1</v>
      </c>
      <c r="H2627" t="s">
        <v>16</v>
      </c>
      <c r="I2627" s="1">
        <v>-2067800</v>
      </c>
      <c r="J2627" s="1">
        <v>-4361000</v>
      </c>
      <c r="K2627">
        <v>792</v>
      </c>
      <c r="L2627">
        <v>282</v>
      </c>
      <c r="M2627" t="s">
        <v>16</v>
      </c>
    </row>
    <row r="2628" spans="1:13" x14ac:dyDescent="0.35">
      <c r="A2628">
        <v>313400</v>
      </c>
      <c r="B2628">
        <v>22896</v>
      </c>
      <c r="C2628" t="s">
        <v>2804</v>
      </c>
      <c r="D2628" t="s">
        <v>2376</v>
      </c>
      <c r="E2628" t="s">
        <v>2439</v>
      </c>
      <c r="F2628">
        <v>14587</v>
      </c>
      <c r="G2628">
        <v>1</v>
      </c>
      <c r="H2628" t="s">
        <v>16</v>
      </c>
      <c r="I2628" s="1">
        <v>-1661300</v>
      </c>
      <c r="J2628" s="1">
        <v>-4176500</v>
      </c>
      <c r="K2628">
        <v>269</v>
      </c>
      <c r="L2628">
        <v>1640</v>
      </c>
      <c r="M2628" t="s">
        <v>16</v>
      </c>
    </row>
    <row r="2629" spans="1:13" x14ac:dyDescent="0.35">
      <c r="A2629">
        <v>313410</v>
      </c>
      <c r="B2629">
        <v>22900</v>
      </c>
      <c r="C2629" t="s">
        <v>2805</v>
      </c>
      <c r="D2629" t="s">
        <v>2376</v>
      </c>
      <c r="E2629" t="s">
        <v>2398</v>
      </c>
      <c r="F2629">
        <v>5830</v>
      </c>
      <c r="G2629">
        <v>1</v>
      </c>
      <c r="H2629" t="s">
        <v>16</v>
      </c>
      <c r="I2629" s="1">
        <v>-1939400</v>
      </c>
      <c r="J2629" s="1">
        <v>-4117000</v>
      </c>
      <c r="K2629">
        <v>98</v>
      </c>
      <c r="L2629">
        <v>454</v>
      </c>
      <c r="M2629" t="s">
        <v>16</v>
      </c>
    </row>
    <row r="2630" spans="1:13" x14ac:dyDescent="0.35">
      <c r="A2630">
        <v>313420</v>
      </c>
      <c r="B2630">
        <v>22918</v>
      </c>
      <c r="C2630" t="s">
        <v>2532</v>
      </c>
      <c r="D2630" t="s">
        <v>2376</v>
      </c>
      <c r="E2630" t="s">
        <v>2532</v>
      </c>
      <c r="F2630">
        <v>92727</v>
      </c>
      <c r="G2630">
        <v>2</v>
      </c>
      <c r="H2630" t="s">
        <v>16</v>
      </c>
      <c r="I2630" s="1">
        <v>-1896900</v>
      </c>
      <c r="J2630" s="1">
        <v>-4946500</v>
      </c>
      <c r="K2630">
        <v>544</v>
      </c>
      <c r="L2630">
        <v>2587</v>
      </c>
      <c r="M2630" t="s">
        <v>16</v>
      </c>
    </row>
    <row r="2631" spans="1:13" x14ac:dyDescent="0.35">
      <c r="A2631">
        <v>313430</v>
      </c>
      <c r="B2631">
        <v>22926</v>
      </c>
      <c r="C2631" t="s">
        <v>2806</v>
      </c>
      <c r="D2631" t="s">
        <v>2376</v>
      </c>
      <c r="E2631" t="s">
        <v>2581</v>
      </c>
      <c r="F2631">
        <v>6439</v>
      </c>
      <c r="G2631">
        <v>1</v>
      </c>
      <c r="H2631" t="s">
        <v>16</v>
      </c>
      <c r="I2631" s="1">
        <v>-2131700</v>
      </c>
      <c r="J2631" s="1">
        <v>-4487100</v>
      </c>
      <c r="K2631">
        <v>871</v>
      </c>
      <c r="L2631">
        <v>234</v>
      </c>
      <c r="M2631" t="s">
        <v>16</v>
      </c>
    </row>
    <row r="2632" spans="1:13" x14ac:dyDescent="0.35">
      <c r="A2632">
        <v>313440</v>
      </c>
      <c r="B2632">
        <v>22934</v>
      </c>
      <c r="C2632" t="s">
        <v>2807</v>
      </c>
      <c r="D2632" t="s">
        <v>2376</v>
      </c>
      <c r="E2632" t="s">
        <v>2545</v>
      </c>
      <c r="F2632">
        <v>31495</v>
      </c>
      <c r="G2632">
        <v>1</v>
      </c>
      <c r="H2632" t="s">
        <v>16</v>
      </c>
      <c r="I2632" s="1">
        <v>-1972800</v>
      </c>
      <c r="J2632" s="1">
        <v>-5019600</v>
      </c>
      <c r="K2632">
        <v>453</v>
      </c>
      <c r="L2632">
        <v>1401</v>
      </c>
      <c r="M2632" t="s">
        <v>16</v>
      </c>
    </row>
    <row r="2633" spans="1:13" x14ac:dyDescent="0.35">
      <c r="A2633">
        <v>313450</v>
      </c>
      <c r="B2633">
        <v>22942</v>
      </c>
      <c r="C2633" t="s">
        <v>2808</v>
      </c>
      <c r="D2633" t="s">
        <v>2376</v>
      </c>
      <c r="E2633" t="s">
        <v>2581</v>
      </c>
      <c r="F2633">
        <v>4051</v>
      </c>
      <c r="G2633">
        <v>1</v>
      </c>
      <c r="H2633" t="s">
        <v>16</v>
      </c>
      <c r="I2633" s="1">
        <v>-2129800</v>
      </c>
      <c r="J2633" s="1">
        <v>-4465800</v>
      </c>
      <c r="K2633">
        <v>958</v>
      </c>
      <c r="L2633">
        <v>372</v>
      </c>
      <c r="M2633" t="s">
        <v>16</v>
      </c>
    </row>
    <row r="2634" spans="1:13" x14ac:dyDescent="0.35">
      <c r="A2634">
        <v>313460</v>
      </c>
      <c r="B2634">
        <v>22950</v>
      </c>
      <c r="C2634" t="s">
        <v>2809</v>
      </c>
      <c r="D2634" t="s">
        <v>2376</v>
      </c>
      <c r="E2634" t="s">
        <v>2435</v>
      </c>
      <c r="F2634">
        <v>15496</v>
      </c>
      <c r="G2634">
        <v>4</v>
      </c>
      <c r="H2634" t="s">
        <v>2468</v>
      </c>
      <c r="I2634" s="1">
        <v>-1951400</v>
      </c>
      <c r="J2634" s="1">
        <v>-4374500</v>
      </c>
      <c r="K2634">
        <v>772</v>
      </c>
      <c r="L2634">
        <v>1113</v>
      </c>
      <c r="M2634" t="s">
        <v>16</v>
      </c>
    </row>
    <row r="2635" spans="1:13" x14ac:dyDescent="0.35">
      <c r="A2635">
        <v>313470</v>
      </c>
      <c r="B2635">
        <v>22969</v>
      </c>
      <c r="C2635" t="s">
        <v>2810</v>
      </c>
      <c r="D2635" t="s">
        <v>2376</v>
      </c>
      <c r="E2635" t="s">
        <v>2410</v>
      </c>
      <c r="F2635">
        <v>12422</v>
      </c>
      <c r="G2635">
        <v>1</v>
      </c>
      <c r="H2635" t="s">
        <v>16</v>
      </c>
      <c r="I2635" s="1">
        <v>-1614400</v>
      </c>
      <c r="J2635" s="1">
        <v>-4029300</v>
      </c>
      <c r="K2635">
        <v>180</v>
      </c>
      <c r="L2635">
        <v>1390</v>
      </c>
      <c r="M2635" t="s">
        <v>16</v>
      </c>
    </row>
    <row r="2636" spans="1:13" x14ac:dyDescent="0.35">
      <c r="A2636">
        <v>313480</v>
      </c>
      <c r="B2636">
        <v>22977</v>
      </c>
      <c r="C2636" t="s">
        <v>2811</v>
      </c>
      <c r="D2636" t="s">
        <v>2376</v>
      </c>
      <c r="E2636" t="s">
        <v>2452</v>
      </c>
      <c r="F2636">
        <v>7225</v>
      </c>
      <c r="G2636">
        <v>1</v>
      </c>
      <c r="H2636" t="s">
        <v>16</v>
      </c>
      <c r="I2636" s="1">
        <v>-2101700</v>
      </c>
      <c r="J2636" s="1">
        <v>-4674100</v>
      </c>
      <c r="K2636">
        <v>1011</v>
      </c>
      <c r="L2636">
        <v>409</v>
      </c>
      <c r="M2636" t="s">
        <v>16</v>
      </c>
    </row>
    <row r="2637" spans="1:13" x14ac:dyDescent="0.35">
      <c r="A2637">
        <v>313490</v>
      </c>
      <c r="B2637">
        <v>22985</v>
      </c>
      <c r="C2637" t="s">
        <v>2812</v>
      </c>
      <c r="D2637" t="s">
        <v>2376</v>
      </c>
      <c r="E2637" t="s">
        <v>2404</v>
      </c>
      <c r="F2637">
        <v>20389</v>
      </c>
      <c r="G2637">
        <v>1</v>
      </c>
      <c r="H2637" t="s">
        <v>16</v>
      </c>
      <c r="I2637" s="1">
        <v>-2228600</v>
      </c>
      <c r="J2637" s="1">
        <v>-4661200</v>
      </c>
      <c r="K2637">
        <v>839</v>
      </c>
      <c r="L2637">
        <v>347</v>
      </c>
      <c r="M2637" t="s">
        <v>16</v>
      </c>
    </row>
    <row r="2638" spans="1:13" x14ac:dyDescent="0.35">
      <c r="A2638">
        <v>313500</v>
      </c>
      <c r="B2638">
        <v>22993</v>
      </c>
      <c r="C2638" t="s">
        <v>2813</v>
      </c>
      <c r="D2638" t="s">
        <v>2376</v>
      </c>
      <c r="E2638" t="s">
        <v>2385</v>
      </c>
      <c r="F2638">
        <v>2782</v>
      </c>
      <c r="G2638">
        <v>4</v>
      </c>
      <c r="H2638" t="s">
        <v>2386</v>
      </c>
      <c r="I2638" s="1">
        <v>-1964900</v>
      </c>
      <c r="J2638" s="1">
        <v>-4275000</v>
      </c>
      <c r="K2638">
        <v>497</v>
      </c>
      <c r="L2638">
        <v>161</v>
      </c>
      <c r="M2638" t="s">
        <v>16</v>
      </c>
    </row>
    <row r="2639" spans="1:13" x14ac:dyDescent="0.35">
      <c r="A2639">
        <v>313505</v>
      </c>
      <c r="B2639">
        <v>50652</v>
      </c>
      <c r="C2639" t="s">
        <v>2814</v>
      </c>
      <c r="D2639" t="s">
        <v>2376</v>
      </c>
      <c r="E2639" t="s">
        <v>2594</v>
      </c>
      <c r="F2639">
        <v>30386</v>
      </c>
      <c r="G2639">
        <v>1</v>
      </c>
      <c r="H2639" t="s">
        <v>16</v>
      </c>
      <c r="I2639" s="1">
        <v>-1533800</v>
      </c>
      <c r="J2639" s="1">
        <v>-4367400</v>
      </c>
      <c r="K2639">
        <v>0</v>
      </c>
      <c r="L2639">
        <v>2740</v>
      </c>
      <c r="M2639" t="s">
        <v>16</v>
      </c>
    </row>
    <row r="2640" spans="1:13" x14ac:dyDescent="0.35">
      <c r="A2640">
        <v>313507</v>
      </c>
      <c r="B2640">
        <v>50660</v>
      </c>
      <c r="C2640" t="s">
        <v>2815</v>
      </c>
      <c r="D2640" t="s">
        <v>2376</v>
      </c>
      <c r="E2640" t="s">
        <v>2412</v>
      </c>
      <c r="F2640">
        <v>4926</v>
      </c>
      <c r="G2640">
        <v>1</v>
      </c>
      <c r="H2640" t="s">
        <v>16</v>
      </c>
      <c r="I2640" s="1">
        <v>-1846300</v>
      </c>
      <c r="J2640" s="1">
        <v>-4180400</v>
      </c>
      <c r="K2640">
        <v>200</v>
      </c>
      <c r="L2640">
        <v>520</v>
      </c>
      <c r="M2640" t="s">
        <v>16</v>
      </c>
    </row>
    <row r="2641" spans="1:13" x14ac:dyDescent="0.35">
      <c r="A2641">
        <v>313510</v>
      </c>
      <c r="B2641">
        <v>23000</v>
      </c>
      <c r="C2641" t="s">
        <v>2816</v>
      </c>
      <c r="D2641" t="s">
        <v>2376</v>
      </c>
      <c r="E2641" t="s">
        <v>2594</v>
      </c>
      <c r="F2641">
        <v>65387</v>
      </c>
      <c r="G2641">
        <v>2</v>
      </c>
      <c r="H2641" t="s">
        <v>16</v>
      </c>
      <c r="I2641" s="1">
        <v>-1580300</v>
      </c>
      <c r="J2641" s="1">
        <v>-4330900</v>
      </c>
      <c r="K2641">
        <v>533</v>
      </c>
      <c r="L2641">
        <v>2188</v>
      </c>
      <c r="M2641" t="s">
        <v>16</v>
      </c>
    </row>
    <row r="2642" spans="1:13" x14ac:dyDescent="0.35">
      <c r="A2642">
        <v>313520</v>
      </c>
      <c r="B2642">
        <v>23019</v>
      </c>
      <c r="C2642" t="s">
        <v>2817</v>
      </c>
      <c r="D2642" t="s">
        <v>2376</v>
      </c>
      <c r="E2642" t="s">
        <v>2505</v>
      </c>
      <c r="F2642">
        <v>64985</v>
      </c>
      <c r="G2642">
        <v>2</v>
      </c>
      <c r="H2642" t="s">
        <v>16</v>
      </c>
      <c r="I2642" s="1">
        <v>-1548800</v>
      </c>
      <c r="J2642" s="1">
        <v>-4436200</v>
      </c>
      <c r="K2642">
        <v>554</v>
      </c>
      <c r="L2642">
        <v>6691</v>
      </c>
      <c r="M2642" t="s">
        <v>16</v>
      </c>
    </row>
    <row r="2643" spans="1:13" x14ac:dyDescent="0.35">
      <c r="A2643">
        <v>313530</v>
      </c>
      <c r="B2643">
        <v>23027</v>
      </c>
      <c r="C2643" t="s">
        <v>2818</v>
      </c>
      <c r="D2643" t="s">
        <v>2376</v>
      </c>
      <c r="E2643" t="s">
        <v>2448</v>
      </c>
      <c r="F2643">
        <v>3688</v>
      </c>
      <c r="G2643">
        <v>1</v>
      </c>
      <c r="H2643" t="s">
        <v>16</v>
      </c>
      <c r="I2643" s="1">
        <v>-2014100</v>
      </c>
      <c r="J2643" s="1">
        <v>-4550300</v>
      </c>
      <c r="K2643">
        <v>711</v>
      </c>
      <c r="L2643">
        <v>172</v>
      </c>
      <c r="M2643" t="s">
        <v>16</v>
      </c>
    </row>
    <row r="2644" spans="1:13" x14ac:dyDescent="0.35">
      <c r="A2644">
        <v>313535</v>
      </c>
      <c r="B2644">
        <v>55492</v>
      </c>
      <c r="C2644" t="s">
        <v>2819</v>
      </c>
      <c r="D2644" t="s">
        <v>2376</v>
      </c>
      <c r="E2644" t="s">
        <v>2513</v>
      </c>
      <c r="F2644">
        <v>8232</v>
      </c>
      <c r="G2644">
        <v>1</v>
      </c>
      <c r="H2644" t="s">
        <v>16</v>
      </c>
      <c r="I2644" s="1">
        <v>-1599500</v>
      </c>
      <c r="J2644" s="1">
        <v>-4427000</v>
      </c>
      <c r="K2644">
        <v>700</v>
      </c>
      <c r="L2644">
        <v>376</v>
      </c>
      <c r="M2644" t="s">
        <v>16</v>
      </c>
    </row>
    <row r="2645" spans="1:13" x14ac:dyDescent="0.35">
      <c r="A2645">
        <v>313540</v>
      </c>
      <c r="B2645">
        <v>23035</v>
      </c>
      <c r="C2645" t="s">
        <v>2820</v>
      </c>
      <c r="D2645" t="s">
        <v>2376</v>
      </c>
      <c r="E2645" t="s">
        <v>2482</v>
      </c>
      <c r="F2645">
        <v>5892</v>
      </c>
      <c r="G2645">
        <v>1</v>
      </c>
      <c r="H2645" t="s">
        <v>16</v>
      </c>
      <c r="I2645" s="1">
        <v>-2053500</v>
      </c>
      <c r="J2645" s="1">
        <v>-4398300</v>
      </c>
      <c r="K2645">
        <v>850</v>
      </c>
      <c r="L2645">
        <v>235</v>
      </c>
      <c r="M2645" t="s">
        <v>16</v>
      </c>
    </row>
    <row r="2646" spans="1:13" x14ac:dyDescent="0.35">
      <c r="A2646">
        <v>313545</v>
      </c>
      <c r="B2646">
        <v>55506</v>
      </c>
      <c r="C2646" t="s">
        <v>2821</v>
      </c>
      <c r="D2646" t="s">
        <v>2376</v>
      </c>
      <c r="E2646" t="s">
        <v>2429</v>
      </c>
      <c r="F2646">
        <v>6905</v>
      </c>
      <c r="G2646">
        <v>1</v>
      </c>
      <c r="H2646" t="s">
        <v>16</v>
      </c>
      <c r="I2646" s="1">
        <v>-1708300</v>
      </c>
      <c r="J2646" s="1">
        <v>-4225800</v>
      </c>
      <c r="K2646">
        <v>521</v>
      </c>
      <c r="L2646">
        <v>284</v>
      </c>
      <c r="M2646" t="s">
        <v>16</v>
      </c>
    </row>
    <row r="2647" spans="1:13" x14ac:dyDescent="0.35">
      <c r="A2647">
        <v>313550</v>
      </c>
      <c r="B2647">
        <v>23043</v>
      </c>
      <c r="C2647" t="s">
        <v>2822</v>
      </c>
      <c r="D2647" t="s">
        <v>2376</v>
      </c>
      <c r="E2647" t="s">
        <v>2383</v>
      </c>
      <c r="F2647">
        <v>12965</v>
      </c>
      <c r="G2647">
        <v>1</v>
      </c>
      <c r="H2647" t="s">
        <v>16</v>
      </c>
      <c r="I2647" s="1">
        <v>-2045600</v>
      </c>
      <c r="J2647" s="1">
        <v>-4266600</v>
      </c>
      <c r="K2647">
        <v>412</v>
      </c>
      <c r="L2647">
        <v>547</v>
      </c>
      <c r="M2647" t="s">
        <v>16</v>
      </c>
    </row>
    <row r="2648" spans="1:13" x14ac:dyDescent="0.35">
      <c r="A2648">
        <v>313560</v>
      </c>
      <c r="B2648">
        <v>23051</v>
      </c>
      <c r="C2648" t="s">
        <v>2823</v>
      </c>
      <c r="D2648" t="s">
        <v>2376</v>
      </c>
      <c r="E2648" t="s">
        <v>2525</v>
      </c>
      <c r="F2648">
        <v>8029</v>
      </c>
      <c r="G2648">
        <v>1</v>
      </c>
      <c r="H2648" t="s">
        <v>16</v>
      </c>
      <c r="I2648" s="1">
        <v>-1723600</v>
      </c>
      <c r="J2648" s="1">
        <v>-4444600</v>
      </c>
      <c r="K2648">
        <v>517</v>
      </c>
      <c r="L2648">
        <v>1268</v>
      </c>
      <c r="M2648" t="s">
        <v>16</v>
      </c>
    </row>
    <row r="2649" spans="1:13" x14ac:dyDescent="0.35">
      <c r="A2649">
        <v>313570</v>
      </c>
      <c r="B2649">
        <v>23060</v>
      </c>
      <c r="C2649" t="s">
        <v>2824</v>
      </c>
      <c r="D2649" t="s">
        <v>2376</v>
      </c>
      <c r="E2649" t="s">
        <v>2435</v>
      </c>
      <c r="F2649">
        <v>5491</v>
      </c>
      <c r="G2649">
        <v>1</v>
      </c>
      <c r="H2649" t="s">
        <v>16</v>
      </c>
      <c r="I2649" s="1">
        <v>-1923600</v>
      </c>
      <c r="J2649" s="1">
        <v>-4402800</v>
      </c>
      <c r="K2649">
        <v>642</v>
      </c>
      <c r="L2649">
        <v>446</v>
      </c>
      <c r="M2649" t="s">
        <v>16</v>
      </c>
    </row>
    <row r="2650" spans="1:13" x14ac:dyDescent="0.35">
      <c r="A2650">
        <v>313580</v>
      </c>
      <c r="B2650">
        <v>23078</v>
      </c>
      <c r="C2650" t="s">
        <v>2825</v>
      </c>
      <c r="D2650" t="s">
        <v>2376</v>
      </c>
      <c r="E2650" t="s">
        <v>2410</v>
      </c>
      <c r="F2650">
        <v>23982</v>
      </c>
      <c r="G2650">
        <v>1</v>
      </c>
      <c r="H2650" t="s">
        <v>16</v>
      </c>
      <c r="I2650" s="1">
        <v>-1643400</v>
      </c>
      <c r="J2650" s="1">
        <v>-4100300</v>
      </c>
      <c r="K2650">
        <v>223</v>
      </c>
      <c r="L2650">
        <v>3517</v>
      </c>
      <c r="M2650" t="s">
        <v>16</v>
      </c>
    </row>
    <row r="2651" spans="1:13" x14ac:dyDescent="0.35">
      <c r="A2651">
        <v>313590</v>
      </c>
      <c r="B2651">
        <v>23086</v>
      </c>
      <c r="C2651" t="s">
        <v>2826</v>
      </c>
      <c r="D2651" t="s">
        <v>2376</v>
      </c>
      <c r="E2651" t="s">
        <v>2402</v>
      </c>
      <c r="F2651">
        <v>4821</v>
      </c>
      <c r="G2651">
        <v>1</v>
      </c>
      <c r="H2651" t="s">
        <v>16</v>
      </c>
      <c r="I2651" s="1">
        <v>-2199800</v>
      </c>
      <c r="J2651" s="1">
        <v>-4529100</v>
      </c>
      <c r="K2651">
        <v>903</v>
      </c>
      <c r="L2651">
        <v>153</v>
      </c>
      <c r="M2651" t="s">
        <v>16</v>
      </c>
    </row>
    <row r="2652" spans="1:13" x14ac:dyDescent="0.35">
      <c r="A2652">
        <v>313600</v>
      </c>
      <c r="B2652">
        <v>23094</v>
      </c>
      <c r="C2652" t="s">
        <v>2827</v>
      </c>
      <c r="D2652" t="s">
        <v>2376</v>
      </c>
      <c r="E2652" t="s">
        <v>2410</v>
      </c>
      <c r="F2652">
        <v>14881</v>
      </c>
      <c r="G2652">
        <v>1</v>
      </c>
      <c r="H2652" t="s">
        <v>16</v>
      </c>
      <c r="I2652" s="1">
        <v>-1665400</v>
      </c>
      <c r="J2652" s="1">
        <v>-4103100</v>
      </c>
      <c r="K2652">
        <v>293</v>
      </c>
      <c r="L2652">
        <v>1667</v>
      </c>
      <c r="M2652" t="s">
        <v>16</v>
      </c>
    </row>
    <row r="2653" spans="1:13" x14ac:dyDescent="0.35">
      <c r="A2653">
        <v>313610</v>
      </c>
      <c r="B2653">
        <v>23108</v>
      </c>
      <c r="C2653" t="s">
        <v>2828</v>
      </c>
      <c r="D2653" t="s">
        <v>2376</v>
      </c>
      <c r="E2653" t="s">
        <v>2385</v>
      </c>
      <c r="F2653">
        <v>5628</v>
      </c>
      <c r="G2653">
        <v>4</v>
      </c>
      <c r="H2653" t="s">
        <v>2386</v>
      </c>
      <c r="I2653" s="1">
        <v>-1917200</v>
      </c>
      <c r="J2653" s="1">
        <v>-4267900</v>
      </c>
      <c r="K2653">
        <v>430</v>
      </c>
      <c r="L2653">
        <v>233</v>
      </c>
      <c r="M2653" t="s">
        <v>16</v>
      </c>
    </row>
    <row r="2654" spans="1:13" x14ac:dyDescent="0.35">
      <c r="A2654">
        <v>313620</v>
      </c>
      <c r="B2654">
        <v>23116</v>
      </c>
      <c r="C2654" t="s">
        <v>2829</v>
      </c>
      <c r="D2654" t="s">
        <v>2376</v>
      </c>
      <c r="E2654" t="s">
        <v>2420</v>
      </c>
      <c r="F2654">
        <v>71658</v>
      </c>
      <c r="G2654">
        <v>2</v>
      </c>
      <c r="H2654" t="s">
        <v>16</v>
      </c>
      <c r="I2654" s="1">
        <v>-1981000</v>
      </c>
      <c r="J2654" s="1">
        <v>-4317400</v>
      </c>
      <c r="K2654">
        <v>732</v>
      </c>
      <c r="L2654">
        <v>99</v>
      </c>
      <c r="M2654" t="s">
        <v>16</v>
      </c>
    </row>
    <row r="2655" spans="1:13" x14ac:dyDescent="0.35">
      <c r="A2655">
        <v>313630</v>
      </c>
      <c r="B2655">
        <v>23124</v>
      </c>
      <c r="C2655" t="s">
        <v>2830</v>
      </c>
      <c r="D2655" t="s">
        <v>2376</v>
      </c>
      <c r="E2655" t="s">
        <v>2511</v>
      </c>
      <c r="F2655">
        <v>43229</v>
      </c>
      <c r="G2655">
        <v>1</v>
      </c>
      <c r="H2655" t="s">
        <v>16</v>
      </c>
      <c r="I2655" s="1">
        <v>-1774300</v>
      </c>
      <c r="J2655" s="1">
        <v>-4617300</v>
      </c>
      <c r="K2655">
        <v>765</v>
      </c>
      <c r="L2655">
        <v>10716</v>
      </c>
      <c r="M2655" t="s">
        <v>16</v>
      </c>
    </row>
    <row r="2656" spans="1:13" x14ac:dyDescent="0.35">
      <c r="A2656">
        <v>313640</v>
      </c>
      <c r="B2656">
        <v>23132</v>
      </c>
      <c r="C2656" t="s">
        <v>2831</v>
      </c>
      <c r="D2656" t="s">
        <v>2376</v>
      </c>
      <c r="E2656" t="s">
        <v>2465</v>
      </c>
      <c r="F2656">
        <v>3937</v>
      </c>
      <c r="G2656">
        <v>1</v>
      </c>
      <c r="H2656" t="s">
        <v>16</v>
      </c>
      <c r="I2656" s="1">
        <v>-1775800</v>
      </c>
      <c r="J2656" s="1">
        <v>-4417200</v>
      </c>
      <c r="K2656">
        <v>657</v>
      </c>
      <c r="L2656">
        <v>791</v>
      </c>
      <c r="M2656" t="s">
        <v>16</v>
      </c>
    </row>
    <row r="2657" spans="1:13" x14ac:dyDescent="0.35">
      <c r="A2657">
        <v>313650</v>
      </c>
      <c r="B2657">
        <v>23140</v>
      </c>
      <c r="C2657" t="s">
        <v>2832</v>
      </c>
      <c r="D2657" t="s">
        <v>2376</v>
      </c>
      <c r="E2657" t="s">
        <v>2410</v>
      </c>
      <c r="F2657">
        <v>10751</v>
      </c>
      <c r="G2657">
        <v>1</v>
      </c>
      <c r="H2657" t="s">
        <v>16</v>
      </c>
      <c r="I2657" s="1">
        <v>-1590000</v>
      </c>
      <c r="J2657" s="1">
        <v>-4017800</v>
      </c>
      <c r="K2657">
        <v>198</v>
      </c>
      <c r="L2657">
        <v>549</v>
      </c>
      <c r="M2657" t="s">
        <v>16</v>
      </c>
    </row>
    <row r="2658" spans="1:13" x14ac:dyDescent="0.35">
      <c r="A2658">
        <v>313652</v>
      </c>
      <c r="B2658">
        <v>55514</v>
      </c>
      <c r="C2658" t="s">
        <v>2833</v>
      </c>
      <c r="D2658" t="s">
        <v>2376</v>
      </c>
      <c r="E2658" t="s">
        <v>2429</v>
      </c>
      <c r="F2658">
        <v>4547</v>
      </c>
      <c r="G2658">
        <v>1</v>
      </c>
      <c r="H2658" t="s">
        <v>16</v>
      </c>
      <c r="I2658" s="1">
        <v>-1690700</v>
      </c>
      <c r="J2658" s="1">
        <v>-4260400</v>
      </c>
      <c r="K2658">
        <v>545</v>
      </c>
      <c r="L2658">
        <v>382</v>
      </c>
      <c r="M2658" t="s">
        <v>16</v>
      </c>
    </row>
    <row r="2659" spans="1:13" x14ac:dyDescent="0.35">
      <c r="A2659">
        <v>313655</v>
      </c>
      <c r="B2659">
        <v>55522</v>
      </c>
      <c r="C2659" t="s">
        <v>2834</v>
      </c>
      <c r="D2659" t="s">
        <v>2376</v>
      </c>
      <c r="E2659" t="s">
        <v>2388</v>
      </c>
      <c r="F2659">
        <v>4146</v>
      </c>
      <c r="G2659">
        <v>1</v>
      </c>
      <c r="H2659" t="s">
        <v>16</v>
      </c>
      <c r="I2659" s="1">
        <v>-1821900</v>
      </c>
      <c r="J2659" s="1">
        <v>-4249900</v>
      </c>
      <c r="K2659">
        <v>450</v>
      </c>
      <c r="L2659">
        <v>181</v>
      </c>
      <c r="M2659" t="s">
        <v>16</v>
      </c>
    </row>
    <row r="2660" spans="1:13" x14ac:dyDescent="0.35">
      <c r="A2660">
        <v>313657</v>
      </c>
      <c r="B2660">
        <v>55530</v>
      </c>
      <c r="C2660" t="s">
        <v>2835</v>
      </c>
      <c r="D2660" t="s">
        <v>2376</v>
      </c>
      <c r="E2660" t="s">
        <v>2509</v>
      </c>
      <c r="F2660">
        <v>4440</v>
      </c>
      <c r="G2660">
        <v>1</v>
      </c>
      <c r="H2660" t="s">
        <v>16</v>
      </c>
      <c r="I2660" s="1">
        <v>-1654700</v>
      </c>
      <c r="J2660" s="1">
        <v>-4251500</v>
      </c>
      <c r="K2660">
        <v>692</v>
      </c>
      <c r="L2660">
        <v>535</v>
      </c>
      <c r="M2660" t="s">
        <v>16</v>
      </c>
    </row>
    <row r="2661" spans="1:13" x14ac:dyDescent="0.35">
      <c r="A2661">
        <v>313660</v>
      </c>
      <c r="B2661">
        <v>23159</v>
      </c>
      <c r="C2661" t="s">
        <v>57</v>
      </c>
      <c r="D2661" t="s">
        <v>2376</v>
      </c>
      <c r="E2661" t="s">
        <v>2420</v>
      </c>
      <c r="F2661">
        <v>5461</v>
      </c>
      <c r="G2661">
        <v>4</v>
      </c>
      <c r="H2661" t="s">
        <v>2468</v>
      </c>
      <c r="I2661" s="1">
        <v>-1969000</v>
      </c>
      <c r="J2661" s="1">
        <v>-4358000</v>
      </c>
      <c r="K2661">
        <v>937</v>
      </c>
      <c r="L2661">
        <v>171</v>
      </c>
      <c r="M2661" t="s">
        <v>16</v>
      </c>
    </row>
    <row r="2662" spans="1:13" x14ac:dyDescent="0.35">
      <c r="A2662">
        <v>313665</v>
      </c>
      <c r="B2662">
        <v>50679</v>
      </c>
      <c r="C2662" t="s">
        <v>2836</v>
      </c>
      <c r="D2662" t="s">
        <v>2376</v>
      </c>
      <c r="E2662" t="s">
        <v>2479</v>
      </c>
      <c r="F2662">
        <v>19528</v>
      </c>
      <c r="G2662">
        <v>4</v>
      </c>
      <c r="H2662" t="s">
        <v>2468</v>
      </c>
      <c r="I2662" s="1">
        <v>-1995200</v>
      </c>
      <c r="J2662" s="1">
        <v>-4434300</v>
      </c>
      <c r="K2662">
        <v>737</v>
      </c>
      <c r="L2662">
        <v>96</v>
      </c>
      <c r="M2662" t="s">
        <v>16</v>
      </c>
    </row>
    <row r="2663" spans="1:13" x14ac:dyDescent="0.35">
      <c r="A2663">
        <v>313670</v>
      </c>
      <c r="B2663">
        <v>23167</v>
      </c>
      <c r="C2663" t="s">
        <v>2437</v>
      </c>
      <c r="D2663" t="s">
        <v>2376</v>
      </c>
      <c r="E2663" t="s">
        <v>2437</v>
      </c>
      <c r="F2663">
        <v>513348</v>
      </c>
      <c r="G2663">
        <v>3</v>
      </c>
      <c r="H2663" t="s">
        <v>16</v>
      </c>
      <c r="I2663" s="1">
        <v>-2176400</v>
      </c>
      <c r="J2663" s="1">
        <v>-4335000</v>
      </c>
      <c r="K2663">
        <v>695</v>
      </c>
      <c r="L2663">
        <v>1436</v>
      </c>
      <c r="M2663" t="s">
        <v>16</v>
      </c>
    </row>
    <row r="2664" spans="1:13" x14ac:dyDescent="0.35">
      <c r="A2664">
        <v>313680</v>
      </c>
      <c r="B2664">
        <v>23175</v>
      </c>
      <c r="C2664" t="s">
        <v>2837</v>
      </c>
      <c r="D2664" t="s">
        <v>2376</v>
      </c>
      <c r="E2664" t="s">
        <v>2513</v>
      </c>
      <c r="F2664">
        <v>3960</v>
      </c>
      <c r="G2664">
        <v>1</v>
      </c>
      <c r="H2664" t="s">
        <v>16</v>
      </c>
      <c r="I2664" s="1">
        <v>-1684800</v>
      </c>
      <c r="J2664" s="1">
        <v>-4358700</v>
      </c>
      <c r="K2664">
        <v>682</v>
      </c>
      <c r="L2664">
        <v>432</v>
      </c>
      <c r="M2664" t="s">
        <v>16</v>
      </c>
    </row>
    <row r="2665" spans="1:13" x14ac:dyDescent="0.35">
      <c r="A2665">
        <v>313690</v>
      </c>
      <c r="B2665">
        <v>23183</v>
      </c>
      <c r="C2665" t="s">
        <v>2838</v>
      </c>
      <c r="D2665" t="s">
        <v>2376</v>
      </c>
      <c r="E2665" t="s">
        <v>2452</v>
      </c>
      <c r="F2665">
        <v>8260</v>
      </c>
      <c r="G2665">
        <v>1</v>
      </c>
      <c r="H2665" t="s">
        <v>16</v>
      </c>
      <c r="I2665" s="1">
        <v>-2125300</v>
      </c>
      <c r="J2665" s="1">
        <v>-4657700</v>
      </c>
      <c r="K2665">
        <v>877</v>
      </c>
      <c r="L2665">
        <v>219</v>
      </c>
      <c r="M2665" t="s">
        <v>16</v>
      </c>
    </row>
    <row r="2666" spans="1:13" x14ac:dyDescent="0.35">
      <c r="A2666">
        <v>313695</v>
      </c>
      <c r="B2666">
        <v>55549</v>
      </c>
      <c r="C2666" t="s">
        <v>2839</v>
      </c>
      <c r="D2666" t="s">
        <v>2376</v>
      </c>
      <c r="E2666" t="s">
        <v>2505</v>
      </c>
      <c r="F2666">
        <v>6050</v>
      </c>
      <c r="G2666">
        <v>1</v>
      </c>
      <c r="H2666" t="s">
        <v>16</v>
      </c>
      <c r="I2666" s="1">
        <v>-1426300</v>
      </c>
      <c r="J2666" s="1">
        <v>-4416000</v>
      </c>
      <c r="K2666">
        <v>445</v>
      </c>
      <c r="L2666">
        <v>1076</v>
      </c>
      <c r="M2666" t="s">
        <v>16</v>
      </c>
    </row>
    <row r="2667" spans="1:13" x14ac:dyDescent="0.35">
      <c r="A2667">
        <v>313700</v>
      </c>
      <c r="B2667">
        <v>23191</v>
      </c>
      <c r="C2667" t="s">
        <v>2840</v>
      </c>
      <c r="D2667" t="s">
        <v>2376</v>
      </c>
      <c r="E2667" t="s">
        <v>2463</v>
      </c>
      <c r="F2667">
        <v>16479</v>
      </c>
      <c r="G2667">
        <v>1</v>
      </c>
      <c r="H2667" t="s">
        <v>16</v>
      </c>
      <c r="I2667" s="1">
        <v>-1763200</v>
      </c>
      <c r="J2667" s="1">
        <v>-4173800</v>
      </c>
      <c r="K2667">
        <v>670</v>
      </c>
      <c r="L2667">
        <v>865</v>
      </c>
      <c r="M2667" t="s">
        <v>16</v>
      </c>
    </row>
    <row r="2668" spans="1:13" x14ac:dyDescent="0.35">
      <c r="A2668">
        <v>313710</v>
      </c>
      <c r="B2668">
        <v>23205</v>
      </c>
      <c r="C2668" t="s">
        <v>2841</v>
      </c>
      <c r="D2668" t="s">
        <v>2376</v>
      </c>
      <c r="E2668" t="s">
        <v>2511</v>
      </c>
      <c r="F2668">
        <v>7636</v>
      </c>
      <c r="G2668">
        <v>1</v>
      </c>
      <c r="H2668" t="s">
        <v>16</v>
      </c>
      <c r="I2668" s="1">
        <v>-1817800</v>
      </c>
      <c r="J2668" s="1">
        <v>-4680800</v>
      </c>
      <c r="K2668">
        <v>836</v>
      </c>
      <c r="L2668">
        <v>1472</v>
      </c>
      <c r="M2668" t="s">
        <v>16</v>
      </c>
    </row>
    <row r="2669" spans="1:13" x14ac:dyDescent="0.35">
      <c r="A2669">
        <v>313720</v>
      </c>
      <c r="B2669">
        <v>23213</v>
      </c>
      <c r="C2669" t="s">
        <v>2842</v>
      </c>
      <c r="D2669" t="s">
        <v>2376</v>
      </c>
      <c r="E2669" t="s">
        <v>2448</v>
      </c>
      <c r="F2669">
        <v>44159</v>
      </c>
      <c r="G2669">
        <v>1</v>
      </c>
      <c r="H2669" t="s">
        <v>16</v>
      </c>
      <c r="I2669" s="1">
        <v>-2002300</v>
      </c>
      <c r="J2669" s="1">
        <v>-4554400</v>
      </c>
      <c r="K2669">
        <v>655</v>
      </c>
      <c r="L2669">
        <v>439</v>
      </c>
      <c r="M2669" t="s">
        <v>16</v>
      </c>
    </row>
    <row r="2670" spans="1:13" x14ac:dyDescent="0.35">
      <c r="A2670">
        <v>313730</v>
      </c>
      <c r="B2670">
        <v>23221</v>
      </c>
      <c r="C2670" t="s">
        <v>2843</v>
      </c>
      <c r="D2670" t="s">
        <v>2376</v>
      </c>
      <c r="E2670" t="s">
        <v>2525</v>
      </c>
      <c r="F2670">
        <v>4448</v>
      </c>
      <c r="G2670">
        <v>1</v>
      </c>
      <c r="H2670" t="s">
        <v>16</v>
      </c>
      <c r="I2670" s="1">
        <v>-1698300</v>
      </c>
      <c r="J2670" s="1">
        <v>-4458200</v>
      </c>
      <c r="K2670">
        <v>690</v>
      </c>
      <c r="L2670">
        <v>599</v>
      </c>
      <c r="M2670" t="s">
        <v>16</v>
      </c>
    </row>
    <row r="2671" spans="1:13" x14ac:dyDescent="0.35">
      <c r="A2671">
        <v>313740</v>
      </c>
      <c r="B2671">
        <v>23230</v>
      </c>
      <c r="C2671" t="s">
        <v>2844</v>
      </c>
      <c r="D2671" t="s">
        <v>2376</v>
      </c>
      <c r="E2671" t="s">
        <v>2589</v>
      </c>
      <c r="F2671">
        <v>11792</v>
      </c>
      <c r="G2671">
        <v>1</v>
      </c>
      <c r="H2671" t="s">
        <v>16</v>
      </c>
      <c r="I2671" s="1">
        <v>-2091400</v>
      </c>
      <c r="J2671" s="1">
        <v>-4407800</v>
      </c>
      <c r="K2671">
        <v>1080</v>
      </c>
      <c r="L2671">
        <v>479</v>
      </c>
      <c r="M2671" t="s">
        <v>16</v>
      </c>
    </row>
    <row r="2672" spans="1:13" x14ac:dyDescent="0.35">
      <c r="A2672">
        <v>313750</v>
      </c>
      <c r="B2672">
        <v>23248</v>
      </c>
      <c r="C2672" t="s">
        <v>2845</v>
      </c>
      <c r="D2672" t="s">
        <v>2376</v>
      </c>
      <c r="E2672" t="s">
        <v>2446</v>
      </c>
      <c r="F2672">
        <v>16521</v>
      </c>
      <c r="G2672">
        <v>1</v>
      </c>
      <c r="H2672" t="s">
        <v>16</v>
      </c>
      <c r="I2672" s="1">
        <v>-1877900</v>
      </c>
      <c r="J2672" s="1">
        <v>-4640800</v>
      </c>
      <c r="K2672">
        <v>902</v>
      </c>
      <c r="L2672">
        <v>844</v>
      </c>
      <c r="M2672" t="s">
        <v>16</v>
      </c>
    </row>
    <row r="2673" spans="1:13" x14ac:dyDescent="0.35">
      <c r="A2673">
        <v>313753</v>
      </c>
      <c r="B2673">
        <v>50687</v>
      </c>
      <c r="C2673" t="s">
        <v>1717</v>
      </c>
      <c r="D2673" t="s">
        <v>2376</v>
      </c>
      <c r="E2673" t="s">
        <v>2511</v>
      </c>
      <c r="F2673">
        <v>8660</v>
      </c>
      <c r="G2673">
        <v>1</v>
      </c>
      <c r="H2673" t="s">
        <v>16</v>
      </c>
      <c r="I2673" s="1">
        <v>-1783500</v>
      </c>
      <c r="J2673" s="1">
        <v>-4651400</v>
      </c>
      <c r="K2673">
        <v>572</v>
      </c>
      <c r="L2673">
        <v>1219</v>
      </c>
      <c r="M2673" t="s">
        <v>16</v>
      </c>
    </row>
    <row r="2674" spans="1:13" x14ac:dyDescent="0.35">
      <c r="A2674">
        <v>313760</v>
      </c>
      <c r="B2674">
        <v>23256</v>
      </c>
      <c r="C2674" t="s">
        <v>2846</v>
      </c>
      <c r="D2674" t="s">
        <v>2376</v>
      </c>
      <c r="E2674" t="s">
        <v>2479</v>
      </c>
      <c r="F2674">
        <v>44922</v>
      </c>
      <c r="G2674">
        <v>4</v>
      </c>
      <c r="H2674" t="s">
        <v>2468</v>
      </c>
      <c r="I2674" s="1">
        <v>-1962700</v>
      </c>
      <c r="J2674" s="1">
        <v>-4389000</v>
      </c>
      <c r="K2674">
        <v>760</v>
      </c>
      <c r="L2674">
        <v>231</v>
      </c>
      <c r="M2674" t="s">
        <v>16</v>
      </c>
    </row>
    <row r="2675" spans="1:13" x14ac:dyDescent="0.35">
      <c r="A2675">
        <v>313770</v>
      </c>
      <c r="B2675">
        <v>23264</v>
      </c>
      <c r="C2675" t="s">
        <v>2847</v>
      </c>
      <c r="D2675" t="s">
        <v>2376</v>
      </c>
      <c r="E2675" t="s">
        <v>2381</v>
      </c>
      <c r="F2675">
        <v>17580</v>
      </c>
      <c r="G2675">
        <v>1</v>
      </c>
      <c r="H2675" t="s">
        <v>16</v>
      </c>
      <c r="I2675" s="1">
        <v>-2015100</v>
      </c>
      <c r="J2675" s="1">
        <v>-4162300</v>
      </c>
      <c r="K2675">
        <v>470</v>
      </c>
      <c r="L2675">
        <v>429</v>
      </c>
      <c r="M2675" t="s">
        <v>16</v>
      </c>
    </row>
    <row r="2676" spans="1:13" x14ac:dyDescent="0.35">
      <c r="A2676">
        <v>313780</v>
      </c>
      <c r="B2676">
        <v>23272</v>
      </c>
      <c r="C2676" t="s">
        <v>2848</v>
      </c>
      <c r="D2676" t="s">
        <v>2376</v>
      </c>
      <c r="E2676" t="s">
        <v>2402</v>
      </c>
      <c r="F2676">
        <v>18547</v>
      </c>
      <c r="G2676">
        <v>1</v>
      </c>
      <c r="H2676" t="s">
        <v>16</v>
      </c>
      <c r="I2676" s="1">
        <v>-2197600</v>
      </c>
      <c r="J2676" s="1">
        <v>-4535000</v>
      </c>
      <c r="K2676">
        <v>887</v>
      </c>
      <c r="L2676">
        <v>213</v>
      </c>
      <c r="M2676" t="s">
        <v>16</v>
      </c>
    </row>
    <row r="2677" spans="1:13" x14ac:dyDescent="0.35">
      <c r="A2677">
        <v>313790</v>
      </c>
      <c r="B2677">
        <v>23280</v>
      </c>
      <c r="C2677" t="s">
        <v>2849</v>
      </c>
      <c r="D2677" t="s">
        <v>2376</v>
      </c>
      <c r="E2677" t="s">
        <v>1388</v>
      </c>
      <c r="F2677">
        <v>3546</v>
      </c>
      <c r="G2677">
        <v>1</v>
      </c>
      <c r="H2677" t="s">
        <v>16</v>
      </c>
      <c r="I2677" s="1">
        <v>-2079000</v>
      </c>
      <c r="J2677" s="1">
        <v>-4347400</v>
      </c>
      <c r="K2677">
        <v>732</v>
      </c>
      <c r="L2677">
        <v>118</v>
      </c>
      <c r="M2677" t="s">
        <v>16</v>
      </c>
    </row>
    <row r="2678" spans="1:13" x14ac:dyDescent="0.35">
      <c r="A2678">
        <v>313800</v>
      </c>
      <c r="B2678">
        <v>23299</v>
      </c>
      <c r="C2678" t="s">
        <v>2850</v>
      </c>
      <c r="D2678" t="s">
        <v>2376</v>
      </c>
      <c r="E2678" t="s">
        <v>2406</v>
      </c>
      <c r="F2678">
        <v>6310</v>
      </c>
      <c r="G2678">
        <v>1</v>
      </c>
      <c r="H2678" t="s">
        <v>16</v>
      </c>
      <c r="I2678" s="1">
        <v>-2137400</v>
      </c>
      <c r="J2678" s="1">
        <v>-4247700</v>
      </c>
      <c r="K2678">
        <v>175</v>
      </c>
      <c r="L2678">
        <v>204</v>
      </c>
      <c r="M2678" t="s">
        <v>16</v>
      </c>
    </row>
    <row r="2679" spans="1:13" x14ac:dyDescent="0.35">
      <c r="A2679">
        <v>313810</v>
      </c>
      <c r="B2679">
        <v>23302</v>
      </c>
      <c r="C2679" t="s">
        <v>2851</v>
      </c>
      <c r="D2679" t="s">
        <v>2376</v>
      </c>
      <c r="E2679" t="s">
        <v>2525</v>
      </c>
      <c r="F2679">
        <v>6458</v>
      </c>
      <c r="G2679">
        <v>1</v>
      </c>
      <c r="H2679" t="s">
        <v>16</v>
      </c>
      <c r="I2679" s="1">
        <v>-1788700</v>
      </c>
      <c r="J2679" s="1">
        <v>-4457800</v>
      </c>
      <c r="K2679">
        <v>504</v>
      </c>
      <c r="L2679">
        <v>3213</v>
      </c>
      <c r="M2679" t="s">
        <v>16</v>
      </c>
    </row>
    <row r="2680" spans="1:13" x14ac:dyDescent="0.35">
      <c r="A2680">
        <v>313820</v>
      </c>
      <c r="B2680">
        <v>23310</v>
      </c>
      <c r="C2680" t="s">
        <v>2581</v>
      </c>
      <c r="D2680" t="s">
        <v>2376</v>
      </c>
      <c r="E2680" t="s">
        <v>2581</v>
      </c>
      <c r="F2680">
        <v>87421</v>
      </c>
      <c r="G2680">
        <v>2</v>
      </c>
      <c r="H2680" t="s">
        <v>16</v>
      </c>
      <c r="I2680" s="1">
        <v>-2124500</v>
      </c>
      <c r="J2680" s="1">
        <v>-4500000</v>
      </c>
      <c r="K2680">
        <v>919</v>
      </c>
      <c r="L2680">
        <v>564</v>
      </c>
      <c r="M2680" t="s">
        <v>16</v>
      </c>
    </row>
    <row r="2681" spans="1:13" x14ac:dyDescent="0.35">
      <c r="A2681">
        <v>313830</v>
      </c>
      <c r="B2681">
        <v>23329</v>
      </c>
      <c r="C2681" t="s">
        <v>2852</v>
      </c>
      <c r="D2681" t="s">
        <v>2376</v>
      </c>
      <c r="E2681" t="s">
        <v>2448</v>
      </c>
      <c r="F2681">
        <v>2955</v>
      </c>
      <c r="G2681">
        <v>1</v>
      </c>
      <c r="H2681" t="s">
        <v>16</v>
      </c>
      <c r="I2681" s="1">
        <v>-1971800</v>
      </c>
      <c r="J2681" s="1">
        <v>-4502500</v>
      </c>
      <c r="K2681">
        <v>707</v>
      </c>
      <c r="L2681">
        <v>355</v>
      </c>
      <c r="M2681" t="s">
        <v>16</v>
      </c>
    </row>
    <row r="2682" spans="1:13" x14ac:dyDescent="0.35">
      <c r="A2682">
        <v>313835</v>
      </c>
      <c r="B2682">
        <v>55557</v>
      </c>
      <c r="C2682" t="s">
        <v>2853</v>
      </c>
      <c r="D2682" t="s">
        <v>2376</v>
      </c>
      <c r="E2682" t="s">
        <v>2429</v>
      </c>
      <c r="F2682">
        <v>4930</v>
      </c>
      <c r="G2682">
        <v>1</v>
      </c>
      <c r="H2682" t="s">
        <v>16</v>
      </c>
      <c r="I2682" s="1">
        <v>-1708300</v>
      </c>
      <c r="J2682" s="1">
        <v>-4269300</v>
      </c>
      <c r="K2682">
        <v>431</v>
      </c>
      <c r="L2682">
        <v>281</v>
      </c>
      <c r="M2682" t="s">
        <v>16</v>
      </c>
    </row>
    <row r="2683" spans="1:13" x14ac:dyDescent="0.35">
      <c r="A2683">
        <v>313840</v>
      </c>
      <c r="B2683">
        <v>23337</v>
      </c>
      <c r="C2683" t="s">
        <v>2854</v>
      </c>
      <c r="D2683" t="s">
        <v>2376</v>
      </c>
      <c r="E2683" t="s">
        <v>2406</v>
      </c>
      <c r="F2683">
        <v>49915</v>
      </c>
      <c r="G2683">
        <v>1</v>
      </c>
      <c r="H2683" t="s">
        <v>16</v>
      </c>
      <c r="I2683" s="1">
        <v>-2153200</v>
      </c>
      <c r="J2683" s="1">
        <v>-4264300</v>
      </c>
      <c r="K2683">
        <v>212</v>
      </c>
      <c r="L2683">
        <v>942</v>
      </c>
      <c r="M2683" t="s">
        <v>16</v>
      </c>
    </row>
    <row r="2684" spans="1:13" x14ac:dyDescent="0.35">
      <c r="A2684">
        <v>313850</v>
      </c>
      <c r="B2684">
        <v>23345</v>
      </c>
      <c r="C2684" t="s">
        <v>2855</v>
      </c>
      <c r="D2684" t="s">
        <v>2376</v>
      </c>
      <c r="E2684" t="s">
        <v>2400</v>
      </c>
      <c r="F2684">
        <v>5333</v>
      </c>
      <c r="G2684">
        <v>1</v>
      </c>
      <c r="H2684" t="s">
        <v>16</v>
      </c>
      <c r="I2684" s="1">
        <v>-2202900</v>
      </c>
      <c r="J2684" s="1">
        <v>-4432000</v>
      </c>
      <c r="K2684">
        <v>1152</v>
      </c>
      <c r="L2684">
        <v>402</v>
      </c>
      <c r="M2684" t="s">
        <v>16</v>
      </c>
    </row>
    <row r="2685" spans="1:13" x14ac:dyDescent="0.35">
      <c r="A2685">
        <v>313860</v>
      </c>
      <c r="B2685">
        <v>23353</v>
      </c>
      <c r="C2685" t="s">
        <v>2856</v>
      </c>
      <c r="D2685" t="s">
        <v>2376</v>
      </c>
      <c r="E2685" t="s">
        <v>2437</v>
      </c>
      <c r="F2685">
        <v>15909</v>
      </c>
      <c r="G2685">
        <v>1</v>
      </c>
      <c r="H2685" t="s">
        <v>16</v>
      </c>
      <c r="I2685" s="1">
        <v>-2184300</v>
      </c>
      <c r="J2685" s="1">
        <v>-4379300</v>
      </c>
      <c r="K2685">
        <v>728</v>
      </c>
      <c r="L2685">
        <v>848</v>
      </c>
      <c r="M2685" t="s">
        <v>16</v>
      </c>
    </row>
    <row r="2686" spans="1:13" x14ac:dyDescent="0.35">
      <c r="A2686">
        <v>313862</v>
      </c>
      <c r="B2686">
        <v>50695</v>
      </c>
      <c r="C2686" t="s">
        <v>2857</v>
      </c>
      <c r="D2686" t="s">
        <v>2376</v>
      </c>
      <c r="E2686" t="s">
        <v>2545</v>
      </c>
      <c r="F2686">
        <v>6492</v>
      </c>
      <c r="G2686">
        <v>1</v>
      </c>
      <c r="H2686" t="s">
        <v>16</v>
      </c>
      <c r="I2686" s="1">
        <v>-1955100</v>
      </c>
      <c r="J2686" s="1">
        <v>-5058100</v>
      </c>
      <c r="K2686">
        <v>428</v>
      </c>
      <c r="L2686">
        <v>1317</v>
      </c>
      <c r="M2686" t="s">
        <v>16</v>
      </c>
    </row>
    <row r="2687" spans="1:13" x14ac:dyDescent="0.35">
      <c r="A2687">
        <v>313865</v>
      </c>
      <c r="B2687">
        <v>50709</v>
      </c>
      <c r="C2687" t="s">
        <v>2858</v>
      </c>
      <c r="D2687" t="s">
        <v>2376</v>
      </c>
      <c r="E2687" t="s">
        <v>2513</v>
      </c>
      <c r="F2687">
        <v>7979</v>
      </c>
      <c r="G2687">
        <v>1</v>
      </c>
      <c r="H2687" t="s">
        <v>16</v>
      </c>
      <c r="I2687" s="1">
        <v>-1590300</v>
      </c>
      <c r="J2687" s="1">
        <v>-4430500</v>
      </c>
      <c r="K2687">
        <v>781</v>
      </c>
      <c r="L2687">
        <v>257</v>
      </c>
      <c r="M2687" t="s">
        <v>16</v>
      </c>
    </row>
    <row r="2688" spans="1:13" x14ac:dyDescent="0.35">
      <c r="A2688">
        <v>313867</v>
      </c>
      <c r="B2688">
        <v>55565</v>
      </c>
      <c r="C2688" t="s">
        <v>2859</v>
      </c>
      <c r="D2688" t="s">
        <v>2376</v>
      </c>
      <c r="E2688" t="s">
        <v>2381</v>
      </c>
      <c r="F2688">
        <v>6276</v>
      </c>
      <c r="G2688">
        <v>1</v>
      </c>
      <c r="H2688" t="s">
        <v>16</v>
      </c>
      <c r="I2688" s="1">
        <v>-2044000</v>
      </c>
      <c r="J2688" s="1">
        <v>-4210300</v>
      </c>
      <c r="K2688">
        <v>800</v>
      </c>
      <c r="L2688">
        <v>146</v>
      </c>
      <c r="M2688" t="s">
        <v>16</v>
      </c>
    </row>
    <row r="2689" spans="1:13" x14ac:dyDescent="0.35">
      <c r="A2689">
        <v>313868</v>
      </c>
      <c r="B2689">
        <v>55573</v>
      </c>
      <c r="C2689" t="s">
        <v>2860</v>
      </c>
      <c r="D2689" t="s">
        <v>2376</v>
      </c>
      <c r="E2689" t="s">
        <v>2513</v>
      </c>
      <c r="F2689">
        <v>6432</v>
      </c>
      <c r="G2689">
        <v>1</v>
      </c>
      <c r="H2689" t="s">
        <v>16</v>
      </c>
      <c r="I2689" s="1">
        <v>-1611800</v>
      </c>
      <c r="J2689" s="1">
        <v>-4458900</v>
      </c>
      <c r="K2689">
        <v>758</v>
      </c>
      <c r="L2689">
        <v>424</v>
      </c>
      <c r="M2689" t="s">
        <v>16</v>
      </c>
    </row>
    <row r="2690" spans="1:13" x14ac:dyDescent="0.35">
      <c r="A2690">
        <v>313870</v>
      </c>
      <c r="B2690">
        <v>23361</v>
      </c>
      <c r="C2690" t="s">
        <v>2861</v>
      </c>
      <c r="D2690" t="s">
        <v>2376</v>
      </c>
      <c r="E2690" t="s">
        <v>2581</v>
      </c>
      <c r="F2690">
        <v>5374</v>
      </c>
      <c r="G2690">
        <v>1</v>
      </c>
      <c r="H2690" t="s">
        <v>16</v>
      </c>
      <c r="I2690" s="1">
        <v>-2151100</v>
      </c>
      <c r="J2690" s="1">
        <v>-4490300</v>
      </c>
      <c r="K2690">
        <v>957</v>
      </c>
      <c r="L2690">
        <v>498</v>
      </c>
      <c r="M2690" t="s">
        <v>16</v>
      </c>
    </row>
    <row r="2691" spans="1:13" x14ac:dyDescent="0.35">
      <c r="A2691">
        <v>313880</v>
      </c>
      <c r="B2691">
        <v>23370</v>
      </c>
      <c r="C2691" t="s">
        <v>2862</v>
      </c>
      <c r="D2691" t="s">
        <v>2376</v>
      </c>
      <c r="E2691" t="s">
        <v>2448</v>
      </c>
      <c r="F2691">
        <v>17173</v>
      </c>
      <c r="G2691">
        <v>1</v>
      </c>
      <c r="H2691" t="s">
        <v>16</v>
      </c>
      <c r="I2691" s="1">
        <v>-1980100</v>
      </c>
      <c r="J2691" s="1">
        <v>-4568600</v>
      </c>
      <c r="K2691">
        <v>675</v>
      </c>
      <c r="L2691">
        <v>1171</v>
      </c>
      <c r="M2691" t="s">
        <v>16</v>
      </c>
    </row>
    <row r="2692" spans="1:13" x14ac:dyDescent="0.35">
      <c r="A2692">
        <v>313890</v>
      </c>
      <c r="B2692">
        <v>23388</v>
      </c>
      <c r="C2692" t="s">
        <v>2863</v>
      </c>
      <c r="D2692" t="s">
        <v>2376</v>
      </c>
      <c r="E2692" t="s">
        <v>2394</v>
      </c>
      <c r="F2692">
        <v>6855</v>
      </c>
      <c r="G2692">
        <v>1</v>
      </c>
      <c r="H2692" t="s">
        <v>16</v>
      </c>
      <c r="I2692" s="1">
        <v>-1707700</v>
      </c>
      <c r="J2692" s="1">
        <v>-4071600</v>
      </c>
      <c r="K2692">
        <v>285</v>
      </c>
      <c r="L2692">
        <v>329</v>
      </c>
      <c r="M2692" t="s">
        <v>16</v>
      </c>
    </row>
    <row r="2693" spans="1:13" x14ac:dyDescent="0.35">
      <c r="A2693">
        <v>313900</v>
      </c>
      <c r="B2693">
        <v>23396</v>
      </c>
      <c r="C2693" t="s">
        <v>2864</v>
      </c>
      <c r="D2693" t="s">
        <v>2376</v>
      </c>
      <c r="E2693" t="s">
        <v>2407</v>
      </c>
      <c r="F2693">
        <v>37567</v>
      </c>
      <c r="G2693">
        <v>1</v>
      </c>
      <c r="H2693" t="s">
        <v>16</v>
      </c>
      <c r="I2693" s="1">
        <v>-2167500</v>
      </c>
      <c r="J2693" s="1">
        <v>-4592000</v>
      </c>
      <c r="K2693">
        <v>820</v>
      </c>
      <c r="L2693">
        <v>583</v>
      </c>
      <c r="M2693" t="s">
        <v>16</v>
      </c>
    </row>
    <row r="2694" spans="1:13" x14ac:dyDescent="0.35">
      <c r="A2694">
        <v>313910</v>
      </c>
      <c r="B2694">
        <v>23400</v>
      </c>
      <c r="C2694" t="s">
        <v>2865</v>
      </c>
      <c r="D2694" t="s">
        <v>2376</v>
      </c>
      <c r="E2694" t="s">
        <v>2589</v>
      </c>
      <c r="F2694">
        <v>4951</v>
      </c>
      <c r="G2694">
        <v>1</v>
      </c>
      <c r="H2694" t="s">
        <v>16</v>
      </c>
      <c r="I2694" s="1">
        <v>-2148300</v>
      </c>
      <c r="J2694" s="1">
        <v>-4433000</v>
      </c>
      <c r="K2694">
        <v>1018</v>
      </c>
      <c r="L2694">
        <v>493</v>
      </c>
      <c r="M2694" t="s">
        <v>16</v>
      </c>
    </row>
    <row r="2695" spans="1:13" x14ac:dyDescent="0.35">
      <c r="A2695">
        <v>313920</v>
      </c>
      <c r="B2695">
        <v>23418</v>
      </c>
      <c r="C2695" t="s">
        <v>2866</v>
      </c>
      <c r="D2695" t="s">
        <v>2376</v>
      </c>
      <c r="E2695" t="s">
        <v>2463</v>
      </c>
      <c r="F2695">
        <v>17917</v>
      </c>
      <c r="G2695">
        <v>1</v>
      </c>
      <c r="H2695" t="s">
        <v>16</v>
      </c>
      <c r="I2695" s="1">
        <v>-1784200</v>
      </c>
      <c r="J2695" s="1">
        <v>-4207700</v>
      </c>
      <c r="K2695">
        <v>432</v>
      </c>
      <c r="L2695">
        <v>719</v>
      </c>
      <c r="M2695" t="s">
        <v>16</v>
      </c>
    </row>
    <row r="2696" spans="1:13" x14ac:dyDescent="0.35">
      <c r="A2696">
        <v>313925</v>
      </c>
      <c r="B2696">
        <v>50717</v>
      </c>
      <c r="C2696" t="s">
        <v>2867</v>
      </c>
      <c r="D2696" t="s">
        <v>2376</v>
      </c>
      <c r="E2696" t="s">
        <v>2594</v>
      </c>
      <c r="F2696">
        <v>6247</v>
      </c>
      <c r="G2696">
        <v>1</v>
      </c>
      <c r="H2696" t="s">
        <v>16</v>
      </c>
      <c r="I2696" s="1">
        <v>-1505000</v>
      </c>
      <c r="J2696" s="1">
        <v>-4294900</v>
      </c>
      <c r="K2696">
        <v>681</v>
      </c>
      <c r="L2696">
        <v>290</v>
      </c>
      <c r="M2696" t="s">
        <v>16</v>
      </c>
    </row>
    <row r="2697" spans="1:13" x14ac:dyDescent="0.35">
      <c r="A2697">
        <v>313930</v>
      </c>
      <c r="B2697">
        <v>23426</v>
      </c>
      <c r="C2697" t="s">
        <v>2868</v>
      </c>
      <c r="D2697" t="s">
        <v>2376</v>
      </c>
      <c r="E2697" t="s">
        <v>2505</v>
      </c>
      <c r="F2697">
        <v>20903</v>
      </c>
      <c r="G2697">
        <v>1</v>
      </c>
      <c r="H2697" t="s">
        <v>16</v>
      </c>
      <c r="I2697" s="1">
        <v>-1475600</v>
      </c>
      <c r="J2697" s="1">
        <v>-4393200</v>
      </c>
      <c r="K2697">
        <v>440</v>
      </c>
      <c r="L2697">
        <v>1968</v>
      </c>
      <c r="M2697" t="s">
        <v>16</v>
      </c>
    </row>
    <row r="2698" spans="1:13" x14ac:dyDescent="0.35">
      <c r="A2698">
        <v>313940</v>
      </c>
      <c r="B2698">
        <v>23434</v>
      </c>
      <c r="C2698" t="s">
        <v>2381</v>
      </c>
      <c r="D2698" t="s">
        <v>2376</v>
      </c>
      <c r="E2698" t="s">
        <v>2381</v>
      </c>
      <c r="F2698">
        <v>74297</v>
      </c>
      <c r="G2698">
        <v>2</v>
      </c>
      <c r="H2698" t="s">
        <v>16</v>
      </c>
      <c r="I2698" s="1">
        <v>-2025800</v>
      </c>
      <c r="J2698" s="1">
        <v>-4203400</v>
      </c>
      <c r="K2698">
        <v>635</v>
      </c>
      <c r="L2698">
        <v>627</v>
      </c>
      <c r="M2698" t="s">
        <v>16</v>
      </c>
    </row>
    <row r="2699" spans="1:13" x14ac:dyDescent="0.35">
      <c r="A2699">
        <v>313950</v>
      </c>
      <c r="B2699">
        <v>23442</v>
      </c>
      <c r="C2699" t="s">
        <v>2869</v>
      </c>
      <c r="D2699" t="s">
        <v>2376</v>
      </c>
      <c r="E2699" t="s">
        <v>2381</v>
      </c>
      <c r="F2699">
        <v>20209</v>
      </c>
      <c r="G2699">
        <v>1</v>
      </c>
      <c r="H2699" t="s">
        <v>16</v>
      </c>
      <c r="I2699" s="1">
        <v>-2035800</v>
      </c>
      <c r="J2699" s="1">
        <v>-4195800</v>
      </c>
      <c r="K2699">
        <v>611</v>
      </c>
      <c r="L2699">
        <v>183</v>
      </c>
      <c r="M2699" t="s">
        <v>16</v>
      </c>
    </row>
    <row r="2700" spans="1:13" x14ac:dyDescent="0.35">
      <c r="A2700">
        <v>313960</v>
      </c>
      <c r="B2700">
        <v>23450</v>
      </c>
      <c r="C2700" t="s">
        <v>2598</v>
      </c>
      <c r="D2700" t="s">
        <v>2376</v>
      </c>
      <c r="E2700" t="s">
        <v>2598</v>
      </c>
      <c r="F2700">
        <v>26721</v>
      </c>
      <c r="G2700">
        <v>1</v>
      </c>
      <c r="H2700" t="s">
        <v>16</v>
      </c>
      <c r="I2700" s="1">
        <v>-1878200</v>
      </c>
      <c r="J2700" s="1">
        <v>-4098000</v>
      </c>
      <c r="K2700">
        <v>212</v>
      </c>
      <c r="L2700">
        <v>682</v>
      </c>
      <c r="M2700" t="s">
        <v>16</v>
      </c>
    </row>
    <row r="2701" spans="1:13" x14ac:dyDescent="0.35">
      <c r="A2701">
        <v>313970</v>
      </c>
      <c r="B2701">
        <v>23469</v>
      </c>
      <c r="C2701" t="s">
        <v>2870</v>
      </c>
      <c r="D2701" t="s">
        <v>2376</v>
      </c>
      <c r="E2701" t="s">
        <v>2435</v>
      </c>
      <c r="F2701">
        <v>6840</v>
      </c>
      <c r="G2701">
        <v>1</v>
      </c>
      <c r="H2701" t="s">
        <v>16</v>
      </c>
      <c r="I2701" s="1">
        <v>-1951600</v>
      </c>
      <c r="J2701" s="1">
        <v>-4467600</v>
      </c>
      <c r="K2701">
        <v>775</v>
      </c>
      <c r="L2701">
        <v>260</v>
      </c>
      <c r="M2701" t="s">
        <v>16</v>
      </c>
    </row>
    <row r="2702" spans="1:13" x14ac:dyDescent="0.35">
      <c r="A2702">
        <v>313980</v>
      </c>
      <c r="B2702">
        <v>23477</v>
      </c>
      <c r="C2702" t="s">
        <v>2871</v>
      </c>
      <c r="D2702" t="s">
        <v>2376</v>
      </c>
      <c r="E2702" t="s">
        <v>2437</v>
      </c>
      <c r="F2702">
        <v>11139</v>
      </c>
      <c r="G2702">
        <v>1</v>
      </c>
      <c r="H2702" t="s">
        <v>16</v>
      </c>
      <c r="I2702" s="1">
        <v>-2186700</v>
      </c>
      <c r="J2702" s="1">
        <v>-4301000</v>
      </c>
      <c r="K2702">
        <v>478</v>
      </c>
      <c r="L2702">
        <v>372</v>
      </c>
      <c r="M2702" t="s">
        <v>16</v>
      </c>
    </row>
    <row r="2703" spans="1:13" x14ac:dyDescent="0.35">
      <c r="A2703">
        <v>313990</v>
      </c>
      <c r="B2703">
        <v>23485</v>
      </c>
      <c r="C2703" t="s">
        <v>2872</v>
      </c>
      <c r="D2703" t="s">
        <v>2376</v>
      </c>
      <c r="E2703" t="s">
        <v>2518</v>
      </c>
      <c r="F2703">
        <v>14249</v>
      </c>
      <c r="G2703">
        <v>1</v>
      </c>
      <c r="H2703" t="s">
        <v>16</v>
      </c>
      <c r="I2703" s="1">
        <v>-2230800</v>
      </c>
      <c r="J2703" s="1">
        <v>-4537500</v>
      </c>
      <c r="K2703">
        <v>1278</v>
      </c>
      <c r="L2703">
        <v>203</v>
      </c>
      <c r="M2703" t="s">
        <v>16</v>
      </c>
    </row>
    <row r="2704" spans="1:13" x14ac:dyDescent="0.35">
      <c r="A2704">
        <v>314000</v>
      </c>
      <c r="B2704">
        <v>23493</v>
      </c>
      <c r="C2704" t="s">
        <v>2873</v>
      </c>
      <c r="D2704" t="s">
        <v>2376</v>
      </c>
      <c r="E2704" t="s">
        <v>2665</v>
      </c>
      <c r="F2704">
        <v>51693</v>
      </c>
      <c r="G2704">
        <v>2</v>
      </c>
      <c r="H2704" t="s">
        <v>16</v>
      </c>
      <c r="I2704" s="1">
        <v>-2037800</v>
      </c>
      <c r="J2704" s="1">
        <v>-4341600</v>
      </c>
      <c r="K2704">
        <v>712</v>
      </c>
      <c r="L2704">
        <v>1193</v>
      </c>
      <c r="M2704" t="s">
        <v>16</v>
      </c>
    </row>
    <row r="2705" spans="1:13" x14ac:dyDescent="0.35">
      <c r="A2705">
        <v>314010</v>
      </c>
      <c r="B2705">
        <v>23507</v>
      </c>
      <c r="C2705" t="s">
        <v>2874</v>
      </c>
      <c r="D2705" t="s">
        <v>2376</v>
      </c>
      <c r="E2705" t="s">
        <v>2412</v>
      </c>
      <c r="F2705">
        <v>4285</v>
      </c>
      <c r="G2705">
        <v>1</v>
      </c>
      <c r="H2705" t="s">
        <v>16</v>
      </c>
      <c r="I2705" s="1">
        <v>-1850800</v>
      </c>
      <c r="J2705" s="1">
        <v>-4208400</v>
      </c>
      <c r="K2705">
        <v>248</v>
      </c>
      <c r="L2705">
        <v>164</v>
      </c>
      <c r="M2705" t="s">
        <v>16</v>
      </c>
    </row>
    <row r="2706" spans="1:13" x14ac:dyDescent="0.35">
      <c r="A2706">
        <v>314015</v>
      </c>
      <c r="B2706">
        <v>55581</v>
      </c>
      <c r="C2706" t="s">
        <v>2875</v>
      </c>
      <c r="D2706" t="s">
        <v>2376</v>
      </c>
      <c r="E2706" t="s">
        <v>2479</v>
      </c>
      <c r="F2706">
        <v>11421</v>
      </c>
      <c r="G2706">
        <v>4</v>
      </c>
      <c r="H2706" t="s">
        <v>2468</v>
      </c>
      <c r="I2706" s="1">
        <v>-2005600</v>
      </c>
      <c r="J2706" s="1">
        <v>-4418800</v>
      </c>
      <c r="K2706">
        <v>730</v>
      </c>
      <c r="L2706">
        <v>35</v>
      </c>
      <c r="M2706" t="s">
        <v>16</v>
      </c>
    </row>
    <row r="2707" spans="1:13" x14ac:dyDescent="0.35">
      <c r="A2707">
        <v>314020</v>
      </c>
      <c r="B2707">
        <v>23515</v>
      </c>
      <c r="C2707" t="s">
        <v>2876</v>
      </c>
      <c r="D2707" t="s">
        <v>2376</v>
      </c>
      <c r="E2707" t="s">
        <v>2437</v>
      </c>
      <c r="F2707">
        <v>2827</v>
      </c>
      <c r="G2707">
        <v>1</v>
      </c>
      <c r="H2707" t="s">
        <v>16</v>
      </c>
      <c r="I2707" s="1">
        <v>-2169800</v>
      </c>
      <c r="J2707" s="1">
        <v>-4295900</v>
      </c>
      <c r="K2707">
        <v>550</v>
      </c>
      <c r="L2707">
        <v>77</v>
      </c>
      <c r="M2707" t="s">
        <v>16</v>
      </c>
    </row>
    <row r="2708" spans="1:13" x14ac:dyDescent="0.35">
      <c r="A2708">
        <v>314030</v>
      </c>
      <c r="B2708">
        <v>23523</v>
      </c>
      <c r="C2708" t="s">
        <v>2877</v>
      </c>
      <c r="D2708" t="s">
        <v>2376</v>
      </c>
      <c r="E2708" t="s">
        <v>2385</v>
      </c>
      <c r="F2708">
        <v>3743</v>
      </c>
      <c r="G2708">
        <v>4</v>
      </c>
      <c r="H2708" t="s">
        <v>2386</v>
      </c>
      <c r="I2708" s="1">
        <v>-1971200</v>
      </c>
      <c r="J2708" s="1">
        <v>-4273200</v>
      </c>
      <c r="K2708">
        <v>536</v>
      </c>
      <c r="L2708">
        <v>546</v>
      </c>
      <c r="M2708" t="s">
        <v>16</v>
      </c>
    </row>
    <row r="2709" spans="1:13" x14ac:dyDescent="0.35">
      <c r="A2709">
        <v>314040</v>
      </c>
      <c r="B2709">
        <v>23531</v>
      </c>
      <c r="C2709" t="s">
        <v>2878</v>
      </c>
      <c r="D2709" t="s">
        <v>2376</v>
      </c>
      <c r="E2709" t="s">
        <v>2518</v>
      </c>
      <c r="F2709">
        <v>3100</v>
      </c>
      <c r="G2709">
        <v>1</v>
      </c>
      <c r="H2709" t="s">
        <v>16</v>
      </c>
      <c r="I2709" s="1">
        <v>-2244900</v>
      </c>
      <c r="J2709" s="1">
        <v>-4516500</v>
      </c>
      <c r="K2709">
        <v>1277</v>
      </c>
      <c r="L2709">
        <v>107</v>
      </c>
      <c r="M2709" t="s">
        <v>16</v>
      </c>
    </row>
    <row r="2710" spans="1:13" x14ac:dyDescent="0.35">
      <c r="A2710">
        <v>314050</v>
      </c>
      <c r="B2710">
        <v>23540</v>
      </c>
      <c r="C2710" t="s">
        <v>2879</v>
      </c>
      <c r="D2710" t="s">
        <v>2376</v>
      </c>
      <c r="E2710" t="s">
        <v>2448</v>
      </c>
      <c r="F2710">
        <v>12165</v>
      </c>
      <c r="G2710">
        <v>1</v>
      </c>
      <c r="H2710" t="s">
        <v>16</v>
      </c>
      <c r="I2710" s="1">
        <v>-1933200</v>
      </c>
      <c r="J2710" s="1">
        <v>-4523700</v>
      </c>
      <c r="K2710">
        <v>674</v>
      </c>
      <c r="L2710">
        <v>1060</v>
      </c>
      <c r="M2710" t="s">
        <v>16</v>
      </c>
    </row>
    <row r="2711" spans="1:13" x14ac:dyDescent="0.35">
      <c r="A2711">
        <v>314053</v>
      </c>
      <c r="B2711">
        <v>55590</v>
      </c>
      <c r="C2711" t="s">
        <v>2880</v>
      </c>
      <c r="D2711" t="s">
        <v>2376</v>
      </c>
      <c r="E2711" t="s">
        <v>2381</v>
      </c>
      <c r="F2711">
        <v>6338</v>
      </c>
      <c r="G2711">
        <v>1</v>
      </c>
      <c r="H2711" t="s">
        <v>16</v>
      </c>
      <c r="I2711" s="1">
        <v>-2025700</v>
      </c>
      <c r="J2711" s="1">
        <v>-4187700</v>
      </c>
      <c r="K2711">
        <v>700</v>
      </c>
      <c r="L2711">
        <v>112</v>
      </c>
      <c r="M2711" t="s">
        <v>16</v>
      </c>
    </row>
    <row r="2712" spans="1:13" x14ac:dyDescent="0.35">
      <c r="A2712">
        <v>314055</v>
      </c>
      <c r="B2712">
        <v>50725</v>
      </c>
      <c r="C2712" t="s">
        <v>2881</v>
      </c>
      <c r="D2712" t="s">
        <v>2376</v>
      </c>
      <c r="E2712" t="s">
        <v>2410</v>
      </c>
      <c r="F2712">
        <v>7458</v>
      </c>
      <c r="G2712">
        <v>1</v>
      </c>
      <c r="H2712" t="s">
        <v>16</v>
      </c>
      <c r="I2712" s="1">
        <v>-1568600</v>
      </c>
      <c r="J2712" s="1">
        <v>-4074100</v>
      </c>
      <c r="K2712">
        <v>865</v>
      </c>
      <c r="L2712">
        <v>230</v>
      </c>
      <c r="M2712" t="s">
        <v>16</v>
      </c>
    </row>
    <row r="2713" spans="1:13" x14ac:dyDescent="0.35">
      <c r="A2713">
        <v>314060</v>
      </c>
      <c r="B2713">
        <v>23558</v>
      </c>
      <c r="C2713" t="s">
        <v>2882</v>
      </c>
      <c r="D2713" t="s">
        <v>2376</v>
      </c>
      <c r="E2713" t="s">
        <v>2516</v>
      </c>
      <c r="F2713">
        <v>4662</v>
      </c>
      <c r="G2713">
        <v>1</v>
      </c>
      <c r="H2713" t="s">
        <v>16</v>
      </c>
      <c r="I2713" s="1">
        <v>-1847400</v>
      </c>
      <c r="J2713" s="1">
        <v>-4306000</v>
      </c>
      <c r="K2713">
        <v>781</v>
      </c>
      <c r="L2713">
        <v>282</v>
      </c>
      <c r="M2713" t="s">
        <v>16</v>
      </c>
    </row>
    <row r="2714" spans="1:13" x14ac:dyDescent="0.35">
      <c r="A2714">
        <v>314070</v>
      </c>
      <c r="B2714">
        <v>23566</v>
      </c>
      <c r="C2714" t="s">
        <v>2883</v>
      </c>
      <c r="D2714" t="s">
        <v>2376</v>
      </c>
      <c r="E2714" t="s">
        <v>2479</v>
      </c>
      <c r="F2714">
        <v>25627</v>
      </c>
      <c r="G2714">
        <v>4</v>
      </c>
      <c r="H2714" t="s">
        <v>2468</v>
      </c>
      <c r="I2714" s="1">
        <v>-1998600</v>
      </c>
      <c r="J2714" s="1">
        <v>-4442800</v>
      </c>
      <c r="K2714">
        <v>813</v>
      </c>
      <c r="L2714">
        <v>302</v>
      </c>
      <c r="M2714" t="s">
        <v>16</v>
      </c>
    </row>
    <row r="2715" spans="1:13" x14ac:dyDescent="0.35">
      <c r="A2715">
        <v>314080</v>
      </c>
      <c r="B2715">
        <v>23574</v>
      </c>
      <c r="C2715" t="s">
        <v>2884</v>
      </c>
      <c r="D2715" t="s">
        <v>2376</v>
      </c>
      <c r="E2715" t="s">
        <v>2437</v>
      </c>
      <c r="F2715">
        <v>13205</v>
      </c>
      <c r="G2715">
        <v>1</v>
      </c>
      <c r="H2715" t="s">
        <v>16</v>
      </c>
      <c r="I2715" s="1">
        <v>-2186900</v>
      </c>
      <c r="J2715" s="1">
        <v>-4331900</v>
      </c>
      <c r="K2715">
        <v>474</v>
      </c>
      <c r="L2715">
        <v>156</v>
      </c>
      <c r="M2715" t="s">
        <v>16</v>
      </c>
    </row>
    <row r="2716" spans="1:13" x14ac:dyDescent="0.35">
      <c r="A2716">
        <v>314085</v>
      </c>
      <c r="B2716">
        <v>50733</v>
      </c>
      <c r="C2716" t="s">
        <v>2885</v>
      </c>
      <c r="D2716" t="s">
        <v>2376</v>
      </c>
      <c r="E2716" t="s">
        <v>2505</v>
      </c>
      <c r="F2716">
        <v>10270</v>
      </c>
      <c r="G2716">
        <v>1</v>
      </c>
      <c r="H2716" t="s">
        <v>16</v>
      </c>
      <c r="I2716" s="1">
        <v>-1485500</v>
      </c>
      <c r="J2716" s="1">
        <v>-4392200</v>
      </c>
      <c r="K2716">
        <v>472</v>
      </c>
      <c r="L2716">
        <v>1938</v>
      </c>
      <c r="M2716" t="s">
        <v>16</v>
      </c>
    </row>
    <row r="2717" spans="1:13" x14ac:dyDescent="0.35">
      <c r="A2717">
        <v>314090</v>
      </c>
      <c r="B2717">
        <v>23582</v>
      </c>
      <c r="C2717" t="s">
        <v>2886</v>
      </c>
      <c r="D2717" t="s">
        <v>2376</v>
      </c>
      <c r="E2717" t="s">
        <v>2381</v>
      </c>
      <c r="F2717">
        <v>16430</v>
      </c>
      <c r="G2717">
        <v>1</v>
      </c>
      <c r="H2717" t="s">
        <v>16</v>
      </c>
      <c r="I2717" s="1">
        <v>-2028400</v>
      </c>
      <c r="J2717" s="1">
        <v>-4234100</v>
      </c>
      <c r="K2717">
        <v>615</v>
      </c>
      <c r="L2717">
        <v>277</v>
      </c>
      <c r="M2717" t="s">
        <v>16</v>
      </c>
    </row>
    <row r="2718" spans="1:13" x14ac:dyDescent="0.35">
      <c r="A2718">
        <v>314100</v>
      </c>
      <c r="B2718">
        <v>23590</v>
      </c>
      <c r="C2718" t="s">
        <v>2887</v>
      </c>
      <c r="D2718" t="s">
        <v>2376</v>
      </c>
      <c r="E2718" t="s">
        <v>2594</v>
      </c>
      <c r="F2718">
        <v>12664</v>
      </c>
      <c r="G2718">
        <v>1</v>
      </c>
      <c r="H2718" t="s">
        <v>16</v>
      </c>
      <c r="I2718" s="1">
        <v>-1539700</v>
      </c>
      <c r="J2718" s="1">
        <v>-4286600</v>
      </c>
      <c r="K2718">
        <v>541</v>
      </c>
      <c r="L2718">
        <v>474</v>
      </c>
      <c r="M2718" t="s">
        <v>16</v>
      </c>
    </row>
    <row r="2719" spans="1:13" x14ac:dyDescent="0.35">
      <c r="A2719">
        <v>314110</v>
      </c>
      <c r="B2719">
        <v>23604</v>
      </c>
      <c r="C2719" t="s">
        <v>2888</v>
      </c>
      <c r="D2719" t="s">
        <v>2376</v>
      </c>
      <c r="E2719" t="s">
        <v>2435</v>
      </c>
      <c r="F2719">
        <v>33317</v>
      </c>
      <c r="G2719">
        <v>4</v>
      </c>
      <c r="H2719" t="s">
        <v>2468</v>
      </c>
      <c r="I2719" s="1">
        <v>-1955800</v>
      </c>
      <c r="J2719" s="1">
        <v>-4408100</v>
      </c>
      <c r="K2719">
        <v>812</v>
      </c>
      <c r="L2719">
        <v>252</v>
      </c>
      <c r="M2719" t="s">
        <v>16</v>
      </c>
    </row>
    <row r="2720" spans="1:13" x14ac:dyDescent="0.35">
      <c r="A2720">
        <v>314120</v>
      </c>
      <c r="B2720">
        <v>23612</v>
      </c>
      <c r="C2720" t="s">
        <v>2889</v>
      </c>
      <c r="D2720" t="s">
        <v>2376</v>
      </c>
      <c r="E2720" t="s">
        <v>2446</v>
      </c>
      <c r="F2720">
        <v>3700</v>
      </c>
      <c r="G2720">
        <v>1</v>
      </c>
      <c r="H2720" t="s">
        <v>16</v>
      </c>
      <c r="I2720" s="1">
        <v>-1922300</v>
      </c>
      <c r="J2720" s="1">
        <v>-4596900</v>
      </c>
      <c r="K2720">
        <v>1040</v>
      </c>
      <c r="L2720">
        <v>259</v>
      </c>
      <c r="M2720" t="s">
        <v>16</v>
      </c>
    </row>
    <row r="2721" spans="1:13" x14ac:dyDescent="0.35">
      <c r="A2721">
        <v>314130</v>
      </c>
      <c r="B2721">
        <v>23620</v>
      </c>
      <c r="C2721" t="s">
        <v>2890</v>
      </c>
      <c r="D2721" t="s">
        <v>2376</v>
      </c>
      <c r="E2721" t="s">
        <v>2470</v>
      </c>
      <c r="F2721">
        <v>3238</v>
      </c>
      <c r="G2721">
        <v>1</v>
      </c>
      <c r="H2721" t="s">
        <v>16</v>
      </c>
      <c r="I2721" s="1">
        <v>-1999600</v>
      </c>
      <c r="J2721" s="1">
        <v>-4622600</v>
      </c>
      <c r="K2721">
        <v>922</v>
      </c>
      <c r="L2721">
        <v>939</v>
      </c>
      <c r="M2721" t="s">
        <v>16</v>
      </c>
    </row>
    <row r="2722" spans="1:13" x14ac:dyDescent="0.35">
      <c r="A2722">
        <v>314140</v>
      </c>
      <c r="B2722">
        <v>23639</v>
      </c>
      <c r="C2722" t="s">
        <v>2891</v>
      </c>
      <c r="D2722" t="s">
        <v>2376</v>
      </c>
      <c r="E2722" t="s">
        <v>2426</v>
      </c>
      <c r="F2722">
        <v>20667</v>
      </c>
      <c r="G2722">
        <v>1</v>
      </c>
      <c r="H2722" t="s">
        <v>16</v>
      </c>
      <c r="I2722" s="1">
        <v>-1622300</v>
      </c>
      <c r="J2722" s="1">
        <v>-4147700</v>
      </c>
      <c r="K2722">
        <v>587</v>
      </c>
      <c r="L2722">
        <v>1439</v>
      </c>
      <c r="M2722" t="s">
        <v>16</v>
      </c>
    </row>
    <row r="2723" spans="1:13" x14ac:dyDescent="0.35">
      <c r="A2723">
        <v>314150</v>
      </c>
      <c r="B2723">
        <v>23647</v>
      </c>
      <c r="C2723" t="s">
        <v>2892</v>
      </c>
      <c r="D2723" t="s">
        <v>2376</v>
      </c>
      <c r="E2723" t="s">
        <v>2598</v>
      </c>
      <c r="F2723">
        <v>6431</v>
      </c>
      <c r="G2723">
        <v>1</v>
      </c>
      <c r="H2723" t="s">
        <v>16</v>
      </c>
      <c r="I2723" s="1">
        <v>-1866100</v>
      </c>
      <c r="J2723" s="1">
        <v>-4140500</v>
      </c>
      <c r="K2723">
        <v>340</v>
      </c>
      <c r="L2723">
        <v>303</v>
      </c>
      <c r="M2723" t="s">
        <v>16</v>
      </c>
    </row>
    <row r="2724" spans="1:13" x14ac:dyDescent="0.35">
      <c r="A2724">
        <v>314160</v>
      </c>
      <c r="B2724">
        <v>23655</v>
      </c>
      <c r="C2724" t="s">
        <v>2893</v>
      </c>
      <c r="D2724" t="s">
        <v>2376</v>
      </c>
      <c r="E2724" t="s">
        <v>2461</v>
      </c>
      <c r="F2724">
        <v>10452</v>
      </c>
      <c r="G2724">
        <v>1</v>
      </c>
      <c r="H2724" t="s">
        <v>16</v>
      </c>
      <c r="I2724" s="1">
        <v>-2119400</v>
      </c>
      <c r="J2724" s="1">
        <v>-4334100</v>
      </c>
      <c r="K2724">
        <v>522</v>
      </c>
      <c r="L2724">
        <v>352</v>
      </c>
      <c r="M2724" t="s">
        <v>16</v>
      </c>
    </row>
    <row r="2725" spans="1:13" x14ac:dyDescent="0.35">
      <c r="A2725">
        <v>314170</v>
      </c>
      <c r="B2725">
        <v>23663</v>
      </c>
      <c r="C2725" t="s">
        <v>2894</v>
      </c>
      <c r="D2725" t="s">
        <v>2376</v>
      </c>
      <c r="E2725" t="s">
        <v>2385</v>
      </c>
      <c r="F2725">
        <v>6493</v>
      </c>
      <c r="G2725">
        <v>4</v>
      </c>
      <c r="H2725" t="s">
        <v>2386</v>
      </c>
      <c r="I2725" s="1">
        <v>-1922300</v>
      </c>
      <c r="J2725" s="1">
        <v>-4260700</v>
      </c>
      <c r="K2725">
        <v>352</v>
      </c>
      <c r="L2725">
        <v>275</v>
      </c>
      <c r="M2725" t="s">
        <v>16</v>
      </c>
    </row>
    <row r="2726" spans="1:13" x14ac:dyDescent="0.35">
      <c r="A2726">
        <v>314180</v>
      </c>
      <c r="B2726">
        <v>23671</v>
      </c>
      <c r="C2726" t="s">
        <v>2895</v>
      </c>
      <c r="D2726" t="s">
        <v>2376</v>
      </c>
      <c r="E2726" t="s">
        <v>2429</v>
      </c>
      <c r="F2726">
        <v>30578</v>
      </c>
      <c r="G2726">
        <v>1</v>
      </c>
      <c r="H2726" t="s">
        <v>16</v>
      </c>
      <c r="I2726" s="1">
        <v>-1721900</v>
      </c>
      <c r="J2726" s="1">
        <v>-4259000</v>
      </c>
      <c r="K2726">
        <v>635</v>
      </c>
      <c r="L2726">
        <v>1810</v>
      </c>
      <c r="M2726" t="s">
        <v>16</v>
      </c>
    </row>
    <row r="2727" spans="1:13" x14ac:dyDescent="0.35">
      <c r="A2727">
        <v>314190</v>
      </c>
      <c r="B2727">
        <v>23680</v>
      </c>
      <c r="C2727" t="s">
        <v>2896</v>
      </c>
      <c r="D2727" t="s">
        <v>2376</v>
      </c>
      <c r="E2727" t="s">
        <v>2400</v>
      </c>
      <c r="F2727">
        <v>3603</v>
      </c>
      <c r="G2727">
        <v>1</v>
      </c>
      <c r="H2727" t="s">
        <v>16</v>
      </c>
      <c r="I2727" s="1">
        <v>-2168200</v>
      </c>
      <c r="J2727" s="1">
        <v>-4460400</v>
      </c>
      <c r="K2727">
        <v>1000</v>
      </c>
      <c r="L2727">
        <v>220</v>
      </c>
      <c r="M2727" t="s">
        <v>16</v>
      </c>
    </row>
    <row r="2728" spans="1:13" x14ac:dyDescent="0.35">
      <c r="A2728">
        <v>314200</v>
      </c>
      <c r="B2728">
        <v>23698</v>
      </c>
      <c r="C2728" t="s">
        <v>2897</v>
      </c>
      <c r="D2728" t="s">
        <v>2376</v>
      </c>
      <c r="E2728" t="s">
        <v>2513</v>
      </c>
      <c r="F2728">
        <v>12769</v>
      </c>
      <c r="G2728">
        <v>1</v>
      </c>
      <c r="H2728" t="s">
        <v>16</v>
      </c>
      <c r="I2728" s="1">
        <v>-1626300</v>
      </c>
      <c r="J2728" s="1">
        <v>-4416400</v>
      </c>
      <c r="K2728">
        <v>800</v>
      </c>
      <c r="L2728">
        <v>720</v>
      </c>
      <c r="M2728" t="s">
        <v>16</v>
      </c>
    </row>
    <row r="2729" spans="1:13" x14ac:dyDescent="0.35">
      <c r="A2729">
        <v>314210</v>
      </c>
      <c r="B2729">
        <v>23701</v>
      </c>
      <c r="C2729" t="s">
        <v>2898</v>
      </c>
      <c r="D2729" t="s">
        <v>2376</v>
      </c>
      <c r="E2729" t="s">
        <v>2433</v>
      </c>
      <c r="F2729">
        <v>10197</v>
      </c>
      <c r="G2729">
        <v>1</v>
      </c>
      <c r="H2729" t="s">
        <v>16</v>
      </c>
      <c r="I2729" s="1">
        <v>-2089100</v>
      </c>
      <c r="J2729" s="1">
        <v>-4234300</v>
      </c>
      <c r="K2729">
        <v>409</v>
      </c>
      <c r="L2729">
        <v>301</v>
      </c>
      <c r="M2729" t="s">
        <v>16</v>
      </c>
    </row>
    <row r="2730" spans="1:13" x14ac:dyDescent="0.35">
      <c r="A2730">
        <v>314220</v>
      </c>
      <c r="B2730">
        <v>23710</v>
      </c>
      <c r="C2730" t="s">
        <v>2899</v>
      </c>
      <c r="D2730" t="s">
        <v>2376</v>
      </c>
      <c r="E2730" t="s">
        <v>2433</v>
      </c>
      <c r="F2730">
        <v>12949</v>
      </c>
      <c r="G2730">
        <v>1</v>
      </c>
      <c r="H2730" t="s">
        <v>16</v>
      </c>
      <c r="I2730" s="1">
        <v>-2119500</v>
      </c>
      <c r="J2730" s="1">
        <v>-4261400</v>
      </c>
      <c r="K2730">
        <v>306</v>
      </c>
      <c r="L2730">
        <v>320</v>
      </c>
      <c r="M2730" t="s">
        <v>16</v>
      </c>
    </row>
    <row r="2731" spans="1:13" x14ac:dyDescent="0.35">
      <c r="A2731">
        <v>314225</v>
      </c>
      <c r="B2731">
        <v>55603</v>
      </c>
      <c r="C2731" t="s">
        <v>2900</v>
      </c>
      <c r="D2731" t="s">
        <v>2376</v>
      </c>
      <c r="E2731" t="s">
        <v>2505</v>
      </c>
      <c r="F2731">
        <v>4708</v>
      </c>
      <c r="G2731">
        <v>1</v>
      </c>
      <c r="H2731" t="s">
        <v>16</v>
      </c>
      <c r="I2731" s="1">
        <v>-1474100</v>
      </c>
      <c r="J2731" s="1">
        <v>-4440400</v>
      </c>
      <c r="K2731">
        <v>632</v>
      </c>
      <c r="L2731">
        <v>603</v>
      </c>
      <c r="M2731" t="s">
        <v>16</v>
      </c>
    </row>
    <row r="2732" spans="1:13" x14ac:dyDescent="0.35">
      <c r="A2732">
        <v>314230</v>
      </c>
      <c r="B2732">
        <v>23728</v>
      </c>
      <c r="C2732" t="s">
        <v>2901</v>
      </c>
      <c r="D2732" t="s">
        <v>2376</v>
      </c>
      <c r="E2732" t="s">
        <v>2482</v>
      </c>
      <c r="F2732">
        <v>4506</v>
      </c>
      <c r="G2732">
        <v>4</v>
      </c>
      <c r="H2732" t="s">
        <v>2468</v>
      </c>
      <c r="I2732" s="1">
        <v>-2033300</v>
      </c>
      <c r="J2732" s="1">
        <v>-4405300</v>
      </c>
      <c r="K2732">
        <v>812</v>
      </c>
      <c r="L2732">
        <v>154</v>
      </c>
      <c r="M2732" t="s">
        <v>16</v>
      </c>
    </row>
    <row r="2733" spans="1:13" x14ac:dyDescent="0.35">
      <c r="A2733">
        <v>314240</v>
      </c>
      <c r="B2733">
        <v>23736</v>
      </c>
      <c r="C2733" t="s">
        <v>2902</v>
      </c>
      <c r="D2733" t="s">
        <v>2376</v>
      </c>
      <c r="E2733" t="s">
        <v>2448</v>
      </c>
      <c r="F2733">
        <v>6754</v>
      </c>
      <c r="G2733">
        <v>1</v>
      </c>
      <c r="H2733" t="s">
        <v>16</v>
      </c>
      <c r="I2733" s="1">
        <v>-1984300</v>
      </c>
      <c r="J2733" s="1">
        <v>-4541100</v>
      </c>
      <c r="K2733">
        <v>673</v>
      </c>
      <c r="L2733">
        <v>202</v>
      </c>
      <c r="M2733" t="s">
        <v>16</v>
      </c>
    </row>
    <row r="2734" spans="1:13" x14ac:dyDescent="0.35">
      <c r="A2734">
        <v>314250</v>
      </c>
      <c r="B2734">
        <v>23744</v>
      </c>
      <c r="C2734" t="s">
        <v>2903</v>
      </c>
      <c r="D2734" t="s">
        <v>2376</v>
      </c>
      <c r="E2734" t="s">
        <v>2465</v>
      </c>
      <c r="F2734">
        <v>2303</v>
      </c>
      <c r="G2734">
        <v>1</v>
      </c>
      <c r="H2734" t="s">
        <v>16</v>
      </c>
      <c r="I2734" s="1">
        <v>-1832500</v>
      </c>
      <c r="J2734" s="1">
        <v>-4411900</v>
      </c>
      <c r="K2734">
        <v>560</v>
      </c>
      <c r="L2734">
        <v>652</v>
      </c>
      <c r="M2734" t="s">
        <v>16</v>
      </c>
    </row>
    <row r="2735" spans="1:13" x14ac:dyDescent="0.35">
      <c r="A2735">
        <v>314260</v>
      </c>
      <c r="B2735">
        <v>23752</v>
      </c>
      <c r="C2735" t="s">
        <v>2904</v>
      </c>
      <c r="D2735" t="s">
        <v>2376</v>
      </c>
      <c r="E2735" t="s">
        <v>2491</v>
      </c>
      <c r="F2735">
        <v>7391</v>
      </c>
      <c r="G2735">
        <v>1</v>
      </c>
      <c r="H2735" t="s">
        <v>16</v>
      </c>
      <c r="I2735" s="1">
        <v>-2175800</v>
      </c>
      <c r="J2735" s="1">
        <v>-4554100</v>
      </c>
      <c r="K2735">
        <v>898</v>
      </c>
      <c r="L2735">
        <v>216</v>
      </c>
      <c r="M2735" t="s">
        <v>16</v>
      </c>
    </row>
    <row r="2736" spans="1:13" x14ac:dyDescent="0.35">
      <c r="A2736">
        <v>314270</v>
      </c>
      <c r="B2736">
        <v>23760</v>
      </c>
      <c r="C2736" t="s">
        <v>2905</v>
      </c>
      <c r="D2736" t="s">
        <v>2376</v>
      </c>
      <c r="E2736" t="s">
        <v>2505</v>
      </c>
      <c r="F2736">
        <v>15961</v>
      </c>
      <c r="G2736">
        <v>1</v>
      </c>
      <c r="H2736" t="s">
        <v>16</v>
      </c>
      <c r="I2736" s="1">
        <v>-1442300</v>
      </c>
      <c r="J2736" s="1">
        <v>-4436600</v>
      </c>
      <c r="K2736">
        <v>510</v>
      </c>
      <c r="L2736">
        <v>1484</v>
      </c>
      <c r="M2736" t="s">
        <v>16</v>
      </c>
    </row>
    <row r="2737" spans="1:13" x14ac:dyDescent="0.35">
      <c r="A2737">
        <v>314280</v>
      </c>
      <c r="B2737">
        <v>23779</v>
      </c>
      <c r="C2737" t="s">
        <v>2906</v>
      </c>
      <c r="D2737" t="s">
        <v>2376</v>
      </c>
      <c r="E2737" t="s">
        <v>2441</v>
      </c>
      <c r="F2737">
        <v>18348</v>
      </c>
      <c r="G2737">
        <v>1</v>
      </c>
      <c r="H2737" t="s">
        <v>16</v>
      </c>
      <c r="I2737" s="1">
        <v>-1887100</v>
      </c>
      <c r="J2737" s="1">
        <v>-4888100</v>
      </c>
      <c r="K2737">
        <v>730</v>
      </c>
      <c r="L2737">
        <v>2593</v>
      </c>
      <c r="M2737" t="s">
        <v>16</v>
      </c>
    </row>
    <row r="2738" spans="1:13" x14ac:dyDescent="0.35">
      <c r="A2738">
        <v>314290</v>
      </c>
      <c r="B2738">
        <v>23787</v>
      </c>
      <c r="C2738" t="s">
        <v>2907</v>
      </c>
      <c r="D2738" t="s">
        <v>2376</v>
      </c>
      <c r="E2738" t="s">
        <v>2594</v>
      </c>
      <c r="F2738">
        <v>22437</v>
      </c>
      <c r="G2738">
        <v>1</v>
      </c>
      <c r="H2738" t="s">
        <v>16</v>
      </c>
      <c r="I2738" s="1">
        <v>-1515500</v>
      </c>
      <c r="J2738" s="1">
        <v>-4287500</v>
      </c>
      <c r="K2738">
        <v>582</v>
      </c>
      <c r="L2738">
        <v>991</v>
      </c>
      <c r="M2738" t="s">
        <v>16</v>
      </c>
    </row>
    <row r="2739" spans="1:13" x14ac:dyDescent="0.35">
      <c r="A2739">
        <v>314300</v>
      </c>
      <c r="B2739">
        <v>23795</v>
      </c>
      <c r="C2739" t="s">
        <v>2908</v>
      </c>
      <c r="D2739" t="s">
        <v>2376</v>
      </c>
      <c r="E2739" t="s">
        <v>2452</v>
      </c>
      <c r="F2739">
        <v>12573</v>
      </c>
      <c r="G2739">
        <v>1</v>
      </c>
      <c r="H2739" t="s">
        <v>16</v>
      </c>
      <c r="I2739" s="1">
        <v>-2132600</v>
      </c>
      <c r="J2739" s="1">
        <v>-4636800</v>
      </c>
      <c r="K2739">
        <v>912</v>
      </c>
      <c r="L2739">
        <v>421</v>
      </c>
      <c r="M2739" t="s">
        <v>16</v>
      </c>
    </row>
    <row r="2740" spans="1:13" x14ac:dyDescent="0.35">
      <c r="A2740">
        <v>314310</v>
      </c>
      <c r="B2740">
        <v>23809</v>
      </c>
      <c r="C2740" t="s">
        <v>2909</v>
      </c>
      <c r="D2740" t="s">
        <v>2376</v>
      </c>
      <c r="E2740" t="s">
        <v>2377</v>
      </c>
      <c r="F2740">
        <v>44367</v>
      </c>
      <c r="G2740">
        <v>1</v>
      </c>
      <c r="H2740" t="s">
        <v>16</v>
      </c>
      <c r="I2740" s="1">
        <v>-1872500</v>
      </c>
      <c r="J2740" s="1">
        <v>-4749900</v>
      </c>
      <c r="K2740">
        <v>870</v>
      </c>
      <c r="L2740">
        <v>1353</v>
      </c>
      <c r="M2740" t="s">
        <v>16</v>
      </c>
    </row>
    <row r="2741" spans="1:13" x14ac:dyDescent="0.35">
      <c r="A2741">
        <v>314315</v>
      </c>
      <c r="B2741">
        <v>55611</v>
      </c>
      <c r="C2741" t="s">
        <v>2910</v>
      </c>
      <c r="D2741" t="s">
        <v>2376</v>
      </c>
      <c r="E2741" t="s">
        <v>2410</v>
      </c>
      <c r="F2741">
        <v>4709</v>
      </c>
      <c r="G2741">
        <v>1</v>
      </c>
      <c r="H2741" t="s">
        <v>16</v>
      </c>
      <c r="I2741" s="1">
        <v>-1686600</v>
      </c>
      <c r="J2741" s="1">
        <v>-4125500</v>
      </c>
      <c r="K2741">
        <v>700</v>
      </c>
      <c r="L2741">
        <v>383</v>
      </c>
      <c r="M2741" t="s">
        <v>16</v>
      </c>
    </row>
    <row r="2742" spans="1:13" x14ac:dyDescent="0.35">
      <c r="A2742">
        <v>314320</v>
      </c>
      <c r="B2742">
        <v>23817</v>
      </c>
      <c r="C2742" t="s">
        <v>2911</v>
      </c>
      <c r="D2742" t="s">
        <v>2376</v>
      </c>
      <c r="E2742" t="s">
        <v>2452</v>
      </c>
      <c r="F2742">
        <v>20133</v>
      </c>
      <c r="G2742">
        <v>1</v>
      </c>
      <c r="H2742" t="s">
        <v>16</v>
      </c>
      <c r="I2742" s="1">
        <v>-2119000</v>
      </c>
      <c r="J2742" s="1">
        <v>-4698000</v>
      </c>
      <c r="K2742">
        <v>878</v>
      </c>
      <c r="L2742">
        <v>590</v>
      </c>
      <c r="M2742" t="s">
        <v>16</v>
      </c>
    </row>
    <row r="2743" spans="1:13" x14ac:dyDescent="0.35">
      <c r="A2743">
        <v>314330</v>
      </c>
      <c r="B2743">
        <v>23825</v>
      </c>
      <c r="C2743" t="s">
        <v>2513</v>
      </c>
      <c r="D2743" t="s">
        <v>2376</v>
      </c>
      <c r="E2743" t="s">
        <v>2513</v>
      </c>
      <c r="F2743">
        <v>352384</v>
      </c>
      <c r="G2743">
        <v>3</v>
      </c>
      <c r="H2743" t="s">
        <v>16</v>
      </c>
      <c r="I2743" s="1">
        <v>-1673500</v>
      </c>
      <c r="J2743" s="1">
        <v>-4386200</v>
      </c>
      <c r="K2743">
        <v>648</v>
      </c>
      <c r="L2743">
        <v>3582</v>
      </c>
      <c r="M2743" t="s">
        <v>16</v>
      </c>
    </row>
    <row r="2744" spans="1:13" x14ac:dyDescent="0.35">
      <c r="A2744">
        <v>314340</v>
      </c>
      <c r="B2744">
        <v>23833</v>
      </c>
      <c r="C2744" t="s">
        <v>2912</v>
      </c>
      <c r="D2744" t="s">
        <v>2376</v>
      </c>
      <c r="E2744" t="s">
        <v>2404</v>
      </c>
      <c r="F2744">
        <v>19228</v>
      </c>
      <c r="G2744">
        <v>1</v>
      </c>
      <c r="H2744" t="s">
        <v>16</v>
      </c>
      <c r="I2744" s="1">
        <v>-2243300</v>
      </c>
      <c r="J2744" s="1">
        <v>-4657300</v>
      </c>
      <c r="K2744">
        <v>857</v>
      </c>
      <c r="L2744">
        <v>290</v>
      </c>
      <c r="M2744" t="s">
        <v>16</v>
      </c>
    </row>
    <row r="2745" spans="1:13" x14ac:dyDescent="0.35">
      <c r="A2745">
        <v>314345</v>
      </c>
      <c r="B2745">
        <v>50741</v>
      </c>
      <c r="C2745" t="s">
        <v>2913</v>
      </c>
      <c r="D2745" t="s">
        <v>2376</v>
      </c>
      <c r="E2745" t="s">
        <v>2396</v>
      </c>
      <c r="F2745">
        <v>7259</v>
      </c>
      <c r="G2745">
        <v>1</v>
      </c>
      <c r="H2745" t="s">
        <v>16</v>
      </c>
      <c r="I2745" s="1">
        <v>-1517200</v>
      </c>
      <c r="J2745" s="1">
        <v>-4249700</v>
      </c>
      <c r="K2745">
        <v>950</v>
      </c>
      <c r="L2745">
        <v>1133</v>
      </c>
      <c r="M2745" t="s">
        <v>16</v>
      </c>
    </row>
    <row r="2746" spans="1:13" x14ac:dyDescent="0.35">
      <c r="A2746">
        <v>314350</v>
      </c>
      <c r="B2746">
        <v>23841</v>
      </c>
      <c r="C2746" t="s">
        <v>2914</v>
      </c>
      <c r="D2746" t="s">
        <v>2376</v>
      </c>
      <c r="E2746" t="s">
        <v>2379</v>
      </c>
      <c r="F2746">
        <v>8297</v>
      </c>
      <c r="G2746">
        <v>1</v>
      </c>
      <c r="H2746" t="s">
        <v>16</v>
      </c>
      <c r="I2746" s="1">
        <v>-1860400</v>
      </c>
      <c r="J2746" s="1">
        <v>-4535700</v>
      </c>
      <c r="K2746">
        <v>586</v>
      </c>
      <c r="L2746">
        <v>2084</v>
      </c>
      <c r="M2746" t="s">
        <v>16</v>
      </c>
    </row>
    <row r="2747" spans="1:13" x14ac:dyDescent="0.35">
      <c r="A2747">
        <v>314360</v>
      </c>
      <c r="B2747">
        <v>23850</v>
      </c>
      <c r="C2747" t="s">
        <v>2915</v>
      </c>
      <c r="D2747" t="s">
        <v>2376</v>
      </c>
      <c r="E2747" t="s">
        <v>2465</v>
      </c>
      <c r="F2747">
        <v>2887</v>
      </c>
      <c r="G2747">
        <v>1</v>
      </c>
      <c r="H2747" t="s">
        <v>16</v>
      </c>
      <c r="I2747" s="1">
        <v>-1854700</v>
      </c>
      <c r="J2747" s="1">
        <v>-4460300</v>
      </c>
      <c r="K2747">
        <v>600</v>
      </c>
      <c r="L2747">
        <v>414</v>
      </c>
      <c r="M2747" t="s">
        <v>16</v>
      </c>
    </row>
    <row r="2748" spans="1:13" x14ac:dyDescent="0.35">
      <c r="A2748">
        <v>314370</v>
      </c>
      <c r="B2748">
        <v>23868</v>
      </c>
      <c r="C2748" t="s">
        <v>2916</v>
      </c>
      <c r="D2748" t="s">
        <v>2376</v>
      </c>
      <c r="E2748" t="s">
        <v>2422</v>
      </c>
      <c r="F2748">
        <v>3474</v>
      </c>
      <c r="G2748">
        <v>1</v>
      </c>
      <c r="H2748" t="s">
        <v>16</v>
      </c>
      <c r="I2748" s="1">
        <v>-1921600</v>
      </c>
      <c r="J2748" s="1">
        <v>-4337600</v>
      </c>
      <c r="K2748">
        <v>622</v>
      </c>
      <c r="L2748">
        <v>476</v>
      </c>
      <c r="M2748" t="s">
        <v>16</v>
      </c>
    </row>
    <row r="2749" spans="1:13" x14ac:dyDescent="0.35">
      <c r="A2749">
        <v>314380</v>
      </c>
      <c r="B2749">
        <v>23876</v>
      </c>
      <c r="C2749" t="s">
        <v>2917</v>
      </c>
      <c r="D2749" t="s">
        <v>2376</v>
      </c>
      <c r="E2749" t="s">
        <v>2501</v>
      </c>
      <c r="F2749">
        <v>6298</v>
      </c>
      <c r="G2749">
        <v>1</v>
      </c>
      <c r="H2749" t="s">
        <v>16</v>
      </c>
      <c r="I2749" s="1">
        <v>-2261300</v>
      </c>
      <c r="J2749" s="1">
        <v>-4636100</v>
      </c>
      <c r="K2749">
        <v>1235</v>
      </c>
      <c r="L2749">
        <v>190</v>
      </c>
      <c r="M2749" t="s">
        <v>16</v>
      </c>
    </row>
    <row r="2750" spans="1:13" x14ac:dyDescent="0.35">
      <c r="A2750">
        <v>314390</v>
      </c>
      <c r="B2750">
        <v>23884</v>
      </c>
      <c r="C2750" t="s">
        <v>2918</v>
      </c>
      <c r="D2750" t="s">
        <v>2376</v>
      </c>
      <c r="E2750" t="s">
        <v>2433</v>
      </c>
      <c r="F2750">
        <v>95548</v>
      </c>
      <c r="G2750">
        <v>2</v>
      </c>
      <c r="H2750" t="s">
        <v>16</v>
      </c>
      <c r="I2750" s="1">
        <v>-2113100</v>
      </c>
      <c r="J2750" s="1">
        <v>-4236600</v>
      </c>
      <c r="K2750">
        <v>209</v>
      </c>
      <c r="L2750">
        <v>843</v>
      </c>
      <c r="M2750" t="s">
        <v>16</v>
      </c>
    </row>
    <row r="2751" spans="1:13" x14ac:dyDescent="0.35">
      <c r="A2751">
        <v>314400</v>
      </c>
      <c r="B2751">
        <v>23892</v>
      </c>
      <c r="C2751" t="s">
        <v>2919</v>
      </c>
      <c r="D2751" t="s">
        <v>2376</v>
      </c>
      <c r="E2751" t="s">
        <v>2398</v>
      </c>
      <c r="F2751">
        <v>26331</v>
      </c>
      <c r="G2751">
        <v>1</v>
      </c>
      <c r="H2751" t="s">
        <v>16</v>
      </c>
      <c r="I2751" s="1">
        <v>-1980000</v>
      </c>
      <c r="J2751" s="1">
        <v>-4143800</v>
      </c>
      <c r="K2751">
        <v>230</v>
      </c>
      <c r="L2751">
        <v>1255</v>
      </c>
      <c r="M2751" t="s">
        <v>16</v>
      </c>
    </row>
    <row r="2752" spans="1:13" x14ac:dyDescent="0.35">
      <c r="A2752">
        <v>314410</v>
      </c>
      <c r="B2752">
        <v>23906</v>
      </c>
      <c r="C2752" t="s">
        <v>2920</v>
      </c>
      <c r="D2752" t="s">
        <v>2376</v>
      </c>
      <c r="E2752" t="s">
        <v>2452</v>
      </c>
      <c r="F2752">
        <v>19925</v>
      </c>
      <c r="G2752">
        <v>1</v>
      </c>
      <c r="H2752" t="s">
        <v>16</v>
      </c>
      <c r="I2752" s="1">
        <v>-2137600</v>
      </c>
      <c r="J2752" s="1">
        <v>-4652600</v>
      </c>
      <c r="K2752">
        <v>1048</v>
      </c>
      <c r="L2752">
        <v>409</v>
      </c>
      <c r="M2752" t="s">
        <v>16</v>
      </c>
    </row>
    <row r="2753" spans="1:13" x14ac:dyDescent="0.35">
      <c r="A2753">
        <v>314420</v>
      </c>
      <c r="B2753">
        <v>23914</v>
      </c>
      <c r="C2753" t="s">
        <v>2921</v>
      </c>
      <c r="D2753" t="s">
        <v>2376</v>
      </c>
      <c r="E2753" t="s">
        <v>2412</v>
      </c>
      <c r="F2753">
        <v>2957</v>
      </c>
      <c r="G2753">
        <v>1</v>
      </c>
      <c r="H2753" t="s">
        <v>16</v>
      </c>
      <c r="I2753" s="1">
        <v>-1845900</v>
      </c>
      <c r="J2753" s="1">
        <v>-4224900</v>
      </c>
      <c r="K2753">
        <v>332</v>
      </c>
      <c r="L2753">
        <v>228</v>
      </c>
      <c r="M2753" t="s">
        <v>16</v>
      </c>
    </row>
    <row r="2754" spans="1:13" x14ac:dyDescent="0.35">
      <c r="A2754">
        <v>314430</v>
      </c>
      <c r="B2754">
        <v>23922</v>
      </c>
      <c r="C2754" t="s">
        <v>2394</v>
      </c>
      <c r="D2754" t="s">
        <v>2376</v>
      </c>
      <c r="E2754" t="s">
        <v>2394</v>
      </c>
      <c r="F2754">
        <v>40307</v>
      </c>
      <c r="G2754">
        <v>1</v>
      </c>
      <c r="H2754" t="s">
        <v>16</v>
      </c>
      <c r="I2754" s="1">
        <v>-1783900</v>
      </c>
      <c r="J2754" s="1">
        <v>-4035400</v>
      </c>
      <c r="K2754">
        <v>103</v>
      </c>
      <c r="L2754">
        <v>1515</v>
      </c>
      <c r="M2754" t="s">
        <v>16</v>
      </c>
    </row>
    <row r="2755" spans="1:13" x14ac:dyDescent="0.35">
      <c r="A2755">
        <v>314435</v>
      </c>
      <c r="B2755">
        <v>55620</v>
      </c>
      <c r="C2755" t="s">
        <v>2922</v>
      </c>
      <c r="D2755" t="s">
        <v>2376</v>
      </c>
      <c r="E2755" t="s">
        <v>2385</v>
      </c>
      <c r="F2755">
        <v>5885</v>
      </c>
      <c r="G2755">
        <v>4</v>
      </c>
      <c r="H2755" t="s">
        <v>2386</v>
      </c>
      <c r="I2755" s="1">
        <v>-1923000</v>
      </c>
      <c r="J2755" s="1">
        <v>-4232800</v>
      </c>
      <c r="K2755">
        <v>330</v>
      </c>
      <c r="L2755">
        <v>129</v>
      </c>
      <c r="M2755" t="s">
        <v>16</v>
      </c>
    </row>
    <row r="2756" spans="1:13" x14ac:dyDescent="0.35">
      <c r="A2756">
        <v>314437</v>
      </c>
      <c r="B2756">
        <v>55638</v>
      </c>
      <c r="C2756" t="s">
        <v>2923</v>
      </c>
      <c r="D2756" t="s">
        <v>2376</v>
      </c>
      <c r="E2756" t="s">
        <v>2459</v>
      </c>
      <c r="F2756">
        <v>3271</v>
      </c>
      <c r="G2756">
        <v>1</v>
      </c>
      <c r="H2756" t="s">
        <v>16</v>
      </c>
      <c r="I2756" s="1">
        <v>-1650400</v>
      </c>
      <c r="J2756" s="1">
        <v>-4649300</v>
      </c>
      <c r="K2756">
        <v>550</v>
      </c>
      <c r="L2756">
        <v>471</v>
      </c>
      <c r="M2756" t="s">
        <v>16</v>
      </c>
    </row>
    <row r="2757" spans="1:13" x14ac:dyDescent="0.35">
      <c r="A2757">
        <v>314440</v>
      </c>
      <c r="B2757">
        <v>23930</v>
      </c>
      <c r="C2757" t="s">
        <v>2924</v>
      </c>
      <c r="D2757" t="s">
        <v>2376</v>
      </c>
      <c r="E2757" t="s">
        <v>2530</v>
      </c>
      <c r="F2757">
        <v>4623</v>
      </c>
      <c r="G2757">
        <v>1</v>
      </c>
      <c r="H2757" t="s">
        <v>16</v>
      </c>
      <c r="I2757" s="1">
        <v>-2212000</v>
      </c>
      <c r="J2757" s="1">
        <v>-4551200</v>
      </c>
      <c r="K2757">
        <v>918</v>
      </c>
      <c r="L2757">
        <v>190</v>
      </c>
      <c r="M2757" t="s">
        <v>16</v>
      </c>
    </row>
    <row r="2758" spans="1:13" x14ac:dyDescent="0.35">
      <c r="A2758">
        <v>314450</v>
      </c>
      <c r="B2758">
        <v>23949</v>
      </c>
      <c r="C2758" t="s">
        <v>2925</v>
      </c>
      <c r="D2758" t="s">
        <v>2376</v>
      </c>
      <c r="E2758" t="s">
        <v>2589</v>
      </c>
      <c r="F2758">
        <v>7716</v>
      </c>
      <c r="G2758">
        <v>1</v>
      </c>
      <c r="H2758" t="s">
        <v>16</v>
      </c>
      <c r="I2758" s="1">
        <v>-2121600</v>
      </c>
      <c r="J2758" s="1">
        <v>-4461100</v>
      </c>
      <c r="K2758">
        <v>935</v>
      </c>
      <c r="L2758">
        <v>323</v>
      </c>
      <c r="M2758" t="s">
        <v>16</v>
      </c>
    </row>
    <row r="2759" spans="1:13" x14ac:dyDescent="0.35">
      <c r="A2759">
        <v>314460</v>
      </c>
      <c r="B2759">
        <v>23957</v>
      </c>
      <c r="C2759" t="s">
        <v>2926</v>
      </c>
      <c r="D2759" t="s">
        <v>2376</v>
      </c>
      <c r="E2759" t="s">
        <v>2581</v>
      </c>
      <c r="F2759">
        <v>24430</v>
      </c>
      <c r="G2759">
        <v>1</v>
      </c>
      <c r="H2759" t="s">
        <v>16</v>
      </c>
      <c r="I2759" s="1">
        <v>-2123600</v>
      </c>
      <c r="J2759" s="1">
        <v>-4523600</v>
      </c>
      <c r="K2759">
        <v>840</v>
      </c>
      <c r="L2759">
        <v>582</v>
      </c>
      <c r="M2759" t="s">
        <v>16</v>
      </c>
    </row>
    <row r="2760" spans="1:13" x14ac:dyDescent="0.35">
      <c r="A2760">
        <v>314465</v>
      </c>
      <c r="B2760">
        <v>55646</v>
      </c>
      <c r="C2760" t="s">
        <v>2927</v>
      </c>
      <c r="D2760" t="s">
        <v>2376</v>
      </c>
      <c r="E2760" t="s">
        <v>2396</v>
      </c>
      <c r="F2760">
        <v>10414</v>
      </c>
      <c r="G2760">
        <v>1</v>
      </c>
      <c r="H2760" t="s">
        <v>16</v>
      </c>
      <c r="I2760" s="1">
        <v>-1532100</v>
      </c>
      <c r="J2760" s="1">
        <v>-4175400</v>
      </c>
      <c r="K2760">
        <v>900</v>
      </c>
      <c r="L2760">
        <v>1114</v>
      </c>
      <c r="M2760" t="s">
        <v>16</v>
      </c>
    </row>
    <row r="2761" spans="1:13" x14ac:dyDescent="0.35">
      <c r="A2761">
        <v>314467</v>
      </c>
      <c r="B2761">
        <v>55654</v>
      </c>
      <c r="C2761" t="s">
        <v>2928</v>
      </c>
      <c r="D2761" t="s">
        <v>2376</v>
      </c>
      <c r="E2761" t="s">
        <v>2598</v>
      </c>
      <c r="F2761">
        <v>3629</v>
      </c>
      <c r="G2761">
        <v>1</v>
      </c>
      <c r="H2761" t="s">
        <v>16</v>
      </c>
      <c r="I2761" s="1">
        <v>-1847500</v>
      </c>
      <c r="J2761" s="1">
        <v>-4101700</v>
      </c>
      <c r="K2761">
        <v>349</v>
      </c>
      <c r="L2761">
        <v>148</v>
      </c>
      <c r="M2761" t="s">
        <v>16</v>
      </c>
    </row>
    <row r="2762" spans="1:13" x14ac:dyDescent="0.35">
      <c r="A2762">
        <v>314470</v>
      </c>
      <c r="B2762">
        <v>23965</v>
      </c>
      <c r="C2762" t="s">
        <v>2929</v>
      </c>
      <c r="D2762" t="s">
        <v>2376</v>
      </c>
      <c r="E2762" t="s">
        <v>2420</v>
      </c>
      <c r="F2762">
        <v>17932</v>
      </c>
      <c r="G2762">
        <v>1</v>
      </c>
      <c r="H2762" t="s">
        <v>16</v>
      </c>
      <c r="I2762" s="1">
        <v>-1975000</v>
      </c>
      <c r="J2762" s="1">
        <v>-4303800</v>
      </c>
      <c r="K2762">
        <v>529</v>
      </c>
      <c r="L2762">
        <v>363</v>
      </c>
      <c r="M2762" t="s">
        <v>16</v>
      </c>
    </row>
    <row r="2763" spans="1:13" x14ac:dyDescent="0.35">
      <c r="A2763">
        <v>314480</v>
      </c>
      <c r="B2763">
        <v>23973</v>
      </c>
      <c r="C2763" t="s">
        <v>2930</v>
      </c>
      <c r="D2763" t="s">
        <v>2376</v>
      </c>
      <c r="E2763" t="s">
        <v>2479</v>
      </c>
      <c r="F2763">
        <v>72207</v>
      </c>
      <c r="G2763">
        <v>4</v>
      </c>
      <c r="H2763" t="s">
        <v>2468</v>
      </c>
      <c r="I2763" s="1">
        <v>-1998600</v>
      </c>
      <c r="J2763" s="1">
        <v>-4384700</v>
      </c>
      <c r="K2763">
        <v>744</v>
      </c>
      <c r="L2763">
        <v>428</v>
      </c>
      <c r="M2763" t="s">
        <v>16</v>
      </c>
    </row>
    <row r="2764" spans="1:13" x14ac:dyDescent="0.35">
      <c r="A2764">
        <v>314490</v>
      </c>
      <c r="B2764">
        <v>23981</v>
      </c>
      <c r="C2764" t="s">
        <v>2931</v>
      </c>
      <c r="D2764" t="s">
        <v>2376</v>
      </c>
      <c r="E2764" t="s">
        <v>2412</v>
      </c>
      <c r="F2764">
        <v>3878</v>
      </c>
      <c r="G2764">
        <v>1</v>
      </c>
      <c r="H2764" t="s">
        <v>16</v>
      </c>
      <c r="I2764" s="1">
        <v>-1843700</v>
      </c>
      <c r="J2764" s="1">
        <v>-4150100</v>
      </c>
      <c r="K2764">
        <v>342</v>
      </c>
      <c r="L2764">
        <v>377</v>
      </c>
      <c r="M2764" t="s">
        <v>16</v>
      </c>
    </row>
    <row r="2765" spans="1:13" x14ac:dyDescent="0.35">
      <c r="A2765">
        <v>314500</v>
      </c>
      <c r="B2765">
        <v>23990</v>
      </c>
      <c r="C2765" t="s">
        <v>2932</v>
      </c>
      <c r="D2765" t="s">
        <v>2376</v>
      </c>
      <c r="E2765" t="s">
        <v>2450</v>
      </c>
      <c r="F2765">
        <v>11586</v>
      </c>
      <c r="G2765">
        <v>1</v>
      </c>
      <c r="H2765" t="s">
        <v>16</v>
      </c>
      <c r="I2765" s="1">
        <v>-1913600</v>
      </c>
      <c r="J2765" s="1">
        <v>-4768300</v>
      </c>
      <c r="K2765">
        <v>791</v>
      </c>
      <c r="L2765">
        <v>1105</v>
      </c>
      <c r="M2765" t="s">
        <v>16</v>
      </c>
    </row>
    <row r="2766" spans="1:13" x14ac:dyDescent="0.35">
      <c r="A2766">
        <v>314505</v>
      </c>
      <c r="B2766">
        <v>55662</v>
      </c>
      <c r="C2766" t="s">
        <v>2933</v>
      </c>
      <c r="D2766" t="s">
        <v>2376</v>
      </c>
      <c r="E2766" t="s">
        <v>2594</v>
      </c>
      <c r="F2766">
        <v>7358</v>
      </c>
      <c r="G2766">
        <v>1</v>
      </c>
      <c r="H2766" t="s">
        <v>16</v>
      </c>
      <c r="I2766" s="1">
        <v>-1580300</v>
      </c>
      <c r="J2766" s="1">
        <v>-4330100</v>
      </c>
      <c r="K2766">
        <v>533</v>
      </c>
      <c r="L2766">
        <v>121</v>
      </c>
      <c r="M2766" t="s">
        <v>16</v>
      </c>
    </row>
    <row r="2767" spans="1:13" x14ac:dyDescent="0.35">
      <c r="A2767">
        <v>314510</v>
      </c>
      <c r="B2767">
        <v>24007</v>
      </c>
      <c r="C2767" t="s">
        <v>2934</v>
      </c>
      <c r="D2767" t="s">
        <v>2376</v>
      </c>
      <c r="E2767" t="s">
        <v>2452</v>
      </c>
      <c r="F2767">
        <v>14145</v>
      </c>
      <c r="G2767">
        <v>1</v>
      </c>
      <c r="H2767" t="s">
        <v>16</v>
      </c>
      <c r="I2767" s="1">
        <v>-2112600</v>
      </c>
      <c r="J2767" s="1">
        <v>-4642000</v>
      </c>
      <c r="K2767">
        <v>1184</v>
      </c>
      <c r="L2767">
        <v>390</v>
      </c>
      <c r="M2767" t="s">
        <v>16</v>
      </c>
    </row>
    <row r="2768" spans="1:13" x14ac:dyDescent="0.35">
      <c r="A2768">
        <v>314520</v>
      </c>
      <c r="B2768">
        <v>24015</v>
      </c>
      <c r="C2768" t="s">
        <v>2935</v>
      </c>
      <c r="D2768" t="s">
        <v>2376</v>
      </c>
      <c r="E2768" t="s">
        <v>2575</v>
      </c>
      <c r="F2768">
        <v>60195</v>
      </c>
      <c r="G2768">
        <v>2</v>
      </c>
      <c r="H2768" t="s">
        <v>16</v>
      </c>
      <c r="I2768" s="1">
        <v>-1987600</v>
      </c>
      <c r="J2768" s="1">
        <v>-4498400</v>
      </c>
      <c r="K2768">
        <v>761</v>
      </c>
      <c r="L2768">
        <v>283</v>
      </c>
      <c r="M2768" t="s">
        <v>16</v>
      </c>
    </row>
    <row r="2769" spans="1:13" x14ac:dyDescent="0.35">
      <c r="A2769">
        <v>314530</v>
      </c>
      <c r="B2769">
        <v>24023</v>
      </c>
      <c r="C2769" t="s">
        <v>2936</v>
      </c>
      <c r="D2769" t="s">
        <v>2376</v>
      </c>
      <c r="E2769" t="s">
        <v>2439</v>
      </c>
      <c r="F2769">
        <v>30331</v>
      </c>
      <c r="G2769">
        <v>1</v>
      </c>
      <c r="H2769" t="s">
        <v>16</v>
      </c>
      <c r="I2769" s="1">
        <v>-1746800</v>
      </c>
      <c r="J2769" s="1">
        <v>-4187500</v>
      </c>
      <c r="K2769">
        <v>980</v>
      </c>
      <c r="L2769">
        <v>1700</v>
      </c>
      <c r="M2769" t="s">
        <v>16</v>
      </c>
    </row>
    <row r="2770" spans="1:13" x14ac:dyDescent="0.35">
      <c r="A2770">
        <v>314535</v>
      </c>
      <c r="B2770">
        <v>55670</v>
      </c>
      <c r="C2770" t="s">
        <v>2937</v>
      </c>
      <c r="D2770" t="s">
        <v>2376</v>
      </c>
      <c r="E2770" t="s">
        <v>2463</v>
      </c>
      <c r="F2770">
        <v>10327</v>
      </c>
      <c r="G2770">
        <v>1</v>
      </c>
      <c r="H2770" t="s">
        <v>16</v>
      </c>
      <c r="I2770" s="1">
        <v>-1741500</v>
      </c>
      <c r="J2770" s="1">
        <v>-4121500</v>
      </c>
      <c r="K2770">
        <v>400</v>
      </c>
      <c r="L2770">
        <v>754</v>
      </c>
      <c r="M2770" t="s">
        <v>16</v>
      </c>
    </row>
    <row r="2771" spans="1:13" x14ac:dyDescent="0.35">
      <c r="A2771">
        <v>314537</v>
      </c>
      <c r="B2771">
        <v>55689</v>
      </c>
      <c r="C2771" t="s">
        <v>2938</v>
      </c>
      <c r="D2771" t="s">
        <v>2376</v>
      </c>
      <c r="E2771" t="s">
        <v>2396</v>
      </c>
      <c r="F2771">
        <v>4899</v>
      </c>
      <c r="G2771">
        <v>1</v>
      </c>
      <c r="H2771" t="s">
        <v>16</v>
      </c>
      <c r="I2771" s="1">
        <v>-1601700</v>
      </c>
      <c r="J2771" s="1">
        <v>-4240800</v>
      </c>
      <c r="K2771">
        <v>920</v>
      </c>
      <c r="L2771">
        <v>264</v>
      </c>
      <c r="M2771" t="s">
        <v>16</v>
      </c>
    </row>
    <row r="2772" spans="1:13" x14ac:dyDescent="0.35">
      <c r="A2772">
        <v>314540</v>
      </c>
      <c r="B2772">
        <v>24031</v>
      </c>
      <c r="C2772" t="s">
        <v>2939</v>
      </c>
      <c r="D2772" t="s">
        <v>2376</v>
      </c>
      <c r="E2772" t="s">
        <v>2437</v>
      </c>
      <c r="F2772">
        <v>2380</v>
      </c>
      <c r="G2772">
        <v>1</v>
      </c>
      <c r="H2772" t="s">
        <v>16</v>
      </c>
      <c r="I2772" s="1">
        <v>-2186100</v>
      </c>
      <c r="J2772" s="1">
        <v>-4393700</v>
      </c>
      <c r="K2772">
        <v>912</v>
      </c>
      <c r="L2772">
        <v>178</v>
      </c>
      <c r="M2772" t="s">
        <v>16</v>
      </c>
    </row>
    <row r="2773" spans="1:13" x14ac:dyDescent="0.35">
      <c r="A2773">
        <v>314545</v>
      </c>
      <c r="B2773">
        <v>55697</v>
      </c>
      <c r="C2773" t="s">
        <v>2940</v>
      </c>
      <c r="D2773" t="s">
        <v>2376</v>
      </c>
      <c r="E2773" t="s">
        <v>2494</v>
      </c>
      <c r="F2773">
        <v>4991</v>
      </c>
      <c r="G2773">
        <v>1</v>
      </c>
      <c r="H2773" t="s">
        <v>16</v>
      </c>
      <c r="I2773" s="1">
        <v>-1739700</v>
      </c>
      <c r="J2773" s="1">
        <v>-4357300</v>
      </c>
      <c r="K2773">
        <v>751</v>
      </c>
      <c r="L2773">
        <v>2086</v>
      </c>
      <c r="M2773" t="s">
        <v>16</v>
      </c>
    </row>
    <row r="2774" spans="1:13" x14ac:dyDescent="0.35">
      <c r="A2774">
        <v>314550</v>
      </c>
      <c r="B2774">
        <v>24040</v>
      </c>
      <c r="C2774" t="s">
        <v>2941</v>
      </c>
      <c r="D2774" t="s">
        <v>2376</v>
      </c>
      <c r="E2774" t="s">
        <v>2402</v>
      </c>
      <c r="F2774">
        <v>2505</v>
      </c>
      <c r="G2774">
        <v>1</v>
      </c>
      <c r="H2774" t="s">
        <v>16</v>
      </c>
      <c r="I2774" s="1">
        <v>-2206800</v>
      </c>
      <c r="J2774" s="1">
        <v>-4526400</v>
      </c>
      <c r="K2774">
        <v>890</v>
      </c>
      <c r="L2774">
        <v>53</v>
      </c>
      <c r="M2774" t="s">
        <v>16</v>
      </c>
    </row>
    <row r="2775" spans="1:13" x14ac:dyDescent="0.35">
      <c r="A2775">
        <v>314560</v>
      </c>
      <c r="B2775">
        <v>24058</v>
      </c>
      <c r="C2775" t="s">
        <v>2502</v>
      </c>
      <c r="D2775" t="s">
        <v>2376</v>
      </c>
      <c r="E2775" t="s">
        <v>2502</v>
      </c>
      <c r="F2775">
        <v>37805</v>
      </c>
      <c r="G2775">
        <v>1</v>
      </c>
      <c r="H2775" t="s">
        <v>16</v>
      </c>
      <c r="I2775" s="1">
        <v>-2069600</v>
      </c>
      <c r="J2775" s="1">
        <v>-4482700</v>
      </c>
      <c r="K2775">
        <v>982</v>
      </c>
      <c r="L2775">
        <v>896</v>
      </c>
      <c r="M2775" t="s">
        <v>16</v>
      </c>
    </row>
    <row r="2776" spans="1:13" x14ac:dyDescent="0.35">
      <c r="A2776">
        <v>314570</v>
      </c>
      <c r="B2776">
        <v>24066</v>
      </c>
      <c r="C2776" t="s">
        <v>2942</v>
      </c>
      <c r="D2776" t="s">
        <v>2376</v>
      </c>
      <c r="E2776" t="s">
        <v>2437</v>
      </c>
      <c r="F2776">
        <v>1939</v>
      </c>
      <c r="G2776">
        <v>1</v>
      </c>
      <c r="H2776" t="s">
        <v>16</v>
      </c>
      <c r="I2776" s="1">
        <v>-2133900</v>
      </c>
      <c r="J2776" s="1">
        <v>-4345600</v>
      </c>
      <c r="K2776">
        <v>851</v>
      </c>
      <c r="L2776">
        <v>110</v>
      </c>
      <c r="M2776" t="s">
        <v>16</v>
      </c>
    </row>
    <row r="2777" spans="1:13" x14ac:dyDescent="0.35">
      <c r="A2777">
        <v>314580</v>
      </c>
      <c r="B2777">
        <v>24074</v>
      </c>
      <c r="C2777" t="s">
        <v>2943</v>
      </c>
      <c r="D2777" t="s">
        <v>2376</v>
      </c>
      <c r="E2777" t="s">
        <v>2715</v>
      </c>
      <c r="F2777">
        <v>3019</v>
      </c>
      <c r="G2777">
        <v>1</v>
      </c>
      <c r="H2777" t="s">
        <v>16</v>
      </c>
      <c r="I2777" s="1">
        <v>-1973000</v>
      </c>
      <c r="J2777" s="1">
        <v>-4480700</v>
      </c>
      <c r="K2777">
        <v>741</v>
      </c>
      <c r="L2777">
        <v>247</v>
      </c>
      <c r="M2777" t="s">
        <v>16</v>
      </c>
    </row>
    <row r="2778" spans="1:13" x14ac:dyDescent="0.35">
      <c r="A2778">
        <v>314585</v>
      </c>
      <c r="B2778">
        <v>55700</v>
      </c>
      <c r="C2778" t="s">
        <v>2944</v>
      </c>
      <c r="D2778" t="s">
        <v>2376</v>
      </c>
      <c r="E2778" t="s">
        <v>2383</v>
      </c>
      <c r="F2778">
        <v>4385</v>
      </c>
      <c r="G2778">
        <v>1</v>
      </c>
      <c r="H2778" t="s">
        <v>16</v>
      </c>
      <c r="I2778" s="1">
        <v>-2043100</v>
      </c>
      <c r="J2778" s="1">
        <v>-4280600</v>
      </c>
      <c r="K2778">
        <v>494</v>
      </c>
      <c r="L2778">
        <v>89</v>
      </c>
      <c r="M2778" t="s">
        <v>16</v>
      </c>
    </row>
    <row r="2779" spans="1:13" x14ac:dyDescent="0.35">
      <c r="A2779">
        <v>314587</v>
      </c>
      <c r="B2779">
        <v>55719</v>
      </c>
      <c r="C2779" t="s">
        <v>2945</v>
      </c>
      <c r="D2779" t="s">
        <v>2376</v>
      </c>
      <c r="E2779" t="s">
        <v>2433</v>
      </c>
      <c r="F2779">
        <v>6771</v>
      </c>
      <c r="G2779">
        <v>1</v>
      </c>
      <c r="H2779" t="s">
        <v>16</v>
      </c>
      <c r="I2779" s="1">
        <v>-2050600</v>
      </c>
      <c r="J2779" s="1">
        <v>-4221000</v>
      </c>
      <c r="K2779">
        <v>819</v>
      </c>
      <c r="L2779">
        <v>121</v>
      </c>
      <c r="M2779" t="s">
        <v>16</v>
      </c>
    </row>
    <row r="2780" spans="1:13" x14ac:dyDescent="0.35">
      <c r="A2780">
        <v>314590</v>
      </c>
      <c r="B2780">
        <v>24082</v>
      </c>
      <c r="C2780" t="s">
        <v>1320</v>
      </c>
      <c r="D2780" t="s">
        <v>2376</v>
      </c>
      <c r="E2780" t="s">
        <v>2585</v>
      </c>
      <c r="F2780">
        <v>33548</v>
      </c>
      <c r="G2780">
        <v>1</v>
      </c>
      <c r="H2780" t="s">
        <v>16</v>
      </c>
      <c r="I2780" s="1">
        <v>-2052100</v>
      </c>
      <c r="J2780" s="1">
        <v>-4369200</v>
      </c>
      <c r="K2780">
        <v>1052</v>
      </c>
      <c r="L2780">
        <v>260</v>
      </c>
      <c r="M2780" t="s">
        <v>16</v>
      </c>
    </row>
    <row r="2781" spans="1:13" x14ac:dyDescent="0.35">
      <c r="A2781">
        <v>314600</v>
      </c>
      <c r="B2781">
        <v>24090</v>
      </c>
      <c r="C2781" t="s">
        <v>2946</v>
      </c>
      <c r="D2781" t="s">
        <v>2376</v>
      </c>
      <c r="E2781" t="s">
        <v>2404</v>
      </c>
      <c r="F2781">
        <v>31154</v>
      </c>
      <c r="G2781">
        <v>1</v>
      </c>
      <c r="H2781" t="s">
        <v>16</v>
      </c>
      <c r="I2781" s="1">
        <v>-2228300</v>
      </c>
      <c r="J2781" s="1">
        <v>-4636900</v>
      </c>
      <c r="K2781">
        <v>908</v>
      </c>
      <c r="L2781">
        <v>533</v>
      </c>
      <c r="M2781" t="s">
        <v>16</v>
      </c>
    </row>
    <row r="2782" spans="1:13" x14ac:dyDescent="0.35">
      <c r="A2782">
        <v>314610</v>
      </c>
      <c r="B2782">
        <v>24104</v>
      </c>
      <c r="C2782" t="s">
        <v>2665</v>
      </c>
      <c r="D2782" t="s">
        <v>2376</v>
      </c>
      <c r="E2782" t="s">
        <v>2665</v>
      </c>
      <c r="F2782">
        <v>67048</v>
      </c>
      <c r="G2782">
        <v>2</v>
      </c>
      <c r="H2782" t="s">
        <v>16</v>
      </c>
      <c r="I2782" s="1">
        <v>-2028800</v>
      </c>
      <c r="J2782" s="1">
        <v>-4350800</v>
      </c>
      <c r="K2782">
        <v>1179</v>
      </c>
      <c r="L2782">
        <v>1245</v>
      </c>
      <c r="M2782" t="s">
        <v>16</v>
      </c>
    </row>
    <row r="2783" spans="1:13" x14ac:dyDescent="0.35">
      <c r="A2783">
        <v>314620</v>
      </c>
      <c r="B2783">
        <v>24112</v>
      </c>
      <c r="C2783" t="s">
        <v>2947</v>
      </c>
      <c r="D2783" t="s">
        <v>2376</v>
      </c>
      <c r="E2783" t="s">
        <v>2463</v>
      </c>
      <c r="F2783">
        <v>6832</v>
      </c>
      <c r="G2783">
        <v>1</v>
      </c>
      <c r="H2783" t="s">
        <v>16</v>
      </c>
      <c r="I2783" s="1">
        <v>-1807100</v>
      </c>
      <c r="J2783" s="1">
        <v>-4127000</v>
      </c>
      <c r="K2783">
        <v>380</v>
      </c>
      <c r="L2783">
        <v>174</v>
      </c>
      <c r="M2783" t="s">
        <v>16</v>
      </c>
    </row>
    <row r="2784" spans="1:13" x14ac:dyDescent="0.35">
      <c r="A2784">
        <v>314625</v>
      </c>
      <c r="B2784">
        <v>55727</v>
      </c>
      <c r="C2784" t="s">
        <v>2948</v>
      </c>
      <c r="D2784" t="s">
        <v>2376</v>
      </c>
      <c r="E2784" t="s">
        <v>2509</v>
      </c>
      <c r="F2784">
        <v>5828</v>
      </c>
      <c r="G2784">
        <v>1</v>
      </c>
      <c r="H2784" t="s">
        <v>16</v>
      </c>
      <c r="I2784" s="1">
        <v>-1636400</v>
      </c>
      <c r="J2784" s="1">
        <v>-4251500</v>
      </c>
      <c r="K2784">
        <v>750</v>
      </c>
      <c r="L2784">
        <v>449</v>
      </c>
      <c r="M2784" t="s">
        <v>16</v>
      </c>
    </row>
    <row r="2785" spans="1:13" x14ac:dyDescent="0.35">
      <c r="A2785">
        <v>314630</v>
      </c>
      <c r="B2785">
        <v>24120</v>
      </c>
      <c r="C2785" t="s">
        <v>2949</v>
      </c>
      <c r="D2785" t="s">
        <v>2376</v>
      </c>
      <c r="E2785" t="s">
        <v>2439</v>
      </c>
      <c r="F2785">
        <v>18120</v>
      </c>
      <c r="G2785">
        <v>1</v>
      </c>
      <c r="H2785" t="s">
        <v>16</v>
      </c>
      <c r="I2785" s="1">
        <v>-1707200</v>
      </c>
      <c r="J2785" s="1">
        <v>-4152400</v>
      </c>
      <c r="K2785">
        <v>930</v>
      </c>
      <c r="L2785">
        <v>543</v>
      </c>
      <c r="M2785" t="s">
        <v>16</v>
      </c>
    </row>
    <row r="2786" spans="1:13" x14ac:dyDescent="0.35">
      <c r="A2786">
        <v>314640</v>
      </c>
      <c r="B2786">
        <v>24139</v>
      </c>
      <c r="C2786" t="s">
        <v>2950</v>
      </c>
      <c r="D2786" t="s">
        <v>2376</v>
      </c>
      <c r="E2786" t="s">
        <v>2379</v>
      </c>
      <c r="F2786">
        <v>4594</v>
      </c>
      <c r="G2786">
        <v>1</v>
      </c>
      <c r="H2786" t="s">
        <v>16</v>
      </c>
      <c r="I2786" s="1">
        <v>-1890800</v>
      </c>
      <c r="J2786" s="1">
        <v>-4553200</v>
      </c>
      <c r="K2786">
        <v>637</v>
      </c>
      <c r="L2786">
        <v>637</v>
      </c>
      <c r="M2786" t="s">
        <v>16</v>
      </c>
    </row>
    <row r="2787" spans="1:13" x14ac:dyDescent="0.35">
      <c r="A2787">
        <v>314650</v>
      </c>
      <c r="B2787">
        <v>24147</v>
      </c>
      <c r="C2787" t="s">
        <v>2951</v>
      </c>
      <c r="D2787" t="s">
        <v>2376</v>
      </c>
      <c r="E2787" t="s">
        <v>2454</v>
      </c>
      <c r="F2787">
        <v>8122</v>
      </c>
      <c r="G2787">
        <v>1</v>
      </c>
      <c r="H2787" t="s">
        <v>16</v>
      </c>
      <c r="I2787" s="1">
        <v>-2037100</v>
      </c>
      <c r="J2787" s="1">
        <v>-4566100</v>
      </c>
      <c r="K2787">
        <v>693</v>
      </c>
      <c r="L2787">
        <v>418</v>
      </c>
      <c r="M2787" t="s">
        <v>16</v>
      </c>
    </row>
    <row r="2788" spans="1:13" x14ac:dyDescent="0.35">
      <c r="A2788">
        <v>314655</v>
      </c>
      <c r="B2788">
        <v>55735</v>
      </c>
      <c r="C2788" t="s">
        <v>2952</v>
      </c>
      <c r="D2788" t="s">
        <v>2376</v>
      </c>
      <c r="E2788" t="s">
        <v>2594</v>
      </c>
      <c r="F2788">
        <v>5979</v>
      </c>
      <c r="G2788">
        <v>1</v>
      </c>
      <c r="H2788" t="s">
        <v>16</v>
      </c>
      <c r="I2788" s="1">
        <v>-1551700</v>
      </c>
      <c r="J2788" s="1">
        <v>-4306500</v>
      </c>
      <c r="K2788">
        <v>520</v>
      </c>
      <c r="L2788">
        <v>785</v>
      </c>
      <c r="M2788" t="s">
        <v>16</v>
      </c>
    </row>
    <row r="2789" spans="1:13" x14ac:dyDescent="0.35">
      <c r="A2789">
        <v>314660</v>
      </c>
      <c r="B2789">
        <v>24155</v>
      </c>
      <c r="C2789" t="s">
        <v>2953</v>
      </c>
      <c r="D2789" t="s">
        <v>2376</v>
      </c>
      <c r="E2789" t="s">
        <v>2437</v>
      </c>
      <c r="F2789">
        <v>1630</v>
      </c>
      <c r="G2789">
        <v>1</v>
      </c>
      <c r="H2789" t="s">
        <v>16</v>
      </c>
      <c r="I2789" s="1">
        <v>-2128900</v>
      </c>
      <c r="J2789" s="1">
        <v>-4341600</v>
      </c>
      <c r="K2789">
        <v>568</v>
      </c>
      <c r="L2789">
        <v>58</v>
      </c>
      <c r="M2789" t="s">
        <v>16</v>
      </c>
    </row>
    <row r="2790" spans="1:13" x14ac:dyDescent="0.35">
      <c r="A2790">
        <v>314670</v>
      </c>
      <c r="B2790">
        <v>24163</v>
      </c>
      <c r="C2790" t="s">
        <v>2954</v>
      </c>
      <c r="D2790" t="s">
        <v>2376</v>
      </c>
      <c r="E2790" t="s">
        <v>2406</v>
      </c>
      <c r="F2790">
        <v>6118</v>
      </c>
      <c r="G2790">
        <v>1</v>
      </c>
      <c r="H2790" t="s">
        <v>16</v>
      </c>
      <c r="I2790" s="1">
        <v>-2137500</v>
      </c>
      <c r="J2790" s="1">
        <v>-4231400</v>
      </c>
      <c r="K2790">
        <v>172</v>
      </c>
      <c r="L2790">
        <v>317</v>
      </c>
      <c r="M2790" t="s">
        <v>16</v>
      </c>
    </row>
    <row r="2791" spans="1:13" x14ac:dyDescent="0.35">
      <c r="A2791">
        <v>314675</v>
      </c>
      <c r="B2791">
        <v>50750</v>
      </c>
      <c r="C2791" t="s">
        <v>2955</v>
      </c>
      <c r="D2791" t="s">
        <v>2376</v>
      </c>
      <c r="E2791" t="s">
        <v>2410</v>
      </c>
      <c r="F2791">
        <v>7041</v>
      </c>
      <c r="G2791">
        <v>1</v>
      </c>
      <c r="H2791" t="s">
        <v>16</v>
      </c>
      <c r="I2791" s="1">
        <v>-1673500</v>
      </c>
      <c r="J2791" s="1">
        <v>-4042000</v>
      </c>
      <c r="K2791">
        <v>600</v>
      </c>
      <c r="L2791">
        <v>436</v>
      </c>
      <c r="M2791" t="s">
        <v>16</v>
      </c>
    </row>
    <row r="2792" spans="1:13" x14ac:dyDescent="0.35">
      <c r="A2792">
        <v>314690</v>
      </c>
      <c r="B2792">
        <v>24180</v>
      </c>
      <c r="C2792" t="s">
        <v>2956</v>
      </c>
      <c r="D2792" t="s">
        <v>2376</v>
      </c>
      <c r="E2792" t="s">
        <v>2435</v>
      </c>
      <c r="F2792">
        <v>14410</v>
      </c>
      <c r="G2792">
        <v>1</v>
      </c>
      <c r="H2792" t="s">
        <v>16</v>
      </c>
      <c r="I2792" s="1">
        <v>-1944900</v>
      </c>
      <c r="J2792" s="1">
        <v>-4474800</v>
      </c>
      <c r="K2792">
        <v>718</v>
      </c>
      <c r="L2792">
        <v>552</v>
      </c>
      <c r="M2792" t="s">
        <v>16</v>
      </c>
    </row>
    <row r="2793" spans="1:13" x14ac:dyDescent="0.35">
      <c r="A2793">
        <v>314700</v>
      </c>
      <c r="B2793">
        <v>24198</v>
      </c>
      <c r="C2793" t="s">
        <v>2511</v>
      </c>
      <c r="D2793" t="s">
        <v>2376</v>
      </c>
      <c r="E2793" t="s">
        <v>2511</v>
      </c>
      <c r="F2793">
        <v>79739</v>
      </c>
      <c r="G2793">
        <v>2</v>
      </c>
      <c r="H2793" t="s">
        <v>16</v>
      </c>
      <c r="I2793" s="1">
        <v>-1722200</v>
      </c>
      <c r="J2793" s="1">
        <v>-4687500</v>
      </c>
      <c r="K2793">
        <v>687</v>
      </c>
      <c r="L2793">
        <v>8232</v>
      </c>
      <c r="M2793" t="s">
        <v>16</v>
      </c>
    </row>
    <row r="2794" spans="1:13" x14ac:dyDescent="0.35">
      <c r="A2794">
        <v>314710</v>
      </c>
      <c r="B2794">
        <v>24201</v>
      </c>
      <c r="C2794" t="s">
        <v>2957</v>
      </c>
      <c r="D2794" t="s">
        <v>2376</v>
      </c>
      <c r="E2794" t="s">
        <v>2715</v>
      </c>
      <c r="F2794">
        <v>79852</v>
      </c>
      <c r="G2794">
        <v>4</v>
      </c>
      <c r="H2794" t="s">
        <v>2468</v>
      </c>
      <c r="I2794" s="1">
        <v>-1986000</v>
      </c>
      <c r="J2794" s="1">
        <v>-4460800</v>
      </c>
      <c r="K2794">
        <v>791</v>
      </c>
      <c r="L2794">
        <v>550</v>
      </c>
      <c r="M2794" t="s">
        <v>16</v>
      </c>
    </row>
    <row r="2795" spans="1:13" x14ac:dyDescent="0.35">
      <c r="A2795">
        <v>314720</v>
      </c>
      <c r="B2795">
        <v>24210</v>
      </c>
      <c r="C2795" t="s">
        <v>2958</v>
      </c>
      <c r="D2795" t="s">
        <v>2376</v>
      </c>
      <c r="E2795" t="s">
        <v>2407</v>
      </c>
      <c r="F2795">
        <v>19603</v>
      </c>
      <c r="G2795">
        <v>1</v>
      </c>
      <c r="H2795" t="s">
        <v>16</v>
      </c>
      <c r="I2795" s="1">
        <v>-2154700</v>
      </c>
      <c r="J2795" s="1">
        <v>-4573800</v>
      </c>
      <c r="K2795">
        <v>826</v>
      </c>
      <c r="L2795">
        <v>425</v>
      </c>
      <c r="M2795" t="s">
        <v>16</v>
      </c>
    </row>
    <row r="2796" spans="1:13" x14ac:dyDescent="0.35">
      <c r="A2796">
        <v>314730</v>
      </c>
      <c r="B2796">
        <v>24228</v>
      </c>
      <c r="C2796" t="s">
        <v>2959</v>
      </c>
      <c r="D2796" t="s">
        <v>2376</v>
      </c>
      <c r="E2796" t="s">
        <v>2518</v>
      </c>
      <c r="F2796">
        <v>18088</v>
      </c>
      <c r="G2796">
        <v>1</v>
      </c>
      <c r="H2796" t="s">
        <v>16</v>
      </c>
      <c r="I2796" s="1">
        <v>-2255400</v>
      </c>
      <c r="J2796" s="1">
        <v>-4578000</v>
      </c>
      <c r="K2796">
        <v>931</v>
      </c>
      <c r="L2796">
        <v>331</v>
      </c>
      <c r="M2796" t="s">
        <v>16</v>
      </c>
    </row>
    <row r="2797" spans="1:13" x14ac:dyDescent="0.35">
      <c r="A2797">
        <v>314740</v>
      </c>
      <c r="B2797">
        <v>24236</v>
      </c>
      <c r="C2797" t="s">
        <v>2960</v>
      </c>
      <c r="D2797" t="s">
        <v>2376</v>
      </c>
      <c r="E2797" t="s">
        <v>2435</v>
      </c>
      <c r="F2797">
        <v>22204</v>
      </c>
      <c r="G2797">
        <v>1</v>
      </c>
      <c r="H2797" t="s">
        <v>16</v>
      </c>
      <c r="I2797" s="1">
        <v>-1927400</v>
      </c>
      <c r="J2797" s="1">
        <v>-4440400</v>
      </c>
      <c r="K2797">
        <v>733</v>
      </c>
      <c r="L2797">
        <v>625</v>
      </c>
      <c r="M2797" t="s">
        <v>16</v>
      </c>
    </row>
    <row r="2798" spans="1:13" x14ac:dyDescent="0.35">
      <c r="A2798">
        <v>314750</v>
      </c>
      <c r="B2798">
        <v>24244</v>
      </c>
      <c r="C2798" t="s">
        <v>2961</v>
      </c>
      <c r="D2798" t="s">
        <v>2376</v>
      </c>
      <c r="E2798" t="s">
        <v>2422</v>
      </c>
      <c r="F2798">
        <v>1801</v>
      </c>
      <c r="G2798">
        <v>1</v>
      </c>
      <c r="H2798" t="s">
        <v>16</v>
      </c>
      <c r="I2798" s="1">
        <v>-1935300</v>
      </c>
      <c r="J2798" s="1">
        <v>-4313600</v>
      </c>
      <c r="K2798">
        <v>678</v>
      </c>
      <c r="L2798">
        <v>94</v>
      </c>
      <c r="M2798" t="s">
        <v>16</v>
      </c>
    </row>
    <row r="2799" spans="1:13" x14ac:dyDescent="0.35">
      <c r="A2799">
        <v>314760</v>
      </c>
      <c r="B2799">
        <v>24252</v>
      </c>
      <c r="C2799" t="s">
        <v>2962</v>
      </c>
      <c r="D2799" t="s">
        <v>2376</v>
      </c>
      <c r="E2799" t="s">
        <v>2402</v>
      </c>
      <c r="F2799">
        <v>15285</v>
      </c>
      <c r="G2799">
        <v>1</v>
      </c>
      <c r="H2799" t="s">
        <v>16</v>
      </c>
      <c r="I2799" s="1">
        <v>-2239000</v>
      </c>
      <c r="J2799" s="1">
        <v>-4496700</v>
      </c>
      <c r="K2799">
        <v>938</v>
      </c>
      <c r="L2799">
        <v>276</v>
      </c>
      <c r="M2799" t="s">
        <v>16</v>
      </c>
    </row>
    <row r="2800" spans="1:13" x14ac:dyDescent="0.35">
      <c r="A2800">
        <v>314770</v>
      </c>
      <c r="B2800">
        <v>24260</v>
      </c>
      <c r="C2800" t="s">
        <v>2963</v>
      </c>
      <c r="D2800" t="s">
        <v>2376</v>
      </c>
      <c r="E2800" t="s">
        <v>2502</v>
      </c>
      <c r="F2800">
        <v>8494</v>
      </c>
      <c r="G2800">
        <v>1</v>
      </c>
      <c r="H2800" t="s">
        <v>16</v>
      </c>
      <c r="I2800" s="1">
        <v>-2065100</v>
      </c>
      <c r="J2800" s="1">
        <v>-4449600</v>
      </c>
      <c r="K2800">
        <v>980</v>
      </c>
      <c r="L2800">
        <v>429</v>
      </c>
      <c r="M2800" t="s">
        <v>16</v>
      </c>
    </row>
    <row r="2801" spans="1:13" x14ac:dyDescent="0.35">
      <c r="A2801">
        <v>314780</v>
      </c>
      <c r="B2801">
        <v>24279</v>
      </c>
      <c r="C2801" t="s">
        <v>2964</v>
      </c>
      <c r="D2801" t="s">
        <v>2376</v>
      </c>
      <c r="E2801" t="s">
        <v>2400</v>
      </c>
      <c r="F2801">
        <v>2082</v>
      </c>
      <c r="G2801">
        <v>1</v>
      </c>
      <c r="H2801" t="s">
        <v>16</v>
      </c>
      <c r="I2801" s="1">
        <v>-2220900</v>
      </c>
      <c r="J2801" s="1">
        <v>-4423400</v>
      </c>
      <c r="K2801">
        <v>752</v>
      </c>
      <c r="L2801">
        <v>245</v>
      </c>
      <c r="M2801" t="s">
        <v>16</v>
      </c>
    </row>
    <row r="2802" spans="1:13" x14ac:dyDescent="0.35">
      <c r="A2802">
        <v>314790</v>
      </c>
      <c r="B2802">
        <v>24287</v>
      </c>
      <c r="C2802" t="s">
        <v>2414</v>
      </c>
      <c r="D2802" t="s">
        <v>2376</v>
      </c>
      <c r="E2802" t="s">
        <v>2414</v>
      </c>
      <c r="F2802">
        <v>102765</v>
      </c>
      <c r="G2802">
        <v>3</v>
      </c>
      <c r="H2802" t="s">
        <v>16</v>
      </c>
      <c r="I2802" s="1">
        <v>-2071900</v>
      </c>
      <c r="J2802" s="1">
        <v>-4661000</v>
      </c>
      <c r="K2802">
        <v>745</v>
      </c>
      <c r="L2802">
        <v>1339</v>
      </c>
      <c r="M2802" t="s">
        <v>16</v>
      </c>
    </row>
    <row r="2803" spans="1:13" x14ac:dyDescent="0.35">
      <c r="A2803">
        <v>314795</v>
      </c>
      <c r="B2803">
        <v>55743</v>
      </c>
      <c r="C2803" t="s">
        <v>2965</v>
      </c>
      <c r="D2803" t="s">
        <v>2376</v>
      </c>
      <c r="E2803" t="s">
        <v>2513</v>
      </c>
      <c r="F2803">
        <v>5346</v>
      </c>
      <c r="G2803">
        <v>1</v>
      </c>
      <c r="H2803" t="s">
        <v>16</v>
      </c>
      <c r="I2803" s="1">
        <v>-1607600</v>
      </c>
      <c r="J2803" s="1">
        <v>-4408200</v>
      </c>
      <c r="K2803">
        <v>752</v>
      </c>
      <c r="L2803">
        <v>444</v>
      </c>
      <c r="M2803" t="s">
        <v>16</v>
      </c>
    </row>
    <row r="2804" spans="1:13" x14ac:dyDescent="0.35">
      <c r="A2804">
        <v>314800</v>
      </c>
      <c r="B2804">
        <v>24295</v>
      </c>
      <c r="C2804" t="s">
        <v>2446</v>
      </c>
      <c r="D2804" t="s">
        <v>2376</v>
      </c>
      <c r="E2804" t="s">
        <v>2446</v>
      </c>
      <c r="F2804">
        <v>133054</v>
      </c>
      <c r="G2804">
        <v>3</v>
      </c>
      <c r="H2804" t="s">
        <v>16</v>
      </c>
      <c r="I2804" s="1">
        <v>-1857900</v>
      </c>
      <c r="J2804" s="1">
        <v>-4651800</v>
      </c>
      <c r="K2804">
        <v>832</v>
      </c>
      <c r="L2804">
        <v>3189</v>
      </c>
      <c r="M2804" t="s">
        <v>16</v>
      </c>
    </row>
    <row r="2805" spans="1:13" x14ac:dyDescent="0.35">
      <c r="A2805">
        <v>314810</v>
      </c>
      <c r="B2805">
        <v>24309</v>
      </c>
      <c r="C2805" t="s">
        <v>2966</v>
      </c>
      <c r="D2805" t="s">
        <v>2376</v>
      </c>
      <c r="E2805" t="s">
        <v>2377</v>
      </c>
      <c r="F2805">
        <v>81589</v>
      </c>
      <c r="G2805">
        <v>2</v>
      </c>
      <c r="H2805" t="s">
        <v>16</v>
      </c>
      <c r="I2805" s="1">
        <v>-1894400</v>
      </c>
      <c r="J2805" s="1">
        <v>-4699300</v>
      </c>
      <c r="K2805">
        <v>965</v>
      </c>
      <c r="L2805">
        <v>2866</v>
      </c>
      <c r="M2805" t="s">
        <v>16</v>
      </c>
    </row>
    <row r="2806" spans="1:13" x14ac:dyDescent="0.35">
      <c r="A2806">
        <v>314820</v>
      </c>
      <c r="B2806">
        <v>24317</v>
      </c>
      <c r="C2806" t="s">
        <v>2967</v>
      </c>
      <c r="D2806" t="s">
        <v>2376</v>
      </c>
      <c r="E2806" t="s">
        <v>2433</v>
      </c>
      <c r="F2806">
        <v>5319</v>
      </c>
      <c r="G2806">
        <v>1</v>
      </c>
      <c r="H2806" t="s">
        <v>16</v>
      </c>
      <c r="I2806" s="1">
        <v>-2115300</v>
      </c>
      <c r="J2806" s="1">
        <v>-4221500</v>
      </c>
      <c r="K2806">
        <v>179</v>
      </c>
      <c r="L2806">
        <v>108</v>
      </c>
      <c r="M2806" t="s">
        <v>16</v>
      </c>
    </row>
    <row r="2807" spans="1:13" x14ac:dyDescent="0.35">
      <c r="A2807">
        <v>314830</v>
      </c>
      <c r="B2807">
        <v>24325</v>
      </c>
      <c r="C2807" t="s">
        <v>2968</v>
      </c>
      <c r="D2807" t="s">
        <v>2376</v>
      </c>
      <c r="E2807" t="s">
        <v>1388</v>
      </c>
      <c r="F2807">
        <v>9086</v>
      </c>
      <c r="G2807">
        <v>1</v>
      </c>
      <c r="H2807" t="s">
        <v>16</v>
      </c>
      <c r="I2807" s="1">
        <v>-2087400</v>
      </c>
      <c r="J2807" s="1">
        <v>-4298000</v>
      </c>
      <c r="K2807">
        <v>731</v>
      </c>
      <c r="L2807">
        <v>268</v>
      </c>
      <c r="M2807" t="s">
        <v>16</v>
      </c>
    </row>
    <row r="2808" spans="1:13" x14ac:dyDescent="0.35">
      <c r="A2808">
        <v>314840</v>
      </c>
      <c r="B2808">
        <v>24333</v>
      </c>
      <c r="C2808" t="s">
        <v>2969</v>
      </c>
      <c r="D2808" t="s">
        <v>2376</v>
      </c>
      <c r="E2808" t="s">
        <v>2516</v>
      </c>
      <c r="F2808">
        <v>4893</v>
      </c>
      <c r="G2808">
        <v>1</v>
      </c>
      <c r="H2808" t="s">
        <v>16</v>
      </c>
      <c r="I2808" s="1">
        <v>-1842700</v>
      </c>
      <c r="J2808" s="1">
        <v>-4286800</v>
      </c>
      <c r="K2808">
        <v>747</v>
      </c>
      <c r="L2808">
        <v>220</v>
      </c>
      <c r="M2808" t="s">
        <v>16</v>
      </c>
    </row>
    <row r="2809" spans="1:13" x14ac:dyDescent="0.35">
      <c r="A2809">
        <v>314850</v>
      </c>
      <c r="B2809">
        <v>24341</v>
      </c>
      <c r="C2809" t="s">
        <v>2970</v>
      </c>
      <c r="D2809" t="s">
        <v>2376</v>
      </c>
      <c r="E2809" t="s">
        <v>2463</v>
      </c>
      <c r="F2809">
        <v>8868</v>
      </c>
      <c r="G2809">
        <v>1</v>
      </c>
      <c r="H2809" t="s">
        <v>16</v>
      </c>
      <c r="I2809" s="1">
        <v>-1742800</v>
      </c>
      <c r="J2809" s="1">
        <v>-4099900</v>
      </c>
      <c r="K2809">
        <v>228</v>
      </c>
      <c r="L2809">
        <v>599</v>
      </c>
      <c r="M2809" t="s">
        <v>16</v>
      </c>
    </row>
    <row r="2810" spans="1:13" x14ac:dyDescent="0.35">
      <c r="A2810">
        <v>314860</v>
      </c>
      <c r="B2810">
        <v>24350</v>
      </c>
      <c r="C2810" t="s">
        <v>2388</v>
      </c>
      <c r="D2810" t="s">
        <v>2376</v>
      </c>
      <c r="E2810" t="s">
        <v>2388</v>
      </c>
      <c r="F2810">
        <v>17157</v>
      </c>
      <c r="G2810">
        <v>1</v>
      </c>
      <c r="H2810" t="s">
        <v>16</v>
      </c>
      <c r="I2810" s="1">
        <v>-1854900</v>
      </c>
      <c r="J2810" s="1">
        <v>-4255700</v>
      </c>
      <c r="K2810">
        <v>780</v>
      </c>
      <c r="L2810">
        <v>995</v>
      </c>
      <c r="M2810" t="s">
        <v>16</v>
      </c>
    </row>
    <row r="2811" spans="1:13" x14ac:dyDescent="0.35">
      <c r="A2811">
        <v>314870</v>
      </c>
      <c r="B2811">
        <v>24368</v>
      </c>
      <c r="C2811" t="s">
        <v>2426</v>
      </c>
      <c r="D2811" t="s">
        <v>2376</v>
      </c>
      <c r="E2811" t="s">
        <v>2426</v>
      </c>
      <c r="F2811">
        <v>24851</v>
      </c>
      <c r="G2811">
        <v>1</v>
      </c>
      <c r="H2811" t="s">
        <v>16</v>
      </c>
      <c r="I2811" s="1">
        <v>-1600500</v>
      </c>
      <c r="J2811" s="1">
        <v>-4129700</v>
      </c>
      <c r="K2811">
        <v>617</v>
      </c>
      <c r="L2811">
        <v>1618</v>
      </c>
      <c r="M2811" t="s">
        <v>16</v>
      </c>
    </row>
    <row r="2812" spans="1:13" x14ac:dyDescent="0.35">
      <c r="A2812">
        <v>314875</v>
      </c>
      <c r="B2812">
        <v>55751</v>
      </c>
      <c r="C2812" t="s">
        <v>2971</v>
      </c>
      <c r="D2812" t="s">
        <v>2376</v>
      </c>
      <c r="E2812" t="s">
        <v>2381</v>
      </c>
      <c r="F2812">
        <v>6474</v>
      </c>
      <c r="G2812">
        <v>1</v>
      </c>
      <c r="H2812" t="s">
        <v>16</v>
      </c>
      <c r="I2812" s="1">
        <v>-2052100</v>
      </c>
      <c r="J2812" s="1">
        <v>-4233000</v>
      </c>
      <c r="K2812">
        <v>900</v>
      </c>
      <c r="L2812">
        <v>163</v>
      </c>
      <c r="M2812" t="s">
        <v>16</v>
      </c>
    </row>
    <row r="2813" spans="1:13" x14ac:dyDescent="0.35">
      <c r="A2813">
        <v>314880</v>
      </c>
      <c r="B2813">
        <v>24376</v>
      </c>
      <c r="C2813" t="s">
        <v>2972</v>
      </c>
      <c r="D2813" t="s">
        <v>2376</v>
      </c>
      <c r="E2813" t="s">
        <v>1388</v>
      </c>
      <c r="F2813">
        <v>3672</v>
      </c>
      <c r="G2813">
        <v>1</v>
      </c>
      <c r="H2813" t="s">
        <v>16</v>
      </c>
      <c r="I2813" s="1">
        <v>-2059700</v>
      </c>
      <c r="J2813" s="1">
        <v>-4271400</v>
      </c>
      <c r="K2813">
        <v>632</v>
      </c>
      <c r="L2813">
        <v>163</v>
      </c>
      <c r="M2813" t="s">
        <v>16</v>
      </c>
    </row>
    <row r="2814" spans="1:13" x14ac:dyDescent="0.35">
      <c r="A2814">
        <v>314890</v>
      </c>
      <c r="B2814">
        <v>24384</v>
      </c>
      <c r="C2814" t="s">
        <v>2973</v>
      </c>
      <c r="D2814" t="s">
        <v>2376</v>
      </c>
      <c r="E2814" t="s">
        <v>2454</v>
      </c>
      <c r="F2814">
        <v>3921</v>
      </c>
      <c r="G2814">
        <v>1</v>
      </c>
      <c r="H2814" t="s">
        <v>16</v>
      </c>
      <c r="I2814" s="1">
        <v>-2025800</v>
      </c>
      <c r="J2814" s="1">
        <v>-4520900</v>
      </c>
      <c r="K2814">
        <v>837</v>
      </c>
      <c r="L2814">
        <v>349</v>
      </c>
      <c r="M2814" t="s">
        <v>16</v>
      </c>
    </row>
    <row r="2815" spans="1:13" x14ac:dyDescent="0.35">
      <c r="A2815">
        <v>314900</v>
      </c>
      <c r="B2815">
        <v>24392</v>
      </c>
      <c r="C2815" t="s">
        <v>2974</v>
      </c>
      <c r="D2815" t="s">
        <v>2376</v>
      </c>
      <c r="E2815" t="s">
        <v>2433</v>
      </c>
      <c r="F2815">
        <v>2100</v>
      </c>
      <c r="G2815">
        <v>1</v>
      </c>
      <c r="H2815" t="s">
        <v>16</v>
      </c>
      <c r="I2815" s="1">
        <v>-2083000</v>
      </c>
      <c r="J2815" s="1">
        <v>-4215400</v>
      </c>
      <c r="K2815">
        <v>741</v>
      </c>
      <c r="L2815">
        <v>70</v>
      </c>
      <c r="M2815" t="s">
        <v>16</v>
      </c>
    </row>
    <row r="2816" spans="1:13" x14ac:dyDescent="0.35">
      <c r="A2816">
        <v>314910</v>
      </c>
      <c r="B2816">
        <v>24406</v>
      </c>
      <c r="C2816" t="s">
        <v>2975</v>
      </c>
      <c r="D2816" t="s">
        <v>2376</v>
      </c>
      <c r="E2816" t="s">
        <v>2530</v>
      </c>
      <c r="F2816">
        <v>11184</v>
      </c>
      <c r="G2816">
        <v>1</v>
      </c>
      <c r="H2816" t="s">
        <v>16</v>
      </c>
      <c r="I2816" s="1">
        <v>-2224300</v>
      </c>
      <c r="J2816" s="1">
        <v>-4546600</v>
      </c>
      <c r="K2816">
        <v>911</v>
      </c>
      <c r="L2816">
        <v>217</v>
      </c>
      <c r="M2816" t="s">
        <v>16</v>
      </c>
    </row>
    <row r="2817" spans="1:13" x14ac:dyDescent="0.35">
      <c r="A2817">
        <v>314915</v>
      </c>
      <c r="B2817">
        <v>50768</v>
      </c>
      <c r="C2817" t="s">
        <v>2976</v>
      </c>
      <c r="D2817" t="s">
        <v>2376</v>
      </c>
      <c r="E2817" t="s">
        <v>2505</v>
      </c>
      <c r="F2817">
        <v>10976</v>
      </c>
      <c r="G2817">
        <v>1</v>
      </c>
      <c r="H2817" t="s">
        <v>16</v>
      </c>
      <c r="I2817" s="1">
        <v>-1560700</v>
      </c>
      <c r="J2817" s="1">
        <v>-4439100</v>
      </c>
      <c r="K2817">
        <v>476</v>
      </c>
      <c r="L2817">
        <v>1520</v>
      </c>
      <c r="M2817" t="s">
        <v>16</v>
      </c>
    </row>
    <row r="2818" spans="1:13" x14ac:dyDescent="0.35">
      <c r="A2818">
        <v>314920</v>
      </c>
      <c r="B2818">
        <v>24414</v>
      </c>
      <c r="C2818" t="s">
        <v>2977</v>
      </c>
      <c r="D2818" t="s">
        <v>2376</v>
      </c>
      <c r="E2818" t="s">
        <v>2450</v>
      </c>
      <c r="F2818">
        <v>3448</v>
      </c>
      <c r="G2818">
        <v>1</v>
      </c>
      <c r="H2818" t="s">
        <v>16</v>
      </c>
      <c r="I2818" s="1">
        <v>-1922800</v>
      </c>
      <c r="J2818" s="1">
        <v>-4746200</v>
      </c>
      <c r="K2818">
        <v>918</v>
      </c>
      <c r="L2818">
        <v>357</v>
      </c>
      <c r="M2818" t="s">
        <v>16</v>
      </c>
    </row>
    <row r="2819" spans="1:13" x14ac:dyDescent="0.35">
      <c r="A2819">
        <v>314930</v>
      </c>
      <c r="B2819">
        <v>24422</v>
      </c>
      <c r="C2819" t="s">
        <v>2978</v>
      </c>
      <c r="D2819" t="s">
        <v>2376</v>
      </c>
      <c r="E2819" t="s">
        <v>2479</v>
      </c>
      <c r="F2819">
        <v>56518</v>
      </c>
      <c r="G2819">
        <v>4</v>
      </c>
      <c r="H2819" t="s">
        <v>2468</v>
      </c>
      <c r="I2819" s="1">
        <v>-1961800</v>
      </c>
      <c r="J2819" s="1">
        <v>-4404300</v>
      </c>
      <c r="K2819">
        <v>710</v>
      </c>
      <c r="L2819">
        <v>291</v>
      </c>
      <c r="M2819" t="s">
        <v>16</v>
      </c>
    </row>
    <row r="2820" spans="1:13" x14ac:dyDescent="0.35">
      <c r="A2820">
        <v>314940</v>
      </c>
      <c r="B2820">
        <v>24430</v>
      </c>
      <c r="C2820" t="s">
        <v>2979</v>
      </c>
      <c r="D2820" t="s">
        <v>2376</v>
      </c>
      <c r="E2820" t="s">
        <v>2437</v>
      </c>
      <c r="F2820">
        <v>1658</v>
      </c>
      <c r="G2820">
        <v>1</v>
      </c>
      <c r="H2820" t="s">
        <v>16</v>
      </c>
      <c r="I2820" s="1">
        <v>-2170600</v>
      </c>
      <c r="J2820" s="1">
        <v>-4374600</v>
      </c>
      <c r="K2820">
        <v>818</v>
      </c>
      <c r="L2820">
        <v>113</v>
      </c>
      <c r="M2820" t="s">
        <v>16</v>
      </c>
    </row>
    <row r="2821" spans="1:13" x14ac:dyDescent="0.35">
      <c r="A2821">
        <v>314950</v>
      </c>
      <c r="B2821">
        <v>24449</v>
      </c>
      <c r="C2821" t="s">
        <v>2980</v>
      </c>
      <c r="D2821" t="s">
        <v>2376</v>
      </c>
      <c r="E2821" t="s">
        <v>2437</v>
      </c>
      <c r="F2821">
        <v>2997</v>
      </c>
      <c r="G2821">
        <v>1</v>
      </c>
      <c r="H2821" t="s">
        <v>16</v>
      </c>
      <c r="I2821" s="1">
        <v>-2183400</v>
      </c>
      <c r="J2821" s="1">
        <v>-4312100</v>
      </c>
      <c r="K2821">
        <v>571</v>
      </c>
      <c r="L2821">
        <v>90</v>
      </c>
      <c r="M2821" t="s">
        <v>16</v>
      </c>
    </row>
    <row r="2822" spans="1:13" x14ac:dyDescent="0.35">
      <c r="A2822">
        <v>314960</v>
      </c>
      <c r="B2822">
        <v>24457</v>
      </c>
      <c r="C2822" t="s">
        <v>2981</v>
      </c>
      <c r="D2822" t="s">
        <v>2376</v>
      </c>
      <c r="E2822" t="s">
        <v>2435</v>
      </c>
      <c r="F2822">
        <v>4232</v>
      </c>
      <c r="G2822">
        <v>1</v>
      </c>
      <c r="H2822" t="s">
        <v>16</v>
      </c>
      <c r="I2822" s="1">
        <v>-1963300</v>
      </c>
      <c r="J2822" s="1">
        <v>-4465900</v>
      </c>
      <c r="K2822">
        <v>810</v>
      </c>
      <c r="L2822">
        <v>204</v>
      </c>
      <c r="M2822" t="s">
        <v>16</v>
      </c>
    </row>
    <row r="2823" spans="1:13" x14ac:dyDescent="0.35">
      <c r="A2823">
        <v>314970</v>
      </c>
      <c r="B2823">
        <v>24465</v>
      </c>
      <c r="C2823" t="s">
        <v>2982</v>
      </c>
      <c r="D2823" t="s">
        <v>2376</v>
      </c>
      <c r="E2823" t="s">
        <v>2575</v>
      </c>
      <c r="F2823">
        <v>7310</v>
      </c>
      <c r="G2823">
        <v>1</v>
      </c>
      <c r="H2823" t="s">
        <v>16</v>
      </c>
      <c r="I2823" s="1">
        <v>-1995300</v>
      </c>
      <c r="J2823" s="1">
        <v>-4508400</v>
      </c>
      <c r="K2823">
        <v>852</v>
      </c>
      <c r="L2823">
        <v>249</v>
      </c>
      <c r="M2823" t="s">
        <v>16</v>
      </c>
    </row>
    <row r="2824" spans="1:13" x14ac:dyDescent="0.35">
      <c r="A2824">
        <v>314980</v>
      </c>
      <c r="B2824">
        <v>24473</v>
      </c>
      <c r="C2824" t="s">
        <v>2983</v>
      </c>
      <c r="D2824" t="s">
        <v>2376</v>
      </c>
      <c r="E2824" t="s">
        <v>2450</v>
      </c>
      <c r="F2824">
        <v>13924</v>
      </c>
      <c r="G2824">
        <v>1</v>
      </c>
      <c r="H2824" t="s">
        <v>16</v>
      </c>
      <c r="I2824" s="1">
        <v>-1935300</v>
      </c>
      <c r="J2824" s="1">
        <v>-4729300</v>
      </c>
      <c r="K2824">
        <v>1000</v>
      </c>
      <c r="L2824">
        <v>2450</v>
      </c>
      <c r="M2824" t="s">
        <v>16</v>
      </c>
    </row>
    <row r="2825" spans="1:13" x14ac:dyDescent="0.35">
      <c r="A2825">
        <v>314990</v>
      </c>
      <c r="B2825">
        <v>24481</v>
      </c>
      <c r="C2825" t="s">
        <v>2984</v>
      </c>
      <c r="D2825" t="s">
        <v>2376</v>
      </c>
      <c r="E2825" t="s">
        <v>2392</v>
      </c>
      <c r="F2825">
        <v>19407</v>
      </c>
      <c r="G2825">
        <v>1</v>
      </c>
      <c r="H2825" t="s">
        <v>16</v>
      </c>
      <c r="I2825" s="1">
        <v>-2109100</v>
      </c>
      <c r="J2825" s="1">
        <v>-4509100</v>
      </c>
      <c r="K2825">
        <v>842</v>
      </c>
      <c r="L2825">
        <v>276</v>
      </c>
      <c r="M2825" t="s">
        <v>16</v>
      </c>
    </row>
    <row r="2826" spans="1:13" x14ac:dyDescent="0.35">
      <c r="A2826">
        <v>314995</v>
      </c>
      <c r="B2826">
        <v>55760</v>
      </c>
      <c r="C2826" t="s">
        <v>2985</v>
      </c>
      <c r="D2826" t="s">
        <v>2376</v>
      </c>
      <c r="E2826" t="s">
        <v>2385</v>
      </c>
      <c r="F2826">
        <v>7030</v>
      </c>
      <c r="G2826">
        <v>4</v>
      </c>
      <c r="H2826" t="s">
        <v>2386</v>
      </c>
      <c r="I2826" s="1">
        <v>-1915800</v>
      </c>
      <c r="J2826" s="1">
        <v>-4223400</v>
      </c>
      <c r="K2826">
        <v>231</v>
      </c>
      <c r="L2826">
        <v>227</v>
      </c>
      <c r="M2826" t="s">
        <v>16</v>
      </c>
    </row>
    <row r="2827" spans="1:13" x14ac:dyDescent="0.35">
      <c r="A2827">
        <v>315000</v>
      </c>
      <c r="B2827">
        <v>24490</v>
      </c>
      <c r="C2827" t="s">
        <v>2986</v>
      </c>
      <c r="D2827" t="s">
        <v>2376</v>
      </c>
      <c r="E2827" t="s">
        <v>2412</v>
      </c>
      <c r="F2827">
        <v>4056</v>
      </c>
      <c r="G2827">
        <v>1</v>
      </c>
      <c r="H2827" t="s">
        <v>16</v>
      </c>
      <c r="I2827" s="1">
        <v>-1835700</v>
      </c>
      <c r="J2827" s="1">
        <v>-4159800</v>
      </c>
      <c r="K2827">
        <v>442</v>
      </c>
      <c r="L2827">
        <v>317</v>
      </c>
      <c r="M2827" t="s">
        <v>16</v>
      </c>
    </row>
    <row r="2828" spans="1:13" x14ac:dyDescent="0.35">
      <c r="A2828">
        <v>315010</v>
      </c>
      <c r="B2828">
        <v>24503</v>
      </c>
      <c r="C2828" t="s">
        <v>2987</v>
      </c>
      <c r="D2828" t="s">
        <v>2376</v>
      </c>
      <c r="E2828" t="s">
        <v>2437</v>
      </c>
      <c r="F2828">
        <v>2973</v>
      </c>
      <c r="G2828">
        <v>1</v>
      </c>
      <c r="H2828" t="s">
        <v>16</v>
      </c>
      <c r="I2828" s="1">
        <v>-2150900</v>
      </c>
      <c r="J2828" s="1">
        <v>-4332300</v>
      </c>
      <c r="K2828">
        <v>462</v>
      </c>
      <c r="L2828">
        <v>191</v>
      </c>
      <c r="M2828" t="s">
        <v>16</v>
      </c>
    </row>
    <row r="2829" spans="1:13" x14ac:dyDescent="0.35">
      <c r="A2829">
        <v>315015</v>
      </c>
      <c r="B2829">
        <v>55778</v>
      </c>
      <c r="C2829" t="s">
        <v>2988</v>
      </c>
      <c r="D2829" t="s">
        <v>2376</v>
      </c>
      <c r="E2829" t="s">
        <v>2499</v>
      </c>
      <c r="F2829">
        <v>6444</v>
      </c>
      <c r="G2829">
        <v>1</v>
      </c>
      <c r="H2829" t="s">
        <v>16</v>
      </c>
      <c r="I2829" s="1">
        <v>-1975900</v>
      </c>
      <c r="J2829" s="1">
        <v>-4207600</v>
      </c>
      <c r="K2829">
        <v>900</v>
      </c>
      <c r="L2829">
        <v>110</v>
      </c>
      <c r="M2829" t="s">
        <v>16</v>
      </c>
    </row>
    <row r="2830" spans="1:13" x14ac:dyDescent="0.35">
      <c r="A2830">
        <v>315020</v>
      </c>
      <c r="B2830">
        <v>24511</v>
      </c>
      <c r="C2830" t="s">
        <v>2989</v>
      </c>
      <c r="D2830" t="s">
        <v>2376</v>
      </c>
      <c r="E2830" t="s">
        <v>2383</v>
      </c>
      <c r="F2830">
        <v>4113</v>
      </c>
      <c r="G2830">
        <v>1</v>
      </c>
      <c r="H2830" t="s">
        <v>16</v>
      </c>
      <c r="I2830" s="1">
        <v>-2024500</v>
      </c>
      <c r="J2830" s="1">
        <v>-4273400</v>
      </c>
      <c r="K2830">
        <v>421</v>
      </c>
      <c r="L2830">
        <v>84</v>
      </c>
      <c r="M2830" t="s">
        <v>16</v>
      </c>
    </row>
    <row r="2831" spans="1:13" x14ac:dyDescent="0.35">
      <c r="A2831">
        <v>315030</v>
      </c>
      <c r="B2831">
        <v>24520</v>
      </c>
      <c r="C2831" t="s">
        <v>2990</v>
      </c>
      <c r="D2831" t="s">
        <v>2376</v>
      </c>
      <c r="E2831" t="s">
        <v>2589</v>
      </c>
      <c r="F2831">
        <v>4781</v>
      </c>
      <c r="G2831">
        <v>1</v>
      </c>
      <c r="H2831" t="s">
        <v>16</v>
      </c>
      <c r="I2831" s="1">
        <v>-2146900</v>
      </c>
      <c r="J2831" s="1">
        <v>-4419600</v>
      </c>
      <c r="K2831">
        <v>1022</v>
      </c>
      <c r="L2831">
        <v>322</v>
      </c>
      <c r="M2831" t="s">
        <v>16</v>
      </c>
    </row>
    <row r="2832" spans="1:13" x14ac:dyDescent="0.35">
      <c r="A2832">
        <v>315040</v>
      </c>
      <c r="B2832">
        <v>24538</v>
      </c>
      <c r="C2832" t="s">
        <v>2991</v>
      </c>
      <c r="D2832" t="s">
        <v>2376</v>
      </c>
      <c r="E2832" t="s">
        <v>2482</v>
      </c>
      <c r="F2832">
        <v>4542</v>
      </c>
      <c r="G2832">
        <v>1</v>
      </c>
      <c r="H2832" t="s">
        <v>16</v>
      </c>
      <c r="I2832" s="1">
        <v>-2047100</v>
      </c>
      <c r="J2832" s="1">
        <v>-4422700</v>
      </c>
      <c r="K2832">
        <v>995</v>
      </c>
      <c r="L2832">
        <v>260</v>
      </c>
      <c r="M2832" t="s">
        <v>16</v>
      </c>
    </row>
    <row r="2833" spans="1:13" x14ac:dyDescent="0.35">
      <c r="A2833">
        <v>315050</v>
      </c>
      <c r="B2833">
        <v>24546</v>
      </c>
      <c r="C2833" t="s">
        <v>2992</v>
      </c>
      <c r="D2833" t="s">
        <v>2376</v>
      </c>
      <c r="E2833" t="s">
        <v>2454</v>
      </c>
      <c r="F2833">
        <v>8164</v>
      </c>
      <c r="G2833">
        <v>1</v>
      </c>
      <c r="H2833" t="s">
        <v>16</v>
      </c>
      <c r="I2833" s="1">
        <v>-2048400</v>
      </c>
      <c r="J2833" s="1">
        <v>-4579900</v>
      </c>
      <c r="K2833">
        <v>776</v>
      </c>
      <c r="L2833">
        <v>415</v>
      </c>
      <c r="M2833" t="s">
        <v>16</v>
      </c>
    </row>
    <row r="2834" spans="1:13" x14ac:dyDescent="0.35">
      <c r="A2834">
        <v>315053</v>
      </c>
      <c r="B2834">
        <v>55786</v>
      </c>
      <c r="C2834" t="s">
        <v>2993</v>
      </c>
      <c r="D2834" t="s">
        <v>2376</v>
      </c>
      <c r="E2834" t="s">
        <v>2499</v>
      </c>
      <c r="F2834">
        <v>4016</v>
      </c>
      <c r="G2834">
        <v>4</v>
      </c>
      <c r="H2834" t="s">
        <v>2386</v>
      </c>
      <c r="I2834" s="1">
        <v>-1972700</v>
      </c>
      <c r="J2834" s="1">
        <v>-4240800</v>
      </c>
      <c r="K2834">
        <v>200</v>
      </c>
      <c r="L2834">
        <v>66</v>
      </c>
      <c r="M2834" t="s">
        <v>16</v>
      </c>
    </row>
    <row r="2835" spans="1:13" x14ac:dyDescent="0.35">
      <c r="A2835">
        <v>315057</v>
      </c>
      <c r="B2835">
        <v>55794</v>
      </c>
      <c r="C2835" t="s">
        <v>2994</v>
      </c>
      <c r="D2835" t="s">
        <v>2376</v>
      </c>
      <c r="E2835" t="s">
        <v>2505</v>
      </c>
      <c r="F2835">
        <v>7727</v>
      </c>
      <c r="G2835">
        <v>1</v>
      </c>
      <c r="H2835" t="s">
        <v>16</v>
      </c>
      <c r="I2835" s="1">
        <v>-1605900</v>
      </c>
      <c r="J2835" s="1">
        <v>-4515600</v>
      </c>
      <c r="K2835">
        <v>516</v>
      </c>
      <c r="L2835">
        <v>1238</v>
      </c>
      <c r="M2835" t="s">
        <v>16</v>
      </c>
    </row>
    <row r="2836" spans="1:13" x14ac:dyDescent="0.35">
      <c r="A2836">
        <v>315060</v>
      </c>
      <c r="B2836">
        <v>24554</v>
      </c>
      <c r="C2836" t="s">
        <v>2995</v>
      </c>
      <c r="D2836" t="s">
        <v>2376</v>
      </c>
      <c r="E2836" t="s">
        <v>2502</v>
      </c>
      <c r="F2836">
        <v>6554</v>
      </c>
      <c r="G2836">
        <v>1</v>
      </c>
      <c r="H2836" t="s">
        <v>16</v>
      </c>
      <c r="I2836" s="1">
        <v>-2050800</v>
      </c>
      <c r="J2836" s="1">
        <v>-4448300</v>
      </c>
      <c r="K2836">
        <v>872</v>
      </c>
      <c r="L2836">
        <v>280</v>
      </c>
      <c r="M2836" t="s">
        <v>16</v>
      </c>
    </row>
    <row r="2837" spans="1:13" x14ac:dyDescent="0.35">
      <c r="A2837">
        <v>315070</v>
      </c>
      <c r="B2837">
        <v>24562</v>
      </c>
      <c r="C2837" t="s">
        <v>2996</v>
      </c>
      <c r="D2837" t="s">
        <v>2376</v>
      </c>
      <c r="E2837" t="s">
        <v>2545</v>
      </c>
      <c r="F2837">
        <v>3694</v>
      </c>
      <c r="G2837">
        <v>1</v>
      </c>
      <c r="H2837" t="s">
        <v>16</v>
      </c>
      <c r="I2837" s="1">
        <v>-1990700</v>
      </c>
      <c r="J2837" s="1">
        <v>-4870100</v>
      </c>
      <c r="K2837">
        <v>525</v>
      </c>
      <c r="L2837">
        <v>331</v>
      </c>
      <c r="M2837" t="s">
        <v>16</v>
      </c>
    </row>
    <row r="2838" spans="1:13" x14ac:dyDescent="0.35">
      <c r="A2838">
        <v>315080</v>
      </c>
      <c r="B2838">
        <v>24570</v>
      </c>
      <c r="C2838" t="s">
        <v>2997</v>
      </c>
      <c r="D2838" t="s">
        <v>2376</v>
      </c>
      <c r="E2838" t="s">
        <v>1388</v>
      </c>
      <c r="F2838">
        <v>17208</v>
      </c>
      <c r="G2838">
        <v>1</v>
      </c>
      <c r="H2838" t="s">
        <v>16</v>
      </c>
      <c r="I2838" s="1">
        <v>-2068500</v>
      </c>
      <c r="J2838" s="1">
        <v>-4330000</v>
      </c>
      <c r="K2838">
        <v>620</v>
      </c>
      <c r="L2838">
        <v>657</v>
      </c>
      <c r="M2838" t="s">
        <v>16</v>
      </c>
    </row>
    <row r="2839" spans="1:13" x14ac:dyDescent="0.35">
      <c r="A2839">
        <v>315090</v>
      </c>
      <c r="B2839">
        <v>24589</v>
      </c>
      <c r="C2839" t="s">
        <v>2998</v>
      </c>
      <c r="D2839" t="s">
        <v>2376</v>
      </c>
      <c r="E2839" t="s">
        <v>2518</v>
      </c>
      <c r="F2839">
        <v>5113</v>
      </c>
      <c r="G2839">
        <v>1</v>
      </c>
      <c r="H2839" t="s">
        <v>16</v>
      </c>
      <c r="I2839" s="1">
        <v>-2252800</v>
      </c>
      <c r="J2839" s="1">
        <v>-4549500</v>
      </c>
      <c r="K2839">
        <v>907</v>
      </c>
      <c r="L2839">
        <v>206</v>
      </c>
      <c r="M2839" t="s">
        <v>16</v>
      </c>
    </row>
    <row r="2840" spans="1:13" x14ac:dyDescent="0.35">
      <c r="A2840">
        <v>315100</v>
      </c>
      <c r="B2840">
        <v>24597</v>
      </c>
      <c r="C2840" t="s">
        <v>2999</v>
      </c>
      <c r="D2840" t="s">
        <v>2376</v>
      </c>
      <c r="E2840" t="s">
        <v>2518</v>
      </c>
      <c r="F2840">
        <v>7849</v>
      </c>
      <c r="G2840">
        <v>1</v>
      </c>
      <c r="H2840" t="s">
        <v>16</v>
      </c>
      <c r="I2840" s="1">
        <v>-2240100</v>
      </c>
      <c r="J2840" s="1">
        <v>-4553200</v>
      </c>
      <c r="K2840">
        <v>837</v>
      </c>
      <c r="L2840">
        <v>130</v>
      </c>
      <c r="M2840" t="s">
        <v>16</v>
      </c>
    </row>
    <row r="2841" spans="1:13" x14ac:dyDescent="0.35">
      <c r="A2841">
        <v>315110</v>
      </c>
      <c r="B2841">
        <v>24600</v>
      </c>
      <c r="C2841" t="s">
        <v>3000</v>
      </c>
      <c r="D2841" t="s">
        <v>2376</v>
      </c>
      <c r="E2841" t="s">
        <v>2406</v>
      </c>
      <c r="F2841">
        <v>10240</v>
      </c>
      <c r="G2841">
        <v>1</v>
      </c>
      <c r="H2841" t="s">
        <v>16</v>
      </c>
      <c r="I2841" s="1">
        <v>-2165600</v>
      </c>
      <c r="J2841" s="1">
        <v>-4234600</v>
      </c>
      <c r="K2841">
        <v>152</v>
      </c>
      <c r="L2841">
        <v>192</v>
      </c>
      <c r="M2841" t="s">
        <v>16</v>
      </c>
    </row>
    <row r="2842" spans="1:13" x14ac:dyDescent="0.35">
      <c r="A2842">
        <v>315120</v>
      </c>
      <c r="B2842">
        <v>24619</v>
      </c>
      <c r="C2842" t="s">
        <v>2525</v>
      </c>
      <c r="D2842" t="s">
        <v>2376</v>
      </c>
      <c r="E2842" t="s">
        <v>2525</v>
      </c>
      <c r="F2842">
        <v>51636</v>
      </c>
      <c r="G2842">
        <v>2</v>
      </c>
      <c r="H2842" t="s">
        <v>16</v>
      </c>
      <c r="I2842" s="1">
        <v>-1734500</v>
      </c>
      <c r="J2842" s="1">
        <v>-4494200</v>
      </c>
      <c r="K2842">
        <v>489</v>
      </c>
      <c r="L2842">
        <v>575</v>
      </c>
      <c r="M2842" t="s">
        <v>16</v>
      </c>
    </row>
    <row r="2843" spans="1:13" x14ac:dyDescent="0.35">
      <c r="A2843">
        <v>315130</v>
      </c>
      <c r="B2843">
        <v>24627</v>
      </c>
      <c r="C2843" t="s">
        <v>3001</v>
      </c>
      <c r="D2843" t="s">
        <v>2376</v>
      </c>
      <c r="E2843" t="s">
        <v>2461</v>
      </c>
      <c r="F2843">
        <v>10686</v>
      </c>
      <c r="G2843">
        <v>1</v>
      </c>
      <c r="H2843" t="s">
        <v>16</v>
      </c>
      <c r="I2843" s="1">
        <v>-2127600</v>
      </c>
      <c r="J2843" s="1">
        <v>-4302600</v>
      </c>
      <c r="K2843">
        <v>374</v>
      </c>
      <c r="L2843">
        <v>143</v>
      </c>
      <c r="M2843" t="s">
        <v>16</v>
      </c>
    </row>
    <row r="2844" spans="1:13" x14ac:dyDescent="0.35">
      <c r="A2844">
        <v>315140</v>
      </c>
      <c r="B2844">
        <v>24635</v>
      </c>
      <c r="C2844" t="s">
        <v>3002</v>
      </c>
      <c r="D2844" t="s">
        <v>2376</v>
      </c>
      <c r="E2844" t="s">
        <v>2715</v>
      </c>
      <c r="F2844">
        <v>24618</v>
      </c>
      <c r="G2844">
        <v>1</v>
      </c>
      <c r="H2844" t="s">
        <v>16</v>
      </c>
      <c r="I2844" s="1">
        <v>-1968300</v>
      </c>
      <c r="J2844" s="1">
        <v>-4489000</v>
      </c>
      <c r="K2844">
        <v>709</v>
      </c>
      <c r="L2844">
        <v>568</v>
      </c>
      <c r="M2844" t="s">
        <v>16</v>
      </c>
    </row>
    <row r="2845" spans="1:13" x14ac:dyDescent="0.35">
      <c r="A2845">
        <v>315150</v>
      </c>
      <c r="B2845">
        <v>24643</v>
      </c>
      <c r="C2845" t="s">
        <v>2470</v>
      </c>
      <c r="D2845" t="s">
        <v>2376</v>
      </c>
      <c r="E2845" t="s">
        <v>2470</v>
      </c>
      <c r="F2845">
        <v>30984</v>
      </c>
      <c r="G2845">
        <v>1</v>
      </c>
      <c r="H2845" t="s">
        <v>16</v>
      </c>
      <c r="I2845" s="1">
        <v>-2046500</v>
      </c>
      <c r="J2845" s="1">
        <v>-4595800</v>
      </c>
      <c r="K2845">
        <v>793</v>
      </c>
      <c r="L2845">
        <v>902</v>
      </c>
      <c r="M2845" t="s">
        <v>16</v>
      </c>
    </row>
    <row r="2846" spans="1:13" x14ac:dyDescent="0.35">
      <c r="A2846">
        <v>315160</v>
      </c>
      <c r="B2846">
        <v>24651</v>
      </c>
      <c r="C2846" t="s">
        <v>3003</v>
      </c>
      <c r="D2846" t="s">
        <v>2376</v>
      </c>
      <c r="E2846" t="s">
        <v>2545</v>
      </c>
      <c r="F2846">
        <v>10289</v>
      </c>
      <c r="G2846">
        <v>1</v>
      </c>
      <c r="H2846" t="s">
        <v>16</v>
      </c>
      <c r="I2846" s="1">
        <v>-2013800</v>
      </c>
      <c r="J2846" s="1">
        <v>-4870200</v>
      </c>
      <c r="K2846">
        <v>492</v>
      </c>
      <c r="L2846">
        <v>317</v>
      </c>
      <c r="M2846" t="s">
        <v>16</v>
      </c>
    </row>
    <row r="2847" spans="1:13" x14ac:dyDescent="0.35">
      <c r="A2847">
        <v>315170</v>
      </c>
      <c r="B2847">
        <v>24660</v>
      </c>
      <c r="C2847" t="s">
        <v>3004</v>
      </c>
      <c r="D2847" t="s">
        <v>2376</v>
      </c>
      <c r="E2847" t="s">
        <v>2407</v>
      </c>
      <c r="F2847">
        <v>15350</v>
      </c>
      <c r="G2847">
        <v>1</v>
      </c>
      <c r="H2847" t="s">
        <v>16</v>
      </c>
      <c r="I2847" s="1">
        <v>-2178100</v>
      </c>
      <c r="J2847" s="1">
        <v>-4596500</v>
      </c>
      <c r="K2847">
        <v>836</v>
      </c>
      <c r="L2847">
        <v>474</v>
      </c>
      <c r="M2847" t="s">
        <v>16</v>
      </c>
    </row>
    <row r="2848" spans="1:13" x14ac:dyDescent="0.35">
      <c r="A2848">
        <v>315180</v>
      </c>
      <c r="B2848">
        <v>24678</v>
      </c>
      <c r="C2848" t="s">
        <v>2404</v>
      </c>
      <c r="D2848" t="s">
        <v>2376</v>
      </c>
      <c r="E2848" t="s">
        <v>2404</v>
      </c>
      <c r="F2848">
        <v>144386</v>
      </c>
      <c r="G2848">
        <v>3</v>
      </c>
      <c r="H2848" t="s">
        <v>16</v>
      </c>
      <c r="I2848" s="1">
        <v>-2178800</v>
      </c>
      <c r="J2848" s="1">
        <v>-4656100</v>
      </c>
      <c r="K2848">
        <v>1196</v>
      </c>
      <c r="L2848">
        <v>544</v>
      </c>
      <c r="M2848" t="s">
        <v>16</v>
      </c>
    </row>
    <row r="2849" spans="1:13" x14ac:dyDescent="0.35">
      <c r="A2849">
        <v>315190</v>
      </c>
      <c r="B2849">
        <v>24686</v>
      </c>
      <c r="C2849" t="s">
        <v>3005</v>
      </c>
      <c r="D2849" t="s">
        <v>2376</v>
      </c>
      <c r="E2849" t="s">
        <v>2398</v>
      </c>
      <c r="F2849">
        <v>8769</v>
      </c>
      <c r="G2849">
        <v>1</v>
      </c>
      <c r="H2849" t="s">
        <v>16</v>
      </c>
      <c r="I2849" s="1">
        <v>-1962000</v>
      </c>
      <c r="J2849" s="1">
        <v>-4163700</v>
      </c>
      <c r="K2849">
        <v>225</v>
      </c>
      <c r="L2849">
        <v>691</v>
      </c>
      <c r="M2849" t="s">
        <v>16</v>
      </c>
    </row>
    <row r="2850" spans="1:13" x14ac:dyDescent="0.35">
      <c r="A2850">
        <v>315200</v>
      </c>
      <c r="B2850">
        <v>24694</v>
      </c>
      <c r="C2850" t="s">
        <v>3006</v>
      </c>
      <c r="D2850" t="s">
        <v>2376</v>
      </c>
      <c r="E2850" t="s">
        <v>2379</v>
      </c>
      <c r="F2850">
        <v>28393</v>
      </c>
      <c r="G2850">
        <v>1</v>
      </c>
      <c r="H2850" t="s">
        <v>16</v>
      </c>
      <c r="I2850" s="1">
        <v>-1922400</v>
      </c>
      <c r="J2850" s="1">
        <v>-4493500</v>
      </c>
      <c r="K2850">
        <v>657</v>
      </c>
      <c r="L2850">
        <v>2557</v>
      </c>
      <c r="M2850" t="s">
        <v>16</v>
      </c>
    </row>
    <row r="2851" spans="1:13" x14ac:dyDescent="0.35">
      <c r="A2851">
        <v>315210</v>
      </c>
      <c r="B2851">
        <v>24708</v>
      </c>
      <c r="C2851" t="s">
        <v>2383</v>
      </c>
      <c r="D2851" t="s">
        <v>2376</v>
      </c>
      <c r="E2851" t="s">
        <v>2383</v>
      </c>
      <c r="F2851">
        <v>55687</v>
      </c>
      <c r="G2851">
        <v>2</v>
      </c>
      <c r="H2851" t="s">
        <v>16</v>
      </c>
      <c r="I2851" s="1">
        <v>-2041600</v>
      </c>
      <c r="J2851" s="1">
        <v>-4290900</v>
      </c>
      <c r="K2851">
        <v>431</v>
      </c>
      <c r="L2851">
        <v>470</v>
      </c>
      <c r="M2851" t="s">
        <v>16</v>
      </c>
    </row>
    <row r="2852" spans="1:13" x14ac:dyDescent="0.35">
      <c r="A2852">
        <v>315213</v>
      </c>
      <c r="B2852">
        <v>55808</v>
      </c>
      <c r="C2852" t="s">
        <v>3007</v>
      </c>
      <c r="D2852" t="s">
        <v>2376</v>
      </c>
      <c r="E2852" t="s">
        <v>2513</v>
      </c>
      <c r="F2852">
        <v>4046</v>
      </c>
      <c r="G2852">
        <v>1</v>
      </c>
      <c r="H2852" t="s">
        <v>16</v>
      </c>
      <c r="I2852" s="1">
        <v>-1663100</v>
      </c>
      <c r="J2852" s="1">
        <v>-4506600</v>
      </c>
      <c r="K2852">
        <v>470</v>
      </c>
      <c r="L2852">
        <v>602</v>
      </c>
      <c r="M2852" t="s">
        <v>16</v>
      </c>
    </row>
    <row r="2853" spans="1:13" x14ac:dyDescent="0.35">
      <c r="A2853">
        <v>315217</v>
      </c>
      <c r="B2853">
        <v>55816</v>
      </c>
      <c r="C2853" t="s">
        <v>3008</v>
      </c>
      <c r="D2853" t="s">
        <v>2376</v>
      </c>
      <c r="E2853" t="s">
        <v>2439</v>
      </c>
      <c r="F2853">
        <v>10976</v>
      </c>
      <c r="G2853">
        <v>1</v>
      </c>
      <c r="H2853" t="s">
        <v>16</v>
      </c>
      <c r="I2853" s="1">
        <v>-1675300</v>
      </c>
      <c r="J2853" s="1">
        <v>-4150400</v>
      </c>
      <c r="K2853">
        <v>400</v>
      </c>
      <c r="L2853">
        <v>1215</v>
      </c>
      <c r="M2853" t="s">
        <v>16</v>
      </c>
    </row>
    <row r="2854" spans="1:13" x14ac:dyDescent="0.35">
      <c r="A2854">
        <v>315220</v>
      </c>
      <c r="B2854">
        <v>24716</v>
      </c>
      <c r="C2854" t="s">
        <v>3009</v>
      </c>
      <c r="D2854" t="s">
        <v>2376</v>
      </c>
      <c r="E2854" t="s">
        <v>2594</v>
      </c>
      <c r="F2854">
        <v>36864</v>
      </c>
      <c r="G2854">
        <v>1</v>
      </c>
      <c r="H2854" t="s">
        <v>16</v>
      </c>
      <c r="I2854" s="1">
        <v>-1574300</v>
      </c>
      <c r="J2854" s="1">
        <v>-4302800</v>
      </c>
      <c r="K2854">
        <v>566</v>
      </c>
      <c r="L2854">
        <v>1806</v>
      </c>
      <c r="M2854" t="s">
        <v>16</v>
      </c>
    </row>
    <row r="2855" spans="1:13" x14ac:dyDescent="0.35">
      <c r="A2855">
        <v>315230</v>
      </c>
      <c r="B2855">
        <v>24724</v>
      </c>
      <c r="C2855" t="s">
        <v>3010</v>
      </c>
      <c r="D2855" t="s">
        <v>2376</v>
      </c>
      <c r="E2855" t="s">
        <v>1388</v>
      </c>
      <c r="F2855">
        <v>10404</v>
      </c>
      <c r="G2855">
        <v>1</v>
      </c>
      <c r="H2855" t="s">
        <v>16</v>
      </c>
      <c r="I2855" s="1">
        <v>-2067300</v>
      </c>
      <c r="J2855" s="1">
        <v>-4308400</v>
      </c>
      <c r="K2855">
        <v>595</v>
      </c>
      <c r="L2855">
        <v>285</v>
      </c>
      <c r="M2855" t="s">
        <v>16</v>
      </c>
    </row>
    <row r="2856" spans="1:13" x14ac:dyDescent="0.35">
      <c r="A2856">
        <v>315240</v>
      </c>
      <c r="B2856">
        <v>24732</v>
      </c>
      <c r="C2856" t="s">
        <v>3011</v>
      </c>
      <c r="D2856" t="s">
        <v>2376</v>
      </c>
      <c r="E2856" t="s">
        <v>2463</v>
      </c>
      <c r="F2856">
        <v>14749</v>
      </c>
      <c r="G2856">
        <v>1</v>
      </c>
      <c r="H2856" t="s">
        <v>16</v>
      </c>
      <c r="I2856" s="1">
        <v>-1780700</v>
      </c>
      <c r="J2856" s="1">
        <v>-4178600</v>
      </c>
      <c r="K2856">
        <v>594</v>
      </c>
      <c r="L2856">
        <v>632</v>
      </c>
      <c r="M2856" t="s">
        <v>16</v>
      </c>
    </row>
    <row r="2857" spans="1:13" x14ac:dyDescent="0.35">
      <c r="A2857">
        <v>315250</v>
      </c>
      <c r="B2857">
        <v>24740</v>
      </c>
      <c r="C2857" t="s">
        <v>2501</v>
      </c>
      <c r="D2857" t="s">
        <v>2376</v>
      </c>
      <c r="E2857" t="s">
        <v>2501</v>
      </c>
      <c r="F2857">
        <v>120467</v>
      </c>
      <c r="G2857">
        <v>3</v>
      </c>
      <c r="H2857" t="s">
        <v>16</v>
      </c>
      <c r="I2857" s="1">
        <v>-2223000</v>
      </c>
      <c r="J2857" s="1">
        <v>-4593600</v>
      </c>
      <c r="K2857">
        <v>832</v>
      </c>
      <c r="L2857">
        <v>543</v>
      </c>
      <c r="M2857" t="s">
        <v>16</v>
      </c>
    </row>
    <row r="2858" spans="1:13" x14ac:dyDescent="0.35">
      <c r="A2858">
        <v>315260</v>
      </c>
      <c r="B2858">
        <v>24759</v>
      </c>
      <c r="C2858" t="s">
        <v>3012</v>
      </c>
      <c r="D2858" t="s">
        <v>2376</v>
      </c>
      <c r="E2858" t="s">
        <v>2402</v>
      </c>
      <c r="F2858">
        <v>6359</v>
      </c>
      <c r="G2858">
        <v>1</v>
      </c>
      <c r="H2858" t="s">
        <v>16</v>
      </c>
      <c r="I2858" s="1">
        <v>-2219400</v>
      </c>
      <c r="J2858" s="1">
        <v>-4497300</v>
      </c>
      <c r="K2858">
        <v>884</v>
      </c>
      <c r="L2858">
        <v>261</v>
      </c>
      <c r="M2858" t="s">
        <v>16</v>
      </c>
    </row>
    <row r="2859" spans="1:13" x14ac:dyDescent="0.35">
      <c r="A2859">
        <v>315270</v>
      </c>
      <c r="B2859">
        <v>24767</v>
      </c>
      <c r="C2859" t="s">
        <v>3013</v>
      </c>
      <c r="D2859" t="s">
        <v>2376</v>
      </c>
      <c r="E2859" t="s">
        <v>2589</v>
      </c>
      <c r="F2859">
        <v>8168</v>
      </c>
      <c r="G2859">
        <v>1</v>
      </c>
      <c r="H2859" t="s">
        <v>16</v>
      </c>
      <c r="I2859" s="1">
        <v>-2105800</v>
      </c>
      <c r="J2859" s="1">
        <v>-4408000</v>
      </c>
      <c r="K2859">
        <v>979</v>
      </c>
      <c r="L2859">
        <v>261</v>
      </c>
      <c r="M2859" t="s">
        <v>16</v>
      </c>
    </row>
    <row r="2860" spans="1:13" x14ac:dyDescent="0.35">
      <c r="A2860">
        <v>315280</v>
      </c>
      <c r="B2860">
        <v>24775</v>
      </c>
      <c r="C2860" t="s">
        <v>1547</v>
      </c>
      <c r="D2860" t="s">
        <v>2376</v>
      </c>
      <c r="E2860" t="s">
        <v>2441</v>
      </c>
      <c r="F2860">
        <v>25511</v>
      </c>
      <c r="G2860">
        <v>1</v>
      </c>
      <c r="H2860" t="s">
        <v>16</v>
      </c>
      <c r="I2860" s="1">
        <v>-1930700</v>
      </c>
      <c r="J2860" s="1">
        <v>-4892400</v>
      </c>
      <c r="K2860">
        <v>630</v>
      </c>
      <c r="L2860">
        <v>4856</v>
      </c>
      <c r="M2860" t="s">
        <v>16</v>
      </c>
    </row>
    <row r="2861" spans="1:13" x14ac:dyDescent="0.35">
      <c r="A2861">
        <v>315290</v>
      </c>
      <c r="B2861">
        <v>24783</v>
      </c>
      <c r="C2861" t="s">
        <v>3014</v>
      </c>
      <c r="D2861" t="s">
        <v>2376</v>
      </c>
      <c r="E2861" t="s">
        <v>2414</v>
      </c>
      <c r="F2861">
        <v>8653</v>
      </c>
      <c r="G2861">
        <v>1</v>
      </c>
      <c r="H2861" t="s">
        <v>16</v>
      </c>
      <c r="I2861" s="1">
        <v>-2074500</v>
      </c>
      <c r="J2861" s="1">
        <v>-4686100</v>
      </c>
      <c r="K2861">
        <v>742</v>
      </c>
      <c r="L2861">
        <v>214</v>
      </c>
      <c r="M2861" t="s">
        <v>16</v>
      </c>
    </row>
    <row r="2862" spans="1:13" x14ac:dyDescent="0.35">
      <c r="A2862">
        <v>315300</v>
      </c>
      <c r="B2862">
        <v>24791</v>
      </c>
      <c r="C2862" t="s">
        <v>3015</v>
      </c>
      <c r="D2862" t="s">
        <v>2376</v>
      </c>
      <c r="E2862" t="s">
        <v>2450</v>
      </c>
      <c r="F2862">
        <v>3236</v>
      </c>
      <c r="G2862">
        <v>1</v>
      </c>
      <c r="H2862" t="s">
        <v>16</v>
      </c>
      <c r="I2862" s="1">
        <v>-1975100</v>
      </c>
      <c r="J2862" s="1">
        <v>-4637800</v>
      </c>
      <c r="K2862">
        <v>1162</v>
      </c>
      <c r="L2862">
        <v>619</v>
      </c>
      <c r="M2862" t="s">
        <v>16</v>
      </c>
    </row>
    <row r="2863" spans="1:13" x14ac:dyDescent="0.35">
      <c r="A2863">
        <v>315310</v>
      </c>
      <c r="B2863">
        <v>24805</v>
      </c>
      <c r="C2863" t="s">
        <v>3016</v>
      </c>
      <c r="D2863" t="s">
        <v>2376</v>
      </c>
      <c r="E2863" t="s">
        <v>1388</v>
      </c>
      <c r="F2863">
        <v>5699</v>
      </c>
      <c r="G2863">
        <v>1</v>
      </c>
      <c r="H2863" t="s">
        <v>16</v>
      </c>
      <c r="I2863" s="1">
        <v>-2076900</v>
      </c>
      <c r="J2863" s="1">
        <v>-4318800</v>
      </c>
      <c r="K2863">
        <v>591</v>
      </c>
      <c r="L2863">
        <v>236</v>
      </c>
      <c r="M2863" t="s">
        <v>16</v>
      </c>
    </row>
    <row r="2864" spans="1:13" x14ac:dyDescent="0.35">
      <c r="A2864">
        <v>315320</v>
      </c>
      <c r="B2864">
        <v>24813</v>
      </c>
      <c r="C2864" t="s">
        <v>708</v>
      </c>
      <c r="D2864" t="s">
        <v>2376</v>
      </c>
      <c r="E2864" t="s">
        <v>2465</v>
      </c>
      <c r="F2864">
        <v>4257</v>
      </c>
      <c r="G2864">
        <v>1</v>
      </c>
      <c r="H2864" t="s">
        <v>16</v>
      </c>
      <c r="I2864" s="1">
        <v>-1863700</v>
      </c>
      <c r="J2864" s="1">
        <v>-4405800</v>
      </c>
      <c r="K2864">
        <v>596</v>
      </c>
      <c r="L2864">
        <v>696</v>
      </c>
      <c r="M2864" t="s">
        <v>16</v>
      </c>
    </row>
    <row r="2865" spans="1:13" x14ac:dyDescent="0.35">
      <c r="A2865">
        <v>315330</v>
      </c>
      <c r="B2865">
        <v>24821</v>
      </c>
      <c r="C2865" t="s">
        <v>3017</v>
      </c>
      <c r="D2865" t="s">
        <v>2376</v>
      </c>
      <c r="E2865" t="s">
        <v>2646</v>
      </c>
      <c r="F2865">
        <v>2978</v>
      </c>
      <c r="G2865">
        <v>1</v>
      </c>
      <c r="H2865" t="s">
        <v>16</v>
      </c>
      <c r="I2865" s="1">
        <v>-1861400</v>
      </c>
      <c r="J2865" s="1">
        <v>-4356200</v>
      </c>
      <c r="K2865">
        <v>1109</v>
      </c>
      <c r="L2865">
        <v>189</v>
      </c>
      <c r="M2865" t="s">
        <v>16</v>
      </c>
    </row>
    <row r="2866" spans="1:13" x14ac:dyDescent="0.35">
      <c r="A2866">
        <v>315340</v>
      </c>
      <c r="B2866">
        <v>24830</v>
      </c>
      <c r="C2866" t="s">
        <v>3018</v>
      </c>
      <c r="D2866" t="s">
        <v>2376</v>
      </c>
      <c r="E2866" t="s">
        <v>2511</v>
      </c>
      <c r="F2866">
        <v>18256</v>
      </c>
      <c r="G2866">
        <v>1</v>
      </c>
      <c r="H2866" t="s">
        <v>16</v>
      </c>
      <c r="I2866" s="1">
        <v>-1841800</v>
      </c>
      <c r="J2866" s="1">
        <v>-4641800</v>
      </c>
      <c r="K2866">
        <v>947</v>
      </c>
      <c r="L2866">
        <v>3531</v>
      </c>
      <c r="M2866" t="s">
        <v>16</v>
      </c>
    </row>
    <row r="2867" spans="1:13" x14ac:dyDescent="0.35">
      <c r="A2867">
        <v>315350</v>
      </c>
      <c r="B2867">
        <v>24848</v>
      </c>
      <c r="C2867" t="s">
        <v>3019</v>
      </c>
      <c r="D2867" t="s">
        <v>2376</v>
      </c>
      <c r="E2867" t="s">
        <v>2381</v>
      </c>
      <c r="F2867">
        <v>7976</v>
      </c>
      <c r="G2867">
        <v>1</v>
      </c>
      <c r="H2867" t="s">
        <v>16</v>
      </c>
      <c r="I2867" s="1">
        <v>-2042400</v>
      </c>
      <c r="J2867" s="1">
        <v>-4196600</v>
      </c>
      <c r="K2867">
        <v>645</v>
      </c>
      <c r="L2867">
        <v>152</v>
      </c>
      <c r="M2867" t="s">
        <v>16</v>
      </c>
    </row>
    <row r="2868" spans="1:13" x14ac:dyDescent="0.35">
      <c r="A2868">
        <v>315360</v>
      </c>
      <c r="B2868">
        <v>24856</v>
      </c>
      <c r="C2868" t="s">
        <v>3020</v>
      </c>
      <c r="D2868" t="s">
        <v>2376</v>
      </c>
      <c r="E2868" t="s">
        <v>2435</v>
      </c>
      <c r="F2868">
        <v>8874</v>
      </c>
      <c r="G2868">
        <v>4</v>
      </c>
      <c r="H2868" t="s">
        <v>2468</v>
      </c>
      <c r="I2868" s="1">
        <v>-1948200</v>
      </c>
      <c r="J2868" s="1">
        <v>-4415500</v>
      </c>
      <c r="K2868">
        <v>748</v>
      </c>
      <c r="L2868">
        <v>125</v>
      </c>
      <c r="M2868" t="s">
        <v>16</v>
      </c>
    </row>
    <row r="2869" spans="1:13" x14ac:dyDescent="0.35">
      <c r="A2869">
        <v>315370</v>
      </c>
      <c r="B2869">
        <v>24864</v>
      </c>
      <c r="C2869" t="s">
        <v>3021</v>
      </c>
      <c r="D2869" t="s">
        <v>2376</v>
      </c>
      <c r="E2869" t="s">
        <v>2448</v>
      </c>
      <c r="F2869">
        <v>3200</v>
      </c>
      <c r="G2869">
        <v>1</v>
      </c>
      <c r="H2869" t="s">
        <v>16</v>
      </c>
      <c r="I2869" s="1">
        <v>-1927400</v>
      </c>
      <c r="J2869" s="1">
        <v>-4555700</v>
      </c>
      <c r="K2869">
        <v>681</v>
      </c>
      <c r="L2869">
        <v>555</v>
      </c>
      <c r="M2869" t="s">
        <v>16</v>
      </c>
    </row>
    <row r="2870" spans="1:13" x14ac:dyDescent="0.35">
      <c r="A2870">
        <v>315380</v>
      </c>
      <c r="B2870">
        <v>24872</v>
      </c>
      <c r="C2870" t="s">
        <v>3022</v>
      </c>
      <c r="D2870" t="s">
        <v>2376</v>
      </c>
      <c r="E2870" t="s">
        <v>2585</v>
      </c>
      <c r="F2870">
        <v>1826</v>
      </c>
      <c r="G2870">
        <v>1</v>
      </c>
      <c r="H2870" t="s">
        <v>16</v>
      </c>
      <c r="I2870" s="1">
        <v>-2074000</v>
      </c>
      <c r="J2870" s="1">
        <v>-4388400</v>
      </c>
      <c r="K2870">
        <v>952</v>
      </c>
      <c r="L2870">
        <v>153</v>
      </c>
      <c r="M2870" t="s">
        <v>16</v>
      </c>
    </row>
    <row r="2871" spans="1:13" x14ac:dyDescent="0.35">
      <c r="A2871">
        <v>315390</v>
      </c>
      <c r="B2871">
        <v>24880</v>
      </c>
      <c r="C2871" t="s">
        <v>3023</v>
      </c>
      <c r="D2871" t="s">
        <v>2376</v>
      </c>
      <c r="E2871" t="s">
        <v>2479</v>
      </c>
      <c r="F2871">
        <v>14874</v>
      </c>
      <c r="G2871">
        <v>4</v>
      </c>
      <c r="H2871" t="s">
        <v>2468</v>
      </c>
      <c r="I2871" s="1">
        <v>-1996700</v>
      </c>
      <c r="J2871" s="1">
        <v>-4380400</v>
      </c>
      <c r="K2871">
        <v>732</v>
      </c>
      <c r="L2871">
        <v>71</v>
      </c>
      <c r="M2871" t="s">
        <v>16</v>
      </c>
    </row>
    <row r="2872" spans="1:13" x14ac:dyDescent="0.35">
      <c r="A2872">
        <v>315400</v>
      </c>
      <c r="B2872">
        <v>24899</v>
      </c>
      <c r="C2872" t="s">
        <v>3024</v>
      </c>
      <c r="D2872" t="s">
        <v>2376</v>
      </c>
      <c r="E2872" t="s">
        <v>2383</v>
      </c>
      <c r="F2872">
        <v>23901</v>
      </c>
      <c r="G2872">
        <v>1</v>
      </c>
      <c r="H2872" t="s">
        <v>16</v>
      </c>
      <c r="I2872" s="1">
        <v>-2010200</v>
      </c>
      <c r="J2872" s="1">
        <v>-4245300</v>
      </c>
      <c r="K2872">
        <v>294</v>
      </c>
      <c r="L2872">
        <v>771</v>
      </c>
      <c r="M2872" t="s">
        <v>16</v>
      </c>
    </row>
    <row r="2873" spans="1:13" x14ac:dyDescent="0.35">
      <c r="A2873">
        <v>315410</v>
      </c>
      <c r="B2873">
        <v>24902</v>
      </c>
      <c r="C2873" t="s">
        <v>3025</v>
      </c>
      <c r="D2873" t="s">
        <v>2376</v>
      </c>
      <c r="E2873" t="s">
        <v>2406</v>
      </c>
      <c r="F2873">
        <v>10194</v>
      </c>
      <c r="G2873">
        <v>1</v>
      </c>
      <c r="H2873" t="s">
        <v>16</v>
      </c>
      <c r="I2873" s="1">
        <v>-2152500</v>
      </c>
      <c r="J2873" s="1">
        <v>-4246900</v>
      </c>
      <c r="K2873">
        <v>193</v>
      </c>
      <c r="L2873">
        <v>234</v>
      </c>
      <c r="M2873" t="s">
        <v>16</v>
      </c>
    </row>
    <row r="2874" spans="1:13" x14ac:dyDescent="0.35">
      <c r="A2874">
        <v>315415</v>
      </c>
      <c r="B2874">
        <v>55824</v>
      </c>
      <c r="C2874" t="s">
        <v>3026</v>
      </c>
      <c r="D2874" t="s">
        <v>2376</v>
      </c>
      <c r="E2874" t="s">
        <v>2381</v>
      </c>
      <c r="F2874">
        <v>6344</v>
      </c>
      <c r="G2874">
        <v>1</v>
      </c>
      <c r="H2874" t="s">
        <v>16</v>
      </c>
      <c r="I2874" s="1">
        <v>-2024000</v>
      </c>
      <c r="J2874" s="1">
        <v>-4198300</v>
      </c>
      <c r="K2874">
        <v>610</v>
      </c>
      <c r="L2874">
        <v>151</v>
      </c>
      <c r="M2874" t="s">
        <v>16</v>
      </c>
    </row>
    <row r="2875" spans="1:13" x14ac:dyDescent="0.35">
      <c r="A2875">
        <v>315420</v>
      </c>
      <c r="B2875">
        <v>24910</v>
      </c>
      <c r="C2875" t="s">
        <v>3027</v>
      </c>
      <c r="D2875" t="s">
        <v>2376</v>
      </c>
      <c r="E2875" t="s">
        <v>2589</v>
      </c>
      <c r="F2875">
        <v>10537</v>
      </c>
      <c r="G2875">
        <v>1</v>
      </c>
      <c r="H2875" t="s">
        <v>16</v>
      </c>
      <c r="I2875" s="1">
        <v>-2092200</v>
      </c>
      <c r="J2875" s="1">
        <v>-4423800</v>
      </c>
      <c r="K2875">
        <v>1032</v>
      </c>
      <c r="L2875">
        <v>631</v>
      </c>
      <c r="M2875" t="s">
        <v>16</v>
      </c>
    </row>
    <row r="2876" spans="1:13" x14ac:dyDescent="0.35">
      <c r="A2876">
        <v>315430</v>
      </c>
      <c r="B2876">
        <v>24929</v>
      </c>
      <c r="C2876" t="s">
        <v>3028</v>
      </c>
      <c r="D2876" t="s">
        <v>2376</v>
      </c>
      <c r="E2876" t="s">
        <v>2398</v>
      </c>
      <c r="F2876">
        <v>17024</v>
      </c>
      <c r="G2876">
        <v>1</v>
      </c>
      <c r="H2876" t="s">
        <v>16</v>
      </c>
      <c r="I2876" s="1">
        <v>-1932600</v>
      </c>
      <c r="J2876" s="1">
        <v>-4125500</v>
      </c>
      <c r="K2876">
        <v>100</v>
      </c>
      <c r="L2876">
        <v>1072</v>
      </c>
      <c r="M2876" t="s">
        <v>16</v>
      </c>
    </row>
    <row r="2877" spans="1:13" x14ac:dyDescent="0.35">
      <c r="A2877">
        <v>315440</v>
      </c>
      <c r="B2877">
        <v>24937</v>
      </c>
      <c r="C2877" t="s">
        <v>3029</v>
      </c>
      <c r="D2877" t="s">
        <v>2376</v>
      </c>
      <c r="E2877" t="s">
        <v>2409</v>
      </c>
      <c r="F2877">
        <v>4574</v>
      </c>
      <c r="G2877">
        <v>1</v>
      </c>
      <c r="H2877" t="s">
        <v>16</v>
      </c>
      <c r="I2877" s="1">
        <v>-2106300</v>
      </c>
      <c r="J2877" s="1">
        <v>-4376300</v>
      </c>
      <c r="K2877">
        <v>1123</v>
      </c>
      <c r="L2877">
        <v>188</v>
      </c>
      <c r="M2877" t="s">
        <v>16</v>
      </c>
    </row>
    <row r="2878" spans="1:13" x14ac:dyDescent="0.35">
      <c r="A2878">
        <v>315445</v>
      </c>
      <c r="B2878">
        <v>50792</v>
      </c>
      <c r="C2878" t="s">
        <v>513</v>
      </c>
      <c r="D2878" t="s">
        <v>2376</v>
      </c>
      <c r="E2878" t="s">
        <v>2525</v>
      </c>
      <c r="F2878">
        <v>8126</v>
      </c>
      <c r="G2878">
        <v>1</v>
      </c>
      <c r="H2878" t="s">
        <v>16</v>
      </c>
      <c r="I2878" s="1">
        <v>-1623000</v>
      </c>
      <c r="J2878" s="1">
        <v>-4599200</v>
      </c>
      <c r="K2878">
        <v>550</v>
      </c>
      <c r="L2878">
        <v>1774</v>
      </c>
      <c r="M2878" t="s">
        <v>16</v>
      </c>
    </row>
    <row r="2879" spans="1:13" x14ac:dyDescent="0.35">
      <c r="A2879">
        <v>315450</v>
      </c>
      <c r="B2879">
        <v>24945</v>
      </c>
      <c r="C2879" t="s">
        <v>3030</v>
      </c>
      <c r="D2879" t="s">
        <v>2376</v>
      </c>
      <c r="E2879" t="s">
        <v>2594</v>
      </c>
      <c r="F2879">
        <v>9392</v>
      </c>
      <c r="G2879">
        <v>1</v>
      </c>
      <c r="H2879" t="s">
        <v>16</v>
      </c>
      <c r="I2879" s="1">
        <v>-1600600</v>
      </c>
      <c r="J2879" s="1">
        <v>-4304900</v>
      </c>
      <c r="K2879">
        <v>821</v>
      </c>
      <c r="L2879">
        <v>1308</v>
      </c>
      <c r="M2879" t="s">
        <v>16</v>
      </c>
    </row>
    <row r="2880" spans="1:13" x14ac:dyDescent="0.35">
      <c r="A2880">
        <v>315460</v>
      </c>
      <c r="B2880">
        <v>24953</v>
      </c>
      <c r="C2880" t="s">
        <v>3031</v>
      </c>
      <c r="D2880" t="s">
        <v>2376</v>
      </c>
      <c r="E2880" t="s">
        <v>2479</v>
      </c>
      <c r="F2880">
        <v>329112</v>
      </c>
      <c r="G2880">
        <v>4</v>
      </c>
      <c r="H2880" t="s">
        <v>2468</v>
      </c>
      <c r="I2880" s="1">
        <v>-1976700</v>
      </c>
      <c r="J2880" s="1">
        <v>-4408700</v>
      </c>
      <c r="K2880">
        <v>800</v>
      </c>
      <c r="L2880">
        <v>154</v>
      </c>
      <c r="M2880" t="s">
        <v>16</v>
      </c>
    </row>
    <row r="2881" spans="1:13" x14ac:dyDescent="0.35">
      <c r="A2881">
        <v>315470</v>
      </c>
      <c r="B2881">
        <v>24961</v>
      </c>
      <c r="C2881" t="s">
        <v>3032</v>
      </c>
      <c r="D2881" t="s">
        <v>2376</v>
      </c>
      <c r="E2881" t="s">
        <v>2581</v>
      </c>
      <c r="F2881">
        <v>3773</v>
      </c>
      <c r="G2881">
        <v>1</v>
      </c>
      <c r="H2881" t="s">
        <v>16</v>
      </c>
      <c r="I2881" s="1">
        <v>-2119100</v>
      </c>
      <c r="J2881" s="1">
        <v>-4506200</v>
      </c>
      <c r="K2881">
        <v>808</v>
      </c>
      <c r="L2881">
        <v>40</v>
      </c>
      <c r="M2881" t="s">
        <v>16</v>
      </c>
    </row>
    <row r="2882" spans="1:13" x14ac:dyDescent="0.35">
      <c r="A2882">
        <v>315480</v>
      </c>
      <c r="B2882">
        <v>24970</v>
      </c>
      <c r="C2882" t="s">
        <v>3033</v>
      </c>
      <c r="D2882" t="s">
        <v>2376</v>
      </c>
      <c r="E2882" t="s">
        <v>2479</v>
      </c>
      <c r="F2882">
        <v>8257</v>
      </c>
      <c r="G2882">
        <v>4</v>
      </c>
      <c r="H2882" t="s">
        <v>2468</v>
      </c>
      <c r="I2882" s="1">
        <v>-2008800</v>
      </c>
      <c r="J2882" s="1">
        <v>-4378900</v>
      </c>
      <c r="K2882">
        <v>740</v>
      </c>
      <c r="L2882">
        <v>230</v>
      </c>
      <c r="M2882" t="s">
        <v>16</v>
      </c>
    </row>
    <row r="2883" spans="1:13" x14ac:dyDescent="0.35">
      <c r="A2883">
        <v>315490</v>
      </c>
      <c r="B2883">
        <v>24988</v>
      </c>
      <c r="C2883" t="s">
        <v>3034</v>
      </c>
      <c r="D2883" t="s">
        <v>2376</v>
      </c>
      <c r="E2883" t="s">
        <v>2383</v>
      </c>
      <c r="F2883">
        <v>14496</v>
      </c>
      <c r="G2883">
        <v>1</v>
      </c>
      <c r="H2883" t="s">
        <v>16</v>
      </c>
      <c r="I2883" s="1">
        <v>-2022600</v>
      </c>
      <c r="J2883" s="1">
        <v>-4265100</v>
      </c>
      <c r="K2883">
        <v>333</v>
      </c>
      <c r="L2883">
        <v>384</v>
      </c>
      <c r="M2883" t="s">
        <v>16</v>
      </c>
    </row>
    <row r="2884" spans="1:13" x14ac:dyDescent="0.35">
      <c r="A2884">
        <v>315500</v>
      </c>
      <c r="B2884">
        <v>24996</v>
      </c>
      <c r="C2884" t="s">
        <v>3035</v>
      </c>
      <c r="D2884" t="s">
        <v>2376</v>
      </c>
      <c r="E2884" t="s">
        <v>2383</v>
      </c>
      <c r="F2884">
        <v>2520</v>
      </c>
      <c r="G2884">
        <v>1</v>
      </c>
      <c r="H2884" t="s">
        <v>16</v>
      </c>
      <c r="I2884" s="1">
        <v>-2024200</v>
      </c>
      <c r="J2884" s="1">
        <v>-4290700</v>
      </c>
      <c r="K2884">
        <v>380</v>
      </c>
      <c r="L2884">
        <v>112</v>
      </c>
      <c r="M2884" t="s">
        <v>16</v>
      </c>
    </row>
    <row r="2885" spans="1:13" x14ac:dyDescent="0.35">
      <c r="A2885">
        <v>315510</v>
      </c>
      <c r="B2885">
        <v>25003</v>
      </c>
      <c r="C2885" t="s">
        <v>3036</v>
      </c>
      <c r="D2885" t="s">
        <v>2376</v>
      </c>
      <c r="E2885" t="s">
        <v>2410</v>
      </c>
      <c r="F2885">
        <v>4489</v>
      </c>
      <c r="G2885">
        <v>1</v>
      </c>
      <c r="H2885" t="s">
        <v>16</v>
      </c>
      <c r="I2885" s="1">
        <v>-1660800</v>
      </c>
      <c r="J2885" s="1">
        <v>-4057000</v>
      </c>
      <c r="K2885">
        <v>350</v>
      </c>
      <c r="L2885">
        <v>479</v>
      </c>
      <c r="M2885" t="s">
        <v>16</v>
      </c>
    </row>
    <row r="2886" spans="1:13" x14ac:dyDescent="0.35">
      <c r="A2886">
        <v>315520</v>
      </c>
      <c r="B2886">
        <v>25011</v>
      </c>
      <c r="C2886" t="s">
        <v>3037</v>
      </c>
      <c r="D2886" t="s">
        <v>2376</v>
      </c>
      <c r="E2886" t="s">
        <v>1388</v>
      </c>
      <c r="F2886">
        <v>6594</v>
      </c>
      <c r="G2886">
        <v>1</v>
      </c>
      <c r="H2886" t="s">
        <v>16</v>
      </c>
      <c r="I2886" s="1">
        <v>-2085500</v>
      </c>
      <c r="J2886" s="1">
        <v>-4347400</v>
      </c>
      <c r="K2886">
        <v>712</v>
      </c>
      <c r="L2886">
        <v>239</v>
      </c>
      <c r="M2886" t="s">
        <v>16</v>
      </c>
    </row>
    <row r="2887" spans="1:13" x14ac:dyDescent="0.35">
      <c r="A2887">
        <v>315530</v>
      </c>
      <c r="B2887">
        <v>25020</v>
      </c>
      <c r="C2887" t="s">
        <v>3038</v>
      </c>
      <c r="D2887" t="s">
        <v>2376</v>
      </c>
      <c r="E2887" t="s">
        <v>2482</v>
      </c>
      <c r="F2887">
        <v>5007</v>
      </c>
      <c r="G2887">
        <v>4</v>
      </c>
      <c r="H2887" t="s">
        <v>2468</v>
      </c>
      <c r="I2887" s="1">
        <v>-2026500</v>
      </c>
      <c r="J2887" s="1">
        <v>-4430800</v>
      </c>
      <c r="K2887">
        <v>890</v>
      </c>
      <c r="L2887">
        <v>232</v>
      </c>
      <c r="M2887" t="s">
        <v>16</v>
      </c>
    </row>
    <row r="2888" spans="1:13" x14ac:dyDescent="0.35">
      <c r="A2888">
        <v>315540</v>
      </c>
      <c r="B2888">
        <v>25038</v>
      </c>
      <c r="C2888" t="s">
        <v>3039</v>
      </c>
      <c r="D2888" t="s">
        <v>2376</v>
      </c>
      <c r="E2888" t="s">
        <v>2437</v>
      </c>
      <c r="F2888">
        <v>8910</v>
      </c>
      <c r="G2888">
        <v>1</v>
      </c>
      <c r="H2888" t="s">
        <v>16</v>
      </c>
      <c r="I2888" s="1">
        <v>-2145800</v>
      </c>
      <c r="J2888" s="1">
        <v>-4312500</v>
      </c>
      <c r="K2888">
        <v>418</v>
      </c>
      <c r="L2888">
        <v>207</v>
      </c>
      <c r="M2888" t="s">
        <v>16</v>
      </c>
    </row>
    <row r="2889" spans="1:13" x14ac:dyDescent="0.35">
      <c r="A2889">
        <v>315550</v>
      </c>
      <c r="B2889">
        <v>25046</v>
      </c>
      <c r="C2889" t="s">
        <v>3040</v>
      </c>
      <c r="D2889" t="s">
        <v>2376</v>
      </c>
      <c r="E2889" t="s">
        <v>2446</v>
      </c>
      <c r="F2889">
        <v>10809</v>
      </c>
      <c r="G2889">
        <v>1</v>
      </c>
      <c r="H2889" t="s">
        <v>16</v>
      </c>
      <c r="I2889" s="1">
        <v>-1919400</v>
      </c>
      <c r="J2889" s="1">
        <v>-4624700</v>
      </c>
      <c r="K2889">
        <v>1067</v>
      </c>
      <c r="L2889">
        <v>1353</v>
      </c>
      <c r="M2889" t="s">
        <v>16</v>
      </c>
    </row>
    <row r="2890" spans="1:13" x14ac:dyDescent="0.35">
      <c r="A2890">
        <v>315560</v>
      </c>
      <c r="B2890">
        <v>25054</v>
      </c>
      <c r="C2890" t="s">
        <v>3041</v>
      </c>
      <c r="D2890" t="s">
        <v>2376</v>
      </c>
      <c r="E2890" t="s">
        <v>2396</v>
      </c>
      <c r="F2890">
        <v>28633</v>
      </c>
      <c r="G2890">
        <v>1</v>
      </c>
      <c r="H2890" t="s">
        <v>16</v>
      </c>
      <c r="I2890" s="1">
        <v>-1561000</v>
      </c>
      <c r="J2890" s="1">
        <v>-4254000</v>
      </c>
      <c r="K2890">
        <v>755</v>
      </c>
      <c r="L2890">
        <v>3118</v>
      </c>
      <c r="M2890" t="s">
        <v>16</v>
      </c>
    </row>
    <row r="2891" spans="1:13" x14ac:dyDescent="0.35">
      <c r="A2891">
        <v>315570</v>
      </c>
      <c r="B2891">
        <v>25062</v>
      </c>
      <c r="C2891" t="s">
        <v>3042</v>
      </c>
      <c r="D2891" t="s">
        <v>2376</v>
      </c>
      <c r="E2891" t="s">
        <v>2420</v>
      </c>
      <c r="F2891">
        <v>14319</v>
      </c>
      <c r="G2891">
        <v>1</v>
      </c>
      <c r="H2891" t="s">
        <v>16</v>
      </c>
      <c r="I2891" s="1">
        <v>-1992900</v>
      </c>
      <c r="J2891" s="1">
        <v>-4317400</v>
      </c>
      <c r="K2891">
        <v>639</v>
      </c>
      <c r="L2891">
        <v>370</v>
      </c>
      <c r="M2891" t="s">
        <v>16</v>
      </c>
    </row>
    <row r="2892" spans="1:13" x14ac:dyDescent="0.35">
      <c r="A2892">
        <v>315580</v>
      </c>
      <c r="B2892">
        <v>25070</v>
      </c>
      <c r="C2892" t="s">
        <v>3043</v>
      </c>
      <c r="D2892" t="s">
        <v>2376</v>
      </c>
      <c r="E2892" t="s">
        <v>2461</v>
      </c>
      <c r="F2892">
        <v>16709</v>
      </c>
      <c r="G2892">
        <v>1</v>
      </c>
      <c r="H2892" t="s">
        <v>16</v>
      </c>
      <c r="I2892" s="1">
        <v>-2127500</v>
      </c>
      <c r="J2892" s="1">
        <v>-4317900</v>
      </c>
      <c r="K2892">
        <v>441</v>
      </c>
      <c r="L2892">
        <v>251</v>
      </c>
      <c r="M2892" t="s">
        <v>16</v>
      </c>
    </row>
    <row r="2893" spans="1:13" x14ac:dyDescent="0.35">
      <c r="A2893">
        <v>315590</v>
      </c>
      <c r="B2893">
        <v>25089</v>
      </c>
      <c r="C2893" t="s">
        <v>3044</v>
      </c>
      <c r="D2893" t="s">
        <v>2376</v>
      </c>
      <c r="E2893" t="s">
        <v>2437</v>
      </c>
      <c r="F2893">
        <v>5388</v>
      </c>
      <c r="G2893">
        <v>1</v>
      </c>
      <c r="H2893" t="s">
        <v>16</v>
      </c>
      <c r="I2893" s="1">
        <v>-2208900</v>
      </c>
      <c r="J2893" s="1">
        <v>-4382800</v>
      </c>
      <c r="K2893">
        <v>430</v>
      </c>
      <c r="L2893">
        <v>347</v>
      </c>
      <c r="M2893" t="s">
        <v>16</v>
      </c>
    </row>
    <row r="2894" spans="1:13" x14ac:dyDescent="0.35">
      <c r="A2894">
        <v>315600</v>
      </c>
      <c r="B2894">
        <v>25097</v>
      </c>
      <c r="C2894" t="s">
        <v>3045</v>
      </c>
      <c r="D2894" t="s">
        <v>2376</v>
      </c>
      <c r="E2894" t="s">
        <v>2422</v>
      </c>
      <c r="F2894">
        <v>14856</v>
      </c>
      <c r="G2894">
        <v>1</v>
      </c>
      <c r="H2894" t="s">
        <v>16</v>
      </c>
      <c r="I2894" s="1">
        <v>-1829400</v>
      </c>
      <c r="J2894" s="1">
        <v>-4300900</v>
      </c>
      <c r="K2894">
        <v>730</v>
      </c>
      <c r="L2894">
        <v>987</v>
      </c>
      <c r="M2894" t="s">
        <v>16</v>
      </c>
    </row>
    <row r="2895" spans="1:13" x14ac:dyDescent="0.35">
      <c r="A2895">
        <v>315610</v>
      </c>
      <c r="B2895">
        <v>25100</v>
      </c>
      <c r="C2895" t="s">
        <v>3046</v>
      </c>
      <c r="D2895" t="s">
        <v>2376</v>
      </c>
      <c r="E2895" t="s">
        <v>2589</v>
      </c>
      <c r="F2895">
        <v>5068</v>
      </c>
      <c r="G2895">
        <v>1</v>
      </c>
      <c r="H2895" t="s">
        <v>16</v>
      </c>
      <c r="I2895" s="1">
        <v>-2102200</v>
      </c>
      <c r="J2895" s="1">
        <v>-4431800</v>
      </c>
      <c r="K2895">
        <v>1051</v>
      </c>
      <c r="L2895">
        <v>391</v>
      </c>
      <c r="M2895" t="s">
        <v>16</v>
      </c>
    </row>
    <row r="2896" spans="1:13" x14ac:dyDescent="0.35">
      <c r="A2896">
        <v>315620</v>
      </c>
      <c r="B2896">
        <v>25119</v>
      </c>
      <c r="C2896" t="s">
        <v>3047</v>
      </c>
      <c r="D2896" t="s">
        <v>2376</v>
      </c>
      <c r="E2896" t="s">
        <v>2437</v>
      </c>
      <c r="F2896">
        <v>2036</v>
      </c>
      <c r="G2896">
        <v>1</v>
      </c>
      <c r="H2896" t="s">
        <v>16</v>
      </c>
      <c r="I2896" s="1">
        <v>-2163000</v>
      </c>
      <c r="J2896" s="1">
        <v>-4302000</v>
      </c>
      <c r="K2896">
        <v>330</v>
      </c>
      <c r="L2896">
        <v>79</v>
      </c>
      <c r="M2896" t="s">
        <v>16</v>
      </c>
    </row>
    <row r="2897" spans="1:13" x14ac:dyDescent="0.35">
      <c r="A2897">
        <v>315630</v>
      </c>
      <c r="B2897">
        <v>25127</v>
      </c>
      <c r="C2897" t="s">
        <v>3048</v>
      </c>
      <c r="D2897" t="s">
        <v>2376</v>
      </c>
      <c r="E2897" t="s">
        <v>2461</v>
      </c>
      <c r="F2897">
        <v>6178</v>
      </c>
      <c r="G2897">
        <v>1</v>
      </c>
      <c r="H2897" t="s">
        <v>16</v>
      </c>
      <c r="I2897" s="1">
        <v>-2120000</v>
      </c>
      <c r="J2897" s="1">
        <v>-4286500</v>
      </c>
      <c r="K2897">
        <v>336</v>
      </c>
      <c r="L2897">
        <v>72</v>
      </c>
      <c r="M2897" t="s">
        <v>16</v>
      </c>
    </row>
    <row r="2898" spans="1:13" x14ac:dyDescent="0.35">
      <c r="A2898">
        <v>315640</v>
      </c>
      <c r="B2898">
        <v>25135</v>
      </c>
      <c r="C2898" t="s">
        <v>3049</v>
      </c>
      <c r="D2898" t="s">
        <v>2376</v>
      </c>
      <c r="E2898" t="s">
        <v>2377</v>
      </c>
      <c r="F2898">
        <v>3561</v>
      </c>
      <c r="G2898">
        <v>1</v>
      </c>
      <c r="H2898" t="s">
        <v>16</v>
      </c>
      <c r="I2898" s="1">
        <v>-1888300</v>
      </c>
      <c r="J2898" s="1">
        <v>-4758600</v>
      </c>
      <c r="K2898">
        <v>958</v>
      </c>
      <c r="L2898">
        <v>401</v>
      </c>
      <c r="M2898" t="s">
        <v>16</v>
      </c>
    </row>
    <row r="2899" spans="1:13" x14ac:dyDescent="0.35">
      <c r="A2899">
        <v>315645</v>
      </c>
      <c r="B2899">
        <v>55832</v>
      </c>
      <c r="C2899" t="s">
        <v>3050</v>
      </c>
      <c r="D2899" t="s">
        <v>2376</v>
      </c>
      <c r="E2899" t="s">
        <v>2433</v>
      </c>
      <c r="F2899">
        <v>4151</v>
      </c>
      <c r="G2899">
        <v>1</v>
      </c>
      <c r="H2899" t="s">
        <v>16</v>
      </c>
      <c r="I2899" s="1">
        <v>-2097900</v>
      </c>
      <c r="J2899" s="1">
        <v>-4251200</v>
      </c>
      <c r="K2899">
        <v>680</v>
      </c>
      <c r="L2899">
        <v>112</v>
      </c>
      <c r="M2899" t="s">
        <v>16</v>
      </c>
    </row>
    <row r="2900" spans="1:13" x14ac:dyDescent="0.35">
      <c r="A2900">
        <v>315650</v>
      </c>
      <c r="B2900">
        <v>25143</v>
      </c>
      <c r="C2900" t="s">
        <v>3051</v>
      </c>
      <c r="D2900" t="s">
        <v>2376</v>
      </c>
      <c r="E2900" t="s">
        <v>2396</v>
      </c>
      <c r="F2900">
        <v>8299</v>
      </c>
      <c r="G2900">
        <v>1</v>
      </c>
      <c r="H2900" t="s">
        <v>16</v>
      </c>
      <c r="I2900" s="1">
        <v>-1640800</v>
      </c>
      <c r="J2900" s="1">
        <v>-4226300</v>
      </c>
      <c r="K2900">
        <v>391</v>
      </c>
      <c r="L2900">
        <v>1109</v>
      </c>
      <c r="M2900" t="s">
        <v>16</v>
      </c>
    </row>
    <row r="2901" spans="1:13" x14ac:dyDescent="0.35">
      <c r="A2901">
        <v>315660</v>
      </c>
      <c r="B2901">
        <v>25151</v>
      </c>
      <c r="C2901" t="s">
        <v>3052</v>
      </c>
      <c r="D2901" t="s">
        <v>2376</v>
      </c>
      <c r="E2901" t="s">
        <v>2410</v>
      </c>
      <c r="F2901">
        <v>9561</v>
      </c>
      <c r="G2901">
        <v>1</v>
      </c>
      <c r="H2901" t="s">
        <v>16</v>
      </c>
      <c r="I2901" s="1">
        <v>-1637500</v>
      </c>
      <c r="J2901" s="1">
        <v>-4053800</v>
      </c>
      <c r="K2901">
        <v>254</v>
      </c>
      <c r="L2901">
        <v>968</v>
      </c>
      <c r="M2901" t="s">
        <v>16</v>
      </c>
    </row>
    <row r="2902" spans="1:13" x14ac:dyDescent="0.35">
      <c r="A2902">
        <v>315670</v>
      </c>
      <c r="B2902">
        <v>25160</v>
      </c>
      <c r="C2902" t="s">
        <v>3053</v>
      </c>
      <c r="D2902" t="s">
        <v>2376</v>
      </c>
      <c r="E2902" t="s">
        <v>2479</v>
      </c>
      <c r="F2902">
        <v>120770</v>
      </c>
      <c r="G2902">
        <v>4</v>
      </c>
      <c r="H2902" t="s">
        <v>2468</v>
      </c>
      <c r="I2902" s="1">
        <v>-1988600</v>
      </c>
      <c r="J2902" s="1">
        <v>-4380700</v>
      </c>
      <c r="K2902">
        <v>723</v>
      </c>
      <c r="L2902">
        <v>303</v>
      </c>
      <c r="M2902" t="s">
        <v>16</v>
      </c>
    </row>
    <row r="2903" spans="1:13" x14ac:dyDescent="0.35">
      <c r="A2903">
        <v>315680</v>
      </c>
      <c r="B2903">
        <v>25178</v>
      </c>
      <c r="C2903" t="s">
        <v>3054</v>
      </c>
      <c r="D2903" t="s">
        <v>2376</v>
      </c>
      <c r="E2903" t="s">
        <v>2516</v>
      </c>
      <c r="F2903">
        <v>15889</v>
      </c>
      <c r="G2903">
        <v>1</v>
      </c>
      <c r="H2903" t="s">
        <v>16</v>
      </c>
      <c r="I2903" s="1">
        <v>-1866600</v>
      </c>
      <c r="J2903" s="1">
        <v>-4308400</v>
      </c>
      <c r="K2903">
        <v>707</v>
      </c>
      <c r="L2903">
        <v>919</v>
      </c>
      <c r="M2903" t="s">
        <v>16</v>
      </c>
    </row>
    <row r="2904" spans="1:13" x14ac:dyDescent="0.35">
      <c r="A2904">
        <v>315690</v>
      </c>
      <c r="B2904">
        <v>25186</v>
      </c>
      <c r="C2904" t="s">
        <v>3055</v>
      </c>
      <c r="D2904" t="s">
        <v>2376</v>
      </c>
      <c r="E2904" t="s">
        <v>2450</v>
      </c>
      <c r="F2904">
        <v>22159</v>
      </c>
      <c r="G2904">
        <v>1</v>
      </c>
      <c r="H2904" t="s">
        <v>16</v>
      </c>
      <c r="I2904" s="1">
        <v>-1986500</v>
      </c>
      <c r="J2904" s="1">
        <v>-4744000</v>
      </c>
      <c r="K2904">
        <v>832</v>
      </c>
      <c r="L2904">
        <v>3071</v>
      </c>
      <c r="M2904" t="s">
        <v>16</v>
      </c>
    </row>
    <row r="2905" spans="1:13" x14ac:dyDescent="0.35">
      <c r="A2905">
        <v>315700</v>
      </c>
      <c r="B2905">
        <v>25194</v>
      </c>
      <c r="C2905" t="s">
        <v>2396</v>
      </c>
      <c r="D2905" t="s">
        <v>2376</v>
      </c>
      <c r="E2905" t="s">
        <v>2396</v>
      </c>
      <c r="F2905">
        <v>37370</v>
      </c>
      <c r="G2905">
        <v>1</v>
      </c>
      <c r="H2905" t="s">
        <v>16</v>
      </c>
      <c r="I2905" s="1">
        <v>-1617000</v>
      </c>
      <c r="J2905" s="1">
        <v>-4229000</v>
      </c>
      <c r="K2905">
        <v>471</v>
      </c>
      <c r="L2905">
        <v>1897</v>
      </c>
      <c r="M2905" t="s">
        <v>16</v>
      </c>
    </row>
    <row r="2906" spans="1:13" x14ac:dyDescent="0.35">
      <c r="A2906">
        <v>315710</v>
      </c>
      <c r="B2906">
        <v>25208</v>
      </c>
      <c r="C2906" t="s">
        <v>3056</v>
      </c>
      <c r="D2906" t="s">
        <v>2376</v>
      </c>
      <c r="E2906" t="s">
        <v>2410</v>
      </c>
      <c r="F2906">
        <v>6896</v>
      </c>
      <c r="G2906">
        <v>1</v>
      </c>
      <c r="H2906" t="s">
        <v>16</v>
      </c>
      <c r="I2906" s="1">
        <v>-1600300</v>
      </c>
      <c r="J2906" s="1">
        <v>-3994700</v>
      </c>
      <c r="K2906">
        <v>142</v>
      </c>
      <c r="L2906">
        <v>943</v>
      </c>
      <c r="M2906" t="s">
        <v>16</v>
      </c>
    </row>
    <row r="2907" spans="1:13" x14ac:dyDescent="0.35">
      <c r="A2907">
        <v>315720</v>
      </c>
      <c r="B2907">
        <v>25216</v>
      </c>
      <c r="C2907" t="s">
        <v>2306</v>
      </c>
      <c r="D2907" t="s">
        <v>2376</v>
      </c>
      <c r="E2907" t="s">
        <v>2420</v>
      </c>
      <c r="F2907">
        <v>26185</v>
      </c>
      <c r="G2907">
        <v>4</v>
      </c>
      <c r="H2907" t="s">
        <v>2468</v>
      </c>
      <c r="I2907" s="1">
        <v>-1995900</v>
      </c>
      <c r="J2907" s="1">
        <v>-4341500</v>
      </c>
      <c r="K2907">
        <v>732</v>
      </c>
      <c r="L2907">
        <v>684</v>
      </c>
      <c r="M2907" t="s">
        <v>16</v>
      </c>
    </row>
    <row r="2908" spans="1:13" x14ac:dyDescent="0.35">
      <c r="A2908">
        <v>315725</v>
      </c>
      <c r="B2908">
        <v>50806</v>
      </c>
      <c r="C2908" t="s">
        <v>3057</v>
      </c>
      <c r="D2908" t="s">
        <v>2376</v>
      </c>
      <c r="E2908" t="s">
        <v>2499</v>
      </c>
      <c r="F2908">
        <v>7451</v>
      </c>
      <c r="G2908">
        <v>1</v>
      </c>
      <c r="H2908" t="s">
        <v>16</v>
      </c>
      <c r="I2908" s="1">
        <v>-1997800</v>
      </c>
      <c r="J2908" s="1">
        <v>-4214000</v>
      </c>
      <c r="K2908">
        <v>850</v>
      </c>
      <c r="L2908">
        <v>110</v>
      </c>
      <c r="M2908" t="s">
        <v>16</v>
      </c>
    </row>
    <row r="2909" spans="1:13" x14ac:dyDescent="0.35">
      <c r="A2909">
        <v>315727</v>
      </c>
      <c r="B2909">
        <v>55840</v>
      </c>
      <c r="C2909" t="s">
        <v>3058</v>
      </c>
      <c r="D2909" t="s">
        <v>2376</v>
      </c>
      <c r="E2909" t="s">
        <v>2437</v>
      </c>
      <c r="F2909">
        <v>2796</v>
      </c>
      <c r="G2909">
        <v>1</v>
      </c>
      <c r="H2909" t="s">
        <v>16</v>
      </c>
      <c r="I2909" s="1">
        <v>-2195900</v>
      </c>
      <c r="J2909" s="1">
        <v>-4370200</v>
      </c>
      <c r="K2909">
        <v>730</v>
      </c>
      <c r="L2909">
        <v>416</v>
      </c>
      <c r="M2909" t="s">
        <v>16</v>
      </c>
    </row>
    <row r="2910" spans="1:13" x14ac:dyDescent="0.35">
      <c r="A2910">
        <v>315730</v>
      </c>
      <c r="B2910">
        <v>25224</v>
      </c>
      <c r="C2910" t="s">
        <v>3059</v>
      </c>
      <c r="D2910" t="s">
        <v>2376</v>
      </c>
      <c r="E2910" t="s">
        <v>2409</v>
      </c>
      <c r="F2910">
        <v>4504</v>
      </c>
      <c r="G2910">
        <v>1</v>
      </c>
      <c r="H2910" t="s">
        <v>16</v>
      </c>
      <c r="I2910" s="1">
        <v>-2124600</v>
      </c>
      <c r="J2910" s="1">
        <v>-4355900</v>
      </c>
      <c r="K2910">
        <v>605</v>
      </c>
      <c r="L2910">
        <v>159</v>
      </c>
      <c r="M2910" t="s">
        <v>16</v>
      </c>
    </row>
    <row r="2911" spans="1:13" x14ac:dyDescent="0.35">
      <c r="A2911">
        <v>315733</v>
      </c>
      <c r="B2911">
        <v>55859</v>
      </c>
      <c r="C2911" t="s">
        <v>3060</v>
      </c>
      <c r="D2911" t="s">
        <v>2376</v>
      </c>
      <c r="E2911" t="s">
        <v>2589</v>
      </c>
      <c r="F2911">
        <v>7347</v>
      </c>
      <c r="G2911">
        <v>1</v>
      </c>
      <c r="H2911" t="s">
        <v>16</v>
      </c>
      <c r="I2911" s="1">
        <v>-2112000</v>
      </c>
      <c r="J2911" s="1">
        <v>-4422300</v>
      </c>
      <c r="K2911">
        <v>911</v>
      </c>
      <c r="L2911">
        <v>2</v>
      </c>
      <c r="M2911" t="s">
        <v>16</v>
      </c>
    </row>
    <row r="2912" spans="1:13" x14ac:dyDescent="0.35">
      <c r="A2912">
        <v>315737</v>
      </c>
      <c r="B2912">
        <v>55867</v>
      </c>
      <c r="C2912" t="s">
        <v>3061</v>
      </c>
      <c r="D2912" t="s">
        <v>2376</v>
      </c>
      <c r="E2912" t="s">
        <v>2396</v>
      </c>
      <c r="F2912">
        <v>5192</v>
      </c>
      <c r="G2912">
        <v>1</v>
      </c>
      <c r="H2912" t="s">
        <v>16</v>
      </c>
      <c r="I2912" s="1">
        <v>-1609800</v>
      </c>
      <c r="J2912" s="1">
        <v>-4174600</v>
      </c>
      <c r="K2912">
        <v>761</v>
      </c>
      <c r="L2912">
        <v>587</v>
      </c>
      <c r="M2912" t="s">
        <v>16</v>
      </c>
    </row>
    <row r="2913" spans="1:13" x14ac:dyDescent="0.35">
      <c r="A2913">
        <v>315740</v>
      </c>
      <c r="B2913">
        <v>25232</v>
      </c>
      <c r="C2913" t="s">
        <v>3062</v>
      </c>
      <c r="D2913" t="s">
        <v>2376</v>
      </c>
      <c r="E2913" t="s">
        <v>2383</v>
      </c>
      <c r="F2913">
        <v>5193</v>
      </c>
      <c r="G2913">
        <v>1</v>
      </c>
      <c r="H2913" t="s">
        <v>16</v>
      </c>
      <c r="I2913" s="1">
        <v>-2023600</v>
      </c>
      <c r="J2913" s="1">
        <v>-4281400</v>
      </c>
      <c r="K2913">
        <v>412</v>
      </c>
      <c r="L2913">
        <v>258</v>
      </c>
      <c r="M2913" t="s">
        <v>16</v>
      </c>
    </row>
    <row r="2914" spans="1:13" x14ac:dyDescent="0.35">
      <c r="A2914">
        <v>315750</v>
      </c>
      <c r="B2914">
        <v>25240</v>
      </c>
      <c r="C2914" t="s">
        <v>3063</v>
      </c>
      <c r="D2914" t="s">
        <v>2376</v>
      </c>
      <c r="E2914" t="s">
        <v>2516</v>
      </c>
      <c r="F2914">
        <v>4519</v>
      </c>
      <c r="G2914">
        <v>1</v>
      </c>
      <c r="H2914" t="s">
        <v>16</v>
      </c>
      <c r="I2914" s="1">
        <v>-1882700</v>
      </c>
      <c r="J2914" s="1">
        <v>-4244800</v>
      </c>
      <c r="K2914">
        <v>741</v>
      </c>
      <c r="L2914">
        <v>132</v>
      </c>
      <c r="M2914" t="s">
        <v>16</v>
      </c>
    </row>
    <row r="2915" spans="1:13" x14ac:dyDescent="0.35">
      <c r="A2915">
        <v>315760</v>
      </c>
      <c r="B2915">
        <v>25259</v>
      </c>
      <c r="C2915" t="s">
        <v>3064</v>
      </c>
      <c r="D2915" t="s">
        <v>2376</v>
      </c>
      <c r="E2915" t="s">
        <v>2525</v>
      </c>
      <c r="F2915">
        <v>4034</v>
      </c>
      <c r="G2915">
        <v>1</v>
      </c>
      <c r="H2915" t="s">
        <v>16</v>
      </c>
      <c r="I2915" s="1">
        <v>-1669000</v>
      </c>
      <c r="J2915" s="1">
        <v>-4541400</v>
      </c>
      <c r="K2915">
        <v>493</v>
      </c>
      <c r="L2915">
        <v>2916</v>
      </c>
      <c r="M2915" t="s">
        <v>16</v>
      </c>
    </row>
    <row r="2916" spans="1:13" x14ac:dyDescent="0.35">
      <c r="A2916">
        <v>315765</v>
      </c>
      <c r="B2916">
        <v>55875</v>
      </c>
      <c r="C2916" t="s">
        <v>3065</v>
      </c>
      <c r="D2916" t="s">
        <v>2376</v>
      </c>
      <c r="E2916" t="s">
        <v>2394</v>
      </c>
      <c r="F2916">
        <v>5892</v>
      </c>
      <c r="G2916">
        <v>1</v>
      </c>
      <c r="H2916" t="s">
        <v>16</v>
      </c>
      <c r="I2916" s="1">
        <v>-1698300</v>
      </c>
      <c r="J2916" s="1">
        <v>-4068600</v>
      </c>
      <c r="K2916">
        <v>312</v>
      </c>
      <c r="L2916">
        <v>276</v>
      </c>
      <c r="M2916" t="s">
        <v>16</v>
      </c>
    </row>
    <row r="2917" spans="1:13" x14ac:dyDescent="0.35">
      <c r="A2917">
        <v>315770</v>
      </c>
      <c r="B2917">
        <v>25267</v>
      </c>
      <c r="C2917" t="s">
        <v>3066</v>
      </c>
      <c r="D2917" t="s">
        <v>2376</v>
      </c>
      <c r="E2917" t="s">
        <v>2450</v>
      </c>
      <c r="F2917">
        <v>10582</v>
      </c>
      <c r="G2917">
        <v>1</v>
      </c>
      <c r="H2917" t="s">
        <v>16</v>
      </c>
      <c r="I2917" s="1">
        <v>-1930900</v>
      </c>
      <c r="J2917" s="1">
        <v>-4752500</v>
      </c>
      <c r="K2917">
        <v>907</v>
      </c>
      <c r="L2917">
        <v>727</v>
      </c>
      <c r="M2917" t="s">
        <v>16</v>
      </c>
    </row>
    <row r="2918" spans="1:13" x14ac:dyDescent="0.35">
      <c r="A2918">
        <v>315780</v>
      </c>
      <c r="B2918">
        <v>25275</v>
      </c>
      <c r="C2918" t="s">
        <v>720</v>
      </c>
      <c r="D2918" t="s">
        <v>2376</v>
      </c>
      <c r="E2918" t="s">
        <v>2479</v>
      </c>
      <c r="F2918">
        <v>222507</v>
      </c>
      <c r="G2918">
        <v>4</v>
      </c>
      <c r="H2918" t="s">
        <v>2468</v>
      </c>
      <c r="I2918" s="1">
        <v>-1977000</v>
      </c>
      <c r="J2918" s="1">
        <v>-4385100</v>
      </c>
      <c r="K2918">
        <v>751</v>
      </c>
      <c r="L2918">
        <v>233</v>
      </c>
      <c r="M2918" t="s">
        <v>16</v>
      </c>
    </row>
    <row r="2919" spans="1:13" x14ac:dyDescent="0.35">
      <c r="A2919">
        <v>315790</v>
      </c>
      <c r="B2919">
        <v>25283</v>
      </c>
      <c r="C2919" t="s">
        <v>3067</v>
      </c>
      <c r="D2919" t="s">
        <v>2376</v>
      </c>
      <c r="E2919" t="s">
        <v>2381</v>
      </c>
      <c r="F2919">
        <v>14205</v>
      </c>
      <c r="G2919">
        <v>1</v>
      </c>
      <c r="H2919" t="s">
        <v>16</v>
      </c>
      <c r="I2919" s="1">
        <v>-2038400</v>
      </c>
      <c r="J2919" s="1">
        <v>-4225100</v>
      </c>
      <c r="K2919">
        <v>720</v>
      </c>
      <c r="L2919">
        <v>256</v>
      </c>
      <c r="M2919" t="s">
        <v>16</v>
      </c>
    </row>
    <row r="2920" spans="1:13" x14ac:dyDescent="0.35">
      <c r="A2920">
        <v>315800</v>
      </c>
      <c r="B2920">
        <v>25291</v>
      </c>
      <c r="C2920" t="s">
        <v>3068</v>
      </c>
      <c r="D2920" t="s">
        <v>2376</v>
      </c>
      <c r="E2920" t="s">
        <v>2420</v>
      </c>
      <c r="F2920">
        <v>10445</v>
      </c>
      <c r="G2920">
        <v>1</v>
      </c>
      <c r="H2920" t="s">
        <v>16</v>
      </c>
      <c r="I2920" s="1">
        <v>-1944900</v>
      </c>
      <c r="J2920" s="1">
        <v>-4311300</v>
      </c>
      <c r="K2920">
        <v>506</v>
      </c>
      <c r="L2920">
        <v>509</v>
      </c>
      <c r="M2920" t="s">
        <v>16</v>
      </c>
    </row>
    <row r="2921" spans="1:13" x14ac:dyDescent="0.35">
      <c r="A2921">
        <v>315810</v>
      </c>
      <c r="B2921">
        <v>25305</v>
      </c>
      <c r="C2921" t="s">
        <v>3069</v>
      </c>
      <c r="D2921" t="s">
        <v>2376</v>
      </c>
      <c r="E2921" t="s">
        <v>2410</v>
      </c>
      <c r="F2921">
        <v>5724</v>
      </c>
      <c r="G2921">
        <v>1</v>
      </c>
      <c r="H2921" t="s">
        <v>16</v>
      </c>
      <c r="I2921" s="1">
        <v>-1624900</v>
      </c>
      <c r="J2921" s="1">
        <v>-4014900</v>
      </c>
      <c r="K2921">
        <v>200</v>
      </c>
      <c r="L2921">
        <v>442</v>
      </c>
      <c r="M2921" t="s">
        <v>16</v>
      </c>
    </row>
    <row r="2922" spans="1:13" x14ac:dyDescent="0.35">
      <c r="A2922">
        <v>315820</v>
      </c>
      <c r="B2922">
        <v>25313</v>
      </c>
      <c r="C2922" t="s">
        <v>3070</v>
      </c>
      <c r="D2922" t="s">
        <v>2376</v>
      </c>
      <c r="E2922" t="s">
        <v>2388</v>
      </c>
      <c r="F2922">
        <v>14427</v>
      </c>
      <c r="G2922">
        <v>1</v>
      </c>
      <c r="H2922" t="s">
        <v>16</v>
      </c>
      <c r="I2922" s="1">
        <v>-1819000</v>
      </c>
      <c r="J2922" s="1">
        <v>-4241400</v>
      </c>
      <c r="K2922">
        <v>476</v>
      </c>
      <c r="L2922">
        <v>623</v>
      </c>
      <c r="M2922" t="s">
        <v>16</v>
      </c>
    </row>
    <row r="2923" spans="1:13" x14ac:dyDescent="0.35">
      <c r="A2923">
        <v>315830</v>
      </c>
      <c r="B2923">
        <v>25321</v>
      </c>
      <c r="C2923" t="s">
        <v>3071</v>
      </c>
      <c r="D2923" t="s">
        <v>2376</v>
      </c>
      <c r="E2923" t="s">
        <v>2491</v>
      </c>
      <c r="F2923">
        <v>7092</v>
      </c>
      <c r="G2923">
        <v>1</v>
      </c>
      <c r="H2923" t="s">
        <v>16</v>
      </c>
      <c r="I2923" s="1">
        <v>-2124900</v>
      </c>
      <c r="J2923" s="1">
        <v>-4550700</v>
      </c>
      <c r="K2923">
        <v>817</v>
      </c>
      <c r="L2923">
        <v>172</v>
      </c>
      <c r="M2923" t="s">
        <v>16</v>
      </c>
    </row>
    <row r="2924" spans="1:13" x14ac:dyDescent="0.35">
      <c r="A2924">
        <v>315840</v>
      </c>
      <c r="B2924">
        <v>25330</v>
      </c>
      <c r="C2924" t="s">
        <v>3072</v>
      </c>
      <c r="D2924" t="s">
        <v>2376</v>
      </c>
      <c r="E2924" t="s">
        <v>2406</v>
      </c>
      <c r="F2924">
        <v>3603</v>
      </c>
      <c r="G2924">
        <v>1</v>
      </c>
      <c r="H2924" t="s">
        <v>16</v>
      </c>
      <c r="I2924" s="1">
        <v>-2128700</v>
      </c>
      <c r="J2924" s="1">
        <v>-4255700</v>
      </c>
      <c r="K2924">
        <v>232</v>
      </c>
      <c r="L2924">
        <v>162</v>
      </c>
      <c r="M2924" t="s">
        <v>16</v>
      </c>
    </row>
    <row r="2925" spans="1:13" x14ac:dyDescent="0.35">
      <c r="A2925">
        <v>315850</v>
      </c>
      <c r="B2925">
        <v>25348</v>
      </c>
      <c r="C2925" t="s">
        <v>3073</v>
      </c>
      <c r="D2925" t="s">
        <v>2376</v>
      </c>
      <c r="E2925" t="s">
        <v>2435</v>
      </c>
      <c r="F2925">
        <v>8549</v>
      </c>
      <c r="G2925">
        <v>1</v>
      </c>
      <c r="H2925" t="s">
        <v>16</v>
      </c>
      <c r="I2925" s="1">
        <v>-1900600</v>
      </c>
      <c r="J2925" s="1">
        <v>-4404300</v>
      </c>
      <c r="K2925">
        <v>628</v>
      </c>
      <c r="L2925">
        <v>1220</v>
      </c>
      <c r="M2925" t="s">
        <v>16</v>
      </c>
    </row>
    <row r="2926" spans="1:13" x14ac:dyDescent="0.35">
      <c r="A2926">
        <v>315860</v>
      </c>
      <c r="B2926">
        <v>25356</v>
      </c>
      <c r="C2926" t="s">
        <v>3074</v>
      </c>
      <c r="D2926" t="s">
        <v>2376</v>
      </c>
      <c r="E2926" t="s">
        <v>2437</v>
      </c>
      <c r="F2926">
        <v>3833</v>
      </c>
      <c r="G2926">
        <v>1</v>
      </c>
      <c r="H2926" t="s">
        <v>16</v>
      </c>
      <c r="I2926" s="1">
        <v>-2195000</v>
      </c>
      <c r="J2926" s="1">
        <v>-4316600</v>
      </c>
      <c r="K2926">
        <v>372</v>
      </c>
      <c r="L2926">
        <v>182</v>
      </c>
      <c r="M2926" t="s">
        <v>16</v>
      </c>
    </row>
    <row r="2927" spans="1:13" x14ac:dyDescent="0.35">
      <c r="A2927">
        <v>315870</v>
      </c>
      <c r="B2927">
        <v>25364</v>
      </c>
      <c r="C2927" t="s">
        <v>3075</v>
      </c>
      <c r="D2927" t="s">
        <v>2376</v>
      </c>
      <c r="E2927" t="s">
        <v>2589</v>
      </c>
      <c r="F2927">
        <v>2104</v>
      </c>
      <c r="G2927">
        <v>1</v>
      </c>
      <c r="H2927" t="s">
        <v>16</v>
      </c>
      <c r="I2927" s="1">
        <v>-2160100</v>
      </c>
      <c r="J2927" s="1">
        <v>-4410400</v>
      </c>
      <c r="K2927">
        <v>1105</v>
      </c>
      <c r="L2927">
        <v>202</v>
      </c>
      <c r="M2927" t="s">
        <v>16</v>
      </c>
    </row>
    <row r="2928" spans="1:13" x14ac:dyDescent="0.35">
      <c r="A2928">
        <v>315880</v>
      </c>
      <c r="B2928">
        <v>25372</v>
      </c>
      <c r="C2928" t="s">
        <v>3076</v>
      </c>
      <c r="D2928" t="s">
        <v>2376</v>
      </c>
      <c r="E2928" t="s">
        <v>2392</v>
      </c>
      <c r="F2928">
        <v>4532</v>
      </c>
      <c r="G2928">
        <v>1</v>
      </c>
      <c r="H2928" t="s">
        <v>16</v>
      </c>
      <c r="I2928" s="1">
        <v>-2089800</v>
      </c>
      <c r="J2928" s="1">
        <v>-4513100</v>
      </c>
      <c r="K2928">
        <v>797</v>
      </c>
      <c r="L2928">
        <v>107</v>
      </c>
      <c r="M2928" t="s">
        <v>16</v>
      </c>
    </row>
    <row r="2929" spans="1:13" x14ac:dyDescent="0.35">
      <c r="A2929">
        <v>315890</v>
      </c>
      <c r="B2929">
        <v>25380</v>
      </c>
      <c r="C2929" t="s">
        <v>3077</v>
      </c>
      <c r="D2929" t="s">
        <v>2376</v>
      </c>
      <c r="E2929" t="s">
        <v>2381</v>
      </c>
      <c r="F2929">
        <v>8185</v>
      </c>
      <c r="G2929">
        <v>1</v>
      </c>
      <c r="H2929" t="s">
        <v>16</v>
      </c>
      <c r="I2929" s="1">
        <v>-2010800</v>
      </c>
      <c r="J2929" s="1">
        <v>-4192500</v>
      </c>
      <c r="K2929">
        <v>650</v>
      </c>
      <c r="L2929">
        <v>346</v>
      </c>
      <c r="M2929" t="s">
        <v>16</v>
      </c>
    </row>
    <row r="2930" spans="1:13" x14ac:dyDescent="0.35">
      <c r="A2930">
        <v>315895</v>
      </c>
      <c r="B2930">
        <v>50814</v>
      </c>
      <c r="C2930" t="s">
        <v>3078</v>
      </c>
      <c r="D2930" t="s">
        <v>2376</v>
      </c>
      <c r="E2930" t="s">
        <v>2385</v>
      </c>
      <c r="F2930">
        <v>22765</v>
      </c>
      <c r="G2930">
        <v>4</v>
      </c>
      <c r="H2930" t="s">
        <v>2386</v>
      </c>
      <c r="I2930" s="1">
        <v>-1936400</v>
      </c>
      <c r="J2930" s="1">
        <v>-4256900</v>
      </c>
      <c r="K2930">
        <v>285</v>
      </c>
      <c r="L2930">
        <v>275</v>
      </c>
      <c r="M2930" t="s">
        <v>16</v>
      </c>
    </row>
    <row r="2931" spans="1:13" x14ac:dyDescent="0.35">
      <c r="A2931">
        <v>315900</v>
      </c>
      <c r="B2931">
        <v>25399</v>
      </c>
      <c r="C2931" t="s">
        <v>3079</v>
      </c>
      <c r="D2931" t="s">
        <v>2376</v>
      </c>
      <c r="E2931" t="s">
        <v>2435</v>
      </c>
      <c r="F2931">
        <v>4159</v>
      </c>
      <c r="G2931">
        <v>1</v>
      </c>
      <c r="H2931" t="s">
        <v>16</v>
      </c>
      <c r="I2931" s="1">
        <v>-1916900</v>
      </c>
      <c r="J2931" s="1">
        <v>-4371400</v>
      </c>
      <c r="K2931">
        <v>700</v>
      </c>
      <c r="L2931">
        <v>676</v>
      </c>
      <c r="M2931" t="s">
        <v>16</v>
      </c>
    </row>
    <row r="2932" spans="1:13" x14ac:dyDescent="0.35">
      <c r="A2932">
        <v>315910</v>
      </c>
      <c r="B2932">
        <v>25402</v>
      </c>
      <c r="C2932" t="s">
        <v>3080</v>
      </c>
      <c r="D2932" t="s">
        <v>2376</v>
      </c>
      <c r="E2932" t="s">
        <v>2585</v>
      </c>
      <c r="F2932">
        <v>3989</v>
      </c>
      <c r="G2932">
        <v>1</v>
      </c>
      <c r="H2932" t="s">
        <v>16</v>
      </c>
      <c r="I2932" s="1">
        <v>-2078800</v>
      </c>
      <c r="J2932" s="1">
        <v>-4369200</v>
      </c>
      <c r="K2932">
        <v>746</v>
      </c>
      <c r="L2932">
        <v>196</v>
      </c>
      <c r="M2932" t="s">
        <v>16</v>
      </c>
    </row>
    <row r="2933" spans="1:13" x14ac:dyDescent="0.35">
      <c r="A2933">
        <v>315920</v>
      </c>
      <c r="B2933">
        <v>25410</v>
      </c>
      <c r="C2933" t="s">
        <v>3081</v>
      </c>
      <c r="D2933" t="s">
        <v>2376</v>
      </c>
      <c r="E2933" t="s">
        <v>2404</v>
      </c>
      <c r="F2933">
        <v>9078</v>
      </c>
      <c r="G2933">
        <v>1</v>
      </c>
      <c r="H2933" t="s">
        <v>16</v>
      </c>
      <c r="I2933" s="1">
        <v>-2202900</v>
      </c>
      <c r="J2933" s="1">
        <v>-4633700</v>
      </c>
      <c r="K2933">
        <v>1072</v>
      </c>
      <c r="L2933">
        <v>502</v>
      </c>
      <c r="M2933" t="s">
        <v>16</v>
      </c>
    </row>
    <row r="2934" spans="1:13" x14ac:dyDescent="0.35">
      <c r="A2934">
        <v>315930</v>
      </c>
      <c r="B2934">
        <v>25429</v>
      </c>
      <c r="C2934" t="s">
        <v>3082</v>
      </c>
      <c r="D2934" t="s">
        <v>2376</v>
      </c>
      <c r="E2934" t="s">
        <v>2437</v>
      </c>
      <c r="F2934">
        <v>5588</v>
      </c>
      <c r="G2934">
        <v>1</v>
      </c>
      <c r="H2934" t="s">
        <v>16</v>
      </c>
      <c r="I2934" s="1">
        <v>-2214900</v>
      </c>
      <c r="J2934" s="1">
        <v>-4409500</v>
      </c>
      <c r="K2934">
        <v>550</v>
      </c>
      <c r="L2934">
        <v>437</v>
      </c>
      <c r="M2934" t="s">
        <v>16</v>
      </c>
    </row>
    <row r="2935" spans="1:13" x14ac:dyDescent="0.35">
      <c r="A2935">
        <v>315935</v>
      </c>
      <c r="B2935">
        <v>50822</v>
      </c>
      <c r="C2935" t="s">
        <v>3083</v>
      </c>
      <c r="D2935" t="s">
        <v>2376</v>
      </c>
      <c r="E2935" t="s">
        <v>2499</v>
      </c>
      <c r="F2935">
        <v>5787</v>
      </c>
      <c r="G2935">
        <v>1</v>
      </c>
      <c r="H2935" t="s">
        <v>16</v>
      </c>
      <c r="I2935" s="1">
        <v>-1987500</v>
      </c>
      <c r="J2935" s="1">
        <v>-4213200</v>
      </c>
      <c r="K2935">
        <v>950</v>
      </c>
      <c r="L2935">
        <v>67</v>
      </c>
      <c r="M2935" t="s">
        <v>16</v>
      </c>
    </row>
    <row r="2936" spans="1:13" x14ac:dyDescent="0.35">
      <c r="A2936">
        <v>315940</v>
      </c>
      <c r="B2936">
        <v>25437</v>
      </c>
      <c r="C2936" t="s">
        <v>3084</v>
      </c>
      <c r="D2936" t="s">
        <v>2376</v>
      </c>
      <c r="E2936" t="s">
        <v>2437</v>
      </c>
      <c r="F2936">
        <v>3747</v>
      </c>
      <c r="G2936">
        <v>1</v>
      </c>
      <c r="H2936" t="s">
        <v>16</v>
      </c>
      <c r="I2936" s="1">
        <v>-2156300</v>
      </c>
      <c r="J2936" s="1">
        <v>-4391500</v>
      </c>
      <c r="K2936">
        <v>1101</v>
      </c>
      <c r="L2936">
        <v>324</v>
      </c>
      <c r="M2936" t="s">
        <v>16</v>
      </c>
    </row>
    <row r="2937" spans="1:13" x14ac:dyDescent="0.35">
      <c r="A2937">
        <v>315950</v>
      </c>
      <c r="B2937">
        <v>25445</v>
      </c>
      <c r="C2937" t="s">
        <v>3085</v>
      </c>
      <c r="D2937" t="s">
        <v>2376</v>
      </c>
      <c r="E2937" t="s">
        <v>2398</v>
      </c>
      <c r="F2937">
        <v>5652</v>
      </c>
      <c r="G2937">
        <v>1</v>
      </c>
      <c r="H2937" t="s">
        <v>16</v>
      </c>
      <c r="I2937" s="1">
        <v>-1936000</v>
      </c>
      <c r="J2937" s="1">
        <v>-4138000</v>
      </c>
      <c r="K2937">
        <v>320</v>
      </c>
      <c r="L2937">
        <v>486</v>
      </c>
      <c r="M2937" t="s">
        <v>16</v>
      </c>
    </row>
    <row r="2938" spans="1:13" x14ac:dyDescent="0.35">
      <c r="A2938">
        <v>315960</v>
      </c>
      <c r="B2938">
        <v>25453</v>
      </c>
      <c r="C2938" t="s">
        <v>3086</v>
      </c>
      <c r="D2938" t="s">
        <v>2376</v>
      </c>
      <c r="E2938" t="s">
        <v>2530</v>
      </c>
      <c r="F2938">
        <v>34246</v>
      </c>
      <c r="G2938">
        <v>1</v>
      </c>
      <c r="H2938" t="s">
        <v>16</v>
      </c>
      <c r="I2938" s="1">
        <v>-2225200</v>
      </c>
      <c r="J2938" s="1">
        <v>-4570300</v>
      </c>
      <c r="K2938">
        <v>826</v>
      </c>
      <c r="L2938">
        <v>350</v>
      </c>
      <c r="M2938" t="s">
        <v>16</v>
      </c>
    </row>
    <row r="2939" spans="1:13" x14ac:dyDescent="0.35">
      <c r="A2939">
        <v>315970</v>
      </c>
      <c r="B2939">
        <v>25461</v>
      </c>
      <c r="C2939" t="s">
        <v>3087</v>
      </c>
      <c r="D2939" t="s">
        <v>2376</v>
      </c>
      <c r="E2939" t="s">
        <v>2446</v>
      </c>
      <c r="F2939">
        <v>3261</v>
      </c>
      <c r="G2939">
        <v>1</v>
      </c>
      <c r="H2939" t="s">
        <v>16</v>
      </c>
      <c r="I2939" s="1">
        <v>-1953000</v>
      </c>
      <c r="J2939" s="1">
        <v>-4596600</v>
      </c>
      <c r="K2939">
        <v>1011</v>
      </c>
      <c r="L2939">
        <v>296</v>
      </c>
      <c r="M2939" t="s">
        <v>16</v>
      </c>
    </row>
    <row r="2940" spans="1:13" x14ac:dyDescent="0.35">
      <c r="A2940">
        <v>315980</v>
      </c>
      <c r="B2940">
        <v>25470</v>
      </c>
      <c r="C2940" t="s">
        <v>3088</v>
      </c>
      <c r="D2940" t="s">
        <v>2376</v>
      </c>
      <c r="E2940" t="s">
        <v>2532</v>
      </c>
      <c r="F2940">
        <v>15492</v>
      </c>
      <c r="G2940">
        <v>1</v>
      </c>
      <c r="H2940" t="s">
        <v>16</v>
      </c>
      <c r="I2940" s="1">
        <v>-1883900</v>
      </c>
      <c r="J2940" s="1">
        <v>-5012100</v>
      </c>
      <c r="K2940">
        <v>498</v>
      </c>
      <c r="L2940">
        <v>3002</v>
      </c>
      <c r="M2940" t="s">
        <v>16</v>
      </c>
    </row>
    <row r="2941" spans="1:13" x14ac:dyDescent="0.35">
      <c r="A2941">
        <v>315990</v>
      </c>
      <c r="B2941">
        <v>25488</v>
      </c>
      <c r="C2941" t="s">
        <v>3089</v>
      </c>
      <c r="D2941" t="s">
        <v>2376</v>
      </c>
      <c r="E2941" t="s">
        <v>2502</v>
      </c>
      <c r="F2941">
        <v>17255</v>
      </c>
      <c r="G2941">
        <v>1</v>
      </c>
      <c r="H2941" t="s">
        <v>16</v>
      </c>
      <c r="I2941" s="1">
        <v>-2094600</v>
      </c>
      <c r="J2941" s="1">
        <v>-4491900</v>
      </c>
      <c r="K2941">
        <v>1013</v>
      </c>
      <c r="L2941">
        <v>491</v>
      </c>
      <c r="M2941" t="s">
        <v>16</v>
      </c>
    </row>
    <row r="2942" spans="1:13" x14ac:dyDescent="0.35">
      <c r="A2942">
        <v>316000</v>
      </c>
      <c r="B2942">
        <v>25496</v>
      </c>
      <c r="C2942" t="s">
        <v>3090</v>
      </c>
      <c r="D2942" t="s">
        <v>2376</v>
      </c>
      <c r="E2942" t="s">
        <v>2406</v>
      </c>
      <c r="F2942">
        <v>3489</v>
      </c>
      <c r="G2942">
        <v>1</v>
      </c>
      <c r="H2942" t="s">
        <v>16</v>
      </c>
      <c r="I2942" s="1">
        <v>-2175800</v>
      </c>
      <c r="J2942" s="1">
        <v>-4281600</v>
      </c>
      <c r="K2942">
        <v>625</v>
      </c>
      <c r="L2942">
        <v>201</v>
      </c>
      <c r="M2942" t="s">
        <v>16</v>
      </c>
    </row>
    <row r="2943" spans="1:13" x14ac:dyDescent="0.35">
      <c r="A2943">
        <v>316010</v>
      </c>
      <c r="B2943">
        <v>25500</v>
      </c>
      <c r="C2943" t="s">
        <v>3091</v>
      </c>
      <c r="D2943" t="s">
        <v>2376</v>
      </c>
      <c r="E2943" t="s">
        <v>2383</v>
      </c>
      <c r="F2943">
        <v>4241</v>
      </c>
      <c r="G2943">
        <v>1</v>
      </c>
      <c r="H2943" t="s">
        <v>16</v>
      </c>
      <c r="I2943" s="1">
        <v>-2031400</v>
      </c>
      <c r="J2943" s="1">
        <v>-4260900</v>
      </c>
      <c r="K2943">
        <v>421</v>
      </c>
      <c r="L2943">
        <v>129</v>
      </c>
      <c r="M2943" t="s">
        <v>16</v>
      </c>
    </row>
    <row r="2944" spans="1:13" x14ac:dyDescent="0.35">
      <c r="A2944">
        <v>316020</v>
      </c>
      <c r="B2944">
        <v>25518</v>
      </c>
      <c r="C2944" t="s">
        <v>3092</v>
      </c>
      <c r="D2944" t="s">
        <v>2376</v>
      </c>
      <c r="E2944" t="s">
        <v>2422</v>
      </c>
      <c r="F2944">
        <v>4517</v>
      </c>
      <c r="G2944">
        <v>1</v>
      </c>
      <c r="H2944" t="s">
        <v>16</v>
      </c>
      <c r="I2944" s="1">
        <v>-1846600</v>
      </c>
      <c r="J2944" s="1">
        <v>-4330700</v>
      </c>
      <c r="K2944">
        <v>701</v>
      </c>
      <c r="L2944">
        <v>303</v>
      </c>
      <c r="M2944" t="s">
        <v>16</v>
      </c>
    </row>
    <row r="2945" spans="1:13" x14ac:dyDescent="0.35">
      <c r="A2945">
        <v>316030</v>
      </c>
      <c r="B2945">
        <v>25526</v>
      </c>
      <c r="C2945" t="s">
        <v>3093</v>
      </c>
      <c r="D2945" t="s">
        <v>2376</v>
      </c>
      <c r="E2945" t="s">
        <v>2410</v>
      </c>
      <c r="F2945">
        <v>11294</v>
      </c>
      <c r="G2945">
        <v>1</v>
      </c>
      <c r="H2945" t="s">
        <v>16</v>
      </c>
      <c r="I2945" s="1">
        <v>-1653400</v>
      </c>
      <c r="J2945" s="1">
        <v>-4017600</v>
      </c>
      <c r="K2945">
        <v>400</v>
      </c>
      <c r="L2945">
        <v>497</v>
      </c>
      <c r="M2945" t="s">
        <v>16</v>
      </c>
    </row>
    <row r="2946" spans="1:13" x14ac:dyDescent="0.35">
      <c r="A2946">
        <v>316040</v>
      </c>
      <c r="B2946">
        <v>25534</v>
      </c>
      <c r="C2946" t="s">
        <v>3094</v>
      </c>
      <c r="D2946" t="s">
        <v>2376</v>
      </c>
      <c r="E2946" t="s">
        <v>2575</v>
      </c>
      <c r="F2946">
        <v>24746</v>
      </c>
      <c r="G2946">
        <v>1</v>
      </c>
      <c r="H2946" t="s">
        <v>16</v>
      </c>
      <c r="I2946" s="1">
        <v>-2008700</v>
      </c>
      <c r="J2946" s="1">
        <v>-4529400</v>
      </c>
      <c r="K2946">
        <v>919</v>
      </c>
      <c r="L2946">
        <v>1129</v>
      </c>
      <c r="M2946" t="s">
        <v>16</v>
      </c>
    </row>
    <row r="2947" spans="1:13" x14ac:dyDescent="0.35">
      <c r="A2947">
        <v>316045</v>
      </c>
      <c r="B2947">
        <v>55883</v>
      </c>
      <c r="C2947" t="s">
        <v>3095</v>
      </c>
      <c r="D2947" t="s">
        <v>2376</v>
      </c>
      <c r="E2947" t="s">
        <v>2396</v>
      </c>
      <c r="F2947">
        <v>6817</v>
      </c>
      <c r="G2947">
        <v>1</v>
      </c>
      <c r="H2947" t="s">
        <v>16</v>
      </c>
      <c r="I2947" s="1">
        <v>-1533900</v>
      </c>
      <c r="J2947" s="1">
        <v>-4262400</v>
      </c>
      <c r="K2947">
        <v>815</v>
      </c>
      <c r="L2947">
        <v>796</v>
      </c>
      <c r="M2947" t="s">
        <v>16</v>
      </c>
    </row>
    <row r="2948" spans="1:13" x14ac:dyDescent="0.35">
      <c r="A2948">
        <v>316050</v>
      </c>
      <c r="B2948">
        <v>25542</v>
      </c>
      <c r="C2948" t="s">
        <v>3096</v>
      </c>
      <c r="D2948" t="s">
        <v>2376</v>
      </c>
      <c r="E2948" t="s">
        <v>2422</v>
      </c>
      <c r="F2948">
        <v>1753</v>
      </c>
      <c r="G2948">
        <v>1</v>
      </c>
      <c r="H2948" t="s">
        <v>16</v>
      </c>
      <c r="I2948" s="1">
        <v>-1922800</v>
      </c>
      <c r="J2948" s="1">
        <v>-4325400</v>
      </c>
      <c r="K2948">
        <v>550</v>
      </c>
      <c r="L2948">
        <v>107</v>
      </c>
      <c r="M2948" t="s">
        <v>16</v>
      </c>
    </row>
    <row r="2949" spans="1:13" x14ac:dyDescent="0.35">
      <c r="A2949">
        <v>316060</v>
      </c>
      <c r="B2949">
        <v>25550</v>
      </c>
      <c r="C2949" t="s">
        <v>3097</v>
      </c>
      <c r="D2949" t="s">
        <v>2376</v>
      </c>
      <c r="E2949" t="s">
        <v>2465</v>
      </c>
      <c r="F2949">
        <v>3541</v>
      </c>
      <c r="G2949">
        <v>1</v>
      </c>
      <c r="H2949" t="s">
        <v>16</v>
      </c>
      <c r="I2949" s="1">
        <v>-1829700</v>
      </c>
      <c r="J2949" s="1">
        <v>-4422300</v>
      </c>
      <c r="K2949">
        <v>526</v>
      </c>
      <c r="L2949">
        <v>430</v>
      </c>
      <c r="M2949" t="s">
        <v>16</v>
      </c>
    </row>
    <row r="2950" spans="1:13" x14ac:dyDescent="0.35">
      <c r="A2950">
        <v>316070</v>
      </c>
      <c r="B2950">
        <v>25569</v>
      </c>
      <c r="C2950" t="s">
        <v>3098</v>
      </c>
      <c r="D2950" t="s">
        <v>2376</v>
      </c>
      <c r="E2950" t="s">
        <v>2437</v>
      </c>
      <c r="F2950">
        <v>45922</v>
      </c>
      <c r="G2950">
        <v>1</v>
      </c>
      <c r="H2950" t="s">
        <v>16</v>
      </c>
      <c r="I2950" s="1">
        <v>-2145700</v>
      </c>
      <c r="J2950" s="1">
        <v>-4355300</v>
      </c>
      <c r="K2950">
        <v>839</v>
      </c>
      <c r="L2950">
        <v>637</v>
      </c>
      <c r="M2950" t="s">
        <v>16</v>
      </c>
    </row>
    <row r="2951" spans="1:13" x14ac:dyDescent="0.35">
      <c r="A2951">
        <v>316080</v>
      </c>
      <c r="B2951">
        <v>25577</v>
      </c>
      <c r="C2951" t="s">
        <v>3099</v>
      </c>
      <c r="D2951" t="s">
        <v>2376</v>
      </c>
      <c r="E2951" t="s">
        <v>2491</v>
      </c>
      <c r="F2951">
        <v>4400</v>
      </c>
      <c r="G2951">
        <v>1</v>
      </c>
      <c r="H2951" t="s">
        <v>16</v>
      </c>
      <c r="I2951" s="1">
        <v>-2158200</v>
      </c>
      <c r="J2951" s="1">
        <v>-4507600</v>
      </c>
      <c r="K2951">
        <v>971</v>
      </c>
      <c r="L2951">
        <v>80</v>
      </c>
      <c r="M2951" t="s">
        <v>16</v>
      </c>
    </row>
    <row r="2952" spans="1:13" x14ac:dyDescent="0.35">
      <c r="A2952">
        <v>316090</v>
      </c>
      <c r="B2952">
        <v>25585</v>
      </c>
      <c r="C2952" t="s">
        <v>3100</v>
      </c>
      <c r="D2952" t="s">
        <v>2376</v>
      </c>
      <c r="E2952" t="s">
        <v>2585</v>
      </c>
      <c r="F2952">
        <v>3488</v>
      </c>
      <c r="G2952">
        <v>1</v>
      </c>
      <c r="H2952" t="s">
        <v>16</v>
      </c>
      <c r="I2952" s="1">
        <v>-2062500</v>
      </c>
      <c r="J2952" s="1">
        <v>-4394900</v>
      </c>
      <c r="K2952">
        <v>971</v>
      </c>
      <c r="L2952">
        <v>110</v>
      </c>
      <c r="M2952" t="s">
        <v>16</v>
      </c>
    </row>
    <row r="2953" spans="1:13" x14ac:dyDescent="0.35">
      <c r="A2953">
        <v>316095</v>
      </c>
      <c r="B2953">
        <v>55891</v>
      </c>
      <c r="C2953" t="s">
        <v>3101</v>
      </c>
      <c r="D2953" t="s">
        <v>2376</v>
      </c>
      <c r="E2953" t="s">
        <v>2499</v>
      </c>
      <c r="F2953">
        <v>5232</v>
      </c>
      <c r="G2953">
        <v>1</v>
      </c>
      <c r="H2953" t="s">
        <v>16</v>
      </c>
      <c r="I2953" s="1">
        <v>-1952700</v>
      </c>
      <c r="J2953" s="1">
        <v>-4201100</v>
      </c>
      <c r="K2953">
        <v>700</v>
      </c>
      <c r="L2953">
        <v>61</v>
      </c>
      <c r="M2953" t="s">
        <v>16</v>
      </c>
    </row>
    <row r="2954" spans="1:13" x14ac:dyDescent="0.35">
      <c r="A2954">
        <v>316100</v>
      </c>
      <c r="B2954">
        <v>25593</v>
      </c>
      <c r="C2954" t="s">
        <v>3102</v>
      </c>
      <c r="D2954" t="s">
        <v>2376</v>
      </c>
      <c r="E2954" t="s">
        <v>2420</v>
      </c>
      <c r="F2954">
        <v>17349</v>
      </c>
      <c r="G2954">
        <v>1</v>
      </c>
      <c r="H2954" t="s">
        <v>16</v>
      </c>
      <c r="I2954" s="1">
        <v>-1986500</v>
      </c>
      <c r="J2954" s="1">
        <v>-4296800</v>
      </c>
      <c r="K2954">
        <v>577</v>
      </c>
      <c r="L2954">
        <v>746</v>
      </c>
      <c r="M2954" t="s">
        <v>16</v>
      </c>
    </row>
    <row r="2955" spans="1:13" x14ac:dyDescent="0.35">
      <c r="A2955">
        <v>316105</v>
      </c>
      <c r="B2955">
        <v>55905</v>
      </c>
      <c r="C2955" t="s">
        <v>3103</v>
      </c>
      <c r="D2955" t="s">
        <v>2376</v>
      </c>
      <c r="E2955" t="s">
        <v>2598</v>
      </c>
      <c r="F2955">
        <v>3387</v>
      </c>
      <c r="G2955">
        <v>1</v>
      </c>
      <c r="H2955" t="s">
        <v>16</v>
      </c>
      <c r="I2955" s="1">
        <v>-1859100</v>
      </c>
      <c r="J2955" s="1">
        <v>-4148600</v>
      </c>
      <c r="K2955">
        <v>550</v>
      </c>
      <c r="L2955">
        <v>165</v>
      </c>
      <c r="M2955" t="s">
        <v>16</v>
      </c>
    </row>
    <row r="2956" spans="1:13" x14ac:dyDescent="0.35">
      <c r="A2956">
        <v>316110</v>
      </c>
      <c r="B2956">
        <v>25607</v>
      </c>
      <c r="C2956" t="s">
        <v>1569</v>
      </c>
      <c r="D2956" t="s">
        <v>2376</v>
      </c>
      <c r="E2956" t="s">
        <v>2505</v>
      </c>
      <c r="F2956">
        <v>52985</v>
      </c>
      <c r="G2956">
        <v>2</v>
      </c>
      <c r="H2956" t="s">
        <v>16</v>
      </c>
      <c r="I2956" s="1">
        <v>-1594900</v>
      </c>
      <c r="J2956" s="1">
        <v>-4486400</v>
      </c>
      <c r="K2956">
        <v>695</v>
      </c>
      <c r="L2956">
        <v>3299</v>
      </c>
      <c r="M2956" t="s">
        <v>16</v>
      </c>
    </row>
    <row r="2957" spans="1:13" x14ac:dyDescent="0.35">
      <c r="A2957">
        <v>316120</v>
      </c>
      <c r="B2957">
        <v>25615</v>
      </c>
      <c r="C2957" t="s">
        <v>3104</v>
      </c>
      <c r="D2957" t="s">
        <v>2376</v>
      </c>
      <c r="E2957" t="s">
        <v>2502</v>
      </c>
      <c r="F2957">
        <v>6246</v>
      </c>
      <c r="G2957">
        <v>1</v>
      </c>
      <c r="H2957" t="s">
        <v>16</v>
      </c>
      <c r="I2957" s="1">
        <v>-2071000</v>
      </c>
      <c r="J2957" s="1">
        <v>-4498500</v>
      </c>
      <c r="K2957">
        <v>931</v>
      </c>
      <c r="L2957">
        <v>316</v>
      </c>
      <c r="M2957" t="s">
        <v>16</v>
      </c>
    </row>
    <row r="2958" spans="1:13" x14ac:dyDescent="0.35">
      <c r="A2958">
        <v>316130</v>
      </c>
      <c r="B2958">
        <v>25623</v>
      </c>
      <c r="C2958" t="s">
        <v>3105</v>
      </c>
      <c r="D2958" t="s">
        <v>2376</v>
      </c>
      <c r="E2958" t="s">
        <v>2545</v>
      </c>
      <c r="F2958">
        <v>5167</v>
      </c>
      <c r="G2958">
        <v>1</v>
      </c>
      <c r="H2958" t="s">
        <v>16</v>
      </c>
      <c r="I2958" s="1">
        <v>-1986300</v>
      </c>
      <c r="J2958" s="1">
        <v>-4977400</v>
      </c>
      <c r="K2958">
        <v>423</v>
      </c>
      <c r="L2958">
        <v>1128</v>
      </c>
      <c r="M2958" t="s">
        <v>16</v>
      </c>
    </row>
    <row r="2959" spans="1:13" x14ac:dyDescent="0.35">
      <c r="A2959">
        <v>316140</v>
      </c>
      <c r="B2959">
        <v>25631</v>
      </c>
      <c r="C2959" t="s">
        <v>3106</v>
      </c>
      <c r="D2959" t="s">
        <v>2376</v>
      </c>
      <c r="E2959" t="s">
        <v>2433</v>
      </c>
      <c r="F2959">
        <v>5539</v>
      </c>
      <c r="G2959">
        <v>1</v>
      </c>
      <c r="H2959" t="s">
        <v>16</v>
      </c>
      <c r="I2959" s="1">
        <v>-2078900</v>
      </c>
      <c r="J2959" s="1">
        <v>-4226800</v>
      </c>
      <c r="K2959">
        <v>729</v>
      </c>
      <c r="L2959">
        <v>164</v>
      </c>
      <c r="M2959" t="s">
        <v>16</v>
      </c>
    </row>
    <row r="2960" spans="1:13" x14ac:dyDescent="0.35">
      <c r="A2960">
        <v>316150</v>
      </c>
      <c r="B2960">
        <v>25640</v>
      </c>
      <c r="C2960" t="s">
        <v>3107</v>
      </c>
      <c r="D2960" t="s">
        <v>2376</v>
      </c>
      <c r="E2960" t="s">
        <v>2461</v>
      </c>
      <c r="F2960">
        <v>9171</v>
      </c>
      <c r="G2960">
        <v>1</v>
      </c>
      <c r="H2960" t="s">
        <v>16</v>
      </c>
      <c r="I2960" s="1">
        <v>-2092300</v>
      </c>
      <c r="J2960" s="1">
        <v>-4283400</v>
      </c>
      <c r="K2960">
        <v>372</v>
      </c>
      <c r="L2960">
        <v>187</v>
      </c>
      <c r="M2960" t="s">
        <v>16</v>
      </c>
    </row>
    <row r="2961" spans="1:13" x14ac:dyDescent="0.35">
      <c r="A2961">
        <v>316160</v>
      </c>
      <c r="B2961">
        <v>25658</v>
      </c>
      <c r="C2961" t="s">
        <v>3108</v>
      </c>
      <c r="D2961" t="s">
        <v>2376</v>
      </c>
      <c r="E2961" t="s">
        <v>2412</v>
      </c>
      <c r="F2961">
        <v>4768</v>
      </c>
      <c r="G2961">
        <v>1</v>
      </c>
      <c r="H2961" t="s">
        <v>16</v>
      </c>
      <c r="I2961" s="1">
        <v>-1883600</v>
      </c>
      <c r="J2961" s="1">
        <v>-4228800</v>
      </c>
      <c r="K2961">
        <v>292</v>
      </c>
      <c r="L2961">
        <v>153</v>
      </c>
      <c r="M2961" t="s">
        <v>16</v>
      </c>
    </row>
    <row r="2962" spans="1:13" x14ac:dyDescent="0.35">
      <c r="A2962">
        <v>316165</v>
      </c>
      <c r="B2962">
        <v>55913</v>
      </c>
      <c r="C2962" t="s">
        <v>3109</v>
      </c>
      <c r="D2962" t="s">
        <v>2376</v>
      </c>
      <c r="E2962" t="s">
        <v>2412</v>
      </c>
      <c r="F2962">
        <v>3253</v>
      </c>
      <c r="G2962">
        <v>1</v>
      </c>
      <c r="H2962" t="s">
        <v>16</v>
      </c>
      <c r="I2962" s="1">
        <v>-1890000</v>
      </c>
      <c r="J2962" s="1">
        <v>-4136000</v>
      </c>
      <c r="K2962">
        <v>210</v>
      </c>
      <c r="L2962">
        <v>280</v>
      </c>
      <c r="M2962" t="s">
        <v>16</v>
      </c>
    </row>
    <row r="2963" spans="1:13" x14ac:dyDescent="0.35">
      <c r="A2963">
        <v>316170</v>
      </c>
      <c r="B2963">
        <v>25666</v>
      </c>
      <c r="C2963" t="s">
        <v>3110</v>
      </c>
      <c r="D2963" t="s">
        <v>2376</v>
      </c>
      <c r="E2963" t="s">
        <v>2511</v>
      </c>
      <c r="F2963">
        <v>6156</v>
      </c>
      <c r="G2963">
        <v>1</v>
      </c>
      <c r="H2963" t="s">
        <v>16</v>
      </c>
      <c r="I2963" s="1">
        <v>-1833800</v>
      </c>
      <c r="J2963" s="1">
        <v>-4583300</v>
      </c>
      <c r="K2963">
        <v>789</v>
      </c>
      <c r="L2963">
        <v>2687</v>
      </c>
      <c r="M2963" t="s">
        <v>16</v>
      </c>
    </row>
    <row r="2964" spans="1:13" x14ac:dyDescent="0.35">
      <c r="A2964">
        <v>316180</v>
      </c>
      <c r="B2964">
        <v>25674</v>
      </c>
      <c r="C2964" t="s">
        <v>3111</v>
      </c>
      <c r="D2964" t="s">
        <v>2376</v>
      </c>
      <c r="E2964" t="s">
        <v>2575</v>
      </c>
      <c r="F2964">
        <v>10308</v>
      </c>
      <c r="G2964">
        <v>1</v>
      </c>
      <c r="H2964" t="s">
        <v>16</v>
      </c>
      <c r="I2964" s="1">
        <v>-1998300</v>
      </c>
      <c r="J2964" s="1">
        <v>-4485900</v>
      </c>
      <c r="K2964">
        <v>739</v>
      </c>
      <c r="L2964">
        <v>265</v>
      </c>
      <c r="M2964" t="s">
        <v>16</v>
      </c>
    </row>
    <row r="2965" spans="1:13" x14ac:dyDescent="0.35">
      <c r="A2965">
        <v>316190</v>
      </c>
      <c r="B2965">
        <v>25682</v>
      </c>
      <c r="C2965" t="s">
        <v>3112</v>
      </c>
      <c r="D2965" t="s">
        <v>2376</v>
      </c>
      <c r="E2965" t="s">
        <v>2420</v>
      </c>
      <c r="F2965">
        <v>50000</v>
      </c>
      <c r="G2965">
        <v>2</v>
      </c>
      <c r="H2965" t="s">
        <v>16</v>
      </c>
      <c r="I2965" s="1">
        <v>-1982600</v>
      </c>
      <c r="J2965" s="1">
        <v>-4336200</v>
      </c>
      <c r="K2965">
        <v>627</v>
      </c>
      <c r="L2965">
        <v>364</v>
      </c>
      <c r="M2965" t="s">
        <v>16</v>
      </c>
    </row>
    <row r="2966" spans="1:13" x14ac:dyDescent="0.35">
      <c r="A2966">
        <v>316200</v>
      </c>
      <c r="B2966">
        <v>25690</v>
      </c>
      <c r="C2966" t="s">
        <v>3113</v>
      </c>
      <c r="D2966" t="s">
        <v>2376</v>
      </c>
      <c r="E2966" t="s">
        <v>2530</v>
      </c>
      <c r="F2966">
        <v>22751</v>
      </c>
      <c r="G2966">
        <v>1</v>
      </c>
      <c r="H2966" t="s">
        <v>16</v>
      </c>
      <c r="I2966" s="1">
        <v>-2189200</v>
      </c>
      <c r="J2966" s="1">
        <v>-4559500</v>
      </c>
      <c r="K2966">
        <v>868</v>
      </c>
      <c r="L2966">
        <v>517</v>
      </c>
      <c r="M2966" t="s">
        <v>16</v>
      </c>
    </row>
    <row r="2967" spans="1:13" x14ac:dyDescent="0.35">
      <c r="A2967">
        <v>316210</v>
      </c>
      <c r="B2967">
        <v>25704</v>
      </c>
      <c r="C2967" t="s">
        <v>3114</v>
      </c>
      <c r="D2967" t="s">
        <v>2376</v>
      </c>
      <c r="E2967" t="s">
        <v>2446</v>
      </c>
      <c r="F2967">
        <v>30757</v>
      </c>
      <c r="G2967">
        <v>1</v>
      </c>
      <c r="H2967" t="s">
        <v>16</v>
      </c>
      <c r="I2967" s="1">
        <v>-1931100</v>
      </c>
      <c r="J2967" s="1">
        <v>-4604900</v>
      </c>
      <c r="K2967">
        <v>1055</v>
      </c>
      <c r="L2967">
        <v>853</v>
      </c>
      <c r="M2967" t="s">
        <v>16</v>
      </c>
    </row>
    <row r="2968" spans="1:13" x14ac:dyDescent="0.35">
      <c r="A2968">
        <v>316220</v>
      </c>
      <c r="B2968">
        <v>25712</v>
      </c>
      <c r="C2968" t="s">
        <v>3115</v>
      </c>
      <c r="D2968" t="s">
        <v>2376</v>
      </c>
      <c r="E2968" t="s">
        <v>2414</v>
      </c>
      <c r="F2968">
        <v>6828</v>
      </c>
      <c r="G2968">
        <v>1</v>
      </c>
      <c r="H2968" t="s">
        <v>16</v>
      </c>
      <c r="I2968" s="1">
        <v>-2064100</v>
      </c>
      <c r="J2968" s="1">
        <v>-4650600</v>
      </c>
      <c r="K2968">
        <v>695</v>
      </c>
      <c r="L2968">
        <v>553</v>
      </c>
      <c r="M2968" t="s">
        <v>16</v>
      </c>
    </row>
    <row r="2969" spans="1:13" x14ac:dyDescent="0.35">
      <c r="A2969">
        <v>316225</v>
      </c>
      <c r="B2969">
        <v>55921</v>
      </c>
      <c r="C2969" t="s">
        <v>3116</v>
      </c>
      <c r="D2969" t="s">
        <v>2376</v>
      </c>
      <c r="E2969" t="s">
        <v>2513</v>
      </c>
      <c r="F2969">
        <v>4729</v>
      </c>
      <c r="G2969">
        <v>1</v>
      </c>
      <c r="H2969" t="s">
        <v>16</v>
      </c>
      <c r="I2969" s="1">
        <v>-1685300</v>
      </c>
      <c r="J2969" s="1">
        <v>-4435200</v>
      </c>
      <c r="K2969">
        <v>835</v>
      </c>
      <c r="L2969">
        <v>989</v>
      </c>
      <c r="M2969" t="s">
        <v>16</v>
      </c>
    </row>
    <row r="2970" spans="1:13" x14ac:dyDescent="0.35">
      <c r="A2970">
        <v>316230</v>
      </c>
      <c r="B2970">
        <v>25720</v>
      </c>
      <c r="C2970" t="s">
        <v>3117</v>
      </c>
      <c r="D2970" t="s">
        <v>2376</v>
      </c>
      <c r="E2970" t="s">
        <v>2530</v>
      </c>
      <c r="F2970">
        <v>2858</v>
      </c>
      <c r="G2970">
        <v>1</v>
      </c>
      <c r="H2970" t="s">
        <v>16</v>
      </c>
      <c r="I2970" s="1">
        <v>-2193000</v>
      </c>
      <c r="J2970" s="1">
        <v>-4592900</v>
      </c>
      <c r="K2970">
        <v>884</v>
      </c>
      <c r="L2970">
        <v>120</v>
      </c>
      <c r="M2970" t="s">
        <v>16</v>
      </c>
    </row>
    <row r="2971" spans="1:13" x14ac:dyDescent="0.35">
      <c r="A2971">
        <v>316240</v>
      </c>
      <c r="B2971">
        <v>25739</v>
      </c>
      <c r="C2971" t="s">
        <v>3118</v>
      </c>
      <c r="D2971" t="s">
        <v>2376</v>
      </c>
      <c r="E2971" t="s">
        <v>2513</v>
      </c>
      <c r="F2971">
        <v>26091</v>
      </c>
      <c r="G2971">
        <v>1</v>
      </c>
      <c r="H2971" t="s">
        <v>16</v>
      </c>
      <c r="I2971" s="1">
        <v>-1592900</v>
      </c>
      <c r="J2971" s="1">
        <v>-4400800</v>
      </c>
      <c r="K2971">
        <v>752</v>
      </c>
      <c r="L2971">
        <v>1849</v>
      </c>
      <c r="M2971" t="s">
        <v>16</v>
      </c>
    </row>
    <row r="2972" spans="1:13" x14ac:dyDescent="0.35">
      <c r="A2972">
        <v>316245</v>
      </c>
      <c r="B2972">
        <v>55930</v>
      </c>
      <c r="C2972" t="s">
        <v>3119</v>
      </c>
      <c r="D2972" t="s">
        <v>2376</v>
      </c>
      <c r="E2972" t="s">
        <v>2505</v>
      </c>
      <c r="F2972">
        <v>10769</v>
      </c>
      <c r="G2972">
        <v>1</v>
      </c>
      <c r="H2972" t="s">
        <v>16</v>
      </c>
      <c r="I2972" s="1">
        <v>-1488400</v>
      </c>
      <c r="J2972" s="1">
        <v>-4409100</v>
      </c>
      <c r="K2972">
        <v>505</v>
      </c>
      <c r="L2972">
        <v>675</v>
      </c>
      <c r="M2972" t="s">
        <v>16</v>
      </c>
    </row>
    <row r="2973" spans="1:13" x14ac:dyDescent="0.35">
      <c r="A2973">
        <v>316250</v>
      </c>
      <c r="B2973">
        <v>25747</v>
      </c>
      <c r="C2973" t="s">
        <v>3120</v>
      </c>
      <c r="D2973" t="s">
        <v>2376</v>
      </c>
      <c r="E2973" t="s">
        <v>2589</v>
      </c>
      <c r="F2973">
        <v>81918</v>
      </c>
      <c r="G2973">
        <v>2</v>
      </c>
      <c r="H2973" t="s">
        <v>16</v>
      </c>
      <c r="I2973" s="1">
        <v>-2113600</v>
      </c>
      <c r="J2973" s="1">
        <v>-4426200</v>
      </c>
      <c r="K2973">
        <v>910</v>
      </c>
      <c r="L2973">
        <v>1463</v>
      </c>
      <c r="M2973" t="s">
        <v>16</v>
      </c>
    </row>
    <row r="2974" spans="1:13" x14ac:dyDescent="0.35">
      <c r="A2974">
        <v>316255</v>
      </c>
      <c r="B2974">
        <v>50830</v>
      </c>
      <c r="C2974" t="s">
        <v>3121</v>
      </c>
      <c r="D2974" t="s">
        <v>2376</v>
      </c>
      <c r="E2974" t="s">
        <v>2381</v>
      </c>
      <c r="F2974">
        <v>9394</v>
      </c>
      <c r="G2974">
        <v>1</v>
      </c>
      <c r="H2974" t="s">
        <v>16</v>
      </c>
      <c r="I2974" s="1">
        <v>-2039400</v>
      </c>
      <c r="J2974" s="1">
        <v>-4215100</v>
      </c>
      <c r="K2974">
        <v>852</v>
      </c>
      <c r="L2974">
        <v>142</v>
      </c>
      <c r="M2974" t="s">
        <v>16</v>
      </c>
    </row>
    <row r="2975" spans="1:13" x14ac:dyDescent="0.35">
      <c r="A2975">
        <v>316257</v>
      </c>
      <c r="B2975">
        <v>50849</v>
      </c>
      <c r="C2975" t="s">
        <v>3122</v>
      </c>
      <c r="D2975" t="s">
        <v>2376</v>
      </c>
      <c r="E2975" t="s">
        <v>2598</v>
      </c>
      <c r="F2975">
        <v>4855</v>
      </c>
      <c r="G2975">
        <v>1</v>
      </c>
      <c r="H2975" t="s">
        <v>16</v>
      </c>
      <c r="I2975" s="1">
        <v>-1872100</v>
      </c>
      <c r="J2975" s="1">
        <v>-4116000</v>
      </c>
      <c r="K2975">
        <v>0</v>
      </c>
      <c r="L2975">
        <v>139</v>
      </c>
      <c r="M2975" t="s">
        <v>16</v>
      </c>
    </row>
    <row r="2976" spans="1:13" x14ac:dyDescent="0.35">
      <c r="A2976">
        <v>316260</v>
      </c>
      <c r="B2976">
        <v>25755</v>
      </c>
      <c r="C2976" t="s">
        <v>3123</v>
      </c>
      <c r="D2976" t="s">
        <v>2376</v>
      </c>
      <c r="E2976" t="s">
        <v>2499</v>
      </c>
      <c r="F2976">
        <v>7988</v>
      </c>
      <c r="G2976">
        <v>4</v>
      </c>
      <c r="H2976" t="s">
        <v>2386</v>
      </c>
      <c r="I2976" s="1">
        <v>-1933900</v>
      </c>
      <c r="J2976" s="1">
        <v>-4215800</v>
      </c>
      <c r="K2976">
        <v>240</v>
      </c>
      <c r="L2976">
        <v>120</v>
      </c>
      <c r="M2976" t="s">
        <v>16</v>
      </c>
    </row>
    <row r="2977" spans="1:13" x14ac:dyDescent="0.35">
      <c r="A2977">
        <v>316265</v>
      </c>
      <c r="B2977">
        <v>55948</v>
      </c>
      <c r="C2977" t="s">
        <v>3124</v>
      </c>
      <c r="D2977" t="s">
        <v>2376</v>
      </c>
      <c r="E2977" t="s">
        <v>2513</v>
      </c>
      <c r="F2977">
        <v>4003</v>
      </c>
      <c r="G2977">
        <v>1</v>
      </c>
      <c r="H2977" t="s">
        <v>16</v>
      </c>
      <c r="I2977" s="1">
        <v>-1654200</v>
      </c>
      <c r="J2977" s="1">
        <v>-4451600</v>
      </c>
      <c r="K2977">
        <v>675</v>
      </c>
      <c r="L2977">
        <v>420</v>
      </c>
      <c r="M2977" t="s">
        <v>16</v>
      </c>
    </row>
    <row r="2978" spans="1:13" x14ac:dyDescent="0.35">
      <c r="A2978">
        <v>316270</v>
      </c>
      <c r="B2978">
        <v>25763</v>
      </c>
      <c r="C2978" t="s">
        <v>737</v>
      </c>
      <c r="D2978" t="s">
        <v>2376</v>
      </c>
      <c r="E2978" t="s">
        <v>2396</v>
      </c>
      <c r="F2978">
        <v>21839</v>
      </c>
      <c r="G2978">
        <v>1</v>
      </c>
      <c r="H2978" t="s">
        <v>16</v>
      </c>
      <c r="I2978" s="1">
        <v>-1531400</v>
      </c>
      <c r="J2978" s="1">
        <v>-4201400</v>
      </c>
      <c r="K2978">
        <v>780</v>
      </c>
      <c r="L2978">
        <v>1921</v>
      </c>
      <c r="M2978" t="s">
        <v>16</v>
      </c>
    </row>
    <row r="2979" spans="1:13" x14ac:dyDescent="0.35">
      <c r="A2979">
        <v>316280</v>
      </c>
      <c r="B2979">
        <v>25771</v>
      </c>
      <c r="C2979" t="s">
        <v>3125</v>
      </c>
      <c r="D2979" t="s">
        <v>2376</v>
      </c>
      <c r="E2979" t="s">
        <v>2516</v>
      </c>
      <c r="F2979">
        <v>15686</v>
      </c>
      <c r="G2979">
        <v>1</v>
      </c>
      <c r="H2979" t="s">
        <v>16</v>
      </c>
      <c r="I2979" s="1">
        <v>-1854800</v>
      </c>
      <c r="J2979" s="1">
        <v>-4276300</v>
      </c>
      <c r="K2979">
        <v>690</v>
      </c>
      <c r="L2979">
        <v>478</v>
      </c>
      <c r="M2979" t="s">
        <v>16</v>
      </c>
    </row>
    <row r="2980" spans="1:13" x14ac:dyDescent="0.35">
      <c r="A2980">
        <v>316290</v>
      </c>
      <c r="B2980">
        <v>25780</v>
      </c>
      <c r="C2980" t="s">
        <v>3126</v>
      </c>
      <c r="D2980" t="s">
        <v>2376</v>
      </c>
      <c r="E2980" t="s">
        <v>2437</v>
      </c>
      <c r="F2980">
        <v>25011</v>
      </c>
      <c r="G2980">
        <v>1</v>
      </c>
      <c r="H2980" t="s">
        <v>16</v>
      </c>
      <c r="I2980" s="1">
        <v>-2154000</v>
      </c>
      <c r="J2980" s="1">
        <v>-4301100</v>
      </c>
      <c r="K2980">
        <v>370</v>
      </c>
      <c r="L2980">
        <v>407</v>
      </c>
      <c r="M2980" t="s">
        <v>16</v>
      </c>
    </row>
    <row r="2981" spans="1:13" x14ac:dyDescent="0.35">
      <c r="A2981">
        <v>316292</v>
      </c>
      <c r="B2981">
        <v>55956</v>
      </c>
      <c r="C2981" t="s">
        <v>3127</v>
      </c>
      <c r="D2981" t="s">
        <v>2376</v>
      </c>
      <c r="E2981" t="s">
        <v>2479</v>
      </c>
      <c r="F2981">
        <v>22214</v>
      </c>
      <c r="G2981">
        <v>4</v>
      </c>
      <c r="H2981" t="s">
        <v>2468</v>
      </c>
      <c r="I2981" s="1">
        <v>-2004900</v>
      </c>
      <c r="J2981" s="1">
        <v>-4427400</v>
      </c>
      <c r="K2981">
        <v>758</v>
      </c>
      <c r="L2981">
        <v>72</v>
      </c>
      <c r="M2981" t="s">
        <v>16</v>
      </c>
    </row>
    <row r="2982" spans="1:13" x14ac:dyDescent="0.35">
      <c r="A2982">
        <v>316294</v>
      </c>
      <c r="B2982">
        <v>55964</v>
      </c>
      <c r="C2982" t="s">
        <v>3128</v>
      </c>
      <c r="D2982" t="s">
        <v>2376</v>
      </c>
      <c r="E2982" t="s">
        <v>2414</v>
      </c>
      <c r="F2982">
        <v>6701</v>
      </c>
      <c r="G2982">
        <v>1</v>
      </c>
      <c r="H2982" t="s">
        <v>16</v>
      </c>
      <c r="I2982" s="1">
        <v>-2071800</v>
      </c>
      <c r="J2982" s="1">
        <v>-4631100</v>
      </c>
      <c r="K2982">
        <v>730</v>
      </c>
      <c r="L2982">
        <v>312</v>
      </c>
      <c r="M2982" t="s">
        <v>16</v>
      </c>
    </row>
    <row r="2983" spans="1:13" x14ac:dyDescent="0.35">
      <c r="A2983">
        <v>316295</v>
      </c>
      <c r="B2983">
        <v>50857</v>
      </c>
      <c r="C2983" t="s">
        <v>3129</v>
      </c>
      <c r="D2983" t="s">
        <v>2376</v>
      </c>
      <c r="E2983" t="s">
        <v>2479</v>
      </c>
      <c r="F2983">
        <v>17900</v>
      </c>
      <c r="G2983">
        <v>4</v>
      </c>
      <c r="H2983" t="s">
        <v>2468</v>
      </c>
      <c r="I2983" s="1">
        <v>-1970100</v>
      </c>
      <c r="J2983" s="1">
        <v>-4395500</v>
      </c>
      <c r="K2983">
        <v>120</v>
      </c>
      <c r="L2983">
        <v>48</v>
      </c>
      <c r="M2983" t="s">
        <v>16</v>
      </c>
    </row>
    <row r="2984" spans="1:13" x14ac:dyDescent="0.35">
      <c r="A2984">
        <v>316300</v>
      </c>
      <c r="B2984">
        <v>25798</v>
      </c>
      <c r="C2984" t="s">
        <v>3130</v>
      </c>
      <c r="D2984" t="s">
        <v>2376</v>
      </c>
      <c r="E2984" t="s">
        <v>2412</v>
      </c>
      <c r="F2984">
        <v>3929</v>
      </c>
      <c r="G2984">
        <v>1</v>
      </c>
      <c r="H2984" t="s">
        <v>16</v>
      </c>
      <c r="I2984" s="1">
        <v>-1832400</v>
      </c>
      <c r="J2984" s="1">
        <v>-4214300</v>
      </c>
      <c r="K2984">
        <v>310</v>
      </c>
      <c r="L2984">
        <v>214</v>
      </c>
      <c r="M2984" t="s">
        <v>16</v>
      </c>
    </row>
    <row r="2985" spans="1:13" x14ac:dyDescent="0.35">
      <c r="A2985">
        <v>316310</v>
      </c>
      <c r="B2985">
        <v>25801</v>
      </c>
      <c r="C2985" t="s">
        <v>3131</v>
      </c>
      <c r="D2985" t="s">
        <v>2376</v>
      </c>
      <c r="E2985" t="s">
        <v>2715</v>
      </c>
      <c r="F2985">
        <v>3797</v>
      </c>
      <c r="G2985">
        <v>4</v>
      </c>
      <c r="H2985" t="s">
        <v>2468</v>
      </c>
      <c r="I2985" s="1">
        <v>-1971000</v>
      </c>
      <c r="J2985" s="1">
        <v>-4455700</v>
      </c>
      <c r="K2985">
        <v>755</v>
      </c>
      <c r="L2985">
        <v>205</v>
      </c>
      <c r="M2985" t="s">
        <v>16</v>
      </c>
    </row>
    <row r="2986" spans="1:13" x14ac:dyDescent="0.35">
      <c r="A2986">
        <v>316320</v>
      </c>
      <c r="B2986">
        <v>25810</v>
      </c>
      <c r="C2986" t="s">
        <v>3132</v>
      </c>
      <c r="D2986" t="s">
        <v>2376</v>
      </c>
      <c r="E2986" t="s">
        <v>2530</v>
      </c>
      <c r="F2986">
        <v>3908</v>
      </c>
      <c r="G2986">
        <v>1</v>
      </c>
      <c r="H2986" t="s">
        <v>16</v>
      </c>
      <c r="I2986" s="1">
        <v>-2232900</v>
      </c>
      <c r="J2986" s="1">
        <v>-4552600</v>
      </c>
      <c r="K2986">
        <v>851</v>
      </c>
      <c r="L2986">
        <v>89</v>
      </c>
      <c r="M2986" t="s">
        <v>16</v>
      </c>
    </row>
    <row r="2987" spans="1:13" x14ac:dyDescent="0.35">
      <c r="A2987">
        <v>316330</v>
      </c>
      <c r="B2987">
        <v>25828</v>
      </c>
      <c r="C2987" t="s">
        <v>981</v>
      </c>
      <c r="D2987" t="s">
        <v>2376</v>
      </c>
      <c r="E2987" t="s">
        <v>2412</v>
      </c>
      <c r="F2987">
        <v>3776</v>
      </c>
      <c r="G2987">
        <v>1</v>
      </c>
      <c r="H2987" t="s">
        <v>16</v>
      </c>
      <c r="I2987" s="1">
        <v>-1847900</v>
      </c>
      <c r="J2987" s="1">
        <v>-4138900</v>
      </c>
      <c r="K2987">
        <v>340</v>
      </c>
      <c r="L2987">
        <v>326</v>
      </c>
      <c r="M2987" t="s">
        <v>16</v>
      </c>
    </row>
    <row r="2988" spans="1:13" x14ac:dyDescent="0.35">
      <c r="A2988">
        <v>316340</v>
      </c>
      <c r="B2988">
        <v>25836</v>
      </c>
      <c r="C2988" t="s">
        <v>3133</v>
      </c>
      <c r="D2988" t="s">
        <v>2376</v>
      </c>
      <c r="E2988" t="s">
        <v>2420</v>
      </c>
      <c r="F2988">
        <v>5646</v>
      </c>
      <c r="G2988">
        <v>4</v>
      </c>
      <c r="H2988" t="s">
        <v>2386</v>
      </c>
      <c r="I2988" s="1">
        <v>-1992900</v>
      </c>
      <c r="J2988" s="1">
        <v>-4270500</v>
      </c>
      <c r="K2988">
        <v>287</v>
      </c>
      <c r="L2988">
        <v>185</v>
      </c>
      <c r="M2988" t="s">
        <v>16</v>
      </c>
    </row>
    <row r="2989" spans="1:13" x14ac:dyDescent="0.35">
      <c r="A2989">
        <v>316350</v>
      </c>
      <c r="B2989">
        <v>25844</v>
      </c>
      <c r="C2989" t="s">
        <v>3134</v>
      </c>
      <c r="D2989" t="s">
        <v>2376</v>
      </c>
      <c r="E2989" t="s">
        <v>2388</v>
      </c>
      <c r="F2989">
        <v>6958</v>
      </c>
      <c r="G2989">
        <v>1</v>
      </c>
      <c r="H2989" t="s">
        <v>16</v>
      </c>
      <c r="I2989" s="1">
        <v>-1827500</v>
      </c>
      <c r="J2989" s="1">
        <v>-4267000</v>
      </c>
      <c r="K2989">
        <v>642</v>
      </c>
      <c r="L2989">
        <v>345</v>
      </c>
      <c r="M2989" t="s">
        <v>16</v>
      </c>
    </row>
    <row r="2990" spans="1:13" x14ac:dyDescent="0.35">
      <c r="A2990">
        <v>316360</v>
      </c>
      <c r="B2990">
        <v>25852</v>
      </c>
      <c r="C2990" t="s">
        <v>3135</v>
      </c>
      <c r="D2990" t="s">
        <v>2376</v>
      </c>
      <c r="E2990" t="s">
        <v>2381</v>
      </c>
      <c r="F2990">
        <v>2472</v>
      </c>
      <c r="G2990">
        <v>1</v>
      </c>
      <c r="H2990" t="s">
        <v>16</v>
      </c>
      <c r="I2990" s="1">
        <v>-2000500</v>
      </c>
      <c r="J2990" s="1">
        <v>-4174500</v>
      </c>
      <c r="K2990">
        <v>360</v>
      </c>
      <c r="L2990">
        <v>54</v>
      </c>
      <c r="M2990" t="s">
        <v>16</v>
      </c>
    </row>
    <row r="2991" spans="1:13" x14ac:dyDescent="0.35">
      <c r="A2991">
        <v>316370</v>
      </c>
      <c r="B2991">
        <v>25860</v>
      </c>
      <c r="C2991" t="s">
        <v>3136</v>
      </c>
      <c r="D2991" t="s">
        <v>2376</v>
      </c>
      <c r="E2991" t="s">
        <v>2402</v>
      </c>
      <c r="F2991">
        <v>40441</v>
      </c>
      <c r="G2991">
        <v>1</v>
      </c>
      <c r="H2991" t="s">
        <v>16</v>
      </c>
      <c r="I2991" s="1">
        <v>-2211600</v>
      </c>
      <c r="J2991" s="1">
        <v>-4505400</v>
      </c>
      <c r="K2991">
        <v>874</v>
      </c>
      <c r="L2991">
        <v>57</v>
      </c>
      <c r="M2991" t="s">
        <v>16</v>
      </c>
    </row>
    <row r="2992" spans="1:13" x14ac:dyDescent="0.35">
      <c r="A2992">
        <v>316380</v>
      </c>
      <c r="B2992">
        <v>25879</v>
      </c>
      <c r="C2992" t="s">
        <v>3137</v>
      </c>
      <c r="D2992" t="s">
        <v>2376</v>
      </c>
      <c r="E2992" t="s">
        <v>1388</v>
      </c>
      <c r="F2992">
        <v>6820</v>
      </c>
      <c r="G2992">
        <v>1</v>
      </c>
      <c r="H2992" t="s">
        <v>16</v>
      </c>
      <c r="I2992" s="1">
        <v>-2070700</v>
      </c>
      <c r="J2992" s="1">
        <v>-4271900</v>
      </c>
      <c r="K2992">
        <v>760</v>
      </c>
      <c r="L2992">
        <v>152</v>
      </c>
      <c r="M2992" t="s">
        <v>16</v>
      </c>
    </row>
    <row r="2993" spans="1:13" x14ac:dyDescent="0.35">
      <c r="A2993">
        <v>316390</v>
      </c>
      <c r="B2993">
        <v>25887</v>
      </c>
      <c r="C2993" t="s">
        <v>3138</v>
      </c>
      <c r="D2993" t="s">
        <v>2376</v>
      </c>
      <c r="E2993" t="s">
        <v>2452</v>
      </c>
      <c r="F2993">
        <v>5291</v>
      </c>
      <c r="G2993">
        <v>1</v>
      </c>
      <c r="H2993" t="s">
        <v>16</v>
      </c>
      <c r="I2993" s="1">
        <v>-2112700</v>
      </c>
      <c r="J2993" s="1">
        <v>-4661500</v>
      </c>
      <c r="K2993">
        <v>977</v>
      </c>
      <c r="L2993">
        <v>258</v>
      </c>
      <c r="M2993" t="s">
        <v>16</v>
      </c>
    </row>
    <row r="2994" spans="1:13" x14ac:dyDescent="0.35">
      <c r="A2994">
        <v>316400</v>
      </c>
      <c r="B2994">
        <v>25895</v>
      </c>
      <c r="C2994" t="s">
        <v>3139</v>
      </c>
      <c r="D2994" t="s">
        <v>2376</v>
      </c>
      <c r="E2994" t="s">
        <v>2383</v>
      </c>
      <c r="F2994">
        <v>8880</v>
      </c>
      <c r="G2994">
        <v>1</v>
      </c>
      <c r="H2994" t="s">
        <v>16</v>
      </c>
      <c r="I2994" s="1">
        <v>-2017000</v>
      </c>
      <c r="J2994" s="1">
        <v>-4252400</v>
      </c>
      <c r="K2994">
        <v>363</v>
      </c>
      <c r="L2994">
        <v>400</v>
      </c>
      <c r="M2994" t="s">
        <v>16</v>
      </c>
    </row>
    <row r="2995" spans="1:13" x14ac:dyDescent="0.35">
      <c r="A2995">
        <v>316410</v>
      </c>
      <c r="B2995">
        <v>25909</v>
      </c>
      <c r="C2995" t="s">
        <v>3140</v>
      </c>
      <c r="D2995" t="s">
        <v>2376</v>
      </c>
      <c r="E2995" t="s">
        <v>2388</v>
      </c>
      <c r="F2995">
        <v>5801</v>
      </c>
      <c r="G2995">
        <v>1</v>
      </c>
      <c r="H2995" t="s">
        <v>16</v>
      </c>
      <c r="I2995" s="1">
        <v>-1836600</v>
      </c>
      <c r="J2995" s="1">
        <v>-4260300</v>
      </c>
      <c r="K2995">
        <v>473</v>
      </c>
      <c r="L2995">
        <v>308</v>
      </c>
      <c r="M2995" t="s">
        <v>16</v>
      </c>
    </row>
    <row r="2996" spans="1:13" x14ac:dyDescent="0.35">
      <c r="A2996">
        <v>316420</v>
      </c>
      <c r="B2996">
        <v>25917</v>
      </c>
      <c r="C2996" t="s">
        <v>3141</v>
      </c>
      <c r="D2996" t="s">
        <v>2376</v>
      </c>
      <c r="E2996" t="s">
        <v>2525</v>
      </c>
      <c r="F2996">
        <v>9080</v>
      </c>
      <c r="G2996">
        <v>1</v>
      </c>
      <c r="H2996" t="s">
        <v>16</v>
      </c>
      <c r="I2996" s="1">
        <v>-1636900</v>
      </c>
      <c r="J2996" s="1">
        <v>-4506900</v>
      </c>
      <c r="K2996">
        <v>480</v>
      </c>
      <c r="L2996">
        <v>2431</v>
      </c>
      <c r="M2996" t="s">
        <v>16</v>
      </c>
    </row>
    <row r="2997" spans="1:13" x14ac:dyDescent="0.35">
      <c r="A2997">
        <v>316430</v>
      </c>
      <c r="B2997">
        <v>25925</v>
      </c>
      <c r="C2997" t="s">
        <v>3142</v>
      </c>
      <c r="D2997" t="s">
        <v>2376</v>
      </c>
      <c r="E2997" t="s">
        <v>2470</v>
      </c>
      <c r="F2997">
        <v>6141</v>
      </c>
      <c r="G2997">
        <v>1</v>
      </c>
      <c r="H2997" t="s">
        <v>16</v>
      </c>
      <c r="I2997" s="1">
        <v>-2024500</v>
      </c>
      <c r="J2997" s="1">
        <v>-4636600</v>
      </c>
      <c r="K2997">
        <v>818</v>
      </c>
      <c r="L2997">
        <v>2100</v>
      </c>
      <c r="M2997" t="s">
        <v>16</v>
      </c>
    </row>
    <row r="2998" spans="1:13" x14ac:dyDescent="0.35">
      <c r="A2998">
        <v>316440</v>
      </c>
      <c r="B2998">
        <v>25933</v>
      </c>
      <c r="C2998" t="s">
        <v>3143</v>
      </c>
      <c r="D2998" t="s">
        <v>2376</v>
      </c>
      <c r="E2998" t="s">
        <v>2530</v>
      </c>
      <c r="F2998">
        <v>4884</v>
      </c>
      <c r="G2998">
        <v>1</v>
      </c>
      <c r="H2998" t="s">
        <v>16</v>
      </c>
      <c r="I2998" s="1">
        <v>-2215900</v>
      </c>
      <c r="J2998" s="1">
        <v>-4575400</v>
      </c>
      <c r="K2998">
        <v>842</v>
      </c>
      <c r="L2998">
        <v>166</v>
      </c>
      <c r="M2998" t="s">
        <v>16</v>
      </c>
    </row>
    <row r="2999" spans="1:13" x14ac:dyDescent="0.35">
      <c r="A2999">
        <v>316443</v>
      </c>
      <c r="B2999">
        <v>55972</v>
      </c>
      <c r="C2999" t="s">
        <v>3144</v>
      </c>
      <c r="D2999" t="s">
        <v>2376</v>
      </c>
      <c r="E2999" t="s">
        <v>2433</v>
      </c>
      <c r="F2999">
        <v>2743</v>
      </c>
      <c r="G2999">
        <v>1</v>
      </c>
      <c r="H2999" t="s">
        <v>16</v>
      </c>
      <c r="I2999" s="1">
        <v>-2107200</v>
      </c>
      <c r="J2999" s="1">
        <v>-4263600</v>
      </c>
      <c r="K2999">
        <v>718</v>
      </c>
      <c r="L2999">
        <v>73</v>
      </c>
      <c r="M2999" t="s">
        <v>16</v>
      </c>
    </row>
    <row r="3000" spans="1:13" x14ac:dyDescent="0.35">
      <c r="A3000">
        <v>316447</v>
      </c>
      <c r="B3000">
        <v>55980</v>
      </c>
      <c r="C3000" t="s">
        <v>3145</v>
      </c>
      <c r="D3000" t="s">
        <v>2376</v>
      </c>
      <c r="E3000" t="s">
        <v>2499</v>
      </c>
      <c r="F3000">
        <v>5388</v>
      </c>
      <c r="G3000">
        <v>1</v>
      </c>
      <c r="H3000" t="s">
        <v>16</v>
      </c>
      <c r="I3000" s="1">
        <v>-1949800</v>
      </c>
      <c r="J3000" s="1">
        <v>-4198400</v>
      </c>
      <c r="K3000">
        <v>782</v>
      </c>
      <c r="L3000">
        <v>80</v>
      </c>
      <c r="M3000" t="s">
        <v>16</v>
      </c>
    </row>
    <row r="3001" spans="1:13" x14ac:dyDescent="0.35">
      <c r="A3001">
        <v>316450</v>
      </c>
      <c r="B3001">
        <v>25941</v>
      </c>
      <c r="C3001" t="s">
        <v>3146</v>
      </c>
      <c r="D3001" t="s">
        <v>2376</v>
      </c>
      <c r="E3001" t="s">
        <v>2388</v>
      </c>
      <c r="F3001">
        <v>11686</v>
      </c>
      <c r="G3001">
        <v>1</v>
      </c>
      <c r="H3001" t="s">
        <v>16</v>
      </c>
      <c r="I3001" s="1">
        <v>-1808400</v>
      </c>
      <c r="J3001" s="1">
        <v>-4257100</v>
      </c>
      <c r="K3001">
        <v>539</v>
      </c>
      <c r="L3001">
        <v>519</v>
      </c>
      <c r="M3001" t="s">
        <v>16</v>
      </c>
    </row>
    <row r="3002" spans="1:13" x14ac:dyDescent="0.35">
      <c r="A3002">
        <v>316460</v>
      </c>
      <c r="B3002">
        <v>25950</v>
      </c>
      <c r="C3002" t="s">
        <v>3147</v>
      </c>
      <c r="D3002" t="s">
        <v>2376</v>
      </c>
      <c r="E3002" t="s">
        <v>2575</v>
      </c>
      <c r="F3002">
        <v>5336</v>
      </c>
      <c r="G3002">
        <v>1</v>
      </c>
      <c r="H3002" t="s">
        <v>16</v>
      </c>
      <c r="I3002" s="1">
        <v>-2027600</v>
      </c>
      <c r="J3002" s="1">
        <v>-4500500</v>
      </c>
      <c r="K3002">
        <v>780</v>
      </c>
      <c r="L3002">
        <v>404</v>
      </c>
      <c r="M3002" t="s">
        <v>16</v>
      </c>
    </row>
    <row r="3003" spans="1:13" x14ac:dyDescent="0.35">
      <c r="A3003">
        <v>316470</v>
      </c>
      <c r="B3003">
        <v>25968</v>
      </c>
      <c r="C3003" t="s">
        <v>3148</v>
      </c>
      <c r="D3003" t="s">
        <v>2376</v>
      </c>
      <c r="E3003" t="s">
        <v>2452</v>
      </c>
      <c r="F3003">
        <v>61838</v>
      </c>
      <c r="G3003">
        <v>2</v>
      </c>
      <c r="H3003" t="s">
        <v>16</v>
      </c>
      <c r="I3003" s="1">
        <v>-2091700</v>
      </c>
      <c r="J3003" s="1">
        <v>-4699100</v>
      </c>
      <c r="K3003">
        <v>991</v>
      </c>
      <c r="L3003">
        <v>822</v>
      </c>
      <c r="M3003" t="s">
        <v>16</v>
      </c>
    </row>
    <row r="3004" spans="1:13" x14ac:dyDescent="0.35">
      <c r="A3004">
        <v>316480</v>
      </c>
      <c r="B3004">
        <v>25976</v>
      </c>
      <c r="C3004" t="s">
        <v>3149</v>
      </c>
      <c r="D3004" t="s">
        <v>2376</v>
      </c>
      <c r="E3004" t="s">
        <v>2422</v>
      </c>
      <c r="F3004">
        <v>1700</v>
      </c>
      <c r="G3004">
        <v>1</v>
      </c>
      <c r="H3004" t="s">
        <v>16</v>
      </c>
      <c r="I3004" s="1">
        <v>-1929200</v>
      </c>
      <c r="J3004" s="1">
        <v>-4317400</v>
      </c>
      <c r="K3004">
        <v>487</v>
      </c>
      <c r="L3004">
        <v>127</v>
      </c>
      <c r="M3004" t="s">
        <v>16</v>
      </c>
    </row>
    <row r="3005" spans="1:13" x14ac:dyDescent="0.35">
      <c r="A3005">
        <v>316490</v>
      </c>
      <c r="B3005">
        <v>25984</v>
      </c>
      <c r="C3005" t="s">
        <v>3150</v>
      </c>
      <c r="D3005" t="s">
        <v>2376</v>
      </c>
      <c r="E3005" t="s">
        <v>2402</v>
      </c>
      <c r="F3005">
        <v>2170</v>
      </c>
      <c r="G3005">
        <v>1</v>
      </c>
      <c r="H3005" t="s">
        <v>16</v>
      </c>
      <c r="I3005" s="1">
        <v>-2221800</v>
      </c>
      <c r="J3005" s="1">
        <v>-4497600</v>
      </c>
      <c r="K3005">
        <v>897</v>
      </c>
      <c r="L3005">
        <v>91</v>
      </c>
      <c r="M3005" t="s">
        <v>16</v>
      </c>
    </row>
    <row r="3006" spans="1:13" x14ac:dyDescent="0.35">
      <c r="A3006">
        <v>316500</v>
      </c>
      <c r="B3006">
        <v>25992</v>
      </c>
      <c r="C3006" t="s">
        <v>3151</v>
      </c>
      <c r="D3006" t="s">
        <v>2376</v>
      </c>
      <c r="E3006" t="s">
        <v>2589</v>
      </c>
      <c r="F3006">
        <v>10289</v>
      </c>
      <c r="G3006">
        <v>1</v>
      </c>
      <c r="H3006" t="s">
        <v>16</v>
      </c>
      <c r="I3006" s="1">
        <v>-2091300</v>
      </c>
      <c r="J3006" s="1">
        <v>-4450900</v>
      </c>
      <c r="K3006">
        <v>1103</v>
      </c>
      <c r="L3006">
        <v>574</v>
      </c>
      <c r="M3006" t="s">
        <v>16</v>
      </c>
    </row>
    <row r="3007" spans="1:13" x14ac:dyDescent="0.35">
      <c r="A3007">
        <v>316510</v>
      </c>
      <c r="B3007">
        <v>26000</v>
      </c>
      <c r="C3007" t="s">
        <v>3152</v>
      </c>
      <c r="D3007" t="s">
        <v>2376</v>
      </c>
      <c r="E3007" t="s">
        <v>2452</v>
      </c>
      <c r="F3007">
        <v>6934</v>
      </c>
      <c r="G3007">
        <v>1</v>
      </c>
      <c r="H3007" t="s">
        <v>16</v>
      </c>
      <c r="I3007" s="1">
        <v>-2078400</v>
      </c>
      <c r="J3007" s="1">
        <v>-4709800</v>
      </c>
      <c r="K3007">
        <v>979</v>
      </c>
      <c r="L3007">
        <v>277</v>
      </c>
      <c r="M3007" t="s">
        <v>16</v>
      </c>
    </row>
    <row r="3008" spans="1:13" x14ac:dyDescent="0.35">
      <c r="A3008">
        <v>316520</v>
      </c>
      <c r="B3008">
        <v>26018</v>
      </c>
      <c r="C3008" t="s">
        <v>3153</v>
      </c>
      <c r="D3008" t="s">
        <v>2376</v>
      </c>
      <c r="E3008" t="s">
        <v>2491</v>
      </c>
      <c r="F3008">
        <v>6617</v>
      </c>
      <c r="G3008">
        <v>1</v>
      </c>
      <c r="H3008" t="s">
        <v>16</v>
      </c>
      <c r="I3008" s="1">
        <v>-2172200</v>
      </c>
      <c r="J3008" s="1">
        <v>-4498500</v>
      </c>
      <c r="K3008">
        <v>1291</v>
      </c>
      <c r="L3008">
        <v>369</v>
      </c>
      <c r="M3008" t="s">
        <v>16</v>
      </c>
    </row>
    <row r="3009" spans="1:13" x14ac:dyDescent="0.35">
      <c r="A3009">
        <v>316530</v>
      </c>
      <c r="B3009">
        <v>26026</v>
      </c>
      <c r="C3009" t="s">
        <v>3154</v>
      </c>
      <c r="D3009" t="s">
        <v>2376</v>
      </c>
      <c r="E3009" t="s">
        <v>2400</v>
      </c>
      <c r="F3009">
        <v>6283</v>
      </c>
      <c r="G3009">
        <v>1</v>
      </c>
      <c r="H3009" t="s">
        <v>16</v>
      </c>
      <c r="I3009" s="1">
        <v>-2171300</v>
      </c>
      <c r="J3009" s="1">
        <v>-4444400</v>
      </c>
      <c r="K3009">
        <v>1057</v>
      </c>
      <c r="L3009">
        <v>392</v>
      </c>
      <c r="M3009" t="s">
        <v>16</v>
      </c>
    </row>
    <row r="3010" spans="1:13" x14ac:dyDescent="0.35">
      <c r="A3010">
        <v>316540</v>
      </c>
      <c r="B3010">
        <v>26034</v>
      </c>
      <c r="C3010" t="s">
        <v>3155</v>
      </c>
      <c r="D3010" t="s">
        <v>2376</v>
      </c>
      <c r="E3010" t="s">
        <v>2501</v>
      </c>
      <c r="F3010">
        <v>5772</v>
      </c>
      <c r="G3010">
        <v>1</v>
      </c>
      <c r="H3010" t="s">
        <v>16</v>
      </c>
      <c r="I3010" s="1">
        <v>-2274800</v>
      </c>
      <c r="J3010" s="1">
        <v>-4574300</v>
      </c>
      <c r="K3010">
        <v>885</v>
      </c>
      <c r="L3010">
        <v>284</v>
      </c>
      <c r="M3010" t="s">
        <v>16</v>
      </c>
    </row>
    <row r="3011" spans="1:13" x14ac:dyDescent="0.35">
      <c r="A3011">
        <v>316550</v>
      </c>
      <c r="B3011">
        <v>26042</v>
      </c>
      <c r="C3011" t="s">
        <v>3156</v>
      </c>
      <c r="D3011" t="s">
        <v>2376</v>
      </c>
      <c r="E3011" t="s">
        <v>2516</v>
      </c>
      <c r="F3011">
        <v>5196</v>
      </c>
      <c r="G3011">
        <v>1</v>
      </c>
      <c r="H3011" t="s">
        <v>16</v>
      </c>
      <c r="I3011" s="1">
        <v>-1878400</v>
      </c>
      <c r="J3011" s="1">
        <v>-4236500</v>
      </c>
      <c r="K3011">
        <v>691</v>
      </c>
      <c r="L3011">
        <v>141</v>
      </c>
      <c r="M3011" t="s">
        <v>16</v>
      </c>
    </row>
    <row r="3012" spans="1:13" x14ac:dyDescent="0.35">
      <c r="A3012">
        <v>316553</v>
      </c>
      <c r="B3012">
        <v>55999</v>
      </c>
      <c r="C3012" t="s">
        <v>3157</v>
      </c>
      <c r="D3012" t="s">
        <v>2376</v>
      </c>
      <c r="E3012" t="s">
        <v>2479</v>
      </c>
      <c r="F3012">
        <v>23282</v>
      </c>
      <c r="G3012">
        <v>4</v>
      </c>
      <c r="H3012" t="s">
        <v>2468</v>
      </c>
      <c r="I3012" s="1">
        <v>-2003500</v>
      </c>
      <c r="J3012" s="1">
        <v>-4414500</v>
      </c>
      <c r="K3012">
        <v>796</v>
      </c>
      <c r="L3012">
        <v>61</v>
      </c>
      <c r="M3012" t="s">
        <v>16</v>
      </c>
    </row>
    <row r="3013" spans="1:13" x14ac:dyDescent="0.35">
      <c r="A3013">
        <v>316555</v>
      </c>
      <c r="B3013">
        <v>56006</v>
      </c>
      <c r="C3013" t="s">
        <v>3158</v>
      </c>
      <c r="D3013" t="s">
        <v>2376</v>
      </c>
      <c r="E3013" t="s">
        <v>2463</v>
      </c>
      <c r="F3013">
        <v>10834</v>
      </c>
      <c r="G3013">
        <v>1</v>
      </c>
      <c r="H3013" t="s">
        <v>16</v>
      </c>
      <c r="I3013" s="1">
        <v>-1760000</v>
      </c>
      <c r="J3013" s="1">
        <v>-4215900</v>
      </c>
      <c r="K3013">
        <v>731</v>
      </c>
      <c r="L3013">
        <v>535</v>
      </c>
      <c r="M3013" t="s">
        <v>16</v>
      </c>
    </row>
    <row r="3014" spans="1:13" x14ac:dyDescent="0.35">
      <c r="A3014">
        <v>316556</v>
      </c>
      <c r="B3014">
        <v>56014</v>
      </c>
      <c r="C3014" t="s">
        <v>3159</v>
      </c>
      <c r="D3014" t="s">
        <v>2376</v>
      </c>
      <c r="E3014" t="s">
        <v>2383</v>
      </c>
      <c r="F3014">
        <v>2950</v>
      </c>
      <c r="G3014">
        <v>1</v>
      </c>
      <c r="H3014" t="s">
        <v>16</v>
      </c>
      <c r="I3014" s="1">
        <v>-2010900</v>
      </c>
      <c r="J3014" s="1">
        <v>-4283900</v>
      </c>
      <c r="K3014">
        <v>301</v>
      </c>
      <c r="L3014">
        <v>176</v>
      </c>
      <c r="M3014" t="s">
        <v>16</v>
      </c>
    </row>
    <row r="3015" spans="1:13" x14ac:dyDescent="0.35">
      <c r="A3015">
        <v>316557</v>
      </c>
      <c r="B3015">
        <v>50865</v>
      </c>
      <c r="C3015" t="s">
        <v>3160</v>
      </c>
      <c r="D3015" t="s">
        <v>2376</v>
      </c>
      <c r="E3015" t="s">
        <v>2501</v>
      </c>
      <c r="F3015">
        <v>5051</v>
      </c>
      <c r="G3015">
        <v>1</v>
      </c>
      <c r="H3015" t="s">
        <v>16</v>
      </c>
      <c r="I3015" s="1">
        <v>-2258700</v>
      </c>
      <c r="J3015" s="1">
        <v>-4617700</v>
      </c>
      <c r="K3015">
        <v>1505</v>
      </c>
      <c r="L3015">
        <v>151</v>
      </c>
      <c r="M3015" t="s">
        <v>16</v>
      </c>
    </row>
    <row r="3016" spans="1:13" x14ac:dyDescent="0.35">
      <c r="A3016">
        <v>316560</v>
      </c>
      <c r="B3016">
        <v>26050</v>
      </c>
      <c r="C3016" t="s">
        <v>3161</v>
      </c>
      <c r="D3016" t="s">
        <v>2376</v>
      </c>
      <c r="E3016" t="s">
        <v>2437</v>
      </c>
      <c r="F3016">
        <v>2011</v>
      </c>
      <c r="G3016">
        <v>1</v>
      </c>
      <c r="H3016" t="s">
        <v>16</v>
      </c>
      <c r="I3016" s="1">
        <v>-2180100</v>
      </c>
      <c r="J3016" s="1">
        <v>-4294600</v>
      </c>
      <c r="K3016">
        <v>585</v>
      </c>
      <c r="L3016">
        <v>98</v>
      </c>
      <c r="M3016" t="s">
        <v>16</v>
      </c>
    </row>
    <row r="3017" spans="1:13" x14ac:dyDescent="0.35">
      <c r="A3017">
        <v>316570</v>
      </c>
      <c r="B3017">
        <v>26069</v>
      </c>
      <c r="C3017" t="s">
        <v>3162</v>
      </c>
      <c r="D3017" t="s">
        <v>2376</v>
      </c>
      <c r="E3017" t="s">
        <v>2461</v>
      </c>
      <c r="F3017">
        <v>7019</v>
      </c>
      <c r="G3017">
        <v>1</v>
      </c>
      <c r="H3017" t="s">
        <v>16</v>
      </c>
      <c r="I3017" s="1">
        <v>-2091200</v>
      </c>
      <c r="J3017" s="1">
        <v>-4309700</v>
      </c>
      <c r="K3017">
        <v>660</v>
      </c>
      <c r="L3017">
        <v>166</v>
      </c>
      <c r="M3017" t="s">
        <v>16</v>
      </c>
    </row>
    <row r="3018" spans="1:13" x14ac:dyDescent="0.35">
      <c r="A3018">
        <v>316580</v>
      </c>
      <c r="B3018">
        <v>26077</v>
      </c>
      <c r="C3018" t="s">
        <v>3163</v>
      </c>
      <c r="D3018" t="s">
        <v>2376</v>
      </c>
      <c r="E3018" t="s">
        <v>2501</v>
      </c>
      <c r="F3018">
        <v>1908</v>
      </c>
      <c r="G3018">
        <v>1</v>
      </c>
      <c r="H3018" t="s">
        <v>16</v>
      </c>
      <c r="I3018" s="1">
        <v>-2216400</v>
      </c>
      <c r="J3018" s="1">
        <v>-4617900</v>
      </c>
      <c r="K3018">
        <v>885</v>
      </c>
      <c r="L3018">
        <v>94</v>
      </c>
      <c r="M3018" t="s">
        <v>16</v>
      </c>
    </row>
    <row r="3019" spans="1:13" x14ac:dyDescent="0.35">
      <c r="A3019">
        <v>316590</v>
      </c>
      <c r="B3019">
        <v>26085</v>
      </c>
      <c r="C3019" t="s">
        <v>3164</v>
      </c>
      <c r="D3019" t="s">
        <v>2376</v>
      </c>
      <c r="E3019" t="s">
        <v>2646</v>
      </c>
      <c r="F3019">
        <v>4988</v>
      </c>
      <c r="G3019">
        <v>1</v>
      </c>
      <c r="H3019" t="s">
        <v>16</v>
      </c>
      <c r="I3019" s="1">
        <v>-1794700</v>
      </c>
      <c r="J3019" s="1">
        <v>-4322500</v>
      </c>
      <c r="K3019">
        <v>743</v>
      </c>
      <c r="L3019">
        <v>948</v>
      </c>
      <c r="M3019" t="s">
        <v>16</v>
      </c>
    </row>
    <row r="3020" spans="1:13" x14ac:dyDescent="0.35">
      <c r="A3020">
        <v>316600</v>
      </c>
      <c r="B3020">
        <v>26093</v>
      </c>
      <c r="C3020" t="s">
        <v>3165</v>
      </c>
      <c r="D3020" t="s">
        <v>2376</v>
      </c>
      <c r="E3020" t="s">
        <v>1388</v>
      </c>
      <c r="F3020">
        <v>5675</v>
      </c>
      <c r="G3020">
        <v>1</v>
      </c>
      <c r="H3020" t="s">
        <v>16</v>
      </c>
      <c r="I3020" s="1">
        <v>-2079400</v>
      </c>
      <c r="J3020" s="1">
        <v>-4334400</v>
      </c>
      <c r="K3020">
        <v>715</v>
      </c>
      <c r="L3020">
        <v>169</v>
      </c>
      <c r="M3020" t="s">
        <v>16</v>
      </c>
    </row>
    <row r="3021" spans="1:13" x14ac:dyDescent="0.35">
      <c r="A3021">
        <v>316610</v>
      </c>
      <c r="B3021">
        <v>26107</v>
      </c>
      <c r="C3021" t="s">
        <v>3166</v>
      </c>
      <c r="D3021" t="s">
        <v>2376</v>
      </c>
      <c r="E3021" t="s">
        <v>2516</v>
      </c>
      <c r="F3021">
        <v>3517</v>
      </c>
      <c r="G3021">
        <v>1</v>
      </c>
      <c r="H3021" t="s">
        <v>16</v>
      </c>
      <c r="I3021" s="1">
        <v>-1889200</v>
      </c>
      <c r="J3021" s="1">
        <v>-4308400</v>
      </c>
      <c r="K3021">
        <v>591</v>
      </c>
      <c r="L3021">
        <v>382</v>
      </c>
      <c r="M3021" t="s">
        <v>16</v>
      </c>
    </row>
    <row r="3022" spans="1:13" x14ac:dyDescent="0.35">
      <c r="A3022">
        <v>316620</v>
      </c>
      <c r="B3022">
        <v>26115</v>
      </c>
      <c r="C3022" t="s">
        <v>3167</v>
      </c>
      <c r="D3022" t="s">
        <v>2376</v>
      </c>
      <c r="E3022" t="s">
        <v>2409</v>
      </c>
      <c r="F3022">
        <v>10201</v>
      </c>
      <c r="G3022">
        <v>1</v>
      </c>
      <c r="H3022" t="s">
        <v>16</v>
      </c>
      <c r="I3022" s="1">
        <v>-2102800</v>
      </c>
      <c r="J3022" s="1">
        <v>-4358300</v>
      </c>
      <c r="K3022">
        <v>810</v>
      </c>
      <c r="L3022">
        <v>237</v>
      </c>
      <c r="M3022" t="s">
        <v>16</v>
      </c>
    </row>
    <row r="3023" spans="1:13" x14ac:dyDescent="0.35">
      <c r="A3023">
        <v>316630</v>
      </c>
      <c r="B3023">
        <v>26123</v>
      </c>
      <c r="C3023" t="s">
        <v>3168</v>
      </c>
      <c r="D3023" t="s">
        <v>2376</v>
      </c>
      <c r="E3023" t="s">
        <v>2383</v>
      </c>
      <c r="F3023">
        <v>7083</v>
      </c>
      <c r="G3023">
        <v>1</v>
      </c>
      <c r="H3023" t="s">
        <v>16</v>
      </c>
      <c r="I3023" s="1">
        <v>-2047400</v>
      </c>
      <c r="J3023" s="1">
        <v>-4248200</v>
      </c>
      <c r="K3023">
        <v>772</v>
      </c>
      <c r="L3023">
        <v>166</v>
      </c>
      <c r="M3023" t="s">
        <v>16</v>
      </c>
    </row>
    <row r="3024" spans="1:13" x14ac:dyDescent="0.35">
      <c r="A3024">
        <v>316640</v>
      </c>
      <c r="B3024">
        <v>26131</v>
      </c>
      <c r="C3024" t="s">
        <v>3169</v>
      </c>
      <c r="D3024" t="s">
        <v>2376</v>
      </c>
      <c r="E3024" t="s">
        <v>2400</v>
      </c>
      <c r="F3024">
        <v>1755</v>
      </c>
      <c r="G3024">
        <v>1</v>
      </c>
      <c r="H3024" t="s">
        <v>16</v>
      </c>
      <c r="I3024" s="1">
        <v>-2190900</v>
      </c>
      <c r="J3024" s="1">
        <v>-4451900</v>
      </c>
      <c r="K3024">
        <v>979</v>
      </c>
      <c r="L3024">
        <v>114</v>
      </c>
      <c r="M3024" t="s">
        <v>16</v>
      </c>
    </row>
    <row r="3025" spans="1:13" x14ac:dyDescent="0.35">
      <c r="A3025">
        <v>316650</v>
      </c>
      <c r="B3025">
        <v>26140</v>
      </c>
      <c r="C3025" t="s">
        <v>3170</v>
      </c>
      <c r="D3025" t="s">
        <v>2376</v>
      </c>
      <c r="E3025" t="s">
        <v>2422</v>
      </c>
      <c r="F3025">
        <v>4307</v>
      </c>
      <c r="G3025">
        <v>1</v>
      </c>
      <c r="H3025" t="s">
        <v>16</v>
      </c>
      <c r="I3025" s="1">
        <v>-1836200</v>
      </c>
      <c r="J3025" s="1">
        <v>-4317000</v>
      </c>
      <c r="K3025">
        <v>700</v>
      </c>
      <c r="L3025">
        <v>222</v>
      </c>
      <c r="M3025" t="s">
        <v>16</v>
      </c>
    </row>
    <row r="3026" spans="1:13" x14ac:dyDescent="0.35">
      <c r="A3026">
        <v>316660</v>
      </c>
      <c r="B3026">
        <v>26158</v>
      </c>
      <c r="C3026" t="s">
        <v>3171</v>
      </c>
      <c r="D3026" t="s">
        <v>2376</v>
      </c>
      <c r="E3026" t="s">
        <v>2448</v>
      </c>
      <c r="F3026">
        <v>863</v>
      </c>
      <c r="G3026">
        <v>1</v>
      </c>
      <c r="H3026" t="s">
        <v>16</v>
      </c>
      <c r="I3026" s="1">
        <v>-1943800</v>
      </c>
      <c r="J3026" s="1">
        <v>-4579600</v>
      </c>
      <c r="K3026">
        <v>738</v>
      </c>
      <c r="L3026">
        <v>335</v>
      </c>
      <c r="M3026" t="s">
        <v>16</v>
      </c>
    </row>
    <row r="3027" spans="1:13" x14ac:dyDescent="0.35">
      <c r="A3027">
        <v>316670</v>
      </c>
      <c r="B3027">
        <v>26166</v>
      </c>
      <c r="C3027" t="s">
        <v>3172</v>
      </c>
      <c r="D3027" t="s">
        <v>2376</v>
      </c>
      <c r="E3027" t="s">
        <v>2394</v>
      </c>
      <c r="F3027">
        <v>8345</v>
      </c>
      <c r="G3027">
        <v>1</v>
      </c>
      <c r="H3027" t="s">
        <v>16</v>
      </c>
      <c r="I3027" s="1">
        <v>-1778300</v>
      </c>
      <c r="J3027" s="1">
        <v>-4024800</v>
      </c>
      <c r="K3027">
        <v>209</v>
      </c>
      <c r="L3027">
        <v>215</v>
      </c>
      <c r="M3027" t="s">
        <v>16</v>
      </c>
    </row>
    <row r="3028" spans="1:13" x14ac:dyDescent="0.35">
      <c r="A3028">
        <v>316680</v>
      </c>
      <c r="B3028">
        <v>26174</v>
      </c>
      <c r="C3028" t="s">
        <v>3173</v>
      </c>
      <c r="D3028" t="s">
        <v>2376</v>
      </c>
      <c r="E3028" t="s">
        <v>2377</v>
      </c>
      <c r="F3028">
        <v>10224</v>
      </c>
      <c r="G3028">
        <v>1</v>
      </c>
      <c r="H3028" t="s">
        <v>16</v>
      </c>
      <c r="I3028" s="1">
        <v>-1911100</v>
      </c>
      <c r="J3028" s="1">
        <v>-4669000</v>
      </c>
      <c r="K3028">
        <v>1203</v>
      </c>
      <c r="L3028">
        <v>1297</v>
      </c>
      <c r="M3028" t="s">
        <v>16</v>
      </c>
    </row>
    <row r="3029" spans="1:13" x14ac:dyDescent="0.35">
      <c r="A3029">
        <v>316690</v>
      </c>
      <c r="B3029">
        <v>26182</v>
      </c>
      <c r="C3029" t="s">
        <v>3174</v>
      </c>
      <c r="D3029" t="s">
        <v>2376</v>
      </c>
      <c r="E3029" t="s">
        <v>2407</v>
      </c>
      <c r="F3029">
        <v>7370</v>
      </c>
      <c r="G3029">
        <v>1</v>
      </c>
      <c r="H3029" t="s">
        <v>16</v>
      </c>
      <c r="I3029" s="1">
        <v>-2154800</v>
      </c>
      <c r="J3029" s="1">
        <v>-4604000</v>
      </c>
      <c r="K3029">
        <v>875</v>
      </c>
      <c r="L3029">
        <v>211</v>
      </c>
      <c r="M3029" t="s">
        <v>16</v>
      </c>
    </row>
    <row r="3030" spans="1:13" x14ac:dyDescent="0.35">
      <c r="A3030">
        <v>316695</v>
      </c>
      <c r="B3030">
        <v>56022</v>
      </c>
      <c r="C3030" t="s">
        <v>3175</v>
      </c>
      <c r="D3030" t="s">
        <v>2376</v>
      </c>
      <c r="E3030" t="s">
        <v>2594</v>
      </c>
      <c r="F3030">
        <v>4515</v>
      </c>
      <c r="G3030">
        <v>1</v>
      </c>
      <c r="H3030" t="s">
        <v>16</v>
      </c>
      <c r="I3030" s="1">
        <v>-1582900</v>
      </c>
      <c r="J3030" s="1">
        <v>-4287100</v>
      </c>
      <c r="K3030">
        <v>621</v>
      </c>
      <c r="L3030">
        <v>553</v>
      </c>
      <c r="M3030" t="s">
        <v>16</v>
      </c>
    </row>
    <row r="3031" spans="1:13" x14ac:dyDescent="0.35">
      <c r="A3031">
        <v>316700</v>
      </c>
      <c r="B3031">
        <v>26190</v>
      </c>
      <c r="C3031" t="s">
        <v>3176</v>
      </c>
      <c r="D3031" t="s">
        <v>2376</v>
      </c>
      <c r="E3031" t="s">
        <v>2400</v>
      </c>
      <c r="F3031">
        <v>2063</v>
      </c>
      <c r="G3031">
        <v>1</v>
      </c>
      <c r="H3031" t="s">
        <v>16</v>
      </c>
      <c r="I3031" s="1">
        <v>-2189000</v>
      </c>
      <c r="J3031" s="1">
        <v>-4451000</v>
      </c>
      <c r="K3031">
        <v>1031</v>
      </c>
      <c r="L3031">
        <v>212</v>
      </c>
      <c r="M3031" t="s">
        <v>16</v>
      </c>
    </row>
    <row r="3032" spans="1:13" x14ac:dyDescent="0.35">
      <c r="A3032">
        <v>316710</v>
      </c>
      <c r="B3032">
        <v>26204</v>
      </c>
      <c r="C3032" t="s">
        <v>3177</v>
      </c>
      <c r="D3032" t="s">
        <v>2376</v>
      </c>
      <c r="E3032" t="s">
        <v>2422</v>
      </c>
      <c r="F3032">
        <v>20862</v>
      </c>
      <c r="G3032">
        <v>1</v>
      </c>
      <c r="H3032" t="s">
        <v>16</v>
      </c>
      <c r="I3032" s="1">
        <v>-1860500</v>
      </c>
      <c r="J3032" s="1">
        <v>-4337900</v>
      </c>
      <c r="K3032">
        <v>781</v>
      </c>
      <c r="L3032">
        <v>1217</v>
      </c>
      <c r="M3032" t="s">
        <v>16</v>
      </c>
    </row>
    <row r="3033" spans="1:13" x14ac:dyDescent="0.35">
      <c r="A3033">
        <v>316720</v>
      </c>
      <c r="B3033">
        <v>26212</v>
      </c>
      <c r="C3033" t="s">
        <v>2435</v>
      </c>
      <c r="D3033" t="s">
        <v>2376</v>
      </c>
      <c r="E3033" t="s">
        <v>2435</v>
      </c>
      <c r="F3033">
        <v>217506</v>
      </c>
      <c r="G3033">
        <v>4</v>
      </c>
      <c r="H3033" t="s">
        <v>2468</v>
      </c>
      <c r="I3033" s="1">
        <v>-1946600</v>
      </c>
      <c r="J3033" s="1">
        <v>-4424700</v>
      </c>
      <c r="K3033">
        <v>761</v>
      </c>
      <c r="L3033">
        <v>537</v>
      </c>
      <c r="M3033" t="s">
        <v>16</v>
      </c>
    </row>
    <row r="3034" spans="1:13" x14ac:dyDescent="0.35">
      <c r="A3034">
        <v>316730</v>
      </c>
      <c r="B3034">
        <v>26220</v>
      </c>
      <c r="C3034" t="s">
        <v>3178</v>
      </c>
      <c r="D3034" t="s">
        <v>2376</v>
      </c>
      <c r="E3034" t="s">
        <v>2461</v>
      </c>
      <c r="F3034">
        <v>2125</v>
      </c>
      <c r="G3034">
        <v>1</v>
      </c>
      <c r="H3034" t="s">
        <v>16</v>
      </c>
      <c r="I3034" s="1">
        <v>-2115900</v>
      </c>
      <c r="J3034" s="1">
        <v>-4321500</v>
      </c>
      <c r="K3034">
        <v>512</v>
      </c>
      <c r="L3034">
        <v>157</v>
      </c>
      <c r="M3034" t="s">
        <v>16</v>
      </c>
    </row>
    <row r="3035" spans="1:13" x14ac:dyDescent="0.35">
      <c r="A3035">
        <v>316740</v>
      </c>
      <c r="B3035">
        <v>26239</v>
      </c>
      <c r="C3035" t="s">
        <v>3179</v>
      </c>
      <c r="D3035" t="s">
        <v>2376</v>
      </c>
      <c r="E3035" t="s">
        <v>2530</v>
      </c>
      <c r="F3035">
        <v>6018</v>
      </c>
      <c r="G3035">
        <v>1</v>
      </c>
      <c r="H3035" t="s">
        <v>16</v>
      </c>
      <c r="I3035" s="1">
        <v>-2202900</v>
      </c>
      <c r="J3035" s="1">
        <v>-4583500</v>
      </c>
      <c r="K3035">
        <v>897</v>
      </c>
      <c r="L3035">
        <v>312</v>
      </c>
      <c r="M3035" t="s">
        <v>16</v>
      </c>
    </row>
    <row r="3036" spans="1:13" x14ac:dyDescent="0.35">
      <c r="A3036">
        <v>316750</v>
      </c>
      <c r="B3036">
        <v>26247</v>
      </c>
      <c r="C3036" t="s">
        <v>3180</v>
      </c>
      <c r="D3036" t="s">
        <v>2376</v>
      </c>
      <c r="E3036" t="s">
        <v>2437</v>
      </c>
      <c r="F3036">
        <v>2503</v>
      </c>
      <c r="G3036">
        <v>1</v>
      </c>
      <c r="H3036" t="s">
        <v>16</v>
      </c>
      <c r="I3036" s="1">
        <v>-2196400</v>
      </c>
      <c r="J3036" s="1">
        <v>-4331200</v>
      </c>
      <c r="K3036">
        <v>472</v>
      </c>
      <c r="L3036">
        <v>134</v>
      </c>
      <c r="M3036" t="s">
        <v>16</v>
      </c>
    </row>
    <row r="3037" spans="1:13" x14ac:dyDescent="0.35">
      <c r="A3037">
        <v>316760</v>
      </c>
      <c r="B3037">
        <v>26255</v>
      </c>
      <c r="C3037" t="s">
        <v>3181</v>
      </c>
      <c r="D3037" t="s">
        <v>2376</v>
      </c>
      <c r="E3037" t="s">
        <v>2381</v>
      </c>
      <c r="F3037">
        <v>17257</v>
      </c>
      <c r="G3037">
        <v>1</v>
      </c>
      <c r="H3037" t="s">
        <v>16</v>
      </c>
      <c r="I3037" s="1">
        <v>-2012400</v>
      </c>
      <c r="J3037" s="1">
        <v>-4200100</v>
      </c>
      <c r="K3037">
        <v>591</v>
      </c>
      <c r="L3037">
        <v>487</v>
      </c>
      <c r="M3037" t="s">
        <v>16</v>
      </c>
    </row>
    <row r="3038" spans="1:13" x14ac:dyDescent="0.35">
      <c r="A3038">
        <v>316770</v>
      </c>
      <c r="B3038">
        <v>26263</v>
      </c>
      <c r="C3038" t="s">
        <v>3182</v>
      </c>
      <c r="D3038" t="s">
        <v>2376</v>
      </c>
      <c r="E3038" t="s">
        <v>2412</v>
      </c>
      <c r="F3038">
        <v>5990</v>
      </c>
      <c r="G3038">
        <v>4</v>
      </c>
      <c r="H3038" t="s">
        <v>2386</v>
      </c>
      <c r="I3038" s="1">
        <v>-1923500</v>
      </c>
      <c r="J3038" s="1">
        <v>-4209800</v>
      </c>
      <c r="K3038">
        <v>342</v>
      </c>
      <c r="L3038">
        <v>206</v>
      </c>
      <c r="M3038" t="s">
        <v>16</v>
      </c>
    </row>
    <row r="3039" spans="1:13" x14ac:dyDescent="0.35">
      <c r="A3039">
        <v>316780</v>
      </c>
      <c r="B3039">
        <v>26271</v>
      </c>
      <c r="C3039" t="s">
        <v>3183</v>
      </c>
      <c r="D3039" t="s">
        <v>2376</v>
      </c>
      <c r="E3039" t="s">
        <v>2402</v>
      </c>
      <c r="F3039">
        <v>5518</v>
      </c>
      <c r="G3039">
        <v>1</v>
      </c>
      <c r="H3039" t="s">
        <v>16</v>
      </c>
      <c r="I3039" s="1">
        <v>-2206000</v>
      </c>
      <c r="J3039" s="1">
        <v>-4504500</v>
      </c>
      <c r="K3039">
        <v>881</v>
      </c>
      <c r="L3039">
        <v>196</v>
      </c>
      <c r="M3039" t="s">
        <v>16</v>
      </c>
    </row>
    <row r="3040" spans="1:13" x14ac:dyDescent="0.35">
      <c r="A3040">
        <v>316790</v>
      </c>
      <c r="B3040">
        <v>26280</v>
      </c>
      <c r="C3040" t="s">
        <v>3184</v>
      </c>
      <c r="D3040" t="s">
        <v>2376</v>
      </c>
      <c r="E3040" t="s">
        <v>2461</v>
      </c>
      <c r="F3040">
        <v>4061</v>
      </c>
      <c r="G3040">
        <v>1</v>
      </c>
      <c r="H3040" t="s">
        <v>16</v>
      </c>
      <c r="I3040" s="1">
        <v>-2135900</v>
      </c>
      <c r="J3040" s="1">
        <v>-4324800</v>
      </c>
      <c r="K3040">
        <v>459</v>
      </c>
      <c r="L3040">
        <v>211</v>
      </c>
      <c r="M3040" t="s">
        <v>16</v>
      </c>
    </row>
    <row r="3041" spans="1:13" x14ac:dyDescent="0.35">
      <c r="A3041">
        <v>316800</v>
      </c>
      <c r="B3041">
        <v>26298</v>
      </c>
      <c r="C3041" t="s">
        <v>3185</v>
      </c>
      <c r="D3041" t="s">
        <v>2376</v>
      </c>
      <c r="E3041" t="s">
        <v>2396</v>
      </c>
      <c r="F3041">
        <v>29732</v>
      </c>
      <c r="G3041">
        <v>1</v>
      </c>
      <c r="H3041" t="s">
        <v>16</v>
      </c>
      <c r="I3041" s="1">
        <v>-1580800</v>
      </c>
      <c r="J3041" s="1">
        <v>-4223300</v>
      </c>
      <c r="K3041">
        <v>821</v>
      </c>
      <c r="L3041">
        <v>1194</v>
      </c>
      <c r="M3041" t="s">
        <v>16</v>
      </c>
    </row>
    <row r="3042" spans="1:13" x14ac:dyDescent="0.35">
      <c r="A3042">
        <v>316805</v>
      </c>
      <c r="B3042">
        <v>56030</v>
      </c>
      <c r="C3042" t="s">
        <v>3186</v>
      </c>
      <c r="D3042" t="s">
        <v>2376</v>
      </c>
      <c r="E3042" t="s">
        <v>2398</v>
      </c>
      <c r="F3042">
        <v>3243</v>
      </c>
      <c r="G3042">
        <v>1</v>
      </c>
      <c r="H3042" t="s">
        <v>16</v>
      </c>
      <c r="I3042" s="1">
        <v>-1975900</v>
      </c>
      <c r="J3042" s="1">
        <v>-4161600</v>
      </c>
      <c r="K3042">
        <v>233</v>
      </c>
      <c r="L3042">
        <v>190</v>
      </c>
      <c r="M3042" t="s">
        <v>16</v>
      </c>
    </row>
    <row r="3043" spans="1:13" x14ac:dyDescent="0.35">
      <c r="A3043">
        <v>316810</v>
      </c>
      <c r="B3043">
        <v>26301</v>
      </c>
      <c r="C3043" t="s">
        <v>3187</v>
      </c>
      <c r="D3043" t="s">
        <v>2376</v>
      </c>
      <c r="E3043" t="s">
        <v>2450</v>
      </c>
      <c r="F3043">
        <v>3575</v>
      </c>
      <c r="G3043">
        <v>1</v>
      </c>
      <c r="H3043" t="s">
        <v>16</v>
      </c>
      <c r="I3043" s="1">
        <v>-1992200</v>
      </c>
      <c r="J3043" s="1">
        <v>-4682300</v>
      </c>
      <c r="K3043">
        <v>1091</v>
      </c>
      <c r="L3043">
        <v>1180</v>
      </c>
      <c r="M3043" t="s">
        <v>16</v>
      </c>
    </row>
    <row r="3044" spans="1:13" x14ac:dyDescent="0.35">
      <c r="A3044">
        <v>316820</v>
      </c>
      <c r="B3044">
        <v>26310</v>
      </c>
      <c r="C3044" t="s">
        <v>3188</v>
      </c>
      <c r="D3044" t="s">
        <v>2376</v>
      </c>
      <c r="E3044" t="s">
        <v>2470</v>
      </c>
      <c r="F3044">
        <v>1841</v>
      </c>
      <c r="G3044">
        <v>1</v>
      </c>
      <c r="H3044" t="s">
        <v>16</v>
      </c>
      <c r="I3044" s="1">
        <v>-1988800</v>
      </c>
      <c r="J3044" s="1">
        <v>-4602000</v>
      </c>
      <c r="K3044">
        <v>673</v>
      </c>
      <c r="L3044">
        <v>412</v>
      </c>
      <c r="M3044" t="s">
        <v>16</v>
      </c>
    </row>
    <row r="3045" spans="1:13" x14ac:dyDescent="0.35">
      <c r="A3045">
        <v>316830</v>
      </c>
      <c r="B3045">
        <v>26328</v>
      </c>
      <c r="C3045" t="s">
        <v>3189</v>
      </c>
      <c r="D3045" t="s">
        <v>2376</v>
      </c>
      <c r="E3045" t="s">
        <v>2420</v>
      </c>
      <c r="F3045">
        <v>3757</v>
      </c>
      <c r="G3045">
        <v>4</v>
      </c>
      <c r="H3045" t="s">
        <v>2468</v>
      </c>
      <c r="I3045" s="1">
        <v>-1967000</v>
      </c>
      <c r="J3045" s="1">
        <v>-4368700</v>
      </c>
      <c r="K3045">
        <v>742</v>
      </c>
      <c r="L3045">
        <v>329</v>
      </c>
      <c r="M3045" t="s">
        <v>16</v>
      </c>
    </row>
    <row r="3046" spans="1:13" x14ac:dyDescent="0.35">
      <c r="A3046">
        <v>316840</v>
      </c>
      <c r="B3046">
        <v>26336</v>
      </c>
      <c r="C3046" t="s">
        <v>3190</v>
      </c>
      <c r="D3046" t="s">
        <v>2376</v>
      </c>
      <c r="E3046" t="s">
        <v>2499</v>
      </c>
      <c r="F3046">
        <v>14185</v>
      </c>
      <c r="G3046">
        <v>1</v>
      </c>
      <c r="H3046" t="s">
        <v>16</v>
      </c>
      <c r="I3046" s="1">
        <v>-1928100</v>
      </c>
      <c r="J3046" s="1">
        <v>-4200700</v>
      </c>
      <c r="K3046">
        <v>284</v>
      </c>
      <c r="L3046">
        <v>730</v>
      </c>
      <c r="M3046" t="s">
        <v>16</v>
      </c>
    </row>
    <row r="3047" spans="1:13" x14ac:dyDescent="0.35">
      <c r="A3047">
        <v>316850</v>
      </c>
      <c r="B3047">
        <v>26344</v>
      </c>
      <c r="C3047" t="s">
        <v>3191</v>
      </c>
      <c r="D3047" t="s">
        <v>2376</v>
      </c>
      <c r="E3047" t="s">
        <v>1388</v>
      </c>
      <c r="F3047">
        <v>11665</v>
      </c>
      <c r="G3047">
        <v>1</v>
      </c>
      <c r="H3047" t="s">
        <v>16</v>
      </c>
      <c r="I3047" s="1">
        <v>-2065100</v>
      </c>
      <c r="J3047" s="1">
        <v>-4285700</v>
      </c>
      <c r="K3047">
        <v>648</v>
      </c>
      <c r="L3047">
        <v>166</v>
      </c>
      <c r="M3047" t="s">
        <v>16</v>
      </c>
    </row>
    <row r="3048" spans="1:13" x14ac:dyDescent="0.35">
      <c r="A3048">
        <v>316860</v>
      </c>
      <c r="B3048">
        <v>26352</v>
      </c>
      <c r="C3048" t="s">
        <v>3192</v>
      </c>
      <c r="D3048" t="s">
        <v>2376</v>
      </c>
      <c r="E3048" t="s">
        <v>2463</v>
      </c>
      <c r="F3048">
        <v>126895</v>
      </c>
      <c r="G3048">
        <v>3</v>
      </c>
      <c r="H3048" t="s">
        <v>16</v>
      </c>
      <c r="I3048" s="1">
        <v>-1785800</v>
      </c>
      <c r="J3048" s="1">
        <v>-4150500</v>
      </c>
      <c r="K3048">
        <v>334</v>
      </c>
      <c r="L3048">
        <v>3242</v>
      </c>
      <c r="M3048" t="s">
        <v>16</v>
      </c>
    </row>
    <row r="3049" spans="1:13" x14ac:dyDescent="0.35">
      <c r="A3049">
        <v>316870</v>
      </c>
      <c r="B3049">
        <v>26360</v>
      </c>
      <c r="C3049" t="s">
        <v>3193</v>
      </c>
      <c r="D3049" t="s">
        <v>2376</v>
      </c>
      <c r="E3049" t="s">
        <v>2385</v>
      </c>
      <c r="F3049">
        <v>76092</v>
      </c>
      <c r="G3049">
        <v>4</v>
      </c>
      <c r="H3049" t="s">
        <v>2386</v>
      </c>
      <c r="I3049" s="1">
        <v>-1958300</v>
      </c>
      <c r="J3049" s="1">
        <v>-4264400</v>
      </c>
      <c r="K3049">
        <v>333</v>
      </c>
      <c r="L3049">
        <v>145</v>
      </c>
      <c r="M3049" t="s">
        <v>16</v>
      </c>
    </row>
    <row r="3050" spans="1:13" x14ac:dyDescent="0.35">
      <c r="A3050">
        <v>316880</v>
      </c>
      <c r="B3050">
        <v>26379</v>
      </c>
      <c r="C3050" t="s">
        <v>3194</v>
      </c>
      <c r="D3050" t="s">
        <v>2376</v>
      </c>
      <c r="E3050" t="s">
        <v>2589</v>
      </c>
      <c r="F3050">
        <v>6547</v>
      </c>
      <c r="G3050">
        <v>1</v>
      </c>
      <c r="H3050" t="s">
        <v>16</v>
      </c>
      <c r="I3050" s="1">
        <v>-2111000</v>
      </c>
      <c r="J3050" s="1">
        <v>-4417800</v>
      </c>
      <c r="K3050">
        <v>927</v>
      </c>
      <c r="L3050">
        <v>83</v>
      </c>
      <c r="M3050" t="s">
        <v>16</v>
      </c>
    </row>
    <row r="3051" spans="1:13" x14ac:dyDescent="0.35">
      <c r="A3051">
        <v>316890</v>
      </c>
      <c r="B3051">
        <v>26387</v>
      </c>
      <c r="C3051" t="s">
        <v>3195</v>
      </c>
      <c r="D3051" t="s">
        <v>2376</v>
      </c>
      <c r="E3051" t="s">
        <v>2446</v>
      </c>
      <c r="F3051">
        <v>7416</v>
      </c>
      <c r="G3051">
        <v>1</v>
      </c>
      <c r="H3051" t="s">
        <v>16</v>
      </c>
      <c r="I3051" s="1">
        <v>-1900400</v>
      </c>
      <c r="J3051" s="1">
        <v>-4596400</v>
      </c>
      <c r="K3051">
        <v>1037</v>
      </c>
      <c r="L3051">
        <v>2093</v>
      </c>
      <c r="M3051" t="s">
        <v>16</v>
      </c>
    </row>
    <row r="3052" spans="1:13" x14ac:dyDescent="0.35">
      <c r="A3052">
        <v>316900</v>
      </c>
      <c r="B3052">
        <v>26395</v>
      </c>
      <c r="C3052" t="s">
        <v>3196</v>
      </c>
      <c r="D3052" t="s">
        <v>2376</v>
      </c>
      <c r="E3052" t="s">
        <v>2461</v>
      </c>
      <c r="F3052">
        <v>15704</v>
      </c>
      <c r="G3052">
        <v>1</v>
      </c>
      <c r="H3052" t="s">
        <v>16</v>
      </c>
      <c r="I3052" s="1">
        <v>-2117500</v>
      </c>
      <c r="J3052" s="1">
        <v>-4301800</v>
      </c>
      <c r="K3052">
        <v>363</v>
      </c>
      <c r="L3052">
        <v>173</v>
      </c>
      <c r="M3052" t="s">
        <v>16</v>
      </c>
    </row>
    <row r="3053" spans="1:13" x14ac:dyDescent="0.35">
      <c r="A3053">
        <v>316905</v>
      </c>
      <c r="B3053">
        <v>56049</v>
      </c>
      <c r="C3053" t="s">
        <v>3197</v>
      </c>
      <c r="D3053" t="s">
        <v>2376</v>
      </c>
      <c r="E3053" t="s">
        <v>2501</v>
      </c>
      <c r="F3053">
        <v>3926</v>
      </c>
      <c r="G3053">
        <v>1</v>
      </c>
      <c r="H3053" t="s">
        <v>16</v>
      </c>
      <c r="I3053" s="1">
        <v>-2237100</v>
      </c>
      <c r="J3053" s="1">
        <v>-4609600</v>
      </c>
      <c r="K3053">
        <v>1059</v>
      </c>
      <c r="L3053">
        <v>114</v>
      </c>
      <c r="M3053" t="s">
        <v>16</v>
      </c>
    </row>
    <row r="3054" spans="1:13" x14ac:dyDescent="0.35">
      <c r="A3054">
        <v>316910</v>
      </c>
      <c r="B3054">
        <v>26409</v>
      </c>
      <c r="C3054" t="s">
        <v>3198</v>
      </c>
      <c r="D3054" t="s">
        <v>2376</v>
      </c>
      <c r="E3054" t="s">
        <v>2501</v>
      </c>
      <c r="F3054">
        <v>5720</v>
      </c>
      <c r="G3054">
        <v>1</v>
      </c>
      <c r="H3054" t="s">
        <v>16</v>
      </c>
      <c r="I3054" s="1">
        <v>-2274300</v>
      </c>
      <c r="J3054" s="1">
        <v>-4637200</v>
      </c>
      <c r="K3054">
        <v>1128</v>
      </c>
      <c r="L3054">
        <v>136</v>
      </c>
      <c r="M3054" t="s">
        <v>16</v>
      </c>
    </row>
    <row r="3055" spans="1:13" x14ac:dyDescent="0.35">
      <c r="A3055">
        <v>316920</v>
      </c>
      <c r="B3055">
        <v>26417</v>
      </c>
      <c r="C3055" t="s">
        <v>3199</v>
      </c>
      <c r="D3055" t="s">
        <v>2376</v>
      </c>
      <c r="E3055" t="s">
        <v>2433</v>
      </c>
      <c r="F3055">
        <v>9194</v>
      </c>
      <c r="G3055">
        <v>1</v>
      </c>
      <c r="H3055" t="s">
        <v>16</v>
      </c>
      <c r="I3055" s="1">
        <v>-2090500</v>
      </c>
      <c r="J3055" s="1">
        <v>-4202300</v>
      </c>
      <c r="K3055">
        <v>273</v>
      </c>
      <c r="L3055">
        <v>283</v>
      </c>
      <c r="M3055" t="s">
        <v>16</v>
      </c>
    </row>
    <row r="3056" spans="1:13" x14ac:dyDescent="0.35">
      <c r="A3056">
        <v>316930</v>
      </c>
      <c r="B3056">
        <v>26425</v>
      </c>
      <c r="C3056" t="s">
        <v>3200</v>
      </c>
      <c r="D3056" t="s">
        <v>2376</v>
      </c>
      <c r="E3056" t="s">
        <v>2491</v>
      </c>
      <c r="F3056">
        <v>71737</v>
      </c>
      <c r="G3056">
        <v>2</v>
      </c>
      <c r="H3056" t="s">
        <v>16</v>
      </c>
      <c r="I3056" s="1">
        <v>-2169700</v>
      </c>
      <c r="J3056" s="1">
        <v>-4525300</v>
      </c>
      <c r="K3056">
        <v>864</v>
      </c>
      <c r="L3056">
        <v>825</v>
      </c>
      <c r="M3056" t="s">
        <v>16</v>
      </c>
    </row>
    <row r="3057" spans="1:13" x14ac:dyDescent="0.35">
      <c r="A3057">
        <v>316935</v>
      </c>
      <c r="B3057">
        <v>20087</v>
      </c>
      <c r="C3057" t="s">
        <v>3201</v>
      </c>
      <c r="D3057" t="s">
        <v>2376</v>
      </c>
      <c r="E3057" t="s">
        <v>2379</v>
      </c>
      <c r="F3057">
        <v>26431</v>
      </c>
      <c r="G3057">
        <v>1</v>
      </c>
      <c r="H3057" t="s">
        <v>16</v>
      </c>
      <c r="I3057" s="1">
        <v>-1820600</v>
      </c>
      <c r="J3057" s="1">
        <v>-4524200</v>
      </c>
      <c r="K3057">
        <v>538</v>
      </c>
      <c r="L3057">
        <v>2675</v>
      </c>
      <c r="M3057" t="s">
        <v>16</v>
      </c>
    </row>
    <row r="3058" spans="1:13" x14ac:dyDescent="0.35">
      <c r="A3058">
        <v>316940</v>
      </c>
      <c r="B3058">
        <v>26433</v>
      </c>
      <c r="C3058" t="s">
        <v>3202</v>
      </c>
      <c r="D3058" t="s">
        <v>2376</v>
      </c>
      <c r="E3058" t="s">
        <v>2491</v>
      </c>
      <c r="F3058">
        <v>52121</v>
      </c>
      <c r="G3058">
        <v>2</v>
      </c>
      <c r="H3058" t="s">
        <v>16</v>
      </c>
      <c r="I3058" s="1">
        <v>-2136700</v>
      </c>
      <c r="J3058" s="1">
        <v>-4551300</v>
      </c>
      <c r="K3058">
        <v>885</v>
      </c>
      <c r="L3058">
        <v>689</v>
      </c>
      <c r="M3058" t="s">
        <v>16</v>
      </c>
    </row>
    <row r="3059" spans="1:13" x14ac:dyDescent="0.35">
      <c r="A3059">
        <v>316950</v>
      </c>
      <c r="B3059">
        <v>26441</v>
      </c>
      <c r="C3059" t="s">
        <v>3203</v>
      </c>
      <c r="D3059" t="s">
        <v>2376</v>
      </c>
      <c r="E3059" t="s">
        <v>2412</v>
      </c>
      <c r="F3059">
        <v>5964</v>
      </c>
      <c r="G3059">
        <v>1</v>
      </c>
      <c r="H3059" t="s">
        <v>16</v>
      </c>
      <c r="I3059" s="1">
        <v>-1897900</v>
      </c>
      <c r="J3059" s="1">
        <v>-4164500</v>
      </c>
      <c r="K3059">
        <v>138</v>
      </c>
      <c r="L3059">
        <v>496</v>
      </c>
      <c r="M3059" t="s">
        <v>16</v>
      </c>
    </row>
    <row r="3060" spans="1:13" x14ac:dyDescent="0.35">
      <c r="A3060">
        <v>316960</v>
      </c>
      <c r="B3060">
        <v>26450</v>
      </c>
      <c r="C3060" t="s">
        <v>3204</v>
      </c>
      <c r="D3060" t="s">
        <v>2376</v>
      </c>
      <c r="E3060" t="s">
        <v>2441</v>
      </c>
      <c r="F3060">
        <v>23076</v>
      </c>
      <c r="G3060">
        <v>1</v>
      </c>
      <c r="H3060" t="s">
        <v>16</v>
      </c>
      <c r="I3060" s="1">
        <v>-1859300</v>
      </c>
      <c r="J3060" s="1">
        <v>-4870500</v>
      </c>
      <c r="K3060">
        <v>865</v>
      </c>
      <c r="L3060">
        <v>1826</v>
      </c>
      <c r="M3060" t="s">
        <v>16</v>
      </c>
    </row>
    <row r="3061" spans="1:13" x14ac:dyDescent="0.35">
      <c r="A3061">
        <v>316970</v>
      </c>
      <c r="B3061">
        <v>26468</v>
      </c>
      <c r="C3061" t="s">
        <v>3205</v>
      </c>
      <c r="D3061" t="s">
        <v>2376</v>
      </c>
      <c r="E3061" t="s">
        <v>2429</v>
      </c>
      <c r="F3061">
        <v>17219</v>
      </c>
      <c r="G3061">
        <v>1</v>
      </c>
      <c r="H3061" t="s">
        <v>16</v>
      </c>
      <c r="I3061" s="1">
        <v>-1728600</v>
      </c>
      <c r="J3061" s="1">
        <v>-4273000</v>
      </c>
      <c r="K3061">
        <v>718</v>
      </c>
      <c r="L3061">
        <v>1153</v>
      </c>
      <c r="M3061" t="s">
        <v>16</v>
      </c>
    </row>
    <row r="3062" spans="1:13" x14ac:dyDescent="0.35">
      <c r="A3062">
        <v>316980</v>
      </c>
      <c r="B3062">
        <v>26476</v>
      </c>
      <c r="C3062" t="s">
        <v>3206</v>
      </c>
      <c r="D3062" t="s">
        <v>2376</v>
      </c>
      <c r="E3062" t="s">
        <v>2530</v>
      </c>
      <c r="F3062">
        <v>4737</v>
      </c>
      <c r="G3062">
        <v>1</v>
      </c>
      <c r="H3062" t="s">
        <v>16</v>
      </c>
      <c r="I3062" s="1">
        <v>-2187600</v>
      </c>
      <c r="J3062" s="1">
        <v>-4578700</v>
      </c>
      <c r="K3062">
        <v>840</v>
      </c>
      <c r="L3062">
        <v>221</v>
      </c>
      <c r="M3062" t="s">
        <v>16</v>
      </c>
    </row>
    <row r="3063" spans="1:13" x14ac:dyDescent="0.35">
      <c r="A3063">
        <v>316990</v>
      </c>
      <c r="B3063">
        <v>26484</v>
      </c>
      <c r="C3063" t="s">
        <v>3207</v>
      </c>
      <c r="D3063" t="s">
        <v>2376</v>
      </c>
      <c r="E3063" t="s">
        <v>2461</v>
      </c>
      <c r="F3063">
        <v>94228</v>
      </c>
      <c r="G3063">
        <v>2</v>
      </c>
      <c r="H3063" t="s">
        <v>16</v>
      </c>
      <c r="I3063" s="1">
        <v>-2112000</v>
      </c>
      <c r="J3063" s="1">
        <v>-4294300</v>
      </c>
      <c r="K3063">
        <v>338</v>
      </c>
      <c r="L3063">
        <v>407</v>
      </c>
      <c r="M3063" t="s">
        <v>16</v>
      </c>
    </row>
    <row r="3064" spans="1:13" x14ac:dyDescent="0.35">
      <c r="A3064">
        <v>317000</v>
      </c>
      <c r="B3064">
        <v>26492</v>
      </c>
      <c r="C3064" t="s">
        <v>3208</v>
      </c>
      <c r="D3064" t="s">
        <v>2376</v>
      </c>
      <c r="E3064" t="s">
        <v>2513</v>
      </c>
      <c r="F3064">
        <v>11834</v>
      </c>
      <c r="G3064">
        <v>1</v>
      </c>
      <c r="H3064" t="s">
        <v>16</v>
      </c>
      <c r="I3064" s="1">
        <v>-1628500</v>
      </c>
      <c r="J3064" s="1">
        <v>-4477800</v>
      </c>
      <c r="K3064">
        <v>589</v>
      </c>
      <c r="L3064">
        <v>820</v>
      </c>
      <c r="M3064" t="s">
        <v>16</v>
      </c>
    </row>
    <row r="3065" spans="1:13" x14ac:dyDescent="0.35">
      <c r="A3065">
        <v>317005</v>
      </c>
      <c r="B3065">
        <v>50873</v>
      </c>
      <c r="C3065" t="s">
        <v>3209</v>
      </c>
      <c r="D3065" t="s">
        <v>2376</v>
      </c>
      <c r="E3065" t="s">
        <v>2499</v>
      </c>
      <c r="F3065">
        <v>12060</v>
      </c>
      <c r="G3065">
        <v>1</v>
      </c>
      <c r="H3065" t="s">
        <v>16</v>
      </c>
      <c r="I3065" s="1">
        <v>-1963500</v>
      </c>
      <c r="J3065" s="1">
        <v>-4210600</v>
      </c>
      <c r="K3065">
        <v>505</v>
      </c>
      <c r="L3065">
        <v>190</v>
      </c>
      <c r="M3065" t="s">
        <v>16</v>
      </c>
    </row>
    <row r="3066" spans="1:13" x14ac:dyDescent="0.35">
      <c r="A3066">
        <v>317010</v>
      </c>
      <c r="B3066">
        <v>26506</v>
      </c>
      <c r="C3066" t="s">
        <v>2390</v>
      </c>
      <c r="D3066" t="s">
        <v>2376</v>
      </c>
      <c r="E3066" t="s">
        <v>2390</v>
      </c>
      <c r="F3066">
        <v>287760</v>
      </c>
      <c r="G3066">
        <v>3</v>
      </c>
      <c r="H3066" t="s">
        <v>16</v>
      </c>
      <c r="I3066" s="1">
        <v>-1974800</v>
      </c>
      <c r="J3066" s="1">
        <v>-4793200</v>
      </c>
      <c r="K3066">
        <v>801</v>
      </c>
      <c r="L3066">
        <v>4512</v>
      </c>
      <c r="M3066" t="s">
        <v>16</v>
      </c>
    </row>
    <row r="3067" spans="1:13" x14ac:dyDescent="0.35">
      <c r="A3067">
        <v>317020</v>
      </c>
      <c r="B3067">
        <v>26514</v>
      </c>
      <c r="C3067" t="s">
        <v>3210</v>
      </c>
      <c r="D3067" t="s">
        <v>2376</v>
      </c>
      <c r="E3067" t="s">
        <v>2441</v>
      </c>
      <c r="F3067">
        <v>608369</v>
      </c>
      <c r="G3067">
        <v>3</v>
      </c>
      <c r="H3067" t="s">
        <v>16</v>
      </c>
      <c r="I3067" s="1">
        <v>-1891900</v>
      </c>
      <c r="J3067" s="1">
        <v>-4827700</v>
      </c>
      <c r="K3067">
        <v>863</v>
      </c>
      <c r="L3067">
        <v>4115</v>
      </c>
      <c r="M3067" t="s">
        <v>16</v>
      </c>
    </row>
    <row r="3068" spans="1:13" x14ac:dyDescent="0.35">
      <c r="A3068">
        <v>317030</v>
      </c>
      <c r="B3068">
        <v>26522</v>
      </c>
      <c r="C3068" t="s">
        <v>3211</v>
      </c>
      <c r="D3068" t="s">
        <v>2376</v>
      </c>
      <c r="E3068" t="s">
        <v>2394</v>
      </c>
      <c r="F3068">
        <v>2776</v>
      </c>
      <c r="G3068">
        <v>1</v>
      </c>
      <c r="H3068" t="s">
        <v>16</v>
      </c>
      <c r="I3068" s="1">
        <v>-1725600</v>
      </c>
      <c r="J3068" s="1">
        <v>-4057300</v>
      </c>
      <c r="K3068">
        <v>238</v>
      </c>
      <c r="L3068">
        <v>404</v>
      </c>
      <c r="M3068" t="s">
        <v>16</v>
      </c>
    </row>
    <row r="3069" spans="1:13" x14ac:dyDescent="0.35">
      <c r="A3069">
        <v>317040</v>
      </c>
      <c r="B3069">
        <v>26530</v>
      </c>
      <c r="C3069" t="s">
        <v>3212</v>
      </c>
      <c r="D3069" t="s">
        <v>2376</v>
      </c>
      <c r="E3069" t="s">
        <v>2459</v>
      </c>
      <c r="F3069">
        <v>74495</v>
      </c>
      <c r="G3069">
        <v>4</v>
      </c>
      <c r="H3069" t="s">
        <v>2523</v>
      </c>
      <c r="I3069" s="1">
        <v>-1635800</v>
      </c>
      <c r="J3069" s="1">
        <v>-4690600</v>
      </c>
      <c r="K3069">
        <v>575</v>
      </c>
      <c r="L3069">
        <v>8463</v>
      </c>
      <c r="M3069" t="s">
        <v>16</v>
      </c>
    </row>
    <row r="3070" spans="1:13" x14ac:dyDescent="0.35">
      <c r="A3070">
        <v>317043</v>
      </c>
      <c r="B3070">
        <v>56057</v>
      </c>
      <c r="C3070" t="s">
        <v>3213</v>
      </c>
      <c r="D3070" t="s">
        <v>2376</v>
      </c>
      <c r="E3070" t="s">
        <v>2545</v>
      </c>
      <c r="F3070">
        <v>4593</v>
      </c>
      <c r="G3070">
        <v>1</v>
      </c>
      <c r="H3070" t="s">
        <v>16</v>
      </c>
      <c r="I3070" s="1">
        <v>-1953000</v>
      </c>
      <c r="J3070" s="1">
        <v>-5033600</v>
      </c>
      <c r="K3070">
        <v>521</v>
      </c>
      <c r="L3070">
        <v>1150</v>
      </c>
      <c r="M3070" t="s">
        <v>16</v>
      </c>
    </row>
    <row r="3071" spans="1:13" x14ac:dyDescent="0.35">
      <c r="A3071">
        <v>317047</v>
      </c>
      <c r="B3071">
        <v>56065</v>
      </c>
      <c r="C3071" t="s">
        <v>3214</v>
      </c>
      <c r="D3071" t="s">
        <v>2376</v>
      </c>
      <c r="E3071" t="s">
        <v>2459</v>
      </c>
      <c r="F3071">
        <v>2777</v>
      </c>
      <c r="G3071">
        <v>1</v>
      </c>
      <c r="H3071" t="s">
        <v>16</v>
      </c>
      <c r="I3071" s="1">
        <v>-1606400</v>
      </c>
      <c r="J3071" s="1">
        <v>-4625400</v>
      </c>
      <c r="K3071">
        <v>530</v>
      </c>
      <c r="L3071">
        <v>589</v>
      </c>
      <c r="M3071" t="s">
        <v>16</v>
      </c>
    </row>
    <row r="3072" spans="1:13" x14ac:dyDescent="0.35">
      <c r="A3072">
        <v>317050</v>
      </c>
      <c r="B3072">
        <v>26549</v>
      </c>
      <c r="C3072" t="s">
        <v>3215</v>
      </c>
      <c r="D3072" t="s">
        <v>2376</v>
      </c>
      <c r="E3072" t="s">
        <v>2383</v>
      </c>
      <c r="F3072">
        <v>10203</v>
      </c>
      <c r="G3072">
        <v>1</v>
      </c>
      <c r="H3072" t="s">
        <v>16</v>
      </c>
      <c r="I3072" s="1">
        <v>-2035100</v>
      </c>
      <c r="J3072" s="1">
        <v>-4273900</v>
      </c>
      <c r="K3072">
        <v>437</v>
      </c>
      <c r="L3072">
        <v>139</v>
      </c>
      <c r="M3072" t="s">
        <v>16</v>
      </c>
    </row>
    <row r="3073" spans="1:13" x14ac:dyDescent="0.35">
      <c r="A3073">
        <v>317052</v>
      </c>
      <c r="B3073">
        <v>50881</v>
      </c>
      <c r="C3073" t="s">
        <v>3216</v>
      </c>
      <c r="D3073" t="s">
        <v>2376</v>
      </c>
      <c r="E3073" t="s">
        <v>2505</v>
      </c>
      <c r="F3073">
        <v>11376</v>
      </c>
      <c r="G3073">
        <v>1</v>
      </c>
      <c r="H3073" t="s">
        <v>16</v>
      </c>
      <c r="I3073" s="1">
        <v>-1613300</v>
      </c>
      <c r="J3073" s="1">
        <v>-4574200</v>
      </c>
      <c r="K3073">
        <v>498</v>
      </c>
      <c r="L3073">
        <v>2072</v>
      </c>
      <c r="M3073" t="s">
        <v>16</v>
      </c>
    </row>
    <row r="3074" spans="1:13" x14ac:dyDescent="0.35">
      <c r="A3074">
        <v>317057</v>
      </c>
      <c r="B3074">
        <v>56073</v>
      </c>
      <c r="C3074" t="s">
        <v>3217</v>
      </c>
      <c r="D3074" t="s">
        <v>2376</v>
      </c>
      <c r="E3074" t="s">
        <v>2499</v>
      </c>
      <c r="F3074">
        <v>6594</v>
      </c>
      <c r="G3074">
        <v>4</v>
      </c>
      <c r="H3074" t="s">
        <v>2386</v>
      </c>
      <c r="I3074" s="1">
        <v>-1960800</v>
      </c>
      <c r="J3074" s="1">
        <v>-4229800</v>
      </c>
      <c r="K3074">
        <v>250</v>
      </c>
      <c r="L3074">
        <v>116</v>
      </c>
      <c r="M3074" t="s">
        <v>16</v>
      </c>
    </row>
    <row r="3075" spans="1:13" x14ac:dyDescent="0.35">
      <c r="A3075">
        <v>317060</v>
      </c>
      <c r="B3075">
        <v>26557</v>
      </c>
      <c r="C3075" t="s">
        <v>3218</v>
      </c>
      <c r="D3075" t="s">
        <v>2376</v>
      </c>
      <c r="E3075" t="s">
        <v>2470</v>
      </c>
      <c r="F3075">
        <v>2098</v>
      </c>
      <c r="G3075">
        <v>1</v>
      </c>
      <c r="H3075" t="s">
        <v>16</v>
      </c>
      <c r="I3075" s="1">
        <v>-2032700</v>
      </c>
      <c r="J3075" s="1">
        <v>-4636600</v>
      </c>
      <c r="K3075">
        <v>768</v>
      </c>
      <c r="L3075">
        <v>409</v>
      </c>
      <c r="M3075" t="s">
        <v>16</v>
      </c>
    </row>
    <row r="3076" spans="1:13" x14ac:dyDescent="0.35">
      <c r="A3076">
        <v>317065</v>
      </c>
      <c r="B3076">
        <v>56081</v>
      </c>
      <c r="C3076" t="s">
        <v>3219</v>
      </c>
      <c r="D3076" t="s">
        <v>2376</v>
      </c>
      <c r="E3076" t="s">
        <v>2396</v>
      </c>
      <c r="F3076">
        <v>4703</v>
      </c>
      <c r="G3076">
        <v>1</v>
      </c>
      <c r="H3076" t="s">
        <v>16</v>
      </c>
      <c r="I3076" s="1">
        <v>-1540300</v>
      </c>
      <c r="J3076" s="1">
        <v>-4230800</v>
      </c>
      <c r="K3076">
        <v>800</v>
      </c>
      <c r="L3076">
        <v>494</v>
      </c>
      <c r="M3076" t="s">
        <v>16</v>
      </c>
    </row>
    <row r="3077" spans="1:13" x14ac:dyDescent="0.35">
      <c r="A3077">
        <v>317070</v>
      </c>
      <c r="B3077">
        <v>26565</v>
      </c>
      <c r="C3077" t="s">
        <v>2491</v>
      </c>
      <c r="D3077" t="s">
        <v>2376</v>
      </c>
      <c r="E3077" t="s">
        <v>2491</v>
      </c>
      <c r="F3077">
        <v>116093</v>
      </c>
      <c r="G3077">
        <v>3</v>
      </c>
      <c r="H3077" t="s">
        <v>16</v>
      </c>
      <c r="I3077" s="1">
        <v>-2155100</v>
      </c>
      <c r="J3077" s="1">
        <v>-4543000</v>
      </c>
      <c r="K3077">
        <v>916</v>
      </c>
      <c r="L3077">
        <v>395</v>
      </c>
      <c r="M3077" t="s">
        <v>16</v>
      </c>
    </row>
    <row r="3078" spans="1:13" x14ac:dyDescent="0.35">
      <c r="A3078">
        <v>317075</v>
      </c>
      <c r="B3078">
        <v>56090</v>
      </c>
      <c r="C3078" t="s">
        <v>3220</v>
      </c>
      <c r="D3078" t="s">
        <v>2376</v>
      </c>
      <c r="E3078" t="s">
        <v>2511</v>
      </c>
      <c r="F3078">
        <v>5993</v>
      </c>
      <c r="G3078">
        <v>1</v>
      </c>
      <c r="H3078" t="s">
        <v>16</v>
      </c>
      <c r="I3078" s="1">
        <v>-1837800</v>
      </c>
      <c r="J3078" s="1">
        <v>-4603200</v>
      </c>
      <c r="K3078">
        <v>900</v>
      </c>
      <c r="L3078">
        <v>652</v>
      </c>
      <c r="M3078" t="s">
        <v>16</v>
      </c>
    </row>
    <row r="3079" spans="1:13" x14ac:dyDescent="0.35">
      <c r="A3079">
        <v>317080</v>
      </c>
      <c r="B3079">
        <v>26573</v>
      </c>
      <c r="C3079" t="s">
        <v>3221</v>
      </c>
      <c r="D3079" t="s">
        <v>2376</v>
      </c>
      <c r="E3079" t="s">
        <v>2525</v>
      </c>
      <c r="F3079">
        <v>34448</v>
      </c>
      <c r="G3079">
        <v>1</v>
      </c>
      <c r="H3079" t="s">
        <v>16</v>
      </c>
      <c r="I3079" s="1">
        <v>-1759800</v>
      </c>
      <c r="J3079" s="1">
        <v>-4473100</v>
      </c>
      <c r="K3079">
        <v>515</v>
      </c>
      <c r="L3079">
        <v>2195</v>
      </c>
      <c r="M3079" t="s">
        <v>16</v>
      </c>
    </row>
    <row r="3080" spans="1:13" x14ac:dyDescent="0.35">
      <c r="A3080">
        <v>317090</v>
      </c>
      <c r="B3080">
        <v>26581</v>
      </c>
      <c r="C3080" t="s">
        <v>3222</v>
      </c>
      <c r="D3080" t="s">
        <v>2376</v>
      </c>
      <c r="E3080" t="s">
        <v>2513</v>
      </c>
      <c r="F3080">
        <v>19137</v>
      </c>
      <c r="G3080">
        <v>1</v>
      </c>
      <c r="H3080" t="s">
        <v>16</v>
      </c>
      <c r="I3080" s="1">
        <v>-1570100</v>
      </c>
      <c r="J3080" s="1">
        <v>-4402800</v>
      </c>
      <c r="K3080">
        <v>483</v>
      </c>
      <c r="L3080">
        <v>803</v>
      </c>
      <c r="M3080" t="s">
        <v>16</v>
      </c>
    </row>
    <row r="3081" spans="1:13" x14ac:dyDescent="0.35">
      <c r="A3081">
        <v>317100</v>
      </c>
      <c r="B3081">
        <v>26590</v>
      </c>
      <c r="C3081" t="s">
        <v>3223</v>
      </c>
      <c r="D3081" t="s">
        <v>2376</v>
      </c>
      <c r="E3081" t="s">
        <v>2511</v>
      </c>
      <c r="F3081">
        <v>19300</v>
      </c>
      <c r="G3081">
        <v>1</v>
      </c>
      <c r="H3081" t="s">
        <v>16</v>
      </c>
      <c r="I3081" s="1">
        <v>-1798700</v>
      </c>
      <c r="J3081" s="1">
        <v>-4690800</v>
      </c>
      <c r="K3081">
        <v>680</v>
      </c>
      <c r="L3081">
        <v>1903</v>
      </c>
      <c r="M3081" t="s">
        <v>16</v>
      </c>
    </row>
    <row r="3082" spans="1:13" x14ac:dyDescent="0.35">
      <c r="A3082">
        <v>317103</v>
      </c>
      <c r="B3082">
        <v>56103</v>
      </c>
      <c r="C3082" t="s">
        <v>3224</v>
      </c>
      <c r="D3082" t="s">
        <v>2376</v>
      </c>
      <c r="E3082" t="s">
        <v>2513</v>
      </c>
      <c r="F3082">
        <v>8029</v>
      </c>
      <c r="G3082">
        <v>1</v>
      </c>
      <c r="H3082" t="s">
        <v>16</v>
      </c>
      <c r="I3082" s="1">
        <v>-1558900</v>
      </c>
      <c r="J3082" s="1">
        <v>-4360300</v>
      </c>
      <c r="K3082">
        <v>480</v>
      </c>
      <c r="L3082">
        <v>1451</v>
      </c>
      <c r="M3082" t="s">
        <v>16</v>
      </c>
    </row>
    <row r="3083" spans="1:13" x14ac:dyDescent="0.35">
      <c r="A3083">
        <v>317107</v>
      </c>
      <c r="B3083">
        <v>56111</v>
      </c>
      <c r="C3083" t="s">
        <v>3225</v>
      </c>
      <c r="D3083" t="s">
        <v>2376</v>
      </c>
      <c r="E3083" t="s">
        <v>2429</v>
      </c>
      <c r="F3083">
        <v>5732</v>
      </c>
      <c r="G3083">
        <v>1</v>
      </c>
      <c r="H3083" t="s">
        <v>16</v>
      </c>
      <c r="I3083" s="1">
        <v>-1739900</v>
      </c>
      <c r="J3083" s="1">
        <v>-4273600</v>
      </c>
      <c r="K3083">
        <v>832</v>
      </c>
      <c r="L3083">
        <v>635</v>
      </c>
      <c r="M3083" t="s">
        <v>16</v>
      </c>
    </row>
    <row r="3084" spans="1:13" x14ac:dyDescent="0.35">
      <c r="A3084">
        <v>317110</v>
      </c>
      <c r="B3084">
        <v>26603</v>
      </c>
      <c r="C3084" t="s">
        <v>3226</v>
      </c>
      <c r="D3084" t="s">
        <v>2376</v>
      </c>
      <c r="E3084" t="s">
        <v>2390</v>
      </c>
      <c r="F3084">
        <v>3667</v>
      </c>
      <c r="G3084">
        <v>1</v>
      </c>
      <c r="H3084" t="s">
        <v>16</v>
      </c>
      <c r="I3084" s="1">
        <v>-1966300</v>
      </c>
      <c r="J3084" s="1">
        <v>-4830800</v>
      </c>
      <c r="K3084">
        <v>674</v>
      </c>
      <c r="L3084">
        <v>1028</v>
      </c>
      <c r="M3084" t="s">
        <v>16</v>
      </c>
    </row>
    <row r="3085" spans="1:13" x14ac:dyDescent="0.35">
      <c r="A3085">
        <v>317115</v>
      </c>
      <c r="B3085">
        <v>56120</v>
      </c>
      <c r="C3085" t="s">
        <v>3227</v>
      </c>
      <c r="D3085" t="s">
        <v>2376</v>
      </c>
      <c r="E3085" t="s">
        <v>2383</v>
      </c>
      <c r="F3085">
        <v>4551</v>
      </c>
      <c r="G3085">
        <v>1</v>
      </c>
      <c r="H3085" t="s">
        <v>16</v>
      </c>
      <c r="I3085" s="1">
        <v>-2003600</v>
      </c>
      <c r="J3085" s="1">
        <v>-4226700</v>
      </c>
      <c r="K3085">
        <v>640</v>
      </c>
      <c r="L3085">
        <v>113</v>
      </c>
      <c r="M3085" t="s">
        <v>16</v>
      </c>
    </row>
    <row r="3086" spans="1:13" x14ac:dyDescent="0.35">
      <c r="A3086">
        <v>317120</v>
      </c>
      <c r="B3086">
        <v>26611</v>
      </c>
      <c r="C3086" t="s">
        <v>3228</v>
      </c>
      <c r="D3086" t="s">
        <v>2376</v>
      </c>
      <c r="E3086" t="s">
        <v>2479</v>
      </c>
      <c r="F3086">
        <v>94191</v>
      </c>
      <c r="G3086">
        <v>4</v>
      </c>
      <c r="H3086" t="s">
        <v>2468</v>
      </c>
      <c r="I3086" s="1">
        <v>-1969200</v>
      </c>
      <c r="J3086" s="1">
        <v>-4392300</v>
      </c>
      <c r="K3086">
        <v>693</v>
      </c>
      <c r="L3086">
        <v>70</v>
      </c>
      <c r="M3086" t="s">
        <v>16</v>
      </c>
    </row>
    <row r="3087" spans="1:13" x14ac:dyDescent="0.35">
      <c r="A3087">
        <v>317130</v>
      </c>
      <c r="B3087">
        <v>26620</v>
      </c>
      <c r="C3087" t="s">
        <v>1388</v>
      </c>
      <c r="D3087" t="s">
        <v>2376</v>
      </c>
      <c r="E3087" t="s">
        <v>1388</v>
      </c>
      <c r="F3087">
        <v>70404</v>
      </c>
      <c r="G3087">
        <v>2</v>
      </c>
      <c r="H3087" t="s">
        <v>16</v>
      </c>
      <c r="I3087" s="1">
        <v>-2075400</v>
      </c>
      <c r="J3087" s="1">
        <v>-4288200</v>
      </c>
      <c r="K3087">
        <v>648</v>
      </c>
      <c r="L3087">
        <v>299</v>
      </c>
      <c r="M3087" t="s">
        <v>16</v>
      </c>
    </row>
    <row r="3088" spans="1:13" x14ac:dyDescent="0.35">
      <c r="A3088">
        <v>317140</v>
      </c>
      <c r="B3088">
        <v>26638</v>
      </c>
      <c r="C3088" t="s">
        <v>3229</v>
      </c>
      <c r="D3088" t="s">
        <v>2376</v>
      </c>
      <c r="E3088" t="s">
        <v>2433</v>
      </c>
      <c r="F3088">
        <v>3808</v>
      </c>
      <c r="G3088">
        <v>1</v>
      </c>
      <c r="H3088" t="s">
        <v>16</v>
      </c>
      <c r="I3088" s="1">
        <v>-2086600</v>
      </c>
      <c r="J3088" s="1">
        <v>-4224400</v>
      </c>
      <c r="K3088">
        <v>718</v>
      </c>
      <c r="L3088">
        <v>112</v>
      </c>
      <c r="M3088" t="s">
        <v>16</v>
      </c>
    </row>
    <row r="3089" spans="1:13" x14ac:dyDescent="0.35">
      <c r="A3089">
        <v>317150</v>
      </c>
      <c r="B3089">
        <v>26646</v>
      </c>
      <c r="C3089" t="s">
        <v>3230</v>
      </c>
      <c r="D3089" t="s">
        <v>2376</v>
      </c>
      <c r="E3089" t="s">
        <v>2412</v>
      </c>
      <c r="F3089">
        <v>3457</v>
      </c>
      <c r="G3089">
        <v>1</v>
      </c>
      <c r="H3089" t="s">
        <v>16</v>
      </c>
      <c r="I3089" s="1">
        <v>-1859200</v>
      </c>
      <c r="J3089" s="1">
        <v>-4190800</v>
      </c>
      <c r="K3089">
        <v>210</v>
      </c>
      <c r="L3089">
        <v>170</v>
      </c>
      <c r="M3089" t="s">
        <v>16</v>
      </c>
    </row>
    <row r="3090" spans="1:13" x14ac:dyDescent="0.35">
      <c r="A3090">
        <v>317160</v>
      </c>
      <c r="B3090">
        <v>26654</v>
      </c>
      <c r="C3090" t="s">
        <v>3231</v>
      </c>
      <c r="D3090" t="s">
        <v>2376</v>
      </c>
      <c r="E3090" t="s">
        <v>2439</v>
      </c>
      <c r="F3090">
        <v>14103</v>
      </c>
      <c r="G3090">
        <v>1</v>
      </c>
      <c r="H3090" t="s">
        <v>16</v>
      </c>
      <c r="I3090" s="1">
        <v>-1680400</v>
      </c>
      <c r="J3090" s="1">
        <v>-4234300</v>
      </c>
      <c r="K3090">
        <v>385</v>
      </c>
      <c r="L3090">
        <v>871</v>
      </c>
      <c r="M3090" t="s">
        <v>16</v>
      </c>
    </row>
    <row r="3091" spans="1:13" x14ac:dyDescent="0.35">
      <c r="A3091">
        <v>317170</v>
      </c>
      <c r="B3091">
        <v>26662</v>
      </c>
      <c r="C3091" t="s">
        <v>3232</v>
      </c>
      <c r="D3091" t="s">
        <v>2376</v>
      </c>
      <c r="E3091" t="s">
        <v>2518</v>
      </c>
      <c r="F3091">
        <v>8351</v>
      </c>
      <c r="G3091">
        <v>1</v>
      </c>
      <c r="H3091" t="s">
        <v>16</v>
      </c>
      <c r="I3091" s="1">
        <v>-2233300</v>
      </c>
      <c r="J3091" s="1">
        <v>-4509200</v>
      </c>
      <c r="K3091">
        <v>945</v>
      </c>
      <c r="L3091">
        <v>326</v>
      </c>
      <c r="M3091" t="s">
        <v>16</v>
      </c>
    </row>
    <row r="3092" spans="1:13" x14ac:dyDescent="0.35">
      <c r="A3092">
        <v>317180</v>
      </c>
      <c r="B3092">
        <v>26670</v>
      </c>
      <c r="C3092" t="s">
        <v>3233</v>
      </c>
      <c r="D3092" t="s">
        <v>2376</v>
      </c>
      <c r="E3092" t="s">
        <v>2516</v>
      </c>
      <c r="F3092">
        <v>10891</v>
      </c>
      <c r="G3092">
        <v>1</v>
      </c>
      <c r="H3092" t="s">
        <v>16</v>
      </c>
      <c r="I3092" s="1">
        <v>-1882300</v>
      </c>
      <c r="J3092" s="1">
        <v>-4270400</v>
      </c>
      <c r="K3092">
        <v>750</v>
      </c>
      <c r="L3092">
        <v>440</v>
      </c>
      <c r="M3092" t="s">
        <v>16</v>
      </c>
    </row>
    <row r="3093" spans="1:13" x14ac:dyDescent="0.35">
      <c r="A3093">
        <v>317190</v>
      </c>
      <c r="B3093">
        <v>26689</v>
      </c>
      <c r="C3093" t="s">
        <v>3234</v>
      </c>
      <c r="D3093" t="s">
        <v>2376</v>
      </c>
      <c r="E3093" t="s">
        <v>2412</v>
      </c>
      <c r="F3093">
        <v>5724</v>
      </c>
      <c r="G3093">
        <v>1</v>
      </c>
      <c r="H3093" t="s">
        <v>16</v>
      </c>
      <c r="I3093" s="1">
        <v>-1847600</v>
      </c>
      <c r="J3093" s="1">
        <v>-4230700</v>
      </c>
      <c r="K3093">
        <v>444</v>
      </c>
      <c r="L3093">
        <v>281</v>
      </c>
      <c r="M3093" t="s">
        <v>16</v>
      </c>
    </row>
    <row r="3094" spans="1:13" x14ac:dyDescent="0.35">
      <c r="A3094">
        <v>317200</v>
      </c>
      <c r="B3094">
        <v>26697</v>
      </c>
      <c r="C3094" t="s">
        <v>3235</v>
      </c>
      <c r="D3094" t="s">
        <v>2376</v>
      </c>
      <c r="E3094" t="s">
        <v>2461</v>
      </c>
      <c r="F3094">
        <v>35346</v>
      </c>
      <c r="G3094">
        <v>1</v>
      </c>
      <c r="H3094" t="s">
        <v>16</v>
      </c>
      <c r="I3094" s="1">
        <v>-2101000</v>
      </c>
      <c r="J3094" s="1">
        <v>-4284100</v>
      </c>
      <c r="K3094">
        <v>352</v>
      </c>
      <c r="L3094">
        <v>241</v>
      </c>
      <c r="M3094" t="s">
        <v>16</v>
      </c>
    </row>
    <row r="3095" spans="1:13" x14ac:dyDescent="0.35">
      <c r="A3095">
        <v>317210</v>
      </c>
      <c r="B3095">
        <v>26700</v>
      </c>
      <c r="C3095" t="s">
        <v>3236</v>
      </c>
      <c r="D3095" t="s">
        <v>2376</v>
      </c>
      <c r="E3095" t="s">
        <v>2406</v>
      </c>
      <c r="F3095">
        <v>5166</v>
      </c>
      <c r="G3095">
        <v>1</v>
      </c>
      <c r="H3095" t="s">
        <v>16</v>
      </c>
      <c r="I3095" s="1">
        <v>-2177100</v>
      </c>
      <c r="J3095" s="1">
        <v>-4253900</v>
      </c>
      <c r="K3095">
        <v>209</v>
      </c>
      <c r="L3095">
        <v>208</v>
      </c>
      <c r="M3095" t="s">
        <v>16</v>
      </c>
    </row>
    <row r="3096" spans="1:13" x14ac:dyDescent="0.35">
      <c r="A3096">
        <v>317220</v>
      </c>
      <c r="B3096">
        <v>26719</v>
      </c>
      <c r="C3096" t="s">
        <v>3237</v>
      </c>
      <c r="D3096" t="s">
        <v>2376</v>
      </c>
      <c r="E3096" t="s">
        <v>2518</v>
      </c>
      <c r="F3096">
        <v>2509</v>
      </c>
      <c r="G3096">
        <v>1</v>
      </c>
      <c r="H3096" t="s">
        <v>16</v>
      </c>
      <c r="I3096" s="1">
        <v>-2253400</v>
      </c>
      <c r="J3096" s="1">
        <v>-4536300</v>
      </c>
      <c r="K3096">
        <v>1005</v>
      </c>
      <c r="L3096">
        <v>101</v>
      </c>
      <c r="M3096" t="s">
        <v>16</v>
      </c>
    </row>
    <row r="3097" spans="1:13" x14ac:dyDescent="0.35">
      <c r="A3097">
        <v>320010</v>
      </c>
      <c r="B3097">
        <v>26816</v>
      </c>
      <c r="C3097" t="s">
        <v>3238</v>
      </c>
      <c r="D3097" t="s">
        <v>3239</v>
      </c>
      <c r="E3097" t="s">
        <v>3240</v>
      </c>
      <c r="F3097">
        <v>30773</v>
      </c>
      <c r="G3097">
        <v>1</v>
      </c>
      <c r="H3097" t="s">
        <v>16</v>
      </c>
      <c r="I3097" s="1">
        <v>-2007400</v>
      </c>
      <c r="J3097" s="1">
        <v>-4112400</v>
      </c>
      <c r="K3097">
        <v>370</v>
      </c>
      <c r="L3097">
        <v>954</v>
      </c>
      <c r="M3097" t="s">
        <v>16</v>
      </c>
    </row>
    <row r="3098" spans="1:13" x14ac:dyDescent="0.35">
      <c r="A3098">
        <v>320013</v>
      </c>
      <c r="B3098">
        <v>45764</v>
      </c>
      <c r="C3098" t="s">
        <v>3241</v>
      </c>
      <c r="D3098" t="s">
        <v>3239</v>
      </c>
      <c r="E3098" t="s">
        <v>3242</v>
      </c>
      <c r="F3098">
        <v>9281</v>
      </c>
      <c r="G3098">
        <v>1</v>
      </c>
      <c r="H3098" t="s">
        <v>16</v>
      </c>
      <c r="I3098" s="1">
        <v>-1898300</v>
      </c>
      <c r="J3098" s="1">
        <v>-4074000</v>
      </c>
      <c r="K3098">
        <v>140</v>
      </c>
      <c r="L3098">
        <v>449</v>
      </c>
      <c r="M3098" t="s">
        <v>16</v>
      </c>
    </row>
    <row r="3099" spans="1:13" x14ac:dyDescent="0.35">
      <c r="A3099">
        <v>320016</v>
      </c>
      <c r="B3099">
        <v>45756</v>
      </c>
      <c r="C3099" t="s">
        <v>3243</v>
      </c>
      <c r="D3099" t="s">
        <v>3239</v>
      </c>
      <c r="E3099" t="s">
        <v>3244</v>
      </c>
      <c r="F3099">
        <v>11934</v>
      </c>
      <c r="G3099">
        <v>1</v>
      </c>
      <c r="H3099" t="s">
        <v>16</v>
      </c>
      <c r="I3099" s="1">
        <v>-1854700</v>
      </c>
      <c r="J3099" s="1">
        <v>-4097900</v>
      </c>
      <c r="K3099">
        <v>194</v>
      </c>
      <c r="L3099">
        <v>484</v>
      </c>
      <c r="M3099" t="s">
        <v>16</v>
      </c>
    </row>
    <row r="3100" spans="1:13" x14ac:dyDescent="0.35">
      <c r="A3100">
        <v>320020</v>
      </c>
      <c r="B3100">
        <v>26824</v>
      </c>
      <c r="C3100" t="s">
        <v>3245</v>
      </c>
      <c r="D3100" t="s">
        <v>3239</v>
      </c>
      <c r="E3100" t="s">
        <v>3245</v>
      </c>
      <c r="F3100">
        <v>30473</v>
      </c>
      <c r="G3100">
        <v>1</v>
      </c>
      <c r="H3100" t="s">
        <v>16</v>
      </c>
      <c r="I3100" s="1">
        <v>-2076400</v>
      </c>
      <c r="J3100" s="1">
        <v>-4153300</v>
      </c>
      <c r="K3100">
        <v>254</v>
      </c>
      <c r="L3100">
        <v>772</v>
      </c>
      <c r="M3100" t="s">
        <v>16</v>
      </c>
    </row>
    <row r="3101" spans="1:13" x14ac:dyDescent="0.35">
      <c r="A3101">
        <v>320030</v>
      </c>
      <c r="B3101">
        <v>26832</v>
      </c>
      <c r="C3101" t="s">
        <v>3246</v>
      </c>
      <c r="D3101" t="s">
        <v>3239</v>
      </c>
      <c r="E3101" t="s">
        <v>3247</v>
      </c>
      <c r="F3101">
        <v>13983</v>
      </c>
      <c r="G3101">
        <v>1</v>
      </c>
      <c r="H3101" t="s">
        <v>16</v>
      </c>
      <c r="I3101" s="1">
        <v>-2063500</v>
      </c>
      <c r="J3101" s="1">
        <v>-4075000</v>
      </c>
      <c r="K3101">
        <v>17</v>
      </c>
      <c r="L3101">
        <v>615</v>
      </c>
      <c r="M3101" t="s">
        <v>16</v>
      </c>
    </row>
    <row r="3102" spans="1:13" x14ac:dyDescent="0.35">
      <c r="A3102">
        <v>320035</v>
      </c>
      <c r="B3102">
        <v>45772</v>
      </c>
      <c r="C3102" t="s">
        <v>3248</v>
      </c>
      <c r="D3102" t="s">
        <v>3239</v>
      </c>
      <c r="E3102" t="s">
        <v>3249</v>
      </c>
      <c r="F3102">
        <v>6198</v>
      </c>
      <c r="G3102">
        <v>1</v>
      </c>
      <c r="H3102" t="s">
        <v>16</v>
      </c>
      <c r="I3102" s="1">
        <v>-1905600</v>
      </c>
      <c r="J3102" s="1">
        <v>-4101700</v>
      </c>
      <c r="K3102">
        <v>540</v>
      </c>
      <c r="L3102">
        <v>227</v>
      </c>
      <c r="M3102" t="s">
        <v>16</v>
      </c>
    </row>
    <row r="3103" spans="1:13" x14ac:dyDescent="0.35">
      <c r="A3103">
        <v>320040</v>
      </c>
      <c r="B3103">
        <v>26840</v>
      </c>
      <c r="C3103" t="s">
        <v>3250</v>
      </c>
      <c r="D3103" t="s">
        <v>3239</v>
      </c>
      <c r="E3103" t="s">
        <v>3247</v>
      </c>
      <c r="F3103">
        <v>19459</v>
      </c>
      <c r="G3103">
        <v>1</v>
      </c>
      <c r="H3103" t="s">
        <v>16</v>
      </c>
      <c r="I3103" s="1">
        <v>-2080500</v>
      </c>
      <c r="J3103" s="1">
        <v>-4064500</v>
      </c>
      <c r="K3103">
        <v>2</v>
      </c>
      <c r="L3103">
        <v>404</v>
      </c>
      <c r="M3103" t="s">
        <v>16</v>
      </c>
    </row>
    <row r="3104" spans="1:13" x14ac:dyDescent="0.35">
      <c r="A3104">
        <v>320050</v>
      </c>
      <c r="B3104">
        <v>26859</v>
      </c>
      <c r="C3104" t="s">
        <v>3251</v>
      </c>
      <c r="D3104" t="s">
        <v>3239</v>
      </c>
      <c r="E3104" t="s">
        <v>3252</v>
      </c>
      <c r="F3104">
        <v>7617</v>
      </c>
      <c r="G3104">
        <v>1</v>
      </c>
      <c r="H3104" t="s">
        <v>16</v>
      </c>
      <c r="I3104" s="1">
        <v>-2115400</v>
      </c>
      <c r="J3104" s="1">
        <v>-4156800</v>
      </c>
      <c r="K3104">
        <v>70</v>
      </c>
      <c r="L3104">
        <v>193</v>
      </c>
      <c r="M3104" t="s">
        <v>16</v>
      </c>
    </row>
    <row r="3105" spans="1:13" x14ac:dyDescent="0.35">
      <c r="A3105">
        <v>320060</v>
      </c>
      <c r="B3105">
        <v>26867</v>
      </c>
      <c r="C3105" t="s">
        <v>3253</v>
      </c>
      <c r="D3105" t="s">
        <v>3239</v>
      </c>
      <c r="E3105" t="s">
        <v>3254</v>
      </c>
      <c r="F3105">
        <v>73358</v>
      </c>
      <c r="G3105">
        <v>2</v>
      </c>
      <c r="H3105" t="s">
        <v>16</v>
      </c>
      <c r="I3105" s="1">
        <v>-1982000</v>
      </c>
      <c r="J3105" s="1">
        <v>-4027300</v>
      </c>
      <c r="K3105">
        <v>60</v>
      </c>
      <c r="L3105">
        <v>1436</v>
      </c>
      <c r="M3105" t="s">
        <v>16</v>
      </c>
    </row>
    <row r="3106" spans="1:13" x14ac:dyDescent="0.35">
      <c r="A3106">
        <v>320070</v>
      </c>
      <c r="B3106">
        <v>26875</v>
      </c>
      <c r="C3106" t="s">
        <v>3255</v>
      </c>
      <c r="D3106" t="s">
        <v>3239</v>
      </c>
      <c r="E3106" t="s">
        <v>3252</v>
      </c>
      <c r="F3106">
        <v>8878</v>
      </c>
      <c r="G3106">
        <v>1</v>
      </c>
      <c r="H3106" t="s">
        <v>16</v>
      </c>
      <c r="I3106" s="1">
        <v>-2091400</v>
      </c>
      <c r="J3106" s="1">
        <v>-4119800</v>
      </c>
      <c r="K3106">
        <v>85</v>
      </c>
      <c r="L3106">
        <v>226</v>
      </c>
      <c r="M3106" t="s">
        <v>16</v>
      </c>
    </row>
    <row r="3107" spans="1:13" x14ac:dyDescent="0.35">
      <c r="A3107">
        <v>320080</v>
      </c>
      <c r="B3107">
        <v>26883</v>
      </c>
      <c r="C3107" t="s">
        <v>3256</v>
      </c>
      <c r="D3107" t="s">
        <v>3239</v>
      </c>
      <c r="E3107" t="s">
        <v>3249</v>
      </c>
      <c r="F3107">
        <v>28637</v>
      </c>
      <c r="G3107">
        <v>1</v>
      </c>
      <c r="H3107" t="s">
        <v>16</v>
      </c>
      <c r="I3107" s="1">
        <v>-1951900</v>
      </c>
      <c r="J3107" s="1">
        <v>-4101600</v>
      </c>
      <c r="K3107">
        <v>77</v>
      </c>
      <c r="L3107">
        <v>917</v>
      </c>
      <c r="M3107" t="s">
        <v>16</v>
      </c>
    </row>
    <row r="3108" spans="1:13" x14ac:dyDescent="0.35">
      <c r="A3108">
        <v>320090</v>
      </c>
      <c r="B3108">
        <v>26891</v>
      </c>
      <c r="C3108" t="s">
        <v>3257</v>
      </c>
      <c r="D3108" t="s">
        <v>3239</v>
      </c>
      <c r="E3108" t="s">
        <v>3244</v>
      </c>
      <c r="F3108">
        <v>39627</v>
      </c>
      <c r="G3108">
        <v>1</v>
      </c>
      <c r="H3108" t="s">
        <v>16</v>
      </c>
      <c r="I3108" s="1">
        <v>-1875500</v>
      </c>
      <c r="J3108" s="1">
        <v>-4089100</v>
      </c>
      <c r="K3108">
        <v>192</v>
      </c>
      <c r="L3108">
        <v>933</v>
      </c>
      <c r="M3108" t="s">
        <v>16</v>
      </c>
    </row>
    <row r="3109" spans="1:13" x14ac:dyDescent="0.35">
      <c r="A3109">
        <v>320100</v>
      </c>
      <c r="B3109">
        <v>26905</v>
      </c>
      <c r="C3109" t="s">
        <v>2490</v>
      </c>
      <c r="D3109" t="s">
        <v>3239</v>
      </c>
      <c r="E3109" t="s">
        <v>3242</v>
      </c>
      <c r="F3109">
        <v>12912</v>
      </c>
      <c r="G3109">
        <v>1</v>
      </c>
      <c r="H3109" t="s">
        <v>16</v>
      </c>
      <c r="I3109" s="1">
        <v>-1854000</v>
      </c>
      <c r="J3109" s="1">
        <v>-4029600</v>
      </c>
      <c r="K3109">
        <v>140</v>
      </c>
      <c r="L3109">
        <v>428</v>
      </c>
      <c r="M3109" t="s">
        <v>16</v>
      </c>
    </row>
    <row r="3110" spans="1:13" x14ac:dyDescent="0.35">
      <c r="A3110">
        <v>320110</v>
      </c>
      <c r="B3110">
        <v>26913</v>
      </c>
      <c r="C3110" t="s">
        <v>3258</v>
      </c>
      <c r="D3110" t="s">
        <v>3239</v>
      </c>
      <c r="E3110" t="s">
        <v>3252</v>
      </c>
      <c r="F3110">
        <v>9318</v>
      </c>
      <c r="G3110">
        <v>1</v>
      </c>
      <c r="H3110" t="s">
        <v>16</v>
      </c>
      <c r="I3110" s="1">
        <v>-2111400</v>
      </c>
      <c r="J3110" s="1">
        <v>-4167200</v>
      </c>
      <c r="K3110">
        <v>70</v>
      </c>
      <c r="L3110">
        <v>89</v>
      </c>
      <c r="M3110" t="s">
        <v>16</v>
      </c>
    </row>
    <row r="3111" spans="1:13" x14ac:dyDescent="0.35">
      <c r="A3111">
        <v>320115</v>
      </c>
      <c r="B3111">
        <v>56596</v>
      </c>
      <c r="C3111" t="s">
        <v>3259</v>
      </c>
      <c r="D3111" t="s">
        <v>3239</v>
      </c>
      <c r="E3111" t="s">
        <v>3240</v>
      </c>
      <c r="F3111">
        <v>10949</v>
      </c>
      <c r="G3111">
        <v>1</v>
      </c>
      <c r="H3111" t="s">
        <v>16</v>
      </c>
      <c r="I3111" s="1">
        <v>-2014600</v>
      </c>
      <c r="J3111" s="1">
        <v>-4129000</v>
      </c>
      <c r="K3111">
        <v>780</v>
      </c>
      <c r="L3111">
        <v>342</v>
      </c>
      <c r="M3111" t="s">
        <v>16</v>
      </c>
    </row>
    <row r="3112" spans="1:13" x14ac:dyDescent="0.35">
      <c r="A3112">
        <v>320120</v>
      </c>
      <c r="B3112">
        <v>26921</v>
      </c>
      <c r="C3112" t="s">
        <v>3252</v>
      </c>
      <c r="D3112" t="s">
        <v>3239</v>
      </c>
      <c r="E3112" t="s">
        <v>3252</v>
      </c>
      <c r="F3112">
        <v>195288</v>
      </c>
      <c r="G3112">
        <v>3</v>
      </c>
      <c r="H3112" t="s">
        <v>16</v>
      </c>
      <c r="I3112" s="1">
        <v>-2084900</v>
      </c>
      <c r="J3112" s="1">
        <v>-4111300</v>
      </c>
      <c r="K3112">
        <v>36</v>
      </c>
      <c r="L3112">
        <v>876</v>
      </c>
      <c r="M3112" t="s">
        <v>16</v>
      </c>
    </row>
    <row r="3113" spans="1:13" x14ac:dyDescent="0.35">
      <c r="A3113">
        <v>320130</v>
      </c>
      <c r="B3113">
        <v>26930</v>
      </c>
      <c r="C3113" t="s">
        <v>3260</v>
      </c>
      <c r="D3113" t="s">
        <v>3239</v>
      </c>
      <c r="E3113" t="s">
        <v>3261</v>
      </c>
      <c r="F3113">
        <v>356536</v>
      </c>
      <c r="G3113">
        <v>4</v>
      </c>
      <c r="H3113" t="s">
        <v>3262</v>
      </c>
      <c r="I3113" s="1">
        <v>-2026400</v>
      </c>
      <c r="J3113" s="1">
        <v>-4042000</v>
      </c>
      <c r="K3113">
        <v>73</v>
      </c>
      <c r="L3113">
        <v>279</v>
      </c>
      <c r="M3113" t="s">
        <v>16</v>
      </c>
    </row>
    <row r="3114" spans="1:13" x14ac:dyDescent="0.35">
      <c r="A3114">
        <v>320140</v>
      </c>
      <c r="B3114">
        <v>26948</v>
      </c>
      <c r="C3114" t="s">
        <v>3263</v>
      </c>
      <c r="D3114" t="s">
        <v>3239</v>
      </c>
      <c r="E3114" t="s">
        <v>3252</v>
      </c>
      <c r="F3114">
        <v>32250</v>
      </c>
      <c r="G3114">
        <v>1</v>
      </c>
      <c r="H3114" t="s">
        <v>16</v>
      </c>
      <c r="I3114" s="1">
        <v>-2060400</v>
      </c>
      <c r="J3114" s="1">
        <v>-4118500</v>
      </c>
      <c r="K3114">
        <v>100</v>
      </c>
      <c r="L3114">
        <v>668</v>
      </c>
      <c r="M3114" t="s">
        <v>16</v>
      </c>
    </row>
    <row r="3115" spans="1:13" x14ac:dyDescent="0.35">
      <c r="A3115">
        <v>320150</v>
      </c>
      <c r="B3115">
        <v>26956</v>
      </c>
      <c r="C3115" t="s">
        <v>3249</v>
      </c>
      <c r="D3115" t="s">
        <v>3239</v>
      </c>
      <c r="E3115" t="s">
        <v>3249</v>
      </c>
      <c r="F3115">
        <v>106637</v>
      </c>
      <c r="G3115">
        <v>3</v>
      </c>
      <c r="H3115" t="s">
        <v>16</v>
      </c>
      <c r="I3115" s="1">
        <v>-1953900</v>
      </c>
      <c r="J3115" s="1">
        <v>-4063100</v>
      </c>
      <c r="K3115">
        <v>38</v>
      </c>
      <c r="L3115">
        <v>1423</v>
      </c>
      <c r="M3115" t="s">
        <v>16</v>
      </c>
    </row>
    <row r="3116" spans="1:13" x14ac:dyDescent="0.35">
      <c r="A3116">
        <v>320160</v>
      </c>
      <c r="B3116">
        <v>26964</v>
      </c>
      <c r="C3116" t="s">
        <v>3264</v>
      </c>
      <c r="D3116" t="s">
        <v>3239</v>
      </c>
      <c r="E3116" t="s">
        <v>3265</v>
      </c>
      <c r="F3116">
        <v>26230</v>
      </c>
      <c r="G3116">
        <v>1</v>
      </c>
      <c r="H3116" t="s">
        <v>16</v>
      </c>
      <c r="I3116" s="1">
        <v>-1859300</v>
      </c>
      <c r="J3116" s="1">
        <v>-3973200</v>
      </c>
      <c r="K3116">
        <v>2</v>
      </c>
      <c r="L3116">
        <v>1188</v>
      </c>
      <c r="M3116" t="s">
        <v>16</v>
      </c>
    </row>
    <row r="3117" spans="1:13" x14ac:dyDescent="0.35">
      <c r="A3117">
        <v>320170</v>
      </c>
      <c r="B3117">
        <v>26972</v>
      </c>
      <c r="C3117" t="s">
        <v>3266</v>
      </c>
      <c r="D3117" t="s">
        <v>3239</v>
      </c>
      <c r="E3117" t="s">
        <v>3240</v>
      </c>
      <c r="F3117">
        <v>11326</v>
      </c>
      <c r="G3117">
        <v>1</v>
      </c>
      <c r="H3117" t="s">
        <v>16</v>
      </c>
      <c r="I3117" s="1">
        <v>-2036800</v>
      </c>
      <c r="J3117" s="1">
        <v>-4124400</v>
      </c>
      <c r="K3117">
        <v>610</v>
      </c>
      <c r="L3117">
        <v>364</v>
      </c>
      <c r="M3117" t="s">
        <v>16</v>
      </c>
    </row>
    <row r="3118" spans="1:13" x14ac:dyDescent="0.35">
      <c r="A3118">
        <v>320180</v>
      </c>
      <c r="B3118">
        <v>26980</v>
      </c>
      <c r="C3118" t="s">
        <v>3267</v>
      </c>
      <c r="D3118" t="s">
        <v>3239</v>
      </c>
      <c r="E3118" t="s">
        <v>3245</v>
      </c>
      <c r="F3118">
        <v>4837</v>
      </c>
      <c r="G3118">
        <v>1</v>
      </c>
      <c r="H3118" t="s">
        <v>16</v>
      </c>
      <c r="I3118" s="1">
        <v>-2062000</v>
      </c>
      <c r="J3118" s="1">
        <v>-4168600</v>
      </c>
      <c r="K3118">
        <v>680</v>
      </c>
      <c r="L3118">
        <v>175</v>
      </c>
      <c r="M3118" t="s">
        <v>16</v>
      </c>
    </row>
    <row r="3119" spans="1:13" x14ac:dyDescent="0.35">
      <c r="A3119">
        <v>320190</v>
      </c>
      <c r="B3119">
        <v>26999</v>
      </c>
      <c r="C3119" t="s">
        <v>3268</v>
      </c>
      <c r="D3119" t="s">
        <v>3239</v>
      </c>
      <c r="E3119" t="s">
        <v>3240</v>
      </c>
      <c r="F3119">
        <v>31175</v>
      </c>
      <c r="G3119">
        <v>1</v>
      </c>
      <c r="H3119" t="s">
        <v>16</v>
      </c>
      <c r="I3119" s="1">
        <v>-2036300</v>
      </c>
      <c r="J3119" s="1">
        <v>-4065900</v>
      </c>
      <c r="K3119">
        <v>620</v>
      </c>
      <c r="L3119">
        <v>1225</v>
      </c>
      <c r="M3119" t="s">
        <v>16</v>
      </c>
    </row>
    <row r="3120" spans="1:13" x14ac:dyDescent="0.35">
      <c r="A3120">
        <v>320200</v>
      </c>
      <c r="B3120">
        <v>27006</v>
      </c>
      <c r="C3120" t="s">
        <v>3269</v>
      </c>
      <c r="D3120" t="s">
        <v>3239</v>
      </c>
      <c r="E3120" t="s">
        <v>3245</v>
      </c>
      <c r="F3120">
        <v>6106</v>
      </c>
      <c r="G3120">
        <v>1</v>
      </c>
      <c r="H3120" t="s">
        <v>16</v>
      </c>
      <c r="I3120" s="1">
        <v>-2068900</v>
      </c>
      <c r="J3120" s="1">
        <v>-4184500</v>
      </c>
      <c r="K3120">
        <v>770</v>
      </c>
      <c r="L3120">
        <v>153</v>
      </c>
      <c r="M3120" t="s">
        <v>16</v>
      </c>
    </row>
    <row r="3121" spans="1:13" x14ac:dyDescent="0.35">
      <c r="A3121">
        <v>320210</v>
      </c>
      <c r="B3121">
        <v>27014</v>
      </c>
      <c r="C3121" t="s">
        <v>3270</v>
      </c>
      <c r="D3121" t="s">
        <v>3239</v>
      </c>
      <c r="E3121" t="s">
        <v>3244</v>
      </c>
      <c r="F3121">
        <v>23296</v>
      </c>
      <c r="G3121">
        <v>1</v>
      </c>
      <c r="H3121" t="s">
        <v>16</v>
      </c>
      <c r="I3121" s="1">
        <v>-1837300</v>
      </c>
      <c r="J3121" s="1">
        <v>-4083100</v>
      </c>
      <c r="K3121">
        <v>260</v>
      </c>
      <c r="L3121">
        <v>2283</v>
      </c>
      <c r="M3121" t="s">
        <v>16</v>
      </c>
    </row>
    <row r="3122" spans="1:13" x14ac:dyDescent="0.35">
      <c r="A3122">
        <v>320220</v>
      </c>
      <c r="B3122">
        <v>27022</v>
      </c>
      <c r="C3122" t="s">
        <v>3271</v>
      </c>
      <c r="D3122" t="s">
        <v>3239</v>
      </c>
      <c r="E3122" t="s">
        <v>3254</v>
      </c>
      <c r="F3122">
        <v>15209</v>
      </c>
      <c r="G3122">
        <v>4</v>
      </c>
      <c r="H3122" t="s">
        <v>3262</v>
      </c>
      <c r="I3122" s="1">
        <v>-1993300</v>
      </c>
      <c r="J3122" s="1">
        <v>-4040700</v>
      </c>
      <c r="K3122">
        <v>63</v>
      </c>
      <c r="L3122">
        <v>279</v>
      </c>
      <c r="M3122" t="s">
        <v>16</v>
      </c>
    </row>
    <row r="3123" spans="1:13" x14ac:dyDescent="0.35">
      <c r="A3123">
        <v>320225</v>
      </c>
      <c r="B3123">
        <v>59617</v>
      </c>
      <c r="C3123" t="s">
        <v>3272</v>
      </c>
      <c r="D3123" t="s">
        <v>3239</v>
      </c>
      <c r="E3123" t="s">
        <v>3249</v>
      </c>
      <c r="F3123">
        <v>9890</v>
      </c>
      <c r="G3123">
        <v>1</v>
      </c>
      <c r="H3123" t="s">
        <v>16</v>
      </c>
      <c r="I3123" s="1">
        <v>-1925200</v>
      </c>
      <c r="J3123" s="1">
        <v>-4046100</v>
      </c>
      <c r="K3123">
        <v>0</v>
      </c>
      <c r="L3123">
        <v>359</v>
      </c>
      <c r="M3123" t="s">
        <v>16</v>
      </c>
    </row>
    <row r="3124" spans="1:13" x14ac:dyDescent="0.35">
      <c r="A3124">
        <v>320230</v>
      </c>
      <c r="B3124">
        <v>27030</v>
      </c>
      <c r="C3124" t="s">
        <v>3273</v>
      </c>
      <c r="D3124" t="s">
        <v>3239</v>
      </c>
      <c r="E3124" t="s">
        <v>3245</v>
      </c>
      <c r="F3124">
        <v>25761</v>
      </c>
      <c r="G3124">
        <v>1</v>
      </c>
      <c r="H3124" t="s">
        <v>16</v>
      </c>
      <c r="I3124" s="1">
        <v>-2077600</v>
      </c>
      <c r="J3124" s="1">
        <v>-4167900</v>
      </c>
      <c r="K3124">
        <v>590</v>
      </c>
      <c r="L3124">
        <v>467</v>
      </c>
      <c r="M3124" t="s">
        <v>16</v>
      </c>
    </row>
    <row r="3125" spans="1:13" x14ac:dyDescent="0.35">
      <c r="A3125">
        <v>320240</v>
      </c>
      <c r="B3125">
        <v>27049</v>
      </c>
      <c r="C3125" t="s">
        <v>3247</v>
      </c>
      <c r="D3125" t="s">
        <v>3239</v>
      </c>
      <c r="E3125" t="s">
        <v>3247</v>
      </c>
      <c r="F3125">
        <v>98073</v>
      </c>
      <c r="G3125">
        <v>4</v>
      </c>
      <c r="H3125" t="s">
        <v>3262</v>
      </c>
      <c r="I3125" s="1">
        <v>-2065800</v>
      </c>
      <c r="J3125" s="1">
        <v>-4051100</v>
      </c>
      <c r="K3125">
        <v>2</v>
      </c>
      <c r="L3125">
        <v>592</v>
      </c>
      <c r="M3125" t="s">
        <v>16</v>
      </c>
    </row>
    <row r="3126" spans="1:13" x14ac:dyDescent="0.35">
      <c r="A3126">
        <v>320245</v>
      </c>
      <c r="B3126">
        <v>27359</v>
      </c>
      <c r="C3126" t="s">
        <v>3274</v>
      </c>
      <c r="D3126" t="s">
        <v>3239</v>
      </c>
      <c r="E3126" t="s">
        <v>3245</v>
      </c>
      <c r="F3126">
        <v>19649</v>
      </c>
      <c r="G3126">
        <v>1</v>
      </c>
      <c r="H3126" t="s">
        <v>16</v>
      </c>
      <c r="I3126" s="1">
        <v>-2023400</v>
      </c>
      <c r="J3126" s="1">
        <v>-4151100</v>
      </c>
      <c r="K3126">
        <v>740</v>
      </c>
      <c r="L3126">
        <v>241</v>
      </c>
      <c r="M3126" t="s">
        <v>16</v>
      </c>
    </row>
    <row r="3127" spans="1:13" x14ac:dyDescent="0.35">
      <c r="A3127">
        <v>320250</v>
      </c>
      <c r="B3127">
        <v>27057</v>
      </c>
      <c r="C3127" t="s">
        <v>3275</v>
      </c>
      <c r="D3127" t="s">
        <v>3239</v>
      </c>
      <c r="E3127" t="s">
        <v>3254</v>
      </c>
      <c r="F3127">
        <v>10312</v>
      </c>
      <c r="G3127">
        <v>1</v>
      </c>
      <c r="H3127" t="s">
        <v>16</v>
      </c>
      <c r="I3127" s="1">
        <v>-1983200</v>
      </c>
      <c r="J3127" s="1">
        <v>-4037000</v>
      </c>
      <c r="K3127">
        <v>36</v>
      </c>
      <c r="L3127">
        <v>199</v>
      </c>
      <c r="M3127" t="s">
        <v>16</v>
      </c>
    </row>
    <row r="3128" spans="1:13" x14ac:dyDescent="0.35">
      <c r="A3128">
        <v>320255</v>
      </c>
      <c r="B3128">
        <v>47309</v>
      </c>
      <c r="C3128" t="s">
        <v>3276</v>
      </c>
      <c r="D3128" t="s">
        <v>3239</v>
      </c>
      <c r="E3128" t="s">
        <v>3245</v>
      </c>
      <c r="F3128">
        <v>8994</v>
      </c>
      <c r="G3128">
        <v>1</v>
      </c>
      <c r="H3128" t="s">
        <v>16</v>
      </c>
      <c r="I3128" s="1">
        <v>-2054100</v>
      </c>
      <c r="J3128" s="1">
        <v>-4166700</v>
      </c>
      <c r="K3128">
        <v>770</v>
      </c>
      <c r="L3128">
        <v>329</v>
      </c>
      <c r="M3128" t="s">
        <v>16</v>
      </c>
    </row>
    <row r="3129" spans="1:13" x14ac:dyDescent="0.35">
      <c r="A3129">
        <v>320260</v>
      </c>
      <c r="B3129">
        <v>27065</v>
      </c>
      <c r="C3129" t="s">
        <v>3277</v>
      </c>
      <c r="D3129" t="s">
        <v>3239</v>
      </c>
      <c r="E3129" t="s">
        <v>3247</v>
      </c>
      <c r="F3129">
        <v>11496</v>
      </c>
      <c r="G3129">
        <v>1</v>
      </c>
      <c r="H3129" t="s">
        <v>16</v>
      </c>
      <c r="I3129" s="1">
        <v>-2079300</v>
      </c>
      <c r="J3129" s="1">
        <v>-4081100</v>
      </c>
      <c r="K3129">
        <v>8</v>
      </c>
      <c r="L3129">
        <v>202</v>
      </c>
      <c r="M3129" t="s">
        <v>16</v>
      </c>
    </row>
    <row r="3130" spans="1:13" x14ac:dyDescent="0.35">
      <c r="A3130">
        <v>320265</v>
      </c>
      <c r="B3130">
        <v>50911</v>
      </c>
      <c r="C3130" t="s">
        <v>3278</v>
      </c>
      <c r="D3130" t="s">
        <v>3239</v>
      </c>
      <c r="E3130" t="s">
        <v>3245</v>
      </c>
      <c r="F3130">
        <v>10369</v>
      </c>
      <c r="G3130">
        <v>1</v>
      </c>
      <c r="H3130" t="s">
        <v>16</v>
      </c>
      <c r="I3130" s="1">
        <v>-2034500</v>
      </c>
      <c r="J3130" s="1">
        <v>-4164100</v>
      </c>
      <c r="K3130">
        <v>730</v>
      </c>
      <c r="L3130">
        <v>184</v>
      </c>
      <c r="M3130" t="s">
        <v>16</v>
      </c>
    </row>
    <row r="3131" spans="1:13" x14ac:dyDescent="0.35">
      <c r="A3131">
        <v>320270</v>
      </c>
      <c r="B3131">
        <v>27073</v>
      </c>
      <c r="C3131" t="s">
        <v>3279</v>
      </c>
      <c r="D3131" t="s">
        <v>3239</v>
      </c>
      <c r="E3131" t="s">
        <v>3280</v>
      </c>
      <c r="F3131">
        <v>13881</v>
      </c>
      <c r="G3131">
        <v>1</v>
      </c>
      <c r="H3131" t="s">
        <v>16</v>
      </c>
      <c r="I3131" s="1">
        <v>-1980200</v>
      </c>
      <c r="J3131" s="1">
        <v>-4085600</v>
      </c>
      <c r="K3131">
        <v>157</v>
      </c>
      <c r="L3131">
        <v>530</v>
      </c>
      <c r="M3131" t="s">
        <v>16</v>
      </c>
    </row>
    <row r="3132" spans="1:13" x14ac:dyDescent="0.35">
      <c r="A3132">
        <v>320280</v>
      </c>
      <c r="B3132">
        <v>27081</v>
      </c>
      <c r="C3132" t="s">
        <v>3281</v>
      </c>
      <c r="D3132" t="s">
        <v>3239</v>
      </c>
      <c r="E3132" t="s">
        <v>3281</v>
      </c>
      <c r="F3132">
        <v>30833</v>
      </c>
      <c r="G3132">
        <v>1</v>
      </c>
      <c r="H3132" t="s">
        <v>16</v>
      </c>
      <c r="I3132" s="1">
        <v>-2101100</v>
      </c>
      <c r="J3132" s="1">
        <v>-4083400</v>
      </c>
      <c r="K3132">
        <v>20</v>
      </c>
      <c r="L3132">
        <v>557</v>
      </c>
      <c r="M3132" t="s">
        <v>16</v>
      </c>
    </row>
    <row r="3133" spans="1:13" x14ac:dyDescent="0.35">
      <c r="A3133">
        <v>320290</v>
      </c>
      <c r="B3133">
        <v>27090</v>
      </c>
      <c r="C3133" t="s">
        <v>3282</v>
      </c>
      <c r="D3133" t="s">
        <v>3239</v>
      </c>
      <c r="E3133" t="s">
        <v>3280</v>
      </c>
      <c r="F3133">
        <v>10569</v>
      </c>
      <c r="G3133">
        <v>1</v>
      </c>
      <c r="H3133" t="s">
        <v>16</v>
      </c>
      <c r="I3133" s="1">
        <v>-1987400</v>
      </c>
      <c r="J3133" s="1">
        <v>-4087500</v>
      </c>
      <c r="K3133">
        <v>150</v>
      </c>
      <c r="L3133">
        <v>299</v>
      </c>
      <c r="M3133" t="s">
        <v>16</v>
      </c>
    </row>
    <row r="3134" spans="1:13" x14ac:dyDescent="0.35">
      <c r="A3134">
        <v>320300</v>
      </c>
      <c r="B3134">
        <v>27103</v>
      </c>
      <c r="C3134" t="s">
        <v>3283</v>
      </c>
      <c r="D3134" t="s">
        <v>3239</v>
      </c>
      <c r="E3134" t="s">
        <v>3245</v>
      </c>
      <c r="F3134">
        <v>25533</v>
      </c>
      <c r="G3134">
        <v>1</v>
      </c>
      <c r="H3134" t="s">
        <v>16</v>
      </c>
      <c r="I3134" s="1">
        <v>-2034600</v>
      </c>
      <c r="J3134" s="1">
        <v>-4153600</v>
      </c>
      <c r="K3134">
        <v>661</v>
      </c>
      <c r="L3134">
        <v>460</v>
      </c>
      <c r="M3134" t="s">
        <v>16</v>
      </c>
    </row>
    <row r="3135" spans="1:13" x14ac:dyDescent="0.35">
      <c r="A3135">
        <v>320305</v>
      </c>
      <c r="B3135">
        <v>27367</v>
      </c>
      <c r="C3135" t="s">
        <v>3284</v>
      </c>
      <c r="D3135" t="s">
        <v>3239</v>
      </c>
      <c r="E3135" t="s">
        <v>3265</v>
      </c>
      <c r="F3135">
        <v>21949</v>
      </c>
      <c r="G3135">
        <v>1</v>
      </c>
      <c r="H3135" t="s">
        <v>16</v>
      </c>
      <c r="I3135" s="1">
        <v>-1890600</v>
      </c>
      <c r="J3135" s="1">
        <v>-4007600</v>
      </c>
      <c r="K3135">
        <v>80</v>
      </c>
      <c r="L3135">
        <v>656</v>
      </c>
      <c r="M3135" t="s">
        <v>16</v>
      </c>
    </row>
    <row r="3136" spans="1:13" x14ac:dyDescent="0.35">
      <c r="A3136">
        <v>320310</v>
      </c>
      <c r="B3136">
        <v>27111</v>
      </c>
      <c r="C3136" t="s">
        <v>3285</v>
      </c>
      <c r="D3136" t="s">
        <v>3239</v>
      </c>
      <c r="E3136" t="s">
        <v>3252</v>
      </c>
      <c r="F3136">
        <v>10701</v>
      </c>
      <c r="G3136">
        <v>1</v>
      </c>
      <c r="H3136" t="s">
        <v>16</v>
      </c>
      <c r="I3136" s="1">
        <v>-2078900</v>
      </c>
      <c r="J3136" s="1">
        <v>-4139500</v>
      </c>
      <c r="K3136">
        <v>110</v>
      </c>
      <c r="L3136">
        <v>162</v>
      </c>
      <c r="M3136" t="s">
        <v>16</v>
      </c>
    </row>
    <row r="3137" spans="1:13" x14ac:dyDescent="0.35">
      <c r="A3137">
        <v>320313</v>
      </c>
      <c r="B3137">
        <v>45780</v>
      </c>
      <c r="C3137" t="s">
        <v>3286</v>
      </c>
      <c r="D3137" t="s">
        <v>3239</v>
      </c>
      <c r="E3137" t="s">
        <v>3254</v>
      </c>
      <c r="F3137">
        <v>14403</v>
      </c>
      <c r="G3137">
        <v>1</v>
      </c>
      <c r="H3137" t="s">
        <v>16</v>
      </c>
      <c r="I3137" s="1">
        <v>-1975800</v>
      </c>
      <c r="J3137" s="1">
        <v>-4038600</v>
      </c>
      <c r="K3137">
        <v>56</v>
      </c>
      <c r="L3137">
        <v>272</v>
      </c>
      <c r="M3137" t="s">
        <v>16</v>
      </c>
    </row>
    <row r="3138" spans="1:13" x14ac:dyDescent="0.35">
      <c r="A3138">
        <v>320316</v>
      </c>
      <c r="B3138">
        <v>45799</v>
      </c>
      <c r="C3138" t="s">
        <v>3287</v>
      </c>
      <c r="D3138" t="s">
        <v>3239</v>
      </c>
      <c r="E3138" t="s">
        <v>3240</v>
      </c>
      <c r="F3138">
        <v>10802</v>
      </c>
      <c r="G3138">
        <v>1</v>
      </c>
      <c r="H3138" t="s">
        <v>16</v>
      </c>
      <c r="I3138" s="1">
        <v>-1989900</v>
      </c>
      <c r="J3138" s="1">
        <v>-4105700</v>
      </c>
      <c r="K3138">
        <v>180</v>
      </c>
      <c r="L3138">
        <v>456</v>
      </c>
      <c r="M3138" t="s">
        <v>16</v>
      </c>
    </row>
    <row r="3139" spans="1:13" x14ac:dyDescent="0.35">
      <c r="A3139">
        <v>320320</v>
      </c>
      <c r="B3139">
        <v>27120</v>
      </c>
      <c r="C3139" t="s">
        <v>3254</v>
      </c>
      <c r="D3139" t="s">
        <v>3239</v>
      </c>
      <c r="E3139" t="s">
        <v>3254</v>
      </c>
      <c r="F3139">
        <v>124564</v>
      </c>
      <c r="G3139">
        <v>3</v>
      </c>
      <c r="H3139" t="s">
        <v>16</v>
      </c>
      <c r="I3139" s="1">
        <v>-1939100</v>
      </c>
      <c r="J3139" s="1">
        <v>-4007200</v>
      </c>
      <c r="K3139">
        <v>33</v>
      </c>
      <c r="L3139">
        <v>3501</v>
      </c>
      <c r="M3139" t="s">
        <v>16</v>
      </c>
    </row>
    <row r="3140" spans="1:13" x14ac:dyDescent="0.35">
      <c r="A3140">
        <v>320330</v>
      </c>
      <c r="B3140">
        <v>27138</v>
      </c>
      <c r="C3140" t="s">
        <v>3288</v>
      </c>
      <c r="D3140" t="s">
        <v>3239</v>
      </c>
      <c r="E3140" t="s">
        <v>3244</v>
      </c>
      <c r="F3140">
        <v>11463</v>
      </c>
      <c r="G3140">
        <v>1</v>
      </c>
      <c r="H3140" t="s">
        <v>16</v>
      </c>
      <c r="I3140" s="1">
        <v>-1886300</v>
      </c>
      <c r="J3140" s="1">
        <v>-4112300</v>
      </c>
      <c r="K3140">
        <v>430</v>
      </c>
      <c r="L3140">
        <v>320</v>
      </c>
      <c r="M3140" t="s">
        <v>16</v>
      </c>
    </row>
    <row r="3141" spans="1:13" x14ac:dyDescent="0.35">
      <c r="A3141">
        <v>320332</v>
      </c>
      <c r="B3141">
        <v>56600</v>
      </c>
      <c r="C3141" t="s">
        <v>3289</v>
      </c>
      <c r="D3141" t="s">
        <v>3239</v>
      </c>
      <c r="E3141" t="s">
        <v>3281</v>
      </c>
      <c r="F3141">
        <v>31221</v>
      </c>
      <c r="G3141">
        <v>1</v>
      </c>
      <c r="H3141" t="s">
        <v>16</v>
      </c>
      <c r="I3141" s="1">
        <v>-2104300</v>
      </c>
      <c r="J3141" s="1">
        <v>-4082400</v>
      </c>
      <c r="K3141">
        <v>19</v>
      </c>
      <c r="L3141">
        <v>135</v>
      </c>
      <c r="M3141" t="s">
        <v>16</v>
      </c>
    </row>
    <row r="3142" spans="1:13" x14ac:dyDescent="0.35">
      <c r="A3142">
        <v>320334</v>
      </c>
      <c r="B3142">
        <v>50920</v>
      </c>
      <c r="C3142" t="s">
        <v>3290</v>
      </c>
      <c r="D3142" t="s">
        <v>3239</v>
      </c>
      <c r="E3142" t="s">
        <v>3240</v>
      </c>
      <c r="F3142">
        <v>12699</v>
      </c>
      <c r="G3142">
        <v>1</v>
      </c>
      <c r="H3142" t="s">
        <v>16</v>
      </c>
      <c r="I3142" s="1">
        <v>-2041300</v>
      </c>
      <c r="J3142" s="1">
        <v>-4068300</v>
      </c>
      <c r="K3142">
        <v>560</v>
      </c>
      <c r="L3142">
        <v>286</v>
      </c>
      <c r="M3142" t="s">
        <v>16</v>
      </c>
    </row>
    <row r="3143" spans="1:13" x14ac:dyDescent="0.35">
      <c r="A3143">
        <v>320335</v>
      </c>
      <c r="B3143">
        <v>27340</v>
      </c>
      <c r="C3143" t="s">
        <v>3291</v>
      </c>
      <c r="D3143" t="s">
        <v>3239</v>
      </c>
      <c r="E3143" t="s">
        <v>3249</v>
      </c>
      <c r="F3143">
        <v>10226</v>
      </c>
      <c r="G3143">
        <v>1</v>
      </c>
      <c r="H3143" t="s">
        <v>16</v>
      </c>
      <c r="I3143" s="1">
        <v>-1941300</v>
      </c>
      <c r="J3143" s="1">
        <v>-4054200</v>
      </c>
      <c r="K3143">
        <v>150</v>
      </c>
      <c r="L3143">
        <v>309</v>
      </c>
      <c r="M3143" t="s">
        <v>16</v>
      </c>
    </row>
    <row r="3144" spans="1:13" x14ac:dyDescent="0.35">
      <c r="A3144">
        <v>320340</v>
      </c>
      <c r="B3144">
        <v>27146</v>
      </c>
      <c r="C3144" t="s">
        <v>3292</v>
      </c>
      <c r="D3144" t="s">
        <v>3239</v>
      </c>
      <c r="E3144" t="s">
        <v>3252</v>
      </c>
      <c r="F3144">
        <v>26208</v>
      </c>
      <c r="G3144">
        <v>1</v>
      </c>
      <c r="H3144" t="s">
        <v>16</v>
      </c>
      <c r="I3144" s="1">
        <v>-2106400</v>
      </c>
      <c r="J3144" s="1">
        <v>-4136600</v>
      </c>
      <c r="K3144">
        <v>70</v>
      </c>
      <c r="L3144">
        <v>867</v>
      </c>
      <c r="M3144" t="s">
        <v>16</v>
      </c>
    </row>
    <row r="3145" spans="1:13" x14ac:dyDescent="0.35">
      <c r="A3145">
        <v>320350</v>
      </c>
      <c r="B3145">
        <v>27154</v>
      </c>
      <c r="C3145" t="s">
        <v>3293</v>
      </c>
      <c r="D3145" t="s">
        <v>3239</v>
      </c>
      <c r="E3145" t="s">
        <v>3293</v>
      </c>
      <c r="F3145">
        <v>17998</v>
      </c>
      <c r="G3145">
        <v>1</v>
      </c>
      <c r="H3145" t="s">
        <v>16</v>
      </c>
      <c r="I3145" s="1">
        <v>-1812700</v>
      </c>
      <c r="J3145" s="1">
        <v>-4036300</v>
      </c>
      <c r="K3145">
        <v>150</v>
      </c>
      <c r="L3145">
        <v>1099</v>
      </c>
      <c r="M3145" t="s">
        <v>16</v>
      </c>
    </row>
    <row r="3146" spans="1:13" x14ac:dyDescent="0.35">
      <c r="A3146">
        <v>320360</v>
      </c>
      <c r="B3146">
        <v>27162</v>
      </c>
      <c r="C3146" t="s">
        <v>3294</v>
      </c>
      <c r="D3146" t="s">
        <v>3239</v>
      </c>
      <c r="E3146" t="s">
        <v>3293</v>
      </c>
      <c r="F3146">
        <v>5755</v>
      </c>
      <c r="G3146">
        <v>1</v>
      </c>
      <c r="H3146" t="s">
        <v>16</v>
      </c>
      <c r="I3146" s="1">
        <v>-1809300</v>
      </c>
      <c r="J3146" s="1">
        <v>-4051600</v>
      </c>
      <c r="K3146">
        <v>240</v>
      </c>
      <c r="L3146">
        <v>537</v>
      </c>
      <c r="M3146" t="s">
        <v>16</v>
      </c>
    </row>
    <row r="3147" spans="1:13" x14ac:dyDescent="0.35">
      <c r="A3147">
        <v>320370</v>
      </c>
      <c r="B3147">
        <v>27170</v>
      </c>
      <c r="C3147" t="s">
        <v>3295</v>
      </c>
      <c r="D3147" t="s">
        <v>3239</v>
      </c>
      <c r="E3147" t="s">
        <v>3245</v>
      </c>
      <c r="F3147">
        <v>18196</v>
      </c>
      <c r="G3147">
        <v>1</v>
      </c>
      <c r="H3147" t="s">
        <v>16</v>
      </c>
      <c r="I3147" s="1">
        <v>-2046400</v>
      </c>
      <c r="J3147" s="1">
        <v>-4141300</v>
      </c>
      <c r="K3147">
        <v>650</v>
      </c>
      <c r="L3147">
        <v>679</v>
      </c>
      <c r="M3147" t="s">
        <v>16</v>
      </c>
    </row>
    <row r="3148" spans="1:13" x14ac:dyDescent="0.35">
      <c r="A3148">
        <v>320380</v>
      </c>
      <c r="B3148">
        <v>27189</v>
      </c>
      <c r="C3148" t="s">
        <v>3296</v>
      </c>
      <c r="D3148" t="s">
        <v>3239</v>
      </c>
      <c r="E3148" t="s">
        <v>3252</v>
      </c>
      <c r="F3148">
        <v>13841</v>
      </c>
      <c r="G3148">
        <v>1</v>
      </c>
      <c r="H3148" t="s">
        <v>16</v>
      </c>
      <c r="I3148" s="1">
        <v>-2095200</v>
      </c>
      <c r="J3148" s="1">
        <v>-4134600</v>
      </c>
      <c r="K3148">
        <v>250</v>
      </c>
      <c r="L3148">
        <v>326</v>
      </c>
      <c r="M3148" t="s">
        <v>16</v>
      </c>
    </row>
    <row r="3149" spans="1:13" x14ac:dyDescent="0.35">
      <c r="A3149">
        <v>320390</v>
      </c>
      <c r="B3149">
        <v>27197</v>
      </c>
      <c r="C3149" t="s">
        <v>3297</v>
      </c>
      <c r="D3149" t="s">
        <v>3239</v>
      </c>
      <c r="E3149" t="s">
        <v>3242</v>
      </c>
      <c r="F3149">
        <v>44380</v>
      </c>
      <c r="G3149">
        <v>1</v>
      </c>
      <c r="H3149" t="s">
        <v>16</v>
      </c>
      <c r="I3149" s="1">
        <v>-1871100</v>
      </c>
      <c r="J3149" s="1">
        <v>-4040100</v>
      </c>
      <c r="K3149">
        <v>65</v>
      </c>
      <c r="L3149">
        <v>1448</v>
      </c>
      <c r="M3149" t="s">
        <v>16</v>
      </c>
    </row>
    <row r="3150" spans="1:13" x14ac:dyDescent="0.35">
      <c r="A3150">
        <v>320400</v>
      </c>
      <c r="B3150">
        <v>27200</v>
      </c>
      <c r="C3150" t="s">
        <v>3298</v>
      </c>
      <c r="D3150" t="s">
        <v>3239</v>
      </c>
      <c r="E3150" t="s">
        <v>3249</v>
      </c>
      <c r="F3150">
        <v>18465</v>
      </c>
      <c r="G3150">
        <v>1</v>
      </c>
      <c r="H3150" t="s">
        <v>16</v>
      </c>
      <c r="I3150" s="1">
        <v>-1922500</v>
      </c>
      <c r="J3150" s="1">
        <v>-4085100</v>
      </c>
      <c r="K3150">
        <v>190</v>
      </c>
      <c r="L3150">
        <v>823</v>
      </c>
      <c r="M3150" t="s">
        <v>16</v>
      </c>
    </row>
    <row r="3151" spans="1:13" x14ac:dyDescent="0.35">
      <c r="A3151">
        <v>320405</v>
      </c>
      <c r="B3151">
        <v>27375</v>
      </c>
      <c r="C3151" t="s">
        <v>3299</v>
      </c>
      <c r="D3151" t="s">
        <v>3239</v>
      </c>
      <c r="E3151" t="s">
        <v>3265</v>
      </c>
      <c r="F3151">
        <v>23204</v>
      </c>
      <c r="G3151">
        <v>1</v>
      </c>
      <c r="H3151" t="s">
        <v>16</v>
      </c>
      <c r="I3151" s="1">
        <v>-1803000</v>
      </c>
      <c r="J3151" s="1">
        <v>-4015100</v>
      </c>
      <c r="K3151">
        <v>140</v>
      </c>
      <c r="L3151">
        <v>434</v>
      </c>
      <c r="M3151" t="s">
        <v>16</v>
      </c>
    </row>
    <row r="3152" spans="1:13" x14ac:dyDescent="0.35">
      <c r="A3152">
        <v>320410</v>
      </c>
      <c r="B3152">
        <v>27219</v>
      </c>
      <c r="C3152" t="s">
        <v>3300</v>
      </c>
      <c r="D3152" t="s">
        <v>3239</v>
      </c>
      <c r="E3152" t="s">
        <v>3293</v>
      </c>
      <c r="F3152">
        <v>22663</v>
      </c>
      <c r="G3152">
        <v>1</v>
      </c>
      <c r="H3152" t="s">
        <v>16</v>
      </c>
      <c r="I3152" s="1">
        <v>-1841200</v>
      </c>
      <c r="J3152" s="1">
        <v>-4021500</v>
      </c>
      <c r="K3152">
        <v>710</v>
      </c>
      <c r="L3152">
        <v>975</v>
      </c>
      <c r="M3152" t="s">
        <v>16</v>
      </c>
    </row>
    <row r="3153" spans="1:13" x14ac:dyDescent="0.35">
      <c r="A3153">
        <v>320420</v>
      </c>
      <c r="B3153">
        <v>27227</v>
      </c>
      <c r="C3153" t="s">
        <v>3301</v>
      </c>
      <c r="D3153" t="s">
        <v>3239</v>
      </c>
      <c r="E3153" t="s">
        <v>3247</v>
      </c>
      <c r="F3153">
        <v>16249</v>
      </c>
      <c r="G3153">
        <v>1</v>
      </c>
      <c r="H3153" t="s">
        <v>16</v>
      </c>
      <c r="I3153" s="1">
        <v>-2083500</v>
      </c>
      <c r="J3153" s="1">
        <v>-4072900</v>
      </c>
      <c r="K3153">
        <v>2</v>
      </c>
      <c r="L3153">
        <v>73</v>
      </c>
      <c r="M3153" t="s">
        <v>16</v>
      </c>
    </row>
    <row r="3154" spans="1:13" x14ac:dyDescent="0.35">
      <c r="A3154">
        <v>320425</v>
      </c>
      <c r="B3154">
        <v>56820</v>
      </c>
      <c r="C3154" t="s">
        <v>3302</v>
      </c>
      <c r="D3154" t="s">
        <v>3239</v>
      </c>
      <c r="E3154" t="s">
        <v>3293</v>
      </c>
      <c r="F3154">
        <v>6831</v>
      </c>
      <c r="G3154">
        <v>1</v>
      </c>
      <c r="H3154" t="s">
        <v>16</v>
      </c>
      <c r="I3154" s="1">
        <v>-1812400</v>
      </c>
      <c r="J3154" s="1">
        <v>-4054100</v>
      </c>
      <c r="K3154">
        <v>290</v>
      </c>
      <c r="L3154">
        <v>356</v>
      </c>
      <c r="M3154" t="s">
        <v>16</v>
      </c>
    </row>
    <row r="3155" spans="1:13" x14ac:dyDescent="0.35">
      <c r="A3155">
        <v>320430</v>
      </c>
      <c r="B3155">
        <v>27235</v>
      </c>
      <c r="C3155" t="s">
        <v>510</v>
      </c>
      <c r="D3155" t="s">
        <v>3239</v>
      </c>
      <c r="E3155" t="s">
        <v>3281</v>
      </c>
      <c r="F3155">
        <v>10307</v>
      </c>
      <c r="G3155">
        <v>1</v>
      </c>
      <c r="H3155" t="s">
        <v>16</v>
      </c>
      <c r="I3155" s="1">
        <v>-2109900</v>
      </c>
      <c r="J3155" s="1">
        <v>-4104700</v>
      </c>
      <c r="K3155">
        <v>55</v>
      </c>
      <c r="L3155">
        <v>586</v>
      </c>
      <c r="M3155" t="s">
        <v>16</v>
      </c>
    </row>
    <row r="3156" spans="1:13" x14ac:dyDescent="0.35">
      <c r="A3156">
        <v>320435</v>
      </c>
      <c r="B3156">
        <v>27332</v>
      </c>
      <c r="C3156" t="s">
        <v>3303</v>
      </c>
      <c r="D3156" t="s">
        <v>3239</v>
      </c>
      <c r="E3156" t="s">
        <v>3254</v>
      </c>
      <c r="F3156">
        <v>16587</v>
      </c>
      <c r="G3156">
        <v>1</v>
      </c>
      <c r="H3156" t="s">
        <v>16</v>
      </c>
      <c r="I3156" s="1">
        <v>-1926500</v>
      </c>
      <c r="J3156" s="1">
        <v>-4033300</v>
      </c>
      <c r="K3156">
        <v>95</v>
      </c>
      <c r="L3156">
        <v>645</v>
      </c>
      <c r="M3156" t="s">
        <v>16</v>
      </c>
    </row>
    <row r="3157" spans="1:13" x14ac:dyDescent="0.35">
      <c r="A3157">
        <v>320440</v>
      </c>
      <c r="B3157">
        <v>27243</v>
      </c>
      <c r="C3157" t="s">
        <v>3304</v>
      </c>
      <c r="D3157" t="s">
        <v>3239</v>
      </c>
      <c r="E3157" t="s">
        <v>3247</v>
      </c>
      <c r="F3157">
        <v>11111</v>
      </c>
      <c r="G3157">
        <v>1</v>
      </c>
      <c r="H3157" t="s">
        <v>16</v>
      </c>
      <c r="I3157" s="1">
        <v>-2086300</v>
      </c>
      <c r="J3157" s="1">
        <v>-4093600</v>
      </c>
      <c r="K3157">
        <v>70</v>
      </c>
      <c r="L3157">
        <v>203</v>
      </c>
      <c r="M3157" t="s">
        <v>16</v>
      </c>
    </row>
    <row r="3158" spans="1:13" x14ac:dyDescent="0.35">
      <c r="A3158">
        <v>320450</v>
      </c>
      <c r="B3158">
        <v>27251</v>
      </c>
      <c r="C3158" t="s">
        <v>3305</v>
      </c>
      <c r="D3158" t="s">
        <v>3239</v>
      </c>
      <c r="E3158" t="s">
        <v>3280</v>
      </c>
      <c r="F3158">
        <v>12349</v>
      </c>
      <c r="G3158">
        <v>1</v>
      </c>
      <c r="H3158" t="s">
        <v>16</v>
      </c>
      <c r="I3158" s="1">
        <v>-2010100</v>
      </c>
      <c r="J3158" s="1">
        <v>-4053000</v>
      </c>
      <c r="K3158">
        <v>16</v>
      </c>
      <c r="L3158">
        <v>716</v>
      </c>
      <c r="M3158" t="s">
        <v>16</v>
      </c>
    </row>
    <row r="3159" spans="1:13" x14ac:dyDescent="0.35">
      <c r="A3159">
        <v>320455</v>
      </c>
      <c r="B3159">
        <v>45802</v>
      </c>
      <c r="C3159" t="s">
        <v>3306</v>
      </c>
      <c r="D3159" t="s">
        <v>3239</v>
      </c>
      <c r="E3159" t="s">
        <v>3280</v>
      </c>
      <c r="F3159">
        <v>31845</v>
      </c>
      <c r="G3159">
        <v>1</v>
      </c>
      <c r="H3159" t="s">
        <v>16</v>
      </c>
      <c r="I3159" s="1">
        <v>-2004100</v>
      </c>
      <c r="J3159" s="1">
        <v>-4074600</v>
      </c>
      <c r="K3159">
        <v>700</v>
      </c>
      <c r="L3159">
        <v>735</v>
      </c>
      <c r="M3159" t="s">
        <v>16</v>
      </c>
    </row>
    <row r="3160" spans="1:13" x14ac:dyDescent="0.35">
      <c r="A3160">
        <v>320460</v>
      </c>
      <c r="B3160">
        <v>27260</v>
      </c>
      <c r="C3160" t="s">
        <v>3280</v>
      </c>
      <c r="D3160" t="s">
        <v>3239</v>
      </c>
      <c r="E3160" t="s">
        <v>3280</v>
      </c>
      <c r="F3160">
        <v>20179</v>
      </c>
      <c r="G3160">
        <v>1</v>
      </c>
      <c r="H3160" t="s">
        <v>16</v>
      </c>
      <c r="I3160" s="1">
        <v>-1993600</v>
      </c>
      <c r="J3160" s="1">
        <v>-4060000</v>
      </c>
      <c r="K3160">
        <v>655</v>
      </c>
      <c r="L3160">
        <v>694</v>
      </c>
      <c r="M3160" t="s">
        <v>16</v>
      </c>
    </row>
    <row r="3161" spans="1:13" x14ac:dyDescent="0.35">
      <c r="A3161">
        <v>320465</v>
      </c>
      <c r="B3161">
        <v>50938</v>
      </c>
      <c r="C3161" t="s">
        <v>3307</v>
      </c>
      <c r="D3161" t="s">
        <v>3239</v>
      </c>
      <c r="E3161" t="s">
        <v>3249</v>
      </c>
      <c r="F3161">
        <v>7840</v>
      </c>
      <c r="G3161">
        <v>1</v>
      </c>
      <c r="H3161" t="s">
        <v>16</v>
      </c>
      <c r="I3161" s="1">
        <v>-1914400</v>
      </c>
      <c r="J3161" s="1">
        <v>-4062400</v>
      </c>
      <c r="K3161">
        <v>180</v>
      </c>
      <c r="L3161">
        <v>299</v>
      </c>
      <c r="M3161" t="s">
        <v>16</v>
      </c>
    </row>
    <row r="3162" spans="1:13" x14ac:dyDescent="0.35">
      <c r="A3162">
        <v>320470</v>
      </c>
      <c r="B3162">
        <v>27278</v>
      </c>
      <c r="C3162" t="s">
        <v>3308</v>
      </c>
      <c r="D3162" t="s">
        <v>3239</v>
      </c>
      <c r="E3162" t="s">
        <v>3242</v>
      </c>
      <c r="F3162">
        <v>28878</v>
      </c>
      <c r="G3162">
        <v>1</v>
      </c>
      <c r="H3162" t="s">
        <v>16</v>
      </c>
      <c r="I3162" s="1">
        <v>-1901700</v>
      </c>
      <c r="J3162" s="1">
        <v>-4053600</v>
      </c>
      <c r="K3162">
        <v>140</v>
      </c>
      <c r="L3162">
        <v>432</v>
      </c>
      <c r="M3162" t="s">
        <v>16</v>
      </c>
    </row>
    <row r="3163" spans="1:13" x14ac:dyDescent="0.35">
      <c r="A3163">
        <v>320480</v>
      </c>
      <c r="B3163">
        <v>27286</v>
      </c>
      <c r="C3163" t="s">
        <v>3309</v>
      </c>
      <c r="D3163" t="s">
        <v>3239</v>
      </c>
      <c r="E3163" t="s">
        <v>3252</v>
      </c>
      <c r="F3163">
        <v>10570</v>
      </c>
      <c r="G3163">
        <v>1</v>
      </c>
      <c r="H3163" t="s">
        <v>16</v>
      </c>
      <c r="I3163" s="1">
        <v>-2102500</v>
      </c>
      <c r="J3163" s="1">
        <v>-4165400</v>
      </c>
      <c r="K3163">
        <v>320</v>
      </c>
      <c r="L3163">
        <v>272</v>
      </c>
      <c r="M3163" t="s">
        <v>16</v>
      </c>
    </row>
    <row r="3164" spans="1:13" x14ac:dyDescent="0.35">
      <c r="A3164">
        <v>320490</v>
      </c>
      <c r="B3164">
        <v>27294</v>
      </c>
      <c r="C3164" t="s">
        <v>3310</v>
      </c>
      <c r="D3164" t="s">
        <v>3239</v>
      </c>
      <c r="E3164" t="s">
        <v>3265</v>
      </c>
      <c r="F3164">
        <v>96390</v>
      </c>
      <c r="G3164">
        <v>2</v>
      </c>
      <c r="H3164" t="s">
        <v>16</v>
      </c>
      <c r="I3164" s="1">
        <v>-1871600</v>
      </c>
      <c r="J3164" s="1">
        <v>-3985900</v>
      </c>
      <c r="K3164">
        <v>36</v>
      </c>
      <c r="L3164">
        <v>2343</v>
      </c>
      <c r="M3164" t="s">
        <v>16</v>
      </c>
    </row>
    <row r="3165" spans="1:13" x14ac:dyDescent="0.35">
      <c r="A3165">
        <v>320495</v>
      </c>
      <c r="B3165">
        <v>56847</v>
      </c>
      <c r="C3165" t="s">
        <v>3311</v>
      </c>
      <c r="D3165" t="s">
        <v>3239</v>
      </c>
      <c r="E3165" t="s">
        <v>3280</v>
      </c>
      <c r="F3165">
        <v>10439</v>
      </c>
      <c r="G3165">
        <v>1</v>
      </c>
      <c r="H3165" t="s">
        <v>16</v>
      </c>
      <c r="I3165" s="1">
        <v>-1973900</v>
      </c>
      <c r="J3165" s="1">
        <v>-4065700</v>
      </c>
      <c r="K3165">
        <v>120</v>
      </c>
      <c r="L3165">
        <v>342</v>
      </c>
      <c r="M3165" t="s">
        <v>16</v>
      </c>
    </row>
    <row r="3166" spans="1:13" x14ac:dyDescent="0.35">
      <c r="A3166">
        <v>320500</v>
      </c>
      <c r="B3166">
        <v>27308</v>
      </c>
      <c r="C3166" t="s">
        <v>3312</v>
      </c>
      <c r="D3166" t="s">
        <v>3239</v>
      </c>
      <c r="E3166" t="s">
        <v>3261</v>
      </c>
      <c r="F3166">
        <v>385370</v>
      </c>
      <c r="G3166">
        <v>4</v>
      </c>
      <c r="H3166" t="s">
        <v>3262</v>
      </c>
      <c r="I3166" s="1">
        <v>-2012900</v>
      </c>
      <c r="J3166" s="1">
        <v>-4030800</v>
      </c>
      <c r="K3166">
        <v>70</v>
      </c>
      <c r="L3166">
        <v>553</v>
      </c>
      <c r="M3166" t="s">
        <v>16</v>
      </c>
    </row>
    <row r="3167" spans="1:13" x14ac:dyDescent="0.35">
      <c r="A3167">
        <v>320501</v>
      </c>
      <c r="B3167">
        <v>56812</v>
      </c>
      <c r="C3167" t="s">
        <v>3313</v>
      </c>
      <c r="D3167" t="s">
        <v>3239</v>
      </c>
      <c r="E3167" t="s">
        <v>3254</v>
      </c>
      <c r="F3167">
        <v>21867</v>
      </c>
      <c r="G3167">
        <v>1</v>
      </c>
      <c r="H3167" t="s">
        <v>16</v>
      </c>
      <c r="I3167" s="1">
        <v>-1919700</v>
      </c>
      <c r="J3167" s="1">
        <v>-4009800</v>
      </c>
      <c r="K3167">
        <v>59</v>
      </c>
      <c r="L3167">
        <v>593</v>
      </c>
      <c r="M3167" t="s">
        <v>16</v>
      </c>
    </row>
    <row r="3168" spans="1:13" x14ac:dyDescent="0.35">
      <c r="A3168">
        <v>320503</v>
      </c>
      <c r="B3168">
        <v>45810</v>
      </c>
      <c r="C3168" t="s">
        <v>3314</v>
      </c>
      <c r="D3168" t="s">
        <v>3239</v>
      </c>
      <c r="E3168" t="s">
        <v>3252</v>
      </c>
      <c r="F3168">
        <v>17862</v>
      </c>
      <c r="G3168">
        <v>1</v>
      </c>
      <c r="H3168" t="s">
        <v>16</v>
      </c>
      <c r="I3168" s="1">
        <v>-2067100</v>
      </c>
      <c r="J3168" s="1">
        <v>-4100700</v>
      </c>
      <c r="K3168">
        <v>650</v>
      </c>
      <c r="L3168">
        <v>414</v>
      </c>
      <c r="M3168" t="s">
        <v>16</v>
      </c>
    </row>
    <row r="3169" spans="1:13" x14ac:dyDescent="0.35">
      <c r="A3169">
        <v>320506</v>
      </c>
      <c r="B3169">
        <v>45829</v>
      </c>
      <c r="C3169" t="s">
        <v>3315</v>
      </c>
      <c r="D3169" t="s">
        <v>3239</v>
      </c>
      <c r="E3169" t="s">
        <v>3240</v>
      </c>
      <c r="F3169">
        <v>18610</v>
      </c>
      <c r="G3169">
        <v>1</v>
      </c>
      <c r="H3169" t="s">
        <v>16</v>
      </c>
      <c r="I3169" s="1">
        <v>-2034000</v>
      </c>
      <c r="J3169" s="1">
        <v>-4113500</v>
      </c>
      <c r="K3169">
        <v>630</v>
      </c>
      <c r="L3169">
        <v>187</v>
      </c>
      <c r="M3169" t="s">
        <v>16</v>
      </c>
    </row>
    <row r="3170" spans="1:13" x14ac:dyDescent="0.35">
      <c r="A3170">
        <v>320510</v>
      </c>
      <c r="B3170">
        <v>27316</v>
      </c>
      <c r="C3170" t="s">
        <v>770</v>
      </c>
      <c r="D3170" t="s">
        <v>3239</v>
      </c>
      <c r="E3170" t="s">
        <v>3261</v>
      </c>
      <c r="F3170">
        <v>57539</v>
      </c>
      <c r="G3170">
        <v>4</v>
      </c>
      <c r="H3170" t="s">
        <v>3262</v>
      </c>
      <c r="I3170" s="1">
        <v>-2039000</v>
      </c>
      <c r="J3170" s="1">
        <v>-4049600</v>
      </c>
      <c r="K3170">
        <v>34</v>
      </c>
      <c r="L3170">
        <v>311</v>
      </c>
      <c r="M3170" t="s">
        <v>16</v>
      </c>
    </row>
    <row r="3171" spans="1:13" x14ac:dyDescent="0.35">
      <c r="A3171">
        <v>320515</v>
      </c>
      <c r="B3171">
        <v>50946</v>
      </c>
      <c r="C3171" t="s">
        <v>3316</v>
      </c>
      <c r="D3171" t="s">
        <v>3239</v>
      </c>
      <c r="E3171" t="s">
        <v>3242</v>
      </c>
      <c r="F3171">
        <v>8705</v>
      </c>
      <c r="G3171">
        <v>1</v>
      </c>
      <c r="H3171" t="s">
        <v>16</v>
      </c>
      <c r="I3171" s="1">
        <v>-1861500</v>
      </c>
      <c r="J3171" s="1">
        <v>-4061100</v>
      </c>
      <c r="K3171">
        <v>195</v>
      </c>
      <c r="L3171">
        <v>432</v>
      </c>
      <c r="M3171" t="s">
        <v>16</v>
      </c>
    </row>
    <row r="3172" spans="1:13" x14ac:dyDescent="0.35">
      <c r="A3172">
        <v>320517</v>
      </c>
      <c r="B3172">
        <v>56839</v>
      </c>
      <c r="C3172" t="s">
        <v>3317</v>
      </c>
      <c r="D3172" t="s">
        <v>3239</v>
      </c>
      <c r="E3172" t="s">
        <v>3242</v>
      </c>
      <c r="F3172">
        <v>13646</v>
      </c>
      <c r="G3172">
        <v>1</v>
      </c>
      <c r="H3172" t="s">
        <v>16</v>
      </c>
      <c r="I3172" s="1">
        <v>-1899800</v>
      </c>
      <c r="J3172" s="1">
        <v>-4038900</v>
      </c>
      <c r="K3172">
        <v>140</v>
      </c>
      <c r="L3172">
        <v>464</v>
      </c>
      <c r="M3172" t="s">
        <v>16</v>
      </c>
    </row>
    <row r="3173" spans="1:13" x14ac:dyDescent="0.35">
      <c r="A3173">
        <v>320520</v>
      </c>
      <c r="B3173">
        <v>27324</v>
      </c>
      <c r="C3173" t="s">
        <v>3318</v>
      </c>
      <c r="D3173" t="s">
        <v>3239</v>
      </c>
      <c r="E3173" t="s">
        <v>3261</v>
      </c>
      <c r="F3173">
        <v>398068</v>
      </c>
      <c r="G3173">
        <v>4</v>
      </c>
      <c r="H3173" t="s">
        <v>3262</v>
      </c>
      <c r="I3173" s="1">
        <v>-2033000</v>
      </c>
      <c r="J3173" s="1">
        <v>-4029200</v>
      </c>
      <c r="K3173">
        <v>5</v>
      </c>
      <c r="L3173">
        <v>208</v>
      </c>
      <c r="M3173" t="s">
        <v>16</v>
      </c>
    </row>
    <row r="3174" spans="1:13" x14ac:dyDescent="0.35">
      <c r="A3174">
        <v>320530</v>
      </c>
      <c r="B3174">
        <v>26808</v>
      </c>
      <c r="C3174" t="s">
        <v>3319</v>
      </c>
      <c r="D3174" t="s">
        <v>3239</v>
      </c>
      <c r="E3174" t="s">
        <v>3261</v>
      </c>
      <c r="F3174">
        <v>314042</v>
      </c>
      <c r="G3174">
        <v>5</v>
      </c>
      <c r="H3174" t="s">
        <v>3262</v>
      </c>
      <c r="I3174" s="1">
        <v>-2031900</v>
      </c>
      <c r="J3174" s="1">
        <v>-4033800</v>
      </c>
      <c r="K3174">
        <v>3</v>
      </c>
      <c r="L3174">
        <v>93</v>
      </c>
      <c r="M3174" t="s">
        <v>16</v>
      </c>
    </row>
    <row r="3175" spans="1:13" x14ac:dyDescent="0.35">
      <c r="A3175">
        <v>330010</v>
      </c>
      <c r="B3175">
        <v>27413</v>
      </c>
      <c r="C3175" t="s">
        <v>3320</v>
      </c>
      <c r="D3175" t="s">
        <v>3321</v>
      </c>
      <c r="E3175" t="s">
        <v>3322</v>
      </c>
      <c r="F3175">
        <v>148476</v>
      </c>
      <c r="G3175">
        <v>3</v>
      </c>
      <c r="H3175" t="s">
        <v>16</v>
      </c>
      <c r="I3175" s="1">
        <v>-2300700</v>
      </c>
      <c r="J3175" s="1">
        <v>-4431800</v>
      </c>
      <c r="K3175">
        <v>6</v>
      </c>
      <c r="L3175">
        <v>800</v>
      </c>
      <c r="M3175" t="s">
        <v>16</v>
      </c>
    </row>
    <row r="3176" spans="1:13" x14ac:dyDescent="0.35">
      <c r="A3176">
        <v>330015</v>
      </c>
      <c r="B3176">
        <v>50954</v>
      </c>
      <c r="C3176" t="s">
        <v>3323</v>
      </c>
      <c r="D3176" t="s">
        <v>3321</v>
      </c>
      <c r="E3176" t="s">
        <v>3324</v>
      </c>
      <c r="F3176">
        <v>8820</v>
      </c>
      <c r="G3176">
        <v>1</v>
      </c>
      <c r="H3176" t="s">
        <v>16</v>
      </c>
      <c r="I3176" s="1">
        <v>-2162100</v>
      </c>
      <c r="J3176" s="1">
        <v>-4210300</v>
      </c>
      <c r="K3176">
        <v>71</v>
      </c>
      <c r="L3176">
        <v>88</v>
      </c>
      <c r="M3176" t="s">
        <v>16</v>
      </c>
    </row>
    <row r="3177" spans="1:13" x14ac:dyDescent="0.35">
      <c r="A3177">
        <v>330020</v>
      </c>
      <c r="B3177">
        <v>27421</v>
      </c>
      <c r="C3177" t="s">
        <v>3325</v>
      </c>
      <c r="D3177" t="s">
        <v>3321</v>
      </c>
      <c r="E3177" t="s">
        <v>3326</v>
      </c>
      <c r="F3177">
        <v>98268</v>
      </c>
      <c r="G3177">
        <v>2</v>
      </c>
      <c r="H3177" t="s">
        <v>16</v>
      </c>
      <c r="I3177" s="1">
        <v>-2287300</v>
      </c>
      <c r="J3177" s="1">
        <v>-4234300</v>
      </c>
      <c r="K3177">
        <v>15</v>
      </c>
      <c r="L3177">
        <v>633</v>
      </c>
      <c r="M3177" t="s">
        <v>16</v>
      </c>
    </row>
    <row r="3178" spans="1:13" x14ac:dyDescent="0.35">
      <c r="A3178">
        <v>330022</v>
      </c>
      <c r="B3178">
        <v>50962</v>
      </c>
      <c r="C3178" t="s">
        <v>3327</v>
      </c>
      <c r="D3178" t="s">
        <v>3321</v>
      </c>
      <c r="E3178" t="s">
        <v>3328</v>
      </c>
      <c r="F3178">
        <v>11009</v>
      </c>
      <c r="G3178">
        <v>1</v>
      </c>
      <c r="H3178" t="s">
        <v>16</v>
      </c>
      <c r="I3178" s="1">
        <v>-2223100</v>
      </c>
      <c r="J3178" s="1">
        <v>-4310600</v>
      </c>
      <c r="K3178">
        <v>444</v>
      </c>
      <c r="L3178">
        <v>111</v>
      </c>
      <c r="M3178" t="s">
        <v>16</v>
      </c>
    </row>
    <row r="3179" spans="1:13" x14ac:dyDescent="0.35">
      <c r="A3179">
        <v>330023</v>
      </c>
      <c r="B3179">
        <v>56626</v>
      </c>
      <c r="C3179" t="s">
        <v>3329</v>
      </c>
      <c r="D3179" t="s">
        <v>3321</v>
      </c>
      <c r="E3179" t="s">
        <v>3326</v>
      </c>
      <c r="F3179">
        <v>24560</v>
      </c>
      <c r="G3179">
        <v>1</v>
      </c>
      <c r="H3179" t="s">
        <v>16</v>
      </c>
      <c r="I3179" s="1">
        <v>-2274700</v>
      </c>
      <c r="J3179" s="1">
        <v>-4188200</v>
      </c>
      <c r="K3179">
        <v>3</v>
      </c>
      <c r="L3179">
        <v>69</v>
      </c>
      <c r="M3179" t="s">
        <v>16</v>
      </c>
    </row>
    <row r="3180" spans="1:13" x14ac:dyDescent="0.35">
      <c r="A3180">
        <v>330025</v>
      </c>
      <c r="B3180">
        <v>28118</v>
      </c>
      <c r="C3180" t="s">
        <v>3330</v>
      </c>
      <c r="D3180" t="s">
        <v>3321</v>
      </c>
      <c r="E3180" t="s">
        <v>3326</v>
      </c>
      <c r="F3180">
        <v>25248</v>
      </c>
      <c r="G3180">
        <v>1</v>
      </c>
      <c r="H3180" t="s">
        <v>16</v>
      </c>
      <c r="I3180" s="1">
        <v>-2296600</v>
      </c>
      <c r="J3180" s="1">
        <v>-4202800</v>
      </c>
      <c r="K3180">
        <v>8</v>
      </c>
      <c r="L3180">
        <v>152</v>
      </c>
      <c r="M3180" t="s">
        <v>16</v>
      </c>
    </row>
    <row r="3181" spans="1:13" x14ac:dyDescent="0.35">
      <c r="A3181">
        <v>330030</v>
      </c>
      <c r="B3181">
        <v>27430</v>
      </c>
      <c r="C3181" t="s">
        <v>3331</v>
      </c>
      <c r="D3181" t="s">
        <v>3321</v>
      </c>
      <c r="E3181" t="s">
        <v>3332</v>
      </c>
      <c r="F3181">
        <v>96282</v>
      </c>
      <c r="G3181">
        <v>2</v>
      </c>
      <c r="H3181" t="s">
        <v>16</v>
      </c>
      <c r="I3181" s="1">
        <v>-2247000</v>
      </c>
      <c r="J3181" s="1">
        <v>-4382600</v>
      </c>
      <c r="K3181">
        <v>363</v>
      </c>
      <c r="L3181">
        <v>578</v>
      </c>
      <c r="M3181" t="s">
        <v>16</v>
      </c>
    </row>
    <row r="3182" spans="1:13" x14ac:dyDescent="0.35">
      <c r="A3182">
        <v>330040</v>
      </c>
      <c r="B3182">
        <v>27448</v>
      </c>
      <c r="C3182" t="s">
        <v>3333</v>
      </c>
      <c r="D3182" t="s">
        <v>3321</v>
      </c>
      <c r="E3182" t="s">
        <v>3334</v>
      </c>
      <c r="F3182">
        <v>175315</v>
      </c>
      <c r="G3182">
        <v>3</v>
      </c>
      <c r="H3182" t="s">
        <v>16</v>
      </c>
      <c r="I3182" s="1">
        <v>-2254400</v>
      </c>
      <c r="J3182" s="1">
        <v>-4417100</v>
      </c>
      <c r="K3182">
        <v>381</v>
      </c>
      <c r="L3182">
        <v>547</v>
      </c>
      <c r="M3182" t="s">
        <v>16</v>
      </c>
    </row>
    <row r="3183" spans="1:13" x14ac:dyDescent="0.35">
      <c r="A3183">
        <v>330045</v>
      </c>
      <c r="B3183">
        <v>50970</v>
      </c>
      <c r="C3183" t="s">
        <v>3335</v>
      </c>
      <c r="D3183" t="s">
        <v>3321</v>
      </c>
      <c r="E3183" t="s">
        <v>3336</v>
      </c>
      <c r="F3183">
        <v>480555</v>
      </c>
      <c r="G3183">
        <v>4</v>
      </c>
      <c r="H3183" t="s">
        <v>3337</v>
      </c>
      <c r="I3183" s="1">
        <v>-2276400</v>
      </c>
      <c r="J3183" s="1">
        <v>-4339900</v>
      </c>
      <c r="K3183">
        <v>18</v>
      </c>
      <c r="L3183">
        <v>79</v>
      </c>
      <c r="M3183" t="s">
        <v>16</v>
      </c>
    </row>
    <row r="3184" spans="1:13" x14ac:dyDescent="0.35">
      <c r="A3184">
        <v>330050</v>
      </c>
      <c r="B3184">
        <v>27456</v>
      </c>
      <c r="C3184" t="s">
        <v>592</v>
      </c>
      <c r="D3184" t="s">
        <v>3321</v>
      </c>
      <c r="E3184" t="s">
        <v>3338</v>
      </c>
      <c r="F3184">
        <v>24626</v>
      </c>
      <c r="G3184">
        <v>1</v>
      </c>
      <c r="H3184" t="s">
        <v>16</v>
      </c>
      <c r="I3184" s="1">
        <v>-2215200</v>
      </c>
      <c r="J3184" s="1">
        <v>-4241900</v>
      </c>
      <c r="K3184">
        <v>560</v>
      </c>
      <c r="L3184">
        <v>384</v>
      </c>
      <c r="M3184" t="s">
        <v>16</v>
      </c>
    </row>
    <row r="3185" spans="1:13" x14ac:dyDescent="0.35">
      <c r="A3185">
        <v>330060</v>
      </c>
      <c r="B3185">
        <v>27464</v>
      </c>
      <c r="C3185" t="s">
        <v>3339</v>
      </c>
      <c r="D3185" t="s">
        <v>3321</v>
      </c>
      <c r="E3185" t="s">
        <v>3340</v>
      </c>
      <c r="F3185">
        <v>33888</v>
      </c>
      <c r="G3185">
        <v>1</v>
      </c>
      <c r="H3185" t="s">
        <v>16</v>
      </c>
      <c r="I3185" s="1">
        <v>-2113400</v>
      </c>
      <c r="J3185" s="1">
        <v>-4168000</v>
      </c>
      <c r="K3185">
        <v>88</v>
      </c>
      <c r="L3185">
        <v>598</v>
      </c>
      <c r="M3185" t="s">
        <v>16</v>
      </c>
    </row>
    <row r="3186" spans="1:13" x14ac:dyDescent="0.35">
      <c r="A3186">
        <v>330070</v>
      </c>
      <c r="B3186">
        <v>27472</v>
      </c>
      <c r="C3186" t="s">
        <v>3341</v>
      </c>
      <c r="D3186" t="s">
        <v>3321</v>
      </c>
      <c r="E3186" t="s">
        <v>3326</v>
      </c>
      <c r="F3186">
        <v>162229</v>
      </c>
      <c r="G3186">
        <v>3</v>
      </c>
      <c r="H3186" t="s">
        <v>16</v>
      </c>
      <c r="I3186" s="1">
        <v>-2287900</v>
      </c>
      <c r="J3186" s="1">
        <v>-4201900</v>
      </c>
      <c r="K3186">
        <v>4</v>
      </c>
      <c r="L3186">
        <v>400</v>
      </c>
      <c r="M3186" t="s">
        <v>16</v>
      </c>
    </row>
    <row r="3187" spans="1:13" x14ac:dyDescent="0.35">
      <c r="A3187">
        <v>330080</v>
      </c>
      <c r="B3187">
        <v>27480</v>
      </c>
      <c r="C3187" t="s">
        <v>3342</v>
      </c>
      <c r="D3187" t="s">
        <v>3321</v>
      </c>
      <c r="E3187" t="s">
        <v>3343</v>
      </c>
      <c r="F3187">
        <v>53037</v>
      </c>
      <c r="G3187">
        <v>2</v>
      </c>
      <c r="H3187" t="s">
        <v>16</v>
      </c>
      <c r="I3187" s="1">
        <v>-2246300</v>
      </c>
      <c r="J3187" s="1">
        <v>-4265300</v>
      </c>
      <c r="K3187">
        <v>57</v>
      </c>
      <c r="L3187">
        <v>955</v>
      </c>
      <c r="M3187" t="s">
        <v>16</v>
      </c>
    </row>
    <row r="3188" spans="1:13" x14ac:dyDescent="0.35">
      <c r="A3188">
        <v>330090</v>
      </c>
      <c r="B3188">
        <v>27499</v>
      </c>
      <c r="C3188" t="s">
        <v>3344</v>
      </c>
      <c r="D3188" t="s">
        <v>3321</v>
      </c>
      <c r="E3188" t="s">
        <v>3324</v>
      </c>
      <c r="F3188">
        <v>14368</v>
      </c>
      <c r="G3188">
        <v>1</v>
      </c>
      <c r="H3188" t="s">
        <v>16</v>
      </c>
      <c r="I3188" s="1">
        <v>-2157500</v>
      </c>
      <c r="J3188" s="1">
        <v>-4191100</v>
      </c>
      <c r="K3188">
        <v>35</v>
      </c>
      <c r="L3188">
        <v>561</v>
      </c>
      <c r="M3188" t="s">
        <v>16</v>
      </c>
    </row>
    <row r="3189" spans="1:13" x14ac:dyDescent="0.35">
      <c r="A3189">
        <v>330093</v>
      </c>
      <c r="B3189">
        <v>53848</v>
      </c>
      <c r="C3189" t="s">
        <v>3345</v>
      </c>
      <c r="D3189" t="s">
        <v>3321</v>
      </c>
      <c r="E3189" t="s">
        <v>3346</v>
      </c>
      <c r="F3189">
        <v>10677</v>
      </c>
      <c r="G3189">
        <v>1</v>
      </c>
      <c r="H3189" t="s">
        <v>16</v>
      </c>
      <c r="I3189" s="1">
        <v>-2218700</v>
      </c>
      <c r="J3189" s="1">
        <v>-4166100</v>
      </c>
      <c r="K3189">
        <v>15</v>
      </c>
      <c r="L3189">
        <v>305</v>
      </c>
      <c r="M3189" t="s">
        <v>16</v>
      </c>
    </row>
    <row r="3190" spans="1:13" x14ac:dyDescent="0.35">
      <c r="A3190">
        <v>330095</v>
      </c>
      <c r="B3190">
        <v>50989</v>
      </c>
      <c r="C3190" t="s">
        <v>3347</v>
      </c>
      <c r="D3190" t="s">
        <v>3321</v>
      </c>
      <c r="E3190" t="s">
        <v>3328</v>
      </c>
      <c r="F3190">
        <v>8322</v>
      </c>
      <c r="G3190">
        <v>1</v>
      </c>
      <c r="H3190" t="s">
        <v>16</v>
      </c>
      <c r="I3190" s="1">
        <v>-2202900</v>
      </c>
      <c r="J3190" s="1">
        <v>-4320500</v>
      </c>
      <c r="K3190">
        <v>315</v>
      </c>
      <c r="L3190">
        <v>107</v>
      </c>
      <c r="M3190" t="s">
        <v>16</v>
      </c>
    </row>
    <row r="3191" spans="1:13" x14ac:dyDescent="0.35">
      <c r="A3191">
        <v>330100</v>
      </c>
      <c r="B3191">
        <v>27502</v>
      </c>
      <c r="C3191" t="s">
        <v>3348</v>
      </c>
      <c r="D3191" t="s">
        <v>3321</v>
      </c>
      <c r="E3191" t="s">
        <v>3348</v>
      </c>
      <c r="F3191">
        <v>426154</v>
      </c>
      <c r="G3191">
        <v>3</v>
      </c>
      <c r="H3191" t="s">
        <v>16</v>
      </c>
      <c r="I3191" s="1">
        <v>-2175400</v>
      </c>
      <c r="J3191" s="1">
        <v>-4132400</v>
      </c>
      <c r="K3191">
        <v>13</v>
      </c>
      <c r="L3191">
        <v>4031</v>
      </c>
      <c r="M3191" t="s">
        <v>16</v>
      </c>
    </row>
    <row r="3192" spans="1:13" x14ac:dyDescent="0.35">
      <c r="A3192">
        <v>330110</v>
      </c>
      <c r="B3192">
        <v>27510</v>
      </c>
      <c r="C3192" t="s">
        <v>2553</v>
      </c>
      <c r="D3192" t="s">
        <v>3321</v>
      </c>
      <c r="E3192" t="s">
        <v>3349</v>
      </c>
      <c r="F3192">
        <v>19799</v>
      </c>
      <c r="G3192">
        <v>1</v>
      </c>
      <c r="H3192" t="s">
        <v>16</v>
      </c>
      <c r="I3192" s="1">
        <v>-2198100</v>
      </c>
      <c r="J3192" s="1">
        <v>-4236800</v>
      </c>
      <c r="K3192">
        <v>391</v>
      </c>
      <c r="L3192">
        <v>748</v>
      </c>
      <c r="M3192" t="s">
        <v>16</v>
      </c>
    </row>
    <row r="3193" spans="1:13" x14ac:dyDescent="0.35">
      <c r="A3193">
        <v>330115</v>
      </c>
      <c r="B3193">
        <v>50997</v>
      </c>
      <c r="C3193" t="s">
        <v>3350</v>
      </c>
      <c r="D3193" t="s">
        <v>3321</v>
      </c>
      <c r="E3193" t="s">
        <v>3348</v>
      </c>
      <c r="F3193">
        <v>12206</v>
      </c>
      <c r="G3193">
        <v>1</v>
      </c>
      <c r="H3193" t="s">
        <v>16</v>
      </c>
      <c r="I3193" s="1">
        <v>-2148800</v>
      </c>
      <c r="J3193" s="1">
        <v>-4161600</v>
      </c>
      <c r="K3193">
        <v>22</v>
      </c>
      <c r="L3193">
        <v>514</v>
      </c>
      <c r="M3193" t="s">
        <v>16</v>
      </c>
    </row>
    <row r="3194" spans="1:13" x14ac:dyDescent="0.35">
      <c r="A3194">
        <v>330120</v>
      </c>
      <c r="B3194">
        <v>27529</v>
      </c>
      <c r="C3194" t="s">
        <v>3351</v>
      </c>
      <c r="D3194" t="s">
        <v>3321</v>
      </c>
      <c r="E3194" t="s">
        <v>3349</v>
      </c>
      <c r="F3194">
        <v>16690</v>
      </c>
      <c r="G3194">
        <v>1</v>
      </c>
      <c r="H3194" t="s">
        <v>16</v>
      </c>
      <c r="I3194" s="1">
        <v>-2193400</v>
      </c>
      <c r="J3194" s="1">
        <v>-4260900</v>
      </c>
      <c r="K3194">
        <v>347</v>
      </c>
      <c r="L3194">
        <v>321</v>
      </c>
      <c r="M3194" t="s">
        <v>16</v>
      </c>
    </row>
    <row r="3195" spans="1:13" x14ac:dyDescent="0.35">
      <c r="A3195">
        <v>330130</v>
      </c>
      <c r="B3195">
        <v>27537</v>
      </c>
      <c r="C3195" t="s">
        <v>3352</v>
      </c>
      <c r="D3195" t="s">
        <v>3321</v>
      </c>
      <c r="E3195" t="s">
        <v>3353</v>
      </c>
      <c r="F3195">
        <v>27086</v>
      </c>
      <c r="G3195">
        <v>1</v>
      </c>
      <c r="H3195" t="s">
        <v>16</v>
      </c>
      <c r="I3195" s="1">
        <v>-2248100</v>
      </c>
      <c r="J3195" s="1">
        <v>-4220400</v>
      </c>
      <c r="K3195">
        <v>17</v>
      </c>
      <c r="L3195">
        <v>460</v>
      </c>
      <c r="M3195" t="s">
        <v>16</v>
      </c>
    </row>
    <row r="3196" spans="1:13" x14ac:dyDescent="0.35">
      <c r="A3196">
        <v>330140</v>
      </c>
      <c r="B3196">
        <v>27545</v>
      </c>
      <c r="C3196" t="s">
        <v>3354</v>
      </c>
      <c r="D3196" t="s">
        <v>3321</v>
      </c>
      <c r="E3196" t="s">
        <v>3346</v>
      </c>
      <c r="F3196">
        <v>19479</v>
      </c>
      <c r="G3196">
        <v>1</v>
      </c>
      <c r="H3196" t="s">
        <v>16</v>
      </c>
      <c r="I3196" s="1">
        <v>-2208500</v>
      </c>
      <c r="J3196" s="1">
        <v>-4186800</v>
      </c>
      <c r="K3196">
        <v>50</v>
      </c>
      <c r="L3196">
        <v>348</v>
      </c>
      <c r="M3196" t="s">
        <v>16</v>
      </c>
    </row>
    <row r="3197" spans="1:13" x14ac:dyDescent="0.35">
      <c r="A3197">
        <v>330150</v>
      </c>
      <c r="B3197">
        <v>27553</v>
      </c>
      <c r="C3197" t="s">
        <v>3355</v>
      </c>
      <c r="D3197" t="s">
        <v>3321</v>
      </c>
      <c r="E3197" t="s">
        <v>3349</v>
      </c>
      <c r="F3197">
        <v>18984</v>
      </c>
      <c r="G3197">
        <v>1</v>
      </c>
      <c r="H3197" t="s">
        <v>16</v>
      </c>
      <c r="I3197" s="1">
        <v>-2202900</v>
      </c>
      <c r="J3197" s="1">
        <v>-4236100</v>
      </c>
      <c r="K3197">
        <v>485</v>
      </c>
      <c r="L3197">
        <v>116</v>
      </c>
      <c r="M3197" t="s">
        <v>16</v>
      </c>
    </row>
    <row r="3198" spans="1:13" x14ac:dyDescent="0.35">
      <c r="A3198">
        <v>330160</v>
      </c>
      <c r="B3198">
        <v>27561</v>
      </c>
      <c r="C3198" t="s">
        <v>3356</v>
      </c>
      <c r="D3198" t="s">
        <v>3321</v>
      </c>
      <c r="E3198" t="s">
        <v>3338</v>
      </c>
      <c r="F3198">
        <v>10438</v>
      </c>
      <c r="G3198">
        <v>1</v>
      </c>
      <c r="H3198" t="s">
        <v>16</v>
      </c>
      <c r="I3198" s="1">
        <v>-2205100</v>
      </c>
      <c r="J3198" s="1">
        <v>-4252200</v>
      </c>
      <c r="K3198">
        <v>530</v>
      </c>
      <c r="L3198">
        <v>375</v>
      </c>
      <c r="M3198" t="s">
        <v>16</v>
      </c>
    </row>
    <row r="3199" spans="1:13" x14ac:dyDescent="0.35">
      <c r="A3199">
        <v>330170</v>
      </c>
      <c r="B3199">
        <v>27570</v>
      </c>
      <c r="C3199" t="s">
        <v>3357</v>
      </c>
      <c r="D3199" t="s">
        <v>3321</v>
      </c>
      <c r="E3199" t="s">
        <v>3336</v>
      </c>
      <c r="F3199">
        <v>842686</v>
      </c>
      <c r="G3199">
        <v>4</v>
      </c>
      <c r="H3199" t="s">
        <v>3337</v>
      </c>
      <c r="I3199" s="1">
        <v>-2278600</v>
      </c>
      <c r="J3199" s="1">
        <v>-4331200</v>
      </c>
      <c r="K3199">
        <v>19</v>
      </c>
      <c r="L3199">
        <v>464</v>
      </c>
      <c r="M3199" t="s">
        <v>16</v>
      </c>
    </row>
    <row r="3200" spans="1:13" x14ac:dyDescent="0.35">
      <c r="A3200">
        <v>330180</v>
      </c>
      <c r="B3200">
        <v>27588</v>
      </c>
      <c r="C3200" t="s">
        <v>3358</v>
      </c>
      <c r="D3200" t="s">
        <v>3321</v>
      </c>
      <c r="E3200" t="s">
        <v>3359</v>
      </c>
      <c r="F3200">
        <v>12544</v>
      </c>
      <c r="G3200">
        <v>1</v>
      </c>
      <c r="H3200" t="s">
        <v>16</v>
      </c>
      <c r="I3200" s="1">
        <v>-2255000</v>
      </c>
      <c r="J3200" s="1">
        <v>-4367800</v>
      </c>
      <c r="K3200">
        <v>395</v>
      </c>
      <c r="L3200">
        <v>139</v>
      </c>
      <c r="M3200" t="s">
        <v>16</v>
      </c>
    </row>
    <row r="3201" spans="1:13" x14ac:dyDescent="0.35">
      <c r="A3201">
        <v>330185</v>
      </c>
      <c r="B3201">
        <v>51004</v>
      </c>
      <c r="C3201" t="s">
        <v>3360</v>
      </c>
      <c r="D3201" t="s">
        <v>3321</v>
      </c>
      <c r="E3201" t="s">
        <v>3336</v>
      </c>
      <c r="F3201">
        <v>44692</v>
      </c>
      <c r="G3201">
        <v>4</v>
      </c>
      <c r="H3201" t="s">
        <v>3337</v>
      </c>
      <c r="I3201" s="1">
        <v>-2253700</v>
      </c>
      <c r="J3201" s="1">
        <v>-4298200</v>
      </c>
      <c r="K3201">
        <v>48</v>
      </c>
      <c r="L3201">
        <v>360</v>
      </c>
      <c r="M3201" t="s">
        <v>16</v>
      </c>
    </row>
    <row r="3202" spans="1:13" x14ac:dyDescent="0.35">
      <c r="A3202">
        <v>330187</v>
      </c>
      <c r="B3202">
        <v>53856</v>
      </c>
      <c r="C3202" t="s">
        <v>3361</v>
      </c>
      <c r="D3202" t="s">
        <v>3321</v>
      </c>
      <c r="E3202" t="s">
        <v>3326</v>
      </c>
      <c r="F3202">
        <v>19716</v>
      </c>
      <c r="G3202">
        <v>1</v>
      </c>
      <c r="H3202" t="s">
        <v>16</v>
      </c>
      <c r="I3202" s="1">
        <v>-2283900</v>
      </c>
      <c r="J3202" s="1">
        <v>-4222900</v>
      </c>
      <c r="K3202">
        <v>18</v>
      </c>
      <c r="L3202">
        <v>53</v>
      </c>
      <c r="M3202" t="s">
        <v>16</v>
      </c>
    </row>
    <row r="3203" spans="1:13" x14ac:dyDescent="0.35">
      <c r="A3203">
        <v>330190</v>
      </c>
      <c r="B3203">
        <v>27596</v>
      </c>
      <c r="C3203" t="s">
        <v>3362</v>
      </c>
      <c r="D3203" t="s">
        <v>3321</v>
      </c>
      <c r="E3203" t="s">
        <v>3336</v>
      </c>
      <c r="F3203">
        <v>215792</v>
      </c>
      <c r="G3203">
        <v>4</v>
      </c>
      <c r="H3203" t="s">
        <v>3337</v>
      </c>
      <c r="I3203" s="1">
        <v>-2274400</v>
      </c>
      <c r="J3203" s="1">
        <v>-4285900</v>
      </c>
      <c r="K3203">
        <v>46</v>
      </c>
      <c r="L3203">
        <v>424</v>
      </c>
      <c r="M3203" t="s">
        <v>16</v>
      </c>
    </row>
    <row r="3204" spans="1:13" x14ac:dyDescent="0.35">
      <c r="A3204">
        <v>330200</v>
      </c>
      <c r="B3204">
        <v>27600</v>
      </c>
      <c r="C3204" t="s">
        <v>3363</v>
      </c>
      <c r="D3204" t="s">
        <v>3321</v>
      </c>
      <c r="E3204" t="s">
        <v>3364</v>
      </c>
      <c r="F3204">
        <v>95356</v>
      </c>
      <c r="G3204">
        <v>4</v>
      </c>
      <c r="H3204" t="s">
        <v>3337</v>
      </c>
      <c r="I3204" s="1">
        <v>-2285200</v>
      </c>
      <c r="J3204" s="1">
        <v>-4377500</v>
      </c>
      <c r="K3204">
        <v>13</v>
      </c>
      <c r="L3204">
        <v>271</v>
      </c>
      <c r="M3204" t="s">
        <v>16</v>
      </c>
    </row>
    <row r="3205" spans="1:13" x14ac:dyDescent="0.35">
      <c r="A3205">
        <v>330205</v>
      </c>
      <c r="B3205">
        <v>28126</v>
      </c>
      <c r="C3205" t="s">
        <v>3365</v>
      </c>
      <c r="D3205" t="s">
        <v>3321</v>
      </c>
      <c r="E3205" t="s">
        <v>3340</v>
      </c>
      <c r="F3205">
        <v>13645</v>
      </c>
      <c r="G3205">
        <v>1</v>
      </c>
      <c r="H3205" t="s">
        <v>16</v>
      </c>
      <c r="I3205" s="1">
        <v>-2142100</v>
      </c>
      <c r="J3205" s="1">
        <v>-4169100</v>
      </c>
      <c r="K3205">
        <v>36</v>
      </c>
      <c r="L3205">
        <v>296</v>
      </c>
      <c r="M3205" t="s">
        <v>16</v>
      </c>
    </row>
    <row r="3206" spans="1:13" x14ac:dyDescent="0.35">
      <c r="A3206">
        <v>330210</v>
      </c>
      <c r="B3206">
        <v>27618</v>
      </c>
      <c r="C3206" t="s">
        <v>3366</v>
      </c>
      <c r="D3206" t="s">
        <v>3321</v>
      </c>
      <c r="E3206" t="s">
        <v>3324</v>
      </c>
      <c r="F3206">
        <v>22069</v>
      </c>
      <c r="G3206">
        <v>1</v>
      </c>
      <c r="H3206" t="s">
        <v>16</v>
      </c>
      <c r="I3206" s="1">
        <v>-2167900</v>
      </c>
      <c r="J3206" s="1">
        <v>-4208200</v>
      </c>
      <c r="K3206">
        <v>60</v>
      </c>
      <c r="L3206">
        <v>428</v>
      </c>
      <c r="M3206" t="s">
        <v>16</v>
      </c>
    </row>
    <row r="3207" spans="1:13" x14ac:dyDescent="0.35">
      <c r="A3207">
        <v>330220</v>
      </c>
      <c r="B3207">
        <v>27626</v>
      </c>
      <c r="C3207" t="s">
        <v>3340</v>
      </c>
      <c r="D3207" t="s">
        <v>3321</v>
      </c>
      <c r="E3207" t="s">
        <v>3340</v>
      </c>
      <c r="F3207">
        <v>92852</v>
      </c>
      <c r="G3207">
        <v>2</v>
      </c>
      <c r="H3207" t="s">
        <v>16</v>
      </c>
      <c r="I3207" s="1">
        <v>-2120500</v>
      </c>
      <c r="J3207" s="1">
        <v>-4188800</v>
      </c>
      <c r="K3207">
        <v>108</v>
      </c>
      <c r="L3207">
        <v>1105</v>
      </c>
      <c r="M3207" t="s">
        <v>16</v>
      </c>
    </row>
    <row r="3208" spans="1:13" x14ac:dyDescent="0.35">
      <c r="A3208">
        <v>330225</v>
      </c>
      <c r="B3208">
        <v>47325</v>
      </c>
      <c r="C3208" t="s">
        <v>3367</v>
      </c>
      <c r="D3208" t="s">
        <v>3321</v>
      </c>
      <c r="E3208" t="s">
        <v>3334</v>
      </c>
      <c r="F3208">
        <v>31185</v>
      </c>
      <c r="G3208">
        <v>1</v>
      </c>
      <c r="H3208" t="s">
        <v>16</v>
      </c>
      <c r="I3208" s="1">
        <v>-2249600</v>
      </c>
      <c r="J3208" s="1">
        <v>-4456300</v>
      </c>
      <c r="K3208">
        <v>390</v>
      </c>
      <c r="L3208">
        <v>224</v>
      </c>
      <c r="M3208" t="s">
        <v>16</v>
      </c>
    </row>
    <row r="3209" spans="1:13" x14ac:dyDescent="0.35">
      <c r="A3209">
        <v>330227</v>
      </c>
      <c r="B3209">
        <v>53562</v>
      </c>
      <c r="C3209" t="s">
        <v>3368</v>
      </c>
      <c r="D3209" t="s">
        <v>3321</v>
      </c>
      <c r="E3209" t="s">
        <v>3336</v>
      </c>
      <c r="F3209">
        <v>93197</v>
      </c>
      <c r="G3209">
        <v>4</v>
      </c>
      <c r="H3209" t="s">
        <v>3337</v>
      </c>
      <c r="I3209" s="1">
        <v>-2264300</v>
      </c>
      <c r="J3209" s="1">
        <v>-4365300</v>
      </c>
      <c r="K3209">
        <v>30</v>
      </c>
      <c r="L3209">
        <v>82</v>
      </c>
      <c r="M3209" t="s">
        <v>16</v>
      </c>
    </row>
    <row r="3210" spans="1:13" x14ac:dyDescent="0.35">
      <c r="A3210">
        <v>330230</v>
      </c>
      <c r="B3210">
        <v>27634</v>
      </c>
      <c r="C3210" t="s">
        <v>3369</v>
      </c>
      <c r="D3210" t="s">
        <v>3321</v>
      </c>
      <c r="E3210" t="s">
        <v>3340</v>
      </c>
      <c r="F3210">
        <v>7769</v>
      </c>
      <c r="G3210">
        <v>1</v>
      </c>
      <c r="H3210" t="s">
        <v>16</v>
      </c>
      <c r="I3210" s="1">
        <v>-2120600</v>
      </c>
      <c r="J3210" s="1">
        <v>-4212300</v>
      </c>
      <c r="K3210">
        <v>172</v>
      </c>
      <c r="L3210">
        <v>250</v>
      </c>
      <c r="M3210" t="s">
        <v>16</v>
      </c>
    </row>
    <row r="3211" spans="1:13" x14ac:dyDescent="0.35">
      <c r="A3211">
        <v>330240</v>
      </c>
      <c r="B3211">
        <v>27642</v>
      </c>
      <c r="C3211" t="s">
        <v>3370</v>
      </c>
      <c r="D3211" t="s">
        <v>3321</v>
      </c>
      <c r="E3211" t="s">
        <v>3346</v>
      </c>
      <c r="F3211">
        <v>169513</v>
      </c>
      <c r="G3211">
        <v>3</v>
      </c>
      <c r="H3211" t="s">
        <v>16</v>
      </c>
      <c r="I3211" s="1">
        <v>-2237100</v>
      </c>
      <c r="J3211" s="1">
        <v>-4178700</v>
      </c>
      <c r="K3211">
        <v>2</v>
      </c>
      <c r="L3211">
        <v>1215</v>
      </c>
      <c r="M3211" t="s">
        <v>16</v>
      </c>
    </row>
    <row r="3212" spans="1:13" x14ac:dyDescent="0.35">
      <c r="A3212">
        <v>330245</v>
      </c>
      <c r="B3212">
        <v>58343</v>
      </c>
      <c r="C3212" t="s">
        <v>3371</v>
      </c>
      <c r="D3212" t="s">
        <v>3321</v>
      </c>
      <c r="E3212" t="s">
        <v>3349</v>
      </c>
      <c r="F3212">
        <v>5246</v>
      </c>
      <c r="G3212">
        <v>1</v>
      </c>
      <c r="H3212" t="s">
        <v>16</v>
      </c>
      <c r="I3212" s="1">
        <v>-2198400</v>
      </c>
      <c r="J3212" s="1">
        <v>-4225300</v>
      </c>
      <c r="K3212">
        <v>266</v>
      </c>
      <c r="L3212">
        <v>77</v>
      </c>
      <c r="M3212" t="s">
        <v>16</v>
      </c>
    </row>
    <row r="3213" spans="1:13" x14ac:dyDescent="0.35">
      <c r="A3213">
        <v>330250</v>
      </c>
      <c r="B3213">
        <v>27650</v>
      </c>
      <c r="C3213" t="s">
        <v>3372</v>
      </c>
      <c r="D3213" t="s">
        <v>3321</v>
      </c>
      <c r="E3213" t="s">
        <v>3336</v>
      </c>
      <c r="F3213">
        <v>232171</v>
      </c>
      <c r="G3213">
        <v>4</v>
      </c>
      <c r="H3213" t="s">
        <v>3337</v>
      </c>
      <c r="I3213" s="1">
        <v>-2265300</v>
      </c>
      <c r="J3213" s="1">
        <v>-4304100</v>
      </c>
      <c r="K3213">
        <v>5</v>
      </c>
      <c r="L3213">
        <v>385</v>
      </c>
      <c r="M3213" t="s">
        <v>16</v>
      </c>
    </row>
    <row r="3214" spans="1:13" x14ac:dyDescent="0.35">
      <c r="A3214">
        <v>330260</v>
      </c>
      <c r="B3214">
        <v>27669</v>
      </c>
      <c r="C3214" t="s">
        <v>3373</v>
      </c>
      <c r="D3214" t="s">
        <v>3321</v>
      </c>
      <c r="E3214" t="s">
        <v>3364</v>
      </c>
      <c r="F3214">
        <v>29253</v>
      </c>
      <c r="G3214">
        <v>1</v>
      </c>
      <c r="H3214" t="s">
        <v>16</v>
      </c>
      <c r="I3214" s="1">
        <v>-2296000</v>
      </c>
      <c r="J3214" s="1">
        <v>-4404100</v>
      </c>
      <c r="K3214">
        <v>18</v>
      </c>
      <c r="L3214">
        <v>351</v>
      </c>
      <c r="M3214" t="s">
        <v>16</v>
      </c>
    </row>
    <row r="3215" spans="1:13" x14ac:dyDescent="0.35">
      <c r="A3215">
        <v>330270</v>
      </c>
      <c r="B3215">
        <v>27677</v>
      </c>
      <c r="C3215" t="s">
        <v>3374</v>
      </c>
      <c r="D3215" t="s">
        <v>3321</v>
      </c>
      <c r="E3215" t="s">
        <v>3336</v>
      </c>
      <c r="F3215">
        <v>105294</v>
      </c>
      <c r="G3215">
        <v>3</v>
      </c>
      <c r="H3215" t="s">
        <v>16</v>
      </c>
      <c r="I3215" s="1">
        <v>-2291900</v>
      </c>
      <c r="J3215" s="1">
        <v>-4281900</v>
      </c>
      <c r="K3215">
        <v>5</v>
      </c>
      <c r="L3215">
        <v>362</v>
      </c>
      <c r="M3215" t="s">
        <v>16</v>
      </c>
    </row>
    <row r="3216" spans="1:13" x14ac:dyDescent="0.35">
      <c r="A3216">
        <v>330280</v>
      </c>
      <c r="B3216">
        <v>27685</v>
      </c>
      <c r="C3216" t="s">
        <v>3375</v>
      </c>
      <c r="D3216" t="s">
        <v>3321</v>
      </c>
      <c r="E3216" t="s">
        <v>3359</v>
      </c>
      <c r="F3216">
        <v>17242</v>
      </c>
      <c r="G3216">
        <v>1</v>
      </c>
      <c r="H3216" t="s">
        <v>16</v>
      </c>
      <c r="I3216" s="1">
        <v>-2252700</v>
      </c>
      <c r="J3216" s="1">
        <v>-4373300</v>
      </c>
      <c r="K3216">
        <v>410</v>
      </c>
      <c r="L3216">
        <v>77</v>
      </c>
      <c r="M3216" t="s">
        <v>16</v>
      </c>
    </row>
    <row r="3217" spans="1:13" x14ac:dyDescent="0.35">
      <c r="A3217">
        <v>330285</v>
      </c>
      <c r="B3217">
        <v>59595</v>
      </c>
      <c r="C3217" t="s">
        <v>2894</v>
      </c>
      <c r="D3217" t="s">
        <v>3321</v>
      </c>
      <c r="E3217" t="s">
        <v>3336</v>
      </c>
      <c r="F3217">
        <v>182495</v>
      </c>
      <c r="G3217">
        <v>4</v>
      </c>
      <c r="H3217" t="s">
        <v>3337</v>
      </c>
      <c r="I3217" s="1">
        <v>-2278150</v>
      </c>
      <c r="J3217" s="1">
        <v>-4342870</v>
      </c>
      <c r="K3217">
        <v>0</v>
      </c>
      <c r="L3217">
        <v>34</v>
      </c>
      <c r="M3217" t="s">
        <v>16</v>
      </c>
    </row>
    <row r="3218" spans="1:13" x14ac:dyDescent="0.35">
      <c r="A3218">
        <v>330290</v>
      </c>
      <c r="B3218">
        <v>27693</v>
      </c>
      <c r="C3218" t="s">
        <v>3376</v>
      </c>
      <c r="D3218" t="s">
        <v>3321</v>
      </c>
      <c r="E3218" t="s">
        <v>3359</v>
      </c>
      <c r="F3218">
        <v>24585</v>
      </c>
      <c r="G3218">
        <v>1</v>
      </c>
      <c r="H3218" t="s">
        <v>16</v>
      </c>
      <c r="I3218" s="1">
        <v>-2245400</v>
      </c>
      <c r="J3218" s="1">
        <v>-4346900</v>
      </c>
      <c r="K3218">
        <v>618</v>
      </c>
      <c r="L3218">
        <v>287</v>
      </c>
      <c r="M3218" t="s">
        <v>16</v>
      </c>
    </row>
    <row r="3219" spans="1:13" x14ac:dyDescent="0.35">
      <c r="A3219">
        <v>330300</v>
      </c>
      <c r="B3219">
        <v>27707</v>
      </c>
      <c r="C3219" t="s">
        <v>3377</v>
      </c>
      <c r="D3219" t="s">
        <v>3321</v>
      </c>
      <c r="E3219" t="s">
        <v>3324</v>
      </c>
      <c r="F3219">
        <v>26231</v>
      </c>
      <c r="G3219">
        <v>1</v>
      </c>
      <c r="H3219" t="s">
        <v>16</v>
      </c>
      <c r="I3219" s="1">
        <v>-2141200</v>
      </c>
      <c r="J3219" s="1">
        <v>-4219700</v>
      </c>
      <c r="K3219">
        <v>137</v>
      </c>
      <c r="L3219">
        <v>303</v>
      </c>
      <c r="M3219" t="s">
        <v>16</v>
      </c>
    </row>
    <row r="3220" spans="1:13" x14ac:dyDescent="0.35">
      <c r="A3220">
        <v>330310</v>
      </c>
      <c r="B3220">
        <v>27715</v>
      </c>
      <c r="C3220" t="s">
        <v>487</v>
      </c>
      <c r="D3220" t="s">
        <v>3321</v>
      </c>
      <c r="E3220" t="s">
        <v>3340</v>
      </c>
      <c r="F3220">
        <v>14930</v>
      </c>
      <c r="G3220">
        <v>1</v>
      </c>
      <c r="H3220" t="s">
        <v>16</v>
      </c>
      <c r="I3220" s="1">
        <v>-2104200</v>
      </c>
      <c r="J3220" s="1">
        <v>-4197300</v>
      </c>
      <c r="K3220">
        <v>182</v>
      </c>
      <c r="L3220">
        <v>387</v>
      </c>
      <c r="M3220" t="s">
        <v>16</v>
      </c>
    </row>
    <row r="3221" spans="1:13" x14ac:dyDescent="0.35">
      <c r="A3221">
        <v>330320</v>
      </c>
      <c r="B3221">
        <v>27723</v>
      </c>
      <c r="C3221" t="s">
        <v>3378</v>
      </c>
      <c r="D3221" t="s">
        <v>3321</v>
      </c>
      <c r="E3221" t="s">
        <v>3336</v>
      </c>
      <c r="F3221">
        <v>153581</v>
      </c>
      <c r="G3221">
        <v>4</v>
      </c>
      <c r="H3221" t="s">
        <v>3337</v>
      </c>
      <c r="I3221" s="1">
        <v>-2280800</v>
      </c>
      <c r="J3221" s="1">
        <v>-4341400</v>
      </c>
      <c r="K3221">
        <v>16</v>
      </c>
      <c r="L3221">
        <v>19</v>
      </c>
      <c r="M3221" t="s">
        <v>16</v>
      </c>
    </row>
    <row r="3222" spans="1:13" x14ac:dyDescent="0.35">
      <c r="A3222">
        <v>330330</v>
      </c>
      <c r="B3222">
        <v>27405</v>
      </c>
      <c r="C3222" t="s">
        <v>3379</v>
      </c>
      <c r="D3222" t="s">
        <v>3321</v>
      </c>
      <c r="E3222" t="s">
        <v>3336</v>
      </c>
      <c r="F3222">
        <v>474002</v>
      </c>
      <c r="G3222">
        <v>4</v>
      </c>
      <c r="H3222" t="s">
        <v>3337</v>
      </c>
      <c r="I3222" s="1">
        <v>-2288300</v>
      </c>
      <c r="J3222" s="1">
        <v>-4310400</v>
      </c>
      <c r="K3222">
        <v>5</v>
      </c>
      <c r="L3222">
        <v>129</v>
      </c>
      <c r="M3222" t="s">
        <v>16</v>
      </c>
    </row>
    <row r="3223" spans="1:13" x14ac:dyDescent="0.35">
      <c r="A3223">
        <v>330340</v>
      </c>
      <c r="B3223">
        <v>27731</v>
      </c>
      <c r="C3223" t="s">
        <v>3338</v>
      </c>
      <c r="D3223" t="s">
        <v>3321</v>
      </c>
      <c r="E3223" t="s">
        <v>3338</v>
      </c>
      <c r="F3223">
        <v>177376</v>
      </c>
      <c r="G3223">
        <v>3</v>
      </c>
      <c r="H3223" t="s">
        <v>16</v>
      </c>
      <c r="I3223" s="1">
        <v>-2228200</v>
      </c>
      <c r="J3223" s="1">
        <v>-4253100</v>
      </c>
      <c r="K3223">
        <v>846</v>
      </c>
      <c r="L3223">
        <v>932</v>
      </c>
      <c r="M3223" t="s">
        <v>16</v>
      </c>
    </row>
    <row r="3224" spans="1:13" x14ac:dyDescent="0.35">
      <c r="A3224">
        <v>330350</v>
      </c>
      <c r="B3224">
        <v>27740</v>
      </c>
      <c r="C3224" t="s">
        <v>3380</v>
      </c>
      <c r="D3224" t="s">
        <v>3321</v>
      </c>
      <c r="E3224" t="s">
        <v>3336</v>
      </c>
      <c r="F3224">
        <v>830672</v>
      </c>
      <c r="G3224">
        <v>4</v>
      </c>
      <c r="H3224" t="s">
        <v>3337</v>
      </c>
      <c r="I3224" s="1">
        <v>-2275900</v>
      </c>
      <c r="J3224" s="1">
        <v>-4345100</v>
      </c>
      <c r="K3224">
        <v>25</v>
      </c>
      <c r="L3224">
        <v>523</v>
      </c>
      <c r="M3224" t="s">
        <v>16</v>
      </c>
    </row>
    <row r="3225" spans="1:13" x14ac:dyDescent="0.35">
      <c r="A3225">
        <v>330360</v>
      </c>
      <c r="B3225">
        <v>27758</v>
      </c>
      <c r="C3225" t="s">
        <v>3381</v>
      </c>
      <c r="D3225" t="s">
        <v>3321</v>
      </c>
      <c r="E3225" t="s">
        <v>3359</v>
      </c>
      <c r="F3225">
        <v>42423</v>
      </c>
      <c r="G3225">
        <v>4</v>
      </c>
      <c r="H3225" t="s">
        <v>3337</v>
      </c>
      <c r="I3225" s="1">
        <v>-2261100</v>
      </c>
      <c r="J3225" s="1">
        <v>-4370900</v>
      </c>
      <c r="K3225">
        <v>50</v>
      </c>
      <c r="L3225">
        <v>179</v>
      </c>
      <c r="M3225" t="s">
        <v>16</v>
      </c>
    </row>
    <row r="3226" spans="1:13" x14ac:dyDescent="0.35">
      <c r="A3226">
        <v>330370</v>
      </c>
      <c r="B3226">
        <v>27766</v>
      </c>
      <c r="C3226" t="s">
        <v>3382</v>
      </c>
      <c r="D3226" t="s">
        <v>3321</v>
      </c>
      <c r="E3226" t="s">
        <v>3328</v>
      </c>
      <c r="F3226">
        <v>39257</v>
      </c>
      <c r="G3226">
        <v>1</v>
      </c>
      <c r="H3226" t="s">
        <v>16</v>
      </c>
      <c r="I3226" s="1">
        <v>-2216200</v>
      </c>
      <c r="J3226" s="1">
        <v>-4329300</v>
      </c>
      <c r="K3226">
        <v>275</v>
      </c>
      <c r="L3226">
        <v>580</v>
      </c>
      <c r="M3226" t="s">
        <v>16</v>
      </c>
    </row>
    <row r="3227" spans="1:13" x14ac:dyDescent="0.35">
      <c r="A3227">
        <v>330380</v>
      </c>
      <c r="B3227">
        <v>27774</v>
      </c>
      <c r="C3227" t="s">
        <v>3383</v>
      </c>
      <c r="D3227" t="s">
        <v>3321</v>
      </c>
      <c r="E3227" t="s">
        <v>3322</v>
      </c>
      <c r="F3227">
        <v>32838</v>
      </c>
      <c r="G3227">
        <v>1</v>
      </c>
      <c r="H3227" t="s">
        <v>16</v>
      </c>
      <c r="I3227" s="1">
        <v>-2321800</v>
      </c>
      <c r="J3227" s="1">
        <v>-4471300</v>
      </c>
      <c r="K3227">
        <v>5</v>
      </c>
      <c r="L3227">
        <v>928</v>
      </c>
      <c r="M3227" t="s">
        <v>16</v>
      </c>
    </row>
    <row r="3228" spans="1:13" x14ac:dyDescent="0.35">
      <c r="A3228">
        <v>330385</v>
      </c>
      <c r="B3228">
        <v>45837</v>
      </c>
      <c r="C3228" t="s">
        <v>3384</v>
      </c>
      <c r="D3228" t="s">
        <v>3321</v>
      </c>
      <c r="E3228" t="s">
        <v>3359</v>
      </c>
      <c r="F3228">
        <v>25132</v>
      </c>
      <c r="G3228">
        <v>1</v>
      </c>
      <c r="H3228" t="s">
        <v>16</v>
      </c>
      <c r="I3228" s="1">
        <v>-2242900</v>
      </c>
      <c r="J3228" s="1">
        <v>-4341900</v>
      </c>
      <c r="K3228">
        <v>610</v>
      </c>
      <c r="L3228">
        <v>319</v>
      </c>
      <c r="M3228" t="s">
        <v>16</v>
      </c>
    </row>
    <row r="3229" spans="1:13" x14ac:dyDescent="0.35">
      <c r="A3229">
        <v>330390</v>
      </c>
      <c r="B3229">
        <v>27782</v>
      </c>
      <c r="C3229" t="s">
        <v>3385</v>
      </c>
      <c r="D3229" t="s">
        <v>3321</v>
      </c>
      <c r="E3229" t="s">
        <v>3386</v>
      </c>
      <c r="F3229">
        <v>306645</v>
      </c>
      <c r="G3229">
        <v>3</v>
      </c>
      <c r="H3229" t="s">
        <v>16</v>
      </c>
      <c r="I3229" s="1">
        <v>-2250500</v>
      </c>
      <c r="J3229" s="1">
        <v>-4317900</v>
      </c>
      <c r="K3229">
        <v>809</v>
      </c>
      <c r="L3229">
        <v>774</v>
      </c>
      <c r="M3229" t="s">
        <v>16</v>
      </c>
    </row>
    <row r="3230" spans="1:13" x14ac:dyDescent="0.35">
      <c r="A3230">
        <v>330395</v>
      </c>
      <c r="B3230">
        <v>53830</v>
      </c>
      <c r="C3230" t="s">
        <v>3387</v>
      </c>
      <c r="D3230" t="s">
        <v>3321</v>
      </c>
      <c r="E3230" t="s">
        <v>3334</v>
      </c>
      <c r="F3230">
        <v>20885</v>
      </c>
      <c r="G3230">
        <v>1</v>
      </c>
      <c r="H3230" t="s">
        <v>16</v>
      </c>
      <c r="I3230" s="1">
        <v>-2251300</v>
      </c>
      <c r="J3230" s="1">
        <v>-4400100</v>
      </c>
      <c r="K3230">
        <v>345</v>
      </c>
      <c r="L3230">
        <v>76</v>
      </c>
      <c r="M3230" t="s">
        <v>16</v>
      </c>
    </row>
    <row r="3231" spans="1:13" x14ac:dyDescent="0.35">
      <c r="A3231">
        <v>330400</v>
      </c>
      <c r="B3231">
        <v>27790</v>
      </c>
      <c r="C3231" t="s">
        <v>3388</v>
      </c>
      <c r="D3231" t="s">
        <v>3321</v>
      </c>
      <c r="E3231" t="s">
        <v>3334</v>
      </c>
      <c r="F3231">
        <v>24170</v>
      </c>
      <c r="G3231">
        <v>1</v>
      </c>
      <c r="H3231" t="s">
        <v>16</v>
      </c>
      <c r="I3231" s="1">
        <v>-2262900</v>
      </c>
      <c r="J3231" s="1">
        <v>-4389800</v>
      </c>
      <c r="K3231">
        <v>387</v>
      </c>
      <c r="L3231">
        <v>505</v>
      </c>
      <c r="M3231" t="s">
        <v>16</v>
      </c>
    </row>
    <row r="3232" spans="1:13" x14ac:dyDescent="0.35">
      <c r="A3232">
        <v>330410</v>
      </c>
      <c r="B3232">
        <v>27804</v>
      </c>
      <c r="C3232" t="s">
        <v>3389</v>
      </c>
      <c r="D3232" t="s">
        <v>3321</v>
      </c>
      <c r="E3232" t="s">
        <v>3340</v>
      </c>
      <c r="F3232">
        <v>17178</v>
      </c>
      <c r="G3232">
        <v>1</v>
      </c>
      <c r="H3232" t="s">
        <v>16</v>
      </c>
      <c r="I3232" s="1">
        <v>-2096300</v>
      </c>
      <c r="J3232" s="1">
        <v>-4204100</v>
      </c>
      <c r="K3232">
        <v>190</v>
      </c>
      <c r="L3232">
        <v>302</v>
      </c>
      <c r="M3232" t="s">
        <v>16</v>
      </c>
    </row>
    <row r="3233" spans="1:13" x14ac:dyDescent="0.35">
      <c r="A3233">
        <v>330411</v>
      </c>
      <c r="B3233">
        <v>58351</v>
      </c>
      <c r="C3233" t="s">
        <v>3390</v>
      </c>
      <c r="D3233" t="s">
        <v>3321</v>
      </c>
      <c r="E3233" t="s">
        <v>3334</v>
      </c>
      <c r="F3233">
        <v>14503</v>
      </c>
      <c r="G3233">
        <v>1</v>
      </c>
      <c r="H3233" t="s">
        <v>16</v>
      </c>
      <c r="I3233" s="1">
        <v>-2242000</v>
      </c>
      <c r="J3233" s="1">
        <v>-4429000</v>
      </c>
      <c r="K3233">
        <v>385</v>
      </c>
      <c r="L3233">
        <v>50</v>
      </c>
      <c r="M3233" t="s">
        <v>16</v>
      </c>
    </row>
    <row r="3234" spans="1:13" x14ac:dyDescent="0.35">
      <c r="A3234">
        <v>330412</v>
      </c>
      <c r="B3234">
        <v>51020</v>
      </c>
      <c r="C3234" t="s">
        <v>3391</v>
      </c>
      <c r="D3234" t="s">
        <v>3321</v>
      </c>
      <c r="E3234" t="s">
        <v>3334</v>
      </c>
      <c r="F3234">
        <v>12031</v>
      </c>
      <c r="G3234">
        <v>1</v>
      </c>
      <c r="H3234" t="s">
        <v>16</v>
      </c>
      <c r="I3234" s="1">
        <v>-2240700</v>
      </c>
      <c r="J3234" s="1">
        <v>-4425800</v>
      </c>
      <c r="K3234">
        <v>415</v>
      </c>
      <c r="L3234">
        <v>286</v>
      </c>
      <c r="M3234" t="s">
        <v>16</v>
      </c>
    </row>
    <row r="3235" spans="1:13" x14ac:dyDescent="0.35">
      <c r="A3235">
        <v>330414</v>
      </c>
      <c r="B3235">
        <v>51039</v>
      </c>
      <c r="C3235" t="s">
        <v>3392</v>
      </c>
      <c r="D3235" t="s">
        <v>3321</v>
      </c>
      <c r="E3235" t="s">
        <v>3336</v>
      </c>
      <c r="F3235">
        <v>130275</v>
      </c>
      <c r="G3235">
        <v>4</v>
      </c>
      <c r="H3235" t="s">
        <v>3337</v>
      </c>
      <c r="I3235" s="1">
        <v>-2271600</v>
      </c>
      <c r="J3235" s="1">
        <v>-4355500</v>
      </c>
      <c r="K3235">
        <v>30</v>
      </c>
      <c r="L3235">
        <v>76</v>
      </c>
      <c r="M3235" t="s">
        <v>16</v>
      </c>
    </row>
    <row r="3236" spans="1:13" x14ac:dyDescent="0.35">
      <c r="A3236">
        <v>330415</v>
      </c>
      <c r="B3236">
        <v>47317</v>
      </c>
      <c r="C3236" t="s">
        <v>3393</v>
      </c>
      <c r="D3236" t="s">
        <v>3321</v>
      </c>
      <c r="E3236" t="s">
        <v>3346</v>
      </c>
      <c r="F3236">
        <v>17376</v>
      </c>
      <c r="G3236">
        <v>1</v>
      </c>
      <c r="H3236" t="s">
        <v>16</v>
      </c>
      <c r="I3236" s="1">
        <v>-2210700</v>
      </c>
      <c r="J3236" s="1">
        <v>-4147200</v>
      </c>
      <c r="K3236">
        <v>19</v>
      </c>
      <c r="L3236">
        <v>715</v>
      </c>
      <c r="M3236" t="s">
        <v>16</v>
      </c>
    </row>
    <row r="3237" spans="1:13" x14ac:dyDescent="0.35">
      <c r="A3237">
        <v>330420</v>
      </c>
      <c r="B3237">
        <v>27812</v>
      </c>
      <c r="C3237" t="s">
        <v>3394</v>
      </c>
      <c r="D3237" t="s">
        <v>3321</v>
      </c>
      <c r="E3237" t="s">
        <v>3334</v>
      </c>
      <c r="F3237">
        <v>118547</v>
      </c>
      <c r="G3237">
        <v>3</v>
      </c>
      <c r="H3237" t="s">
        <v>16</v>
      </c>
      <c r="I3237" s="1">
        <v>-2246900</v>
      </c>
      <c r="J3237" s="1">
        <v>-4444700</v>
      </c>
      <c r="K3237">
        <v>407</v>
      </c>
      <c r="L3237">
        <v>1113</v>
      </c>
      <c r="M3237" t="s">
        <v>16</v>
      </c>
    </row>
    <row r="3238" spans="1:13" x14ac:dyDescent="0.35">
      <c r="A3238">
        <v>330430</v>
      </c>
      <c r="B3238">
        <v>27820</v>
      </c>
      <c r="C3238" t="s">
        <v>3395</v>
      </c>
      <c r="D3238" t="s">
        <v>3321</v>
      </c>
      <c r="E3238" t="s">
        <v>3343</v>
      </c>
      <c r="F3238">
        <v>51942</v>
      </c>
      <c r="G3238">
        <v>2</v>
      </c>
      <c r="H3238" t="s">
        <v>16</v>
      </c>
      <c r="I3238" s="1">
        <v>-2270800</v>
      </c>
      <c r="J3238" s="1">
        <v>-4262600</v>
      </c>
      <c r="K3238">
        <v>40</v>
      </c>
      <c r="L3238">
        <v>462</v>
      </c>
      <c r="M3238" t="s">
        <v>16</v>
      </c>
    </row>
    <row r="3239" spans="1:13" x14ac:dyDescent="0.35">
      <c r="A3239">
        <v>330440</v>
      </c>
      <c r="B3239">
        <v>27839</v>
      </c>
      <c r="C3239" t="s">
        <v>3396</v>
      </c>
      <c r="D3239" t="s">
        <v>3321</v>
      </c>
      <c r="E3239" t="s">
        <v>3334</v>
      </c>
      <c r="F3239">
        <v>17216</v>
      </c>
      <c r="G3239">
        <v>1</v>
      </c>
      <c r="H3239" t="s">
        <v>16</v>
      </c>
      <c r="I3239" s="1">
        <v>-2272300</v>
      </c>
      <c r="J3239" s="1">
        <v>-4413600</v>
      </c>
      <c r="K3239">
        <v>446</v>
      </c>
      <c r="L3239">
        <v>841</v>
      </c>
      <c r="M3239" t="s">
        <v>16</v>
      </c>
    </row>
    <row r="3240" spans="1:13" x14ac:dyDescent="0.35">
      <c r="A3240">
        <v>330450</v>
      </c>
      <c r="B3240">
        <v>27847</v>
      </c>
      <c r="C3240" t="s">
        <v>3397</v>
      </c>
      <c r="D3240" t="s">
        <v>3321</v>
      </c>
      <c r="E3240" t="s">
        <v>3332</v>
      </c>
      <c r="F3240">
        <v>8192</v>
      </c>
      <c r="G3240">
        <v>1</v>
      </c>
      <c r="H3240" t="s">
        <v>16</v>
      </c>
      <c r="I3240" s="1">
        <v>-2216800</v>
      </c>
      <c r="J3240" s="1">
        <v>-4358600</v>
      </c>
      <c r="K3240">
        <v>525</v>
      </c>
      <c r="L3240">
        <v>477</v>
      </c>
      <c r="M3240" t="s">
        <v>16</v>
      </c>
    </row>
    <row r="3241" spans="1:13" x14ac:dyDescent="0.35">
      <c r="A3241">
        <v>330452</v>
      </c>
      <c r="B3241">
        <v>48984</v>
      </c>
      <c r="C3241" t="s">
        <v>3398</v>
      </c>
      <c r="D3241" t="s">
        <v>3321</v>
      </c>
      <c r="E3241" t="s">
        <v>3353</v>
      </c>
      <c r="F3241">
        <v>74750</v>
      </c>
      <c r="G3241">
        <v>2</v>
      </c>
      <c r="H3241" t="s">
        <v>16</v>
      </c>
      <c r="I3241" s="1">
        <v>-2252700</v>
      </c>
      <c r="J3241" s="1">
        <v>-4194500</v>
      </c>
      <c r="K3241">
        <v>4</v>
      </c>
      <c r="L3241">
        <v>230</v>
      </c>
      <c r="M3241" t="s">
        <v>16</v>
      </c>
    </row>
    <row r="3242" spans="1:13" x14ac:dyDescent="0.35">
      <c r="A3242">
        <v>330455</v>
      </c>
      <c r="B3242">
        <v>28100</v>
      </c>
      <c r="C3242" t="s">
        <v>3336</v>
      </c>
      <c r="D3242" t="s">
        <v>3321</v>
      </c>
      <c r="E3242" t="s">
        <v>3336</v>
      </c>
      <c r="F3242">
        <v>6093472</v>
      </c>
      <c r="G3242">
        <v>5</v>
      </c>
      <c r="H3242" t="s">
        <v>3337</v>
      </c>
      <c r="I3242" s="1">
        <v>-2290300</v>
      </c>
      <c r="J3242" s="1">
        <v>-4320800</v>
      </c>
      <c r="K3242">
        <v>2</v>
      </c>
      <c r="L3242">
        <v>1182</v>
      </c>
      <c r="M3242" t="s">
        <v>16</v>
      </c>
    </row>
    <row r="3243" spans="1:13" x14ac:dyDescent="0.35">
      <c r="A3243">
        <v>330460</v>
      </c>
      <c r="B3243">
        <v>27855</v>
      </c>
      <c r="C3243" t="s">
        <v>3399</v>
      </c>
      <c r="D3243" t="s">
        <v>3321</v>
      </c>
      <c r="E3243" t="s">
        <v>3399</v>
      </c>
      <c r="F3243">
        <v>10409</v>
      </c>
      <c r="G3243">
        <v>1</v>
      </c>
      <c r="H3243" t="s">
        <v>16</v>
      </c>
      <c r="I3243" s="1">
        <v>-2195500</v>
      </c>
      <c r="J3243" s="1">
        <v>-4200800</v>
      </c>
      <c r="K3243">
        <v>615</v>
      </c>
      <c r="L3243">
        <v>815</v>
      </c>
      <c r="M3243" t="s">
        <v>16</v>
      </c>
    </row>
    <row r="3244" spans="1:13" x14ac:dyDescent="0.35">
      <c r="A3244">
        <v>330470</v>
      </c>
      <c r="B3244">
        <v>27863</v>
      </c>
      <c r="C3244" t="s">
        <v>3400</v>
      </c>
      <c r="D3244" t="s">
        <v>3321</v>
      </c>
      <c r="E3244" t="s">
        <v>3324</v>
      </c>
      <c r="F3244">
        <v>40145</v>
      </c>
      <c r="G3244">
        <v>1</v>
      </c>
      <c r="H3244" t="s">
        <v>16</v>
      </c>
      <c r="I3244" s="1">
        <v>-2153900</v>
      </c>
      <c r="J3244" s="1">
        <v>-4218000</v>
      </c>
      <c r="K3244">
        <v>86</v>
      </c>
      <c r="L3244">
        <v>611</v>
      </c>
      <c r="M3244" t="s">
        <v>16</v>
      </c>
    </row>
    <row r="3245" spans="1:13" x14ac:dyDescent="0.35">
      <c r="A3245">
        <v>330475</v>
      </c>
      <c r="B3245">
        <v>58360</v>
      </c>
      <c r="C3245" t="s">
        <v>3401</v>
      </c>
      <c r="D3245" t="s">
        <v>3321</v>
      </c>
      <c r="E3245" t="s">
        <v>3348</v>
      </c>
      <c r="F3245">
        <v>44475</v>
      </c>
      <c r="G3245">
        <v>1</v>
      </c>
      <c r="H3245" t="s">
        <v>16</v>
      </c>
      <c r="I3245" s="1">
        <v>-2147000</v>
      </c>
      <c r="J3245" s="1">
        <v>-4111900</v>
      </c>
      <c r="K3245">
        <v>8</v>
      </c>
      <c r="L3245">
        <v>1111</v>
      </c>
      <c r="M3245" t="s">
        <v>16</v>
      </c>
    </row>
    <row r="3246" spans="1:13" x14ac:dyDescent="0.35">
      <c r="A3246">
        <v>330480</v>
      </c>
      <c r="B3246">
        <v>27871</v>
      </c>
      <c r="C3246" t="s">
        <v>3402</v>
      </c>
      <c r="D3246" t="s">
        <v>3321</v>
      </c>
      <c r="E3246" t="s">
        <v>3348</v>
      </c>
      <c r="F3246">
        <v>37477</v>
      </c>
      <c r="G3246">
        <v>1</v>
      </c>
      <c r="H3246" t="s">
        <v>16</v>
      </c>
      <c r="I3246" s="1">
        <v>-2164600</v>
      </c>
      <c r="J3246" s="1">
        <v>-4174700</v>
      </c>
      <c r="K3246">
        <v>15</v>
      </c>
      <c r="L3246">
        <v>1028</v>
      </c>
      <c r="M3246" t="s">
        <v>16</v>
      </c>
    </row>
    <row r="3247" spans="1:13" x14ac:dyDescent="0.35">
      <c r="A3247">
        <v>330490</v>
      </c>
      <c r="B3247">
        <v>27880</v>
      </c>
      <c r="C3247" t="s">
        <v>3403</v>
      </c>
      <c r="D3247" t="s">
        <v>3321</v>
      </c>
      <c r="E3247" t="s">
        <v>3336</v>
      </c>
      <c r="F3247">
        <v>960631</v>
      </c>
      <c r="G3247">
        <v>4</v>
      </c>
      <c r="H3247" t="s">
        <v>3337</v>
      </c>
      <c r="I3247" s="1">
        <v>-2282700</v>
      </c>
      <c r="J3247" s="1">
        <v>-4305400</v>
      </c>
      <c r="K3247">
        <v>19</v>
      </c>
      <c r="L3247">
        <v>249</v>
      </c>
      <c r="M3247" t="s">
        <v>16</v>
      </c>
    </row>
    <row r="3248" spans="1:13" x14ac:dyDescent="0.35">
      <c r="A3248">
        <v>330500</v>
      </c>
      <c r="B3248">
        <v>27898</v>
      </c>
      <c r="C3248" t="s">
        <v>3404</v>
      </c>
      <c r="D3248" t="s">
        <v>3321</v>
      </c>
      <c r="E3248" t="s">
        <v>3348</v>
      </c>
      <c r="F3248">
        <v>28889</v>
      </c>
      <c r="G3248">
        <v>1</v>
      </c>
      <c r="H3248" t="s">
        <v>16</v>
      </c>
      <c r="I3248" s="1">
        <v>-2164000</v>
      </c>
      <c r="J3248" s="1">
        <v>-4105100</v>
      </c>
      <c r="K3248">
        <v>5</v>
      </c>
      <c r="L3248">
        <v>458</v>
      </c>
      <c r="M3248" t="s">
        <v>16</v>
      </c>
    </row>
    <row r="3249" spans="1:13" x14ac:dyDescent="0.35">
      <c r="A3249">
        <v>330510</v>
      </c>
      <c r="B3249">
        <v>27901</v>
      </c>
      <c r="C3249" t="s">
        <v>3405</v>
      </c>
      <c r="D3249" t="s">
        <v>3321</v>
      </c>
      <c r="E3249" t="s">
        <v>3336</v>
      </c>
      <c r="F3249">
        <v>464282</v>
      </c>
      <c r="G3249">
        <v>4</v>
      </c>
      <c r="H3249" t="s">
        <v>3337</v>
      </c>
      <c r="I3249" s="1">
        <v>-2280400</v>
      </c>
      <c r="J3249" s="1">
        <v>-4337200</v>
      </c>
      <c r="K3249">
        <v>19</v>
      </c>
      <c r="L3249">
        <v>34</v>
      </c>
      <c r="M3249" t="s">
        <v>16</v>
      </c>
    </row>
    <row r="3250" spans="1:13" x14ac:dyDescent="0.35">
      <c r="A3250">
        <v>330513</v>
      </c>
      <c r="B3250">
        <v>58378</v>
      </c>
      <c r="C3250" t="s">
        <v>3406</v>
      </c>
      <c r="D3250" t="s">
        <v>3321</v>
      </c>
      <c r="E3250" t="s">
        <v>3324</v>
      </c>
      <c r="F3250">
        <v>6829</v>
      </c>
      <c r="G3250">
        <v>1</v>
      </c>
      <c r="H3250" t="s">
        <v>16</v>
      </c>
      <c r="I3250" s="1">
        <v>-2135800</v>
      </c>
      <c r="J3250" s="1">
        <v>-4194300</v>
      </c>
      <c r="K3250">
        <v>95</v>
      </c>
      <c r="L3250">
        <v>250</v>
      </c>
      <c r="M3250" t="s">
        <v>16</v>
      </c>
    </row>
    <row r="3251" spans="1:13" x14ac:dyDescent="0.35">
      <c r="A3251">
        <v>330515</v>
      </c>
      <c r="B3251">
        <v>45845</v>
      </c>
      <c r="C3251" t="s">
        <v>3407</v>
      </c>
      <c r="D3251" t="s">
        <v>3321</v>
      </c>
      <c r="E3251" t="s">
        <v>3386</v>
      </c>
      <c r="F3251">
        <v>19439</v>
      </c>
      <c r="G3251">
        <v>1</v>
      </c>
      <c r="H3251" t="s">
        <v>16</v>
      </c>
      <c r="I3251" s="1">
        <v>-2215100</v>
      </c>
      <c r="J3251" s="1">
        <v>-4292400</v>
      </c>
      <c r="K3251">
        <v>615</v>
      </c>
      <c r="L3251">
        <v>239</v>
      </c>
      <c r="M3251" t="s">
        <v>16</v>
      </c>
    </row>
    <row r="3252" spans="1:13" x14ac:dyDescent="0.35">
      <c r="A3252">
        <v>330520</v>
      </c>
      <c r="B3252">
        <v>27910</v>
      </c>
      <c r="C3252" t="s">
        <v>3408</v>
      </c>
      <c r="D3252" t="s">
        <v>3321</v>
      </c>
      <c r="E3252" t="s">
        <v>3326</v>
      </c>
      <c r="F3252">
        <v>75869</v>
      </c>
      <c r="G3252">
        <v>2</v>
      </c>
      <c r="H3252" t="s">
        <v>16</v>
      </c>
      <c r="I3252" s="1">
        <v>-2283900</v>
      </c>
      <c r="J3252" s="1">
        <v>-4210300</v>
      </c>
      <c r="K3252">
        <v>5</v>
      </c>
      <c r="L3252">
        <v>339</v>
      </c>
      <c r="M3252" t="s">
        <v>16</v>
      </c>
    </row>
    <row r="3253" spans="1:13" x14ac:dyDescent="0.35">
      <c r="A3253">
        <v>330530</v>
      </c>
      <c r="B3253">
        <v>27928</v>
      </c>
      <c r="C3253" t="s">
        <v>3409</v>
      </c>
      <c r="D3253" t="s">
        <v>3321</v>
      </c>
      <c r="E3253" t="s">
        <v>3399</v>
      </c>
      <c r="F3253">
        <v>8616</v>
      </c>
      <c r="G3253">
        <v>1</v>
      </c>
      <c r="H3253" t="s">
        <v>16</v>
      </c>
      <c r="I3253" s="1">
        <v>-2195700</v>
      </c>
      <c r="J3253" s="1">
        <v>-4213500</v>
      </c>
      <c r="K3253">
        <v>575</v>
      </c>
      <c r="L3253">
        <v>397</v>
      </c>
      <c r="M3253" t="s">
        <v>16</v>
      </c>
    </row>
    <row r="3254" spans="1:13" x14ac:dyDescent="0.35">
      <c r="A3254">
        <v>330540</v>
      </c>
      <c r="B3254">
        <v>27936</v>
      </c>
      <c r="C3254" t="s">
        <v>350</v>
      </c>
      <c r="D3254" t="s">
        <v>3321</v>
      </c>
      <c r="E3254" t="s">
        <v>3328</v>
      </c>
      <c r="F3254">
        <v>16858</v>
      </c>
      <c r="G3254">
        <v>1</v>
      </c>
      <c r="H3254" t="s">
        <v>16</v>
      </c>
      <c r="I3254" s="1">
        <v>-2199500</v>
      </c>
      <c r="J3254" s="1">
        <v>-4291400</v>
      </c>
      <c r="K3254">
        <v>221</v>
      </c>
      <c r="L3254">
        <v>540</v>
      </c>
      <c r="M3254" t="s">
        <v>16</v>
      </c>
    </row>
    <row r="3255" spans="1:13" x14ac:dyDescent="0.35">
      <c r="A3255">
        <v>330550</v>
      </c>
      <c r="B3255">
        <v>27944</v>
      </c>
      <c r="C3255" t="s">
        <v>3410</v>
      </c>
      <c r="D3255" t="s">
        <v>3321</v>
      </c>
      <c r="E3255" t="s">
        <v>3326</v>
      </c>
      <c r="F3255">
        <v>62174</v>
      </c>
      <c r="G3255">
        <v>2</v>
      </c>
      <c r="H3255" t="s">
        <v>16</v>
      </c>
      <c r="I3255" s="1">
        <v>-2292000</v>
      </c>
      <c r="J3255" s="1">
        <v>-4251000</v>
      </c>
      <c r="K3255">
        <v>10</v>
      </c>
      <c r="L3255">
        <v>354</v>
      </c>
      <c r="M3255" t="s">
        <v>16</v>
      </c>
    </row>
    <row r="3256" spans="1:13" x14ac:dyDescent="0.35">
      <c r="A3256">
        <v>330555</v>
      </c>
      <c r="B3256">
        <v>58386</v>
      </c>
      <c r="C3256" t="s">
        <v>3411</v>
      </c>
      <c r="D3256" t="s">
        <v>3321</v>
      </c>
      <c r="E3256" t="s">
        <v>3364</v>
      </c>
      <c r="F3256">
        <v>72466</v>
      </c>
      <c r="G3256">
        <v>4</v>
      </c>
      <c r="H3256" t="s">
        <v>3337</v>
      </c>
      <c r="I3256" s="1">
        <v>-2274400</v>
      </c>
      <c r="J3256" s="1">
        <v>-4370800</v>
      </c>
      <c r="K3256">
        <v>26</v>
      </c>
      <c r="L3256">
        <v>283</v>
      </c>
      <c r="M3256" t="s">
        <v>16</v>
      </c>
    </row>
    <row r="3257" spans="1:13" x14ac:dyDescent="0.35">
      <c r="A3257">
        <v>330560</v>
      </c>
      <c r="B3257">
        <v>27952</v>
      </c>
      <c r="C3257" t="s">
        <v>3412</v>
      </c>
      <c r="D3257" t="s">
        <v>3321</v>
      </c>
      <c r="E3257" t="s">
        <v>3353</v>
      </c>
      <c r="F3257">
        <v>21362</v>
      </c>
      <c r="G3257">
        <v>1</v>
      </c>
      <c r="H3257" t="s">
        <v>16</v>
      </c>
      <c r="I3257" s="1">
        <v>-2265100</v>
      </c>
      <c r="J3257" s="1">
        <v>-4239200</v>
      </c>
      <c r="K3257">
        <v>35</v>
      </c>
      <c r="L3257">
        <v>938</v>
      </c>
      <c r="M3257" t="s">
        <v>16</v>
      </c>
    </row>
    <row r="3258" spans="1:13" x14ac:dyDescent="0.35">
      <c r="A3258">
        <v>330570</v>
      </c>
      <c r="B3258">
        <v>27960</v>
      </c>
      <c r="C3258" t="s">
        <v>3413</v>
      </c>
      <c r="D3258" t="s">
        <v>3321</v>
      </c>
      <c r="E3258" t="s">
        <v>3338</v>
      </c>
      <c r="F3258">
        <v>14562</v>
      </c>
      <c r="G3258">
        <v>1</v>
      </c>
      <c r="H3258" t="s">
        <v>16</v>
      </c>
      <c r="I3258" s="1">
        <v>-2205000</v>
      </c>
      <c r="J3258" s="1">
        <v>-4267500</v>
      </c>
      <c r="K3258">
        <v>355</v>
      </c>
      <c r="L3258">
        <v>395</v>
      </c>
      <c r="M3258" t="s">
        <v>16</v>
      </c>
    </row>
    <row r="3259" spans="1:13" x14ac:dyDescent="0.35">
      <c r="A3259">
        <v>330575</v>
      </c>
      <c r="B3259">
        <v>56618</v>
      </c>
      <c r="C3259" t="s">
        <v>3414</v>
      </c>
      <c r="D3259" t="s">
        <v>3321</v>
      </c>
      <c r="E3259" t="s">
        <v>3336</v>
      </c>
      <c r="F3259">
        <v>28322</v>
      </c>
      <c r="G3259">
        <v>4</v>
      </c>
      <c r="H3259" t="s">
        <v>3337</v>
      </c>
      <c r="I3259" s="1">
        <v>-2273000</v>
      </c>
      <c r="J3259" s="1">
        <v>-4271400</v>
      </c>
      <c r="K3259">
        <v>20</v>
      </c>
      <c r="L3259">
        <v>146</v>
      </c>
      <c r="M3259" t="s">
        <v>16</v>
      </c>
    </row>
    <row r="3260" spans="1:13" x14ac:dyDescent="0.35">
      <c r="A3260">
        <v>330580</v>
      </c>
      <c r="B3260">
        <v>27979</v>
      </c>
      <c r="C3260" t="s">
        <v>3415</v>
      </c>
      <c r="D3260" t="s">
        <v>3321</v>
      </c>
      <c r="E3260" t="s">
        <v>3386</v>
      </c>
      <c r="F3260">
        <v>150268</v>
      </c>
      <c r="G3260">
        <v>3</v>
      </c>
      <c r="H3260" t="s">
        <v>16</v>
      </c>
      <c r="I3260" s="1">
        <v>-2241200</v>
      </c>
      <c r="J3260" s="1">
        <v>-4296600</v>
      </c>
      <c r="K3260">
        <v>871</v>
      </c>
      <c r="L3260">
        <v>770</v>
      </c>
      <c r="M3260" t="s">
        <v>16</v>
      </c>
    </row>
    <row r="3261" spans="1:13" x14ac:dyDescent="0.35">
      <c r="A3261">
        <v>330590</v>
      </c>
      <c r="B3261">
        <v>27987</v>
      </c>
      <c r="C3261" t="s">
        <v>3416</v>
      </c>
      <c r="D3261" t="s">
        <v>3321</v>
      </c>
      <c r="E3261" t="s">
        <v>3399</v>
      </c>
      <c r="F3261">
        <v>9706</v>
      </c>
      <c r="G3261">
        <v>1</v>
      </c>
      <c r="H3261" t="s">
        <v>16</v>
      </c>
      <c r="I3261" s="1">
        <v>-2206300</v>
      </c>
      <c r="J3261" s="1">
        <v>-4206600</v>
      </c>
      <c r="K3261">
        <v>655</v>
      </c>
      <c r="L3261">
        <v>589</v>
      </c>
      <c r="M3261" t="s">
        <v>16</v>
      </c>
    </row>
    <row r="3262" spans="1:13" x14ac:dyDescent="0.35">
      <c r="A3262">
        <v>330600</v>
      </c>
      <c r="B3262">
        <v>27995</v>
      </c>
      <c r="C3262" t="s">
        <v>3417</v>
      </c>
      <c r="D3262" t="s">
        <v>3321</v>
      </c>
      <c r="E3262" t="s">
        <v>3328</v>
      </c>
      <c r="F3262">
        <v>72848</v>
      </c>
      <c r="G3262">
        <v>2</v>
      </c>
      <c r="H3262" t="s">
        <v>16</v>
      </c>
      <c r="I3262" s="1">
        <v>-2211700</v>
      </c>
      <c r="J3262" s="1">
        <v>-4320900</v>
      </c>
      <c r="K3262">
        <v>269</v>
      </c>
      <c r="L3262">
        <v>324</v>
      </c>
      <c r="M3262" t="s">
        <v>16</v>
      </c>
    </row>
    <row r="3263" spans="1:13" x14ac:dyDescent="0.35">
      <c r="A3263">
        <v>330610</v>
      </c>
      <c r="B3263">
        <v>28002</v>
      </c>
      <c r="C3263" t="s">
        <v>2056</v>
      </c>
      <c r="D3263" t="s">
        <v>3321</v>
      </c>
      <c r="E3263" t="s">
        <v>3332</v>
      </c>
      <c r="F3263">
        <v>70850</v>
      </c>
      <c r="G3263">
        <v>2</v>
      </c>
      <c r="H3263" t="s">
        <v>16</v>
      </c>
      <c r="I3263" s="1">
        <v>-2224600</v>
      </c>
      <c r="J3263" s="1">
        <v>-4370000</v>
      </c>
      <c r="K3263">
        <v>560</v>
      </c>
      <c r="L3263">
        <v>1304</v>
      </c>
      <c r="M3263" t="s">
        <v>16</v>
      </c>
    </row>
    <row r="3264" spans="1:13" x14ac:dyDescent="0.35">
      <c r="A3264">
        <v>330615</v>
      </c>
      <c r="B3264">
        <v>51055</v>
      </c>
      <c r="C3264" t="s">
        <v>3418</v>
      </c>
      <c r="D3264" t="s">
        <v>3321</v>
      </c>
      <c r="E3264" t="s">
        <v>3340</v>
      </c>
      <c r="F3264">
        <v>8308</v>
      </c>
      <c r="G3264">
        <v>1</v>
      </c>
      <c r="H3264" t="s">
        <v>16</v>
      </c>
      <c r="I3264" s="1">
        <v>-2093100</v>
      </c>
      <c r="J3264" s="1">
        <v>-4186900</v>
      </c>
      <c r="K3264">
        <v>680</v>
      </c>
      <c r="L3264">
        <v>188</v>
      </c>
      <c r="M3264" t="s">
        <v>16</v>
      </c>
    </row>
    <row r="3265" spans="1:13" x14ac:dyDescent="0.35">
      <c r="A3265">
        <v>330620</v>
      </c>
      <c r="B3265">
        <v>28010</v>
      </c>
      <c r="C3265" t="s">
        <v>3359</v>
      </c>
      <c r="D3265" t="s">
        <v>3321</v>
      </c>
      <c r="E3265" t="s">
        <v>3359</v>
      </c>
      <c r="F3265">
        <v>32495</v>
      </c>
      <c r="G3265">
        <v>1</v>
      </c>
      <c r="H3265" t="s">
        <v>16</v>
      </c>
      <c r="I3265" s="1">
        <v>-2240400</v>
      </c>
      <c r="J3265" s="1">
        <v>-4366300</v>
      </c>
      <c r="K3265">
        <v>434</v>
      </c>
      <c r="L3265">
        <v>552</v>
      </c>
      <c r="M3265" t="s">
        <v>16</v>
      </c>
    </row>
    <row r="3266" spans="1:13" x14ac:dyDescent="0.35">
      <c r="A3266">
        <v>330630</v>
      </c>
      <c r="B3266">
        <v>28029</v>
      </c>
      <c r="C3266" t="s">
        <v>3419</v>
      </c>
      <c r="D3266" t="s">
        <v>3321</v>
      </c>
      <c r="E3266" t="s">
        <v>3334</v>
      </c>
      <c r="F3266">
        <v>255653</v>
      </c>
      <c r="G3266">
        <v>3</v>
      </c>
      <c r="H3266" t="s">
        <v>16</v>
      </c>
      <c r="I3266" s="1">
        <v>-2252300</v>
      </c>
      <c r="J3266" s="1">
        <v>-4410400</v>
      </c>
      <c r="K3266">
        <v>390</v>
      </c>
      <c r="L3266">
        <v>182</v>
      </c>
      <c r="M3266" t="s">
        <v>16</v>
      </c>
    </row>
    <row r="3267" spans="1:13" x14ac:dyDescent="0.35">
      <c r="A3267">
        <v>350010</v>
      </c>
      <c r="B3267">
        <v>28410</v>
      </c>
      <c r="C3267" t="s">
        <v>3420</v>
      </c>
      <c r="D3267" t="s">
        <v>3421</v>
      </c>
      <c r="E3267" t="s">
        <v>3420</v>
      </c>
      <c r="F3267">
        <v>33289</v>
      </c>
      <c r="G3267">
        <v>1</v>
      </c>
      <c r="H3267" t="s">
        <v>16</v>
      </c>
      <c r="I3267" s="1">
        <v>-2168500</v>
      </c>
      <c r="J3267" s="1">
        <v>-5107300</v>
      </c>
      <c r="K3267">
        <v>401</v>
      </c>
      <c r="L3267">
        <v>411</v>
      </c>
      <c r="M3267" t="s">
        <v>16</v>
      </c>
    </row>
    <row r="3268" spans="1:13" x14ac:dyDescent="0.35">
      <c r="A3268">
        <v>350020</v>
      </c>
      <c r="B3268">
        <v>28428</v>
      </c>
      <c r="C3268" t="s">
        <v>3422</v>
      </c>
      <c r="D3268" t="s">
        <v>3421</v>
      </c>
      <c r="E3268" t="s">
        <v>3423</v>
      </c>
      <c r="F3268">
        <v>3609</v>
      </c>
      <c r="G3268">
        <v>1</v>
      </c>
      <c r="H3268" t="s">
        <v>16</v>
      </c>
      <c r="I3268" s="1">
        <v>-2123500</v>
      </c>
      <c r="J3268" s="1">
        <v>-4964400</v>
      </c>
      <c r="K3268">
        <v>443</v>
      </c>
      <c r="L3268">
        <v>210</v>
      </c>
      <c r="M3268" t="s">
        <v>16</v>
      </c>
    </row>
    <row r="3269" spans="1:13" x14ac:dyDescent="0.35">
      <c r="A3269">
        <v>350030</v>
      </c>
      <c r="B3269">
        <v>28436</v>
      </c>
      <c r="C3269" t="s">
        <v>3424</v>
      </c>
      <c r="D3269" t="s">
        <v>3421</v>
      </c>
      <c r="E3269" t="s">
        <v>3425</v>
      </c>
      <c r="F3269">
        <v>30181</v>
      </c>
      <c r="G3269">
        <v>1</v>
      </c>
      <c r="H3269" t="s">
        <v>16</v>
      </c>
      <c r="I3269" s="1">
        <v>-2205900</v>
      </c>
      <c r="J3269" s="1">
        <v>-4697900</v>
      </c>
      <c r="K3269">
        <v>660</v>
      </c>
      <c r="L3269">
        <v>473</v>
      </c>
      <c r="M3269" t="s">
        <v>16</v>
      </c>
    </row>
    <row r="3270" spans="1:13" x14ac:dyDescent="0.35">
      <c r="A3270">
        <v>350040</v>
      </c>
      <c r="B3270">
        <v>28444</v>
      </c>
      <c r="C3270" t="s">
        <v>3426</v>
      </c>
      <c r="D3270" t="s">
        <v>3421</v>
      </c>
      <c r="E3270" t="s">
        <v>3427</v>
      </c>
      <c r="F3270">
        <v>7367</v>
      </c>
      <c r="G3270">
        <v>1</v>
      </c>
      <c r="H3270" t="s">
        <v>16</v>
      </c>
      <c r="I3270" s="1">
        <v>-2193700</v>
      </c>
      <c r="J3270" s="1">
        <v>-4671700</v>
      </c>
      <c r="K3270">
        <v>842</v>
      </c>
      <c r="L3270">
        <v>142</v>
      </c>
      <c r="M3270" t="s">
        <v>16</v>
      </c>
    </row>
    <row r="3271" spans="1:13" x14ac:dyDescent="0.35">
      <c r="A3271">
        <v>350050</v>
      </c>
      <c r="B3271">
        <v>28452</v>
      </c>
      <c r="C3271" t="s">
        <v>3428</v>
      </c>
      <c r="D3271" t="s">
        <v>3421</v>
      </c>
      <c r="E3271" t="s">
        <v>1406</v>
      </c>
      <c r="F3271">
        <v>15867</v>
      </c>
      <c r="G3271">
        <v>1</v>
      </c>
      <c r="H3271" t="s">
        <v>16</v>
      </c>
      <c r="I3271" s="1">
        <v>-2247600</v>
      </c>
      <c r="J3271" s="1">
        <v>-4663300</v>
      </c>
      <c r="K3271">
        <v>904</v>
      </c>
      <c r="L3271">
        <v>60</v>
      </c>
      <c r="M3271" t="s">
        <v>16</v>
      </c>
    </row>
    <row r="3272" spans="1:13" x14ac:dyDescent="0.35">
      <c r="A3272">
        <v>350055</v>
      </c>
      <c r="B3272">
        <v>32999</v>
      </c>
      <c r="C3272" t="s">
        <v>3429</v>
      </c>
      <c r="D3272" t="s">
        <v>3421</v>
      </c>
      <c r="E3272" t="s">
        <v>3430</v>
      </c>
      <c r="F3272">
        <v>5360</v>
      </c>
      <c r="G3272">
        <v>1</v>
      </c>
      <c r="H3272" t="s">
        <v>16</v>
      </c>
      <c r="I3272" s="1">
        <v>-2288100</v>
      </c>
      <c r="J3272" s="1">
        <v>-4923900</v>
      </c>
      <c r="K3272">
        <v>644</v>
      </c>
      <c r="L3272">
        <v>408</v>
      </c>
      <c r="M3272" t="s">
        <v>16</v>
      </c>
    </row>
    <row r="3273" spans="1:13" x14ac:dyDescent="0.35">
      <c r="A3273">
        <v>350060</v>
      </c>
      <c r="B3273">
        <v>28460</v>
      </c>
      <c r="C3273" t="s">
        <v>3431</v>
      </c>
      <c r="D3273" t="s">
        <v>3421</v>
      </c>
      <c r="E3273" t="s">
        <v>3432</v>
      </c>
      <c r="F3273">
        <v>2340</v>
      </c>
      <c r="G3273">
        <v>1</v>
      </c>
      <c r="H3273" t="s">
        <v>16</v>
      </c>
      <c r="I3273" s="1">
        <v>-2259900</v>
      </c>
      <c r="J3273" s="1">
        <v>-4787600</v>
      </c>
      <c r="K3273">
        <v>470</v>
      </c>
      <c r="L3273">
        <v>3</v>
      </c>
      <c r="M3273" t="s">
        <v>16</v>
      </c>
    </row>
    <row r="3274" spans="1:13" x14ac:dyDescent="0.35">
      <c r="A3274">
        <v>350070</v>
      </c>
      <c r="B3274">
        <v>28479</v>
      </c>
      <c r="C3274" t="s">
        <v>3433</v>
      </c>
      <c r="D3274" t="s">
        <v>3421</v>
      </c>
      <c r="E3274" t="s">
        <v>3434</v>
      </c>
      <c r="F3274">
        <v>34221</v>
      </c>
      <c r="G3274">
        <v>1</v>
      </c>
      <c r="H3274" t="s">
        <v>16</v>
      </c>
      <c r="I3274" s="1">
        <v>-2246900</v>
      </c>
      <c r="J3274" s="1">
        <v>-4898800</v>
      </c>
      <c r="K3274">
        <v>580</v>
      </c>
      <c r="L3274">
        <v>967</v>
      </c>
      <c r="M3274" t="s">
        <v>16</v>
      </c>
    </row>
    <row r="3275" spans="1:13" x14ac:dyDescent="0.35">
      <c r="A3275">
        <v>350075</v>
      </c>
      <c r="B3275">
        <v>51063</v>
      </c>
      <c r="C3275" t="s">
        <v>3435</v>
      </c>
      <c r="D3275" t="s">
        <v>3421</v>
      </c>
      <c r="E3275" t="s">
        <v>3436</v>
      </c>
      <c r="F3275">
        <v>4070</v>
      </c>
      <c r="G3275">
        <v>1</v>
      </c>
      <c r="H3275" t="s">
        <v>16</v>
      </c>
      <c r="I3275" s="1">
        <v>-2355100</v>
      </c>
      <c r="J3275" s="1">
        <v>-4789900</v>
      </c>
      <c r="K3275">
        <v>585</v>
      </c>
      <c r="L3275">
        <v>159</v>
      </c>
      <c r="M3275" t="s">
        <v>16</v>
      </c>
    </row>
    <row r="3276" spans="1:13" x14ac:dyDescent="0.35">
      <c r="A3276">
        <v>350080</v>
      </c>
      <c r="B3276">
        <v>28487</v>
      </c>
      <c r="C3276" t="s">
        <v>3437</v>
      </c>
      <c r="D3276" t="s">
        <v>3421</v>
      </c>
      <c r="E3276" t="s">
        <v>3438</v>
      </c>
      <c r="F3276">
        <v>3851</v>
      </c>
      <c r="G3276">
        <v>1</v>
      </c>
      <c r="H3276" t="s">
        <v>16</v>
      </c>
      <c r="I3276" s="1">
        <v>-2195500</v>
      </c>
      <c r="J3276" s="1">
        <v>-5141300</v>
      </c>
      <c r="K3276">
        <v>448</v>
      </c>
      <c r="L3276">
        <v>119</v>
      </c>
      <c r="M3276" t="s">
        <v>16</v>
      </c>
    </row>
    <row r="3277" spans="1:13" x14ac:dyDescent="0.35">
      <c r="A3277">
        <v>350090</v>
      </c>
      <c r="B3277">
        <v>28495</v>
      </c>
      <c r="C3277" t="s">
        <v>3439</v>
      </c>
      <c r="D3277" t="s">
        <v>3421</v>
      </c>
      <c r="E3277" t="s">
        <v>3423</v>
      </c>
      <c r="F3277">
        <v>3272</v>
      </c>
      <c r="G3277">
        <v>1</v>
      </c>
      <c r="H3277" t="s">
        <v>16</v>
      </c>
      <c r="I3277" s="1">
        <v>-2052400</v>
      </c>
      <c r="J3277" s="1">
        <v>-4905900</v>
      </c>
      <c r="K3277">
        <v>557</v>
      </c>
      <c r="L3277">
        <v>316</v>
      </c>
      <c r="M3277" t="s">
        <v>16</v>
      </c>
    </row>
    <row r="3278" spans="1:13" x14ac:dyDescent="0.35">
      <c r="A3278">
        <v>350100</v>
      </c>
      <c r="B3278">
        <v>28509</v>
      </c>
      <c r="C3278" t="s">
        <v>3440</v>
      </c>
      <c r="D3278" t="s">
        <v>3421</v>
      </c>
      <c r="E3278" t="s">
        <v>3441</v>
      </c>
      <c r="F3278">
        <v>15139</v>
      </c>
      <c r="G3278">
        <v>1</v>
      </c>
      <c r="H3278" t="s">
        <v>16</v>
      </c>
      <c r="I3278" s="1">
        <v>-2102600</v>
      </c>
      <c r="J3278" s="1">
        <v>-4737400</v>
      </c>
      <c r="K3278">
        <v>889</v>
      </c>
      <c r="L3278">
        <v>929</v>
      </c>
      <c r="M3278" t="s">
        <v>16</v>
      </c>
    </row>
    <row r="3279" spans="1:13" x14ac:dyDescent="0.35">
      <c r="A3279">
        <v>350110</v>
      </c>
      <c r="B3279">
        <v>28517</v>
      </c>
      <c r="C3279" t="s">
        <v>171</v>
      </c>
      <c r="D3279" t="s">
        <v>3421</v>
      </c>
      <c r="E3279" t="s">
        <v>3442</v>
      </c>
      <c r="F3279">
        <v>4157</v>
      </c>
      <c r="G3279">
        <v>1</v>
      </c>
      <c r="H3279" t="s">
        <v>16</v>
      </c>
      <c r="I3279" s="1">
        <v>-2158100</v>
      </c>
      <c r="J3279" s="1">
        <v>-5016400</v>
      </c>
      <c r="K3279">
        <v>521</v>
      </c>
      <c r="L3279">
        <v>318</v>
      </c>
      <c r="M3279" t="s">
        <v>16</v>
      </c>
    </row>
    <row r="3280" spans="1:13" x14ac:dyDescent="0.35">
      <c r="A3280">
        <v>350115</v>
      </c>
      <c r="B3280">
        <v>51071</v>
      </c>
      <c r="C3280" t="s">
        <v>3443</v>
      </c>
      <c r="D3280" t="s">
        <v>3421</v>
      </c>
      <c r="E3280" t="s">
        <v>3444</v>
      </c>
      <c r="F3280">
        <v>15678</v>
      </c>
      <c r="G3280">
        <v>1</v>
      </c>
      <c r="H3280" t="s">
        <v>16</v>
      </c>
      <c r="I3280" s="1">
        <v>-2353500</v>
      </c>
      <c r="J3280" s="1">
        <v>-4726200</v>
      </c>
      <c r="K3280">
        <v>790</v>
      </c>
      <c r="L3280">
        <v>83</v>
      </c>
      <c r="M3280" t="s">
        <v>16</v>
      </c>
    </row>
    <row r="3281" spans="1:13" x14ac:dyDescent="0.35">
      <c r="A3281">
        <v>350120</v>
      </c>
      <c r="B3281">
        <v>28525</v>
      </c>
      <c r="C3281" t="s">
        <v>3445</v>
      </c>
      <c r="D3281" t="s">
        <v>3421</v>
      </c>
      <c r="E3281" t="s">
        <v>3446</v>
      </c>
      <c r="F3281">
        <v>3902</v>
      </c>
      <c r="G3281">
        <v>1</v>
      </c>
      <c r="H3281" t="s">
        <v>16</v>
      </c>
      <c r="I3281" s="1">
        <v>-2032100</v>
      </c>
      <c r="J3281" s="1">
        <v>-4991100</v>
      </c>
      <c r="K3281">
        <v>452</v>
      </c>
      <c r="L3281">
        <v>361</v>
      </c>
      <c r="M3281" t="s">
        <v>16</v>
      </c>
    </row>
    <row r="3282" spans="1:13" x14ac:dyDescent="0.35">
      <c r="A3282">
        <v>350130</v>
      </c>
      <c r="B3282">
        <v>28533</v>
      </c>
      <c r="C3282" t="s">
        <v>3447</v>
      </c>
      <c r="D3282" t="s">
        <v>3421</v>
      </c>
      <c r="E3282" t="s">
        <v>3438</v>
      </c>
      <c r="F3282">
        <v>22859</v>
      </c>
      <c r="G3282">
        <v>1</v>
      </c>
      <c r="H3282" t="s">
        <v>16</v>
      </c>
      <c r="I3282" s="1">
        <v>-2207900</v>
      </c>
      <c r="J3282" s="1">
        <v>-5147200</v>
      </c>
      <c r="K3282">
        <v>475</v>
      </c>
      <c r="L3282">
        <v>346</v>
      </c>
      <c r="M3282" t="s">
        <v>16</v>
      </c>
    </row>
    <row r="3283" spans="1:13" x14ac:dyDescent="0.35">
      <c r="A3283">
        <v>350140</v>
      </c>
      <c r="B3283">
        <v>28541</v>
      </c>
      <c r="C3283" t="s">
        <v>3448</v>
      </c>
      <c r="D3283" t="s">
        <v>3421</v>
      </c>
      <c r="E3283" t="s">
        <v>3449</v>
      </c>
      <c r="F3283">
        <v>4610</v>
      </c>
      <c r="G3283">
        <v>1</v>
      </c>
      <c r="H3283" t="s">
        <v>16</v>
      </c>
      <c r="I3283" s="1">
        <v>-2208900</v>
      </c>
      <c r="J3283" s="1">
        <v>-4971900</v>
      </c>
      <c r="K3283">
        <v>627</v>
      </c>
      <c r="L3283">
        <v>152</v>
      </c>
      <c r="M3283" t="s">
        <v>16</v>
      </c>
    </row>
    <row r="3284" spans="1:13" x14ac:dyDescent="0.35">
      <c r="A3284">
        <v>350150</v>
      </c>
      <c r="B3284">
        <v>28550</v>
      </c>
      <c r="C3284" t="s">
        <v>3450</v>
      </c>
      <c r="D3284" t="s">
        <v>3421</v>
      </c>
      <c r="E3284" t="s">
        <v>3449</v>
      </c>
      <c r="F3284">
        <v>2787</v>
      </c>
      <c r="G3284">
        <v>1</v>
      </c>
      <c r="H3284" t="s">
        <v>16</v>
      </c>
      <c r="I3284" s="1">
        <v>-2244400</v>
      </c>
      <c r="J3284" s="1">
        <v>-4976300</v>
      </c>
      <c r="K3284">
        <v>658</v>
      </c>
      <c r="L3284">
        <v>85</v>
      </c>
      <c r="M3284" t="s">
        <v>16</v>
      </c>
    </row>
    <row r="3285" spans="1:13" x14ac:dyDescent="0.35">
      <c r="A3285">
        <v>350160</v>
      </c>
      <c r="B3285">
        <v>28568</v>
      </c>
      <c r="C3285" t="s">
        <v>3451</v>
      </c>
      <c r="D3285" t="s">
        <v>3421</v>
      </c>
      <c r="E3285" t="s">
        <v>3452</v>
      </c>
      <c r="F3285">
        <v>199094</v>
      </c>
      <c r="G3285">
        <v>4</v>
      </c>
      <c r="H3285" t="s">
        <v>3453</v>
      </c>
      <c r="I3285" s="1">
        <v>-2273900</v>
      </c>
      <c r="J3285" s="1">
        <v>-4733100</v>
      </c>
      <c r="K3285">
        <v>545</v>
      </c>
      <c r="L3285">
        <v>133</v>
      </c>
      <c r="M3285" t="s">
        <v>16</v>
      </c>
    </row>
    <row r="3286" spans="1:13" x14ac:dyDescent="0.35">
      <c r="A3286">
        <v>350170</v>
      </c>
      <c r="B3286">
        <v>28576</v>
      </c>
      <c r="C3286" t="s">
        <v>3454</v>
      </c>
      <c r="D3286" t="s">
        <v>3421</v>
      </c>
      <c r="E3286" t="s">
        <v>3455</v>
      </c>
      <c r="F3286">
        <v>31005</v>
      </c>
      <c r="G3286">
        <v>1</v>
      </c>
      <c r="H3286" t="s">
        <v>16</v>
      </c>
      <c r="I3286" s="1">
        <v>-2172400</v>
      </c>
      <c r="J3286" s="1">
        <v>-4810200</v>
      </c>
      <c r="K3286">
        <v>715</v>
      </c>
      <c r="L3286">
        <v>123</v>
      </c>
      <c r="M3286" t="s">
        <v>16</v>
      </c>
    </row>
    <row r="3287" spans="1:13" x14ac:dyDescent="0.35">
      <c r="A3287">
        <v>350180</v>
      </c>
      <c r="B3287">
        <v>28584</v>
      </c>
      <c r="C3287" t="s">
        <v>3456</v>
      </c>
      <c r="D3287" t="s">
        <v>3421</v>
      </c>
      <c r="E3287" t="s">
        <v>3446</v>
      </c>
      <c r="F3287">
        <v>5379</v>
      </c>
      <c r="G3287">
        <v>1</v>
      </c>
      <c r="H3287" t="s">
        <v>16</v>
      </c>
      <c r="I3287" s="1">
        <v>-2029900</v>
      </c>
      <c r="J3287" s="1">
        <v>-4973200</v>
      </c>
      <c r="K3287">
        <v>471</v>
      </c>
      <c r="L3287">
        <v>253</v>
      </c>
      <c r="M3287" t="s">
        <v>16</v>
      </c>
    </row>
    <row r="3288" spans="1:13" x14ac:dyDescent="0.35">
      <c r="A3288">
        <v>350190</v>
      </c>
      <c r="B3288">
        <v>28592</v>
      </c>
      <c r="C3288" t="s">
        <v>1406</v>
      </c>
      <c r="D3288" t="s">
        <v>3421</v>
      </c>
      <c r="E3288" t="s">
        <v>1406</v>
      </c>
      <c r="F3288">
        <v>62692</v>
      </c>
      <c r="G3288">
        <v>2</v>
      </c>
      <c r="H3288" t="s">
        <v>16</v>
      </c>
      <c r="I3288" s="1">
        <v>-2270100</v>
      </c>
      <c r="J3288" s="1">
        <v>-4676400</v>
      </c>
      <c r="K3288">
        <v>674</v>
      </c>
      <c r="L3288">
        <v>446</v>
      </c>
      <c r="M3288" t="s">
        <v>16</v>
      </c>
    </row>
    <row r="3289" spans="1:13" x14ac:dyDescent="0.35">
      <c r="A3289">
        <v>350200</v>
      </c>
      <c r="B3289">
        <v>28606</v>
      </c>
      <c r="C3289" t="s">
        <v>3457</v>
      </c>
      <c r="D3289" t="s">
        <v>3421</v>
      </c>
      <c r="E3289" t="s">
        <v>3458</v>
      </c>
      <c r="F3289">
        <v>4166</v>
      </c>
      <c r="G3289">
        <v>1</v>
      </c>
      <c r="H3289" t="s">
        <v>16</v>
      </c>
      <c r="I3289" s="1">
        <v>-2212600</v>
      </c>
      <c r="J3289" s="1">
        <v>-4766300</v>
      </c>
      <c r="K3289">
        <v>675</v>
      </c>
      <c r="L3289">
        <v>326</v>
      </c>
      <c r="M3289" t="s">
        <v>16</v>
      </c>
    </row>
    <row r="3290" spans="1:13" x14ac:dyDescent="0.35">
      <c r="A3290">
        <v>350210</v>
      </c>
      <c r="B3290">
        <v>28614</v>
      </c>
      <c r="C3290" t="s">
        <v>3459</v>
      </c>
      <c r="D3290" t="s">
        <v>3421</v>
      </c>
      <c r="E3290" t="s">
        <v>3459</v>
      </c>
      <c r="F3290">
        <v>54753</v>
      </c>
      <c r="G3290">
        <v>2</v>
      </c>
      <c r="H3290" t="s">
        <v>16</v>
      </c>
      <c r="I3290" s="1">
        <v>-2089600</v>
      </c>
      <c r="J3290" s="1">
        <v>-5137900</v>
      </c>
      <c r="K3290">
        <v>405</v>
      </c>
      <c r="L3290">
        <v>960</v>
      </c>
      <c r="M3290" t="s">
        <v>16</v>
      </c>
    </row>
    <row r="3291" spans="1:13" x14ac:dyDescent="0.35">
      <c r="A3291">
        <v>350220</v>
      </c>
      <c r="B3291">
        <v>28622</v>
      </c>
      <c r="C3291" t="s">
        <v>3460</v>
      </c>
      <c r="D3291" t="s">
        <v>3421</v>
      </c>
      <c r="E3291" t="s">
        <v>3436</v>
      </c>
      <c r="F3291">
        <v>21523</v>
      </c>
      <c r="G3291">
        <v>1</v>
      </c>
      <c r="H3291" t="s">
        <v>16</v>
      </c>
      <c r="I3291" s="1">
        <v>-2349000</v>
      </c>
      <c r="J3291" s="1">
        <v>-4841300</v>
      </c>
      <c r="K3291">
        <v>624</v>
      </c>
      <c r="L3291">
        <v>1028</v>
      </c>
      <c r="M3291" t="s">
        <v>16</v>
      </c>
    </row>
    <row r="3292" spans="1:13" x14ac:dyDescent="0.35">
      <c r="A3292">
        <v>350230</v>
      </c>
      <c r="B3292">
        <v>28630</v>
      </c>
      <c r="C3292" t="s">
        <v>3461</v>
      </c>
      <c r="D3292" t="s">
        <v>3421</v>
      </c>
      <c r="E3292" t="s">
        <v>3462</v>
      </c>
      <c r="F3292">
        <v>5271</v>
      </c>
      <c r="G3292">
        <v>1</v>
      </c>
      <c r="H3292" t="s">
        <v>16</v>
      </c>
      <c r="I3292" s="1">
        <v>-2278900</v>
      </c>
      <c r="J3292" s="1">
        <v>-4812700</v>
      </c>
      <c r="K3292">
        <v>472</v>
      </c>
      <c r="L3292">
        <v>736</v>
      </c>
      <c r="M3292" t="s">
        <v>16</v>
      </c>
    </row>
    <row r="3293" spans="1:13" x14ac:dyDescent="0.35">
      <c r="A3293">
        <v>350240</v>
      </c>
      <c r="B3293">
        <v>28649</v>
      </c>
      <c r="C3293" t="s">
        <v>3463</v>
      </c>
      <c r="D3293" t="s">
        <v>3421</v>
      </c>
      <c r="E3293" t="s">
        <v>3438</v>
      </c>
      <c r="F3293">
        <v>3695</v>
      </c>
      <c r="G3293">
        <v>1</v>
      </c>
      <c r="H3293" t="s">
        <v>16</v>
      </c>
      <c r="I3293" s="1">
        <v>-2229500</v>
      </c>
      <c r="J3293" s="1">
        <v>-5138700</v>
      </c>
      <c r="K3293">
        <v>422</v>
      </c>
      <c r="L3293">
        <v>320</v>
      </c>
      <c r="M3293" t="s">
        <v>16</v>
      </c>
    </row>
    <row r="3294" spans="1:13" x14ac:dyDescent="0.35">
      <c r="A3294">
        <v>350250</v>
      </c>
      <c r="B3294">
        <v>28657</v>
      </c>
      <c r="C3294" t="s">
        <v>1408</v>
      </c>
      <c r="D3294" t="s">
        <v>3421</v>
      </c>
      <c r="E3294" t="s">
        <v>3464</v>
      </c>
      <c r="F3294">
        <v>35903</v>
      </c>
      <c r="G3294">
        <v>1</v>
      </c>
      <c r="H3294" t="s">
        <v>16</v>
      </c>
      <c r="I3294" s="1">
        <v>-2284700</v>
      </c>
      <c r="J3294" s="1">
        <v>-4523000</v>
      </c>
      <c r="K3294">
        <v>542</v>
      </c>
      <c r="L3294">
        <v>120</v>
      </c>
      <c r="M3294" t="s">
        <v>16</v>
      </c>
    </row>
    <row r="3295" spans="1:13" x14ac:dyDescent="0.35">
      <c r="A3295">
        <v>350260</v>
      </c>
      <c r="B3295">
        <v>28665</v>
      </c>
      <c r="C3295" t="s">
        <v>3465</v>
      </c>
      <c r="D3295" t="s">
        <v>3421</v>
      </c>
      <c r="E3295" t="s">
        <v>3466</v>
      </c>
      <c r="F3295">
        <v>4577</v>
      </c>
      <c r="G3295">
        <v>1</v>
      </c>
      <c r="H3295" t="s">
        <v>16</v>
      </c>
      <c r="I3295" s="1">
        <v>-2044900</v>
      </c>
      <c r="J3295" s="1">
        <v>-5088000</v>
      </c>
      <c r="K3295">
        <v>413</v>
      </c>
      <c r="L3295">
        <v>179</v>
      </c>
      <c r="M3295" t="s">
        <v>16</v>
      </c>
    </row>
    <row r="3296" spans="1:13" x14ac:dyDescent="0.35">
      <c r="A3296">
        <v>350270</v>
      </c>
      <c r="B3296">
        <v>28673</v>
      </c>
      <c r="C3296" t="s">
        <v>3467</v>
      </c>
      <c r="D3296" t="s">
        <v>3421</v>
      </c>
      <c r="E3296" t="s">
        <v>3468</v>
      </c>
      <c r="F3296">
        <v>25463</v>
      </c>
      <c r="G3296">
        <v>1</v>
      </c>
      <c r="H3296" t="s">
        <v>16</v>
      </c>
      <c r="I3296" s="1">
        <v>-2450900</v>
      </c>
      <c r="J3296" s="1">
        <v>-4884300</v>
      </c>
      <c r="K3296">
        <v>925</v>
      </c>
      <c r="L3296">
        <v>968</v>
      </c>
      <c r="M3296" t="s">
        <v>16</v>
      </c>
    </row>
    <row r="3297" spans="1:13" x14ac:dyDescent="0.35">
      <c r="A3297">
        <v>350275</v>
      </c>
      <c r="B3297">
        <v>51080</v>
      </c>
      <c r="C3297" t="s">
        <v>3469</v>
      </c>
      <c r="D3297" t="s">
        <v>3421</v>
      </c>
      <c r="E3297" t="s">
        <v>3444</v>
      </c>
      <c r="F3297">
        <v>12291</v>
      </c>
      <c r="G3297">
        <v>1</v>
      </c>
      <c r="H3297" t="s">
        <v>16</v>
      </c>
      <c r="I3297" s="1">
        <v>-2343900</v>
      </c>
      <c r="J3297" s="1">
        <v>-4706100</v>
      </c>
      <c r="K3297">
        <v>695</v>
      </c>
      <c r="L3297">
        <v>146</v>
      </c>
      <c r="M3297" t="s">
        <v>16</v>
      </c>
    </row>
    <row r="3298" spans="1:13" x14ac:dyDescent="0.35">
      <c r="A3298">
        <v>350280</v>
      </c>
      <c r="B3298">
        <v>28681</v>
      </c>
      <c r="C3298" t="s">
        <v>3470</v>
      </c>
      <c r="D3298" t="s">
        <v>3421</v>
      </c>
      <c r="E3298" t="s">
        <v>3470</v>
      </c>
      <c r="F3298">
        <v>178839</v>
      </c>
      <c r="G3298">
        <v>3</v>
      </c>
      <c r="H3298" t="s">
        <v>16</v>
      </c>
      <c r="I3298" s="1">
        <v>-2120900</v>
      </c>
      <c r="J3298" s="1">
        <v>-5043300</v>
      </c>
      <c r="K3298">
        <v>390</v>
      </c>
      <c r="L3298">
        <v>1167</v>
      </c>
      <c r="M3298" t="s">
        <v>16</v>
      </c>
    </row>
    <row r="3299" spans="1:13" x14ac:dyDescent="0.35">
      <c r="A3299">
        <v>350290</v>
      </c>
      <c r="B3299">
        <v>28690</v>
      </c>
      <c r="C3299" t="s">
        <v>3471</v>
      </c>
      <c r="D3299" t="s">
        <v>3421</v>
      </c>
      <c r="E3299" t="s">
        <v>3444</v>
      </c>
      <c r="F3299">
        <v>24022</v>
      </c>
      <c r="G3299">
        <v>1</v>
      </c>
      <c r="H3299" t="s">
        <v>16</v>
      </c>
      <c r="I3299" s="1">
        <v>-2350500</v>
      </c>
      <c r="J3299" s="1">
        <v>-4761400</v>
      </c>
      <c r="K3299">
        <v>625</v>
      </c>
      <c r="L3299">
        <v>255</v>
      </c>
      <c r="M3299" t="s">
        <v>16</v>
      </c>
    </row>
    <row r="3300" spans="1:13" x14ac:dyDescent="0.35">
      <c r="A3300">
        <v>350300</v>
      </c>
      <c r="B3300">
        <v>28703</v>
      </c>
      <c r="C3300" t="s">
        <v>3472</v>
      </c>
      <c r="D3300" t="s">
        <v>3421</v>
      </c>
      <c r="E3300" t="s">
        <v>3473</v>
      </c>
      <c r="F3300">
        <v>5019</v>
      </c>
      <c r="G3300">
        <v>1</v>
      </c>
      <c r="H3300" t="s">
        <v>16</v>
      </c>
      <c r="I3300" s="1">
        <v>-2009000</v>
      </c>
      <c r="J3300" s="1">
        <v>-4778600</v>
      </c>
      <c r="K3300">
        <v>614</v>
      </c>
      <c r="L3300">
        <v>202</v>
      </c>
      <c r="M3300" t="s">
        <v>16</v>
      </c>
    </row>
    <row r="3301" spans="1:13" x14ac:dyDescent="0.35">
      <c r="A3301">
        <v>350310</v>
      </c>
      <c r="B3301">
        <v>28711</v>
      </c>
      <c r="C3301" t="s">
        <v>3474</v>
      </c>
      <c r="D3301" t="s">
        <v>3421</v>
      </c>
      <c r="E3301" t="s">
        <v>3430</v>
      </c>
      <c r="F3301">
        <v>6013</v>
      </c>
      <c r="G3301">
        <v>1</v>
      </c>
      <c r="H3301" t="s">
        <v>16</v>
      </c>
      <c r="I3301" s="1">
        <v>-2313400</v>
      </c>
      <c r="J3301" s="1">
        <v>-4905400</v>
      </c>
      <c r="K3301">
        <v>640</v>
      </c>
      <c r="L3301">
        <v>286</v>
      </c>
      <c r="M3301" t="s">
        <v>16</v>
      </c>
    </row>
    <row r="3302" spans="1:13" x14ac:dyDescent="0.35">
      <c r="A3302">
        <v>350315</v>
      </c>
      <c r="B3302">
        <v>51098</v>
      </c>
      <c r="C3302" t="s">
        <v>3475</v>
      </c>
      <c r="D3302" t="s">
        <v>3421</v>
      </c>
      <c r="E3302" t="s">
        <v>3476</v>
      </c>
      <c r="F3302">
        <v>2527</v>
      </c>
      <c r="G3302">
        <v>1</v>
      </c>
      <c r="H3302" t="s">
        <v>16</v>
      </c>
      <c r="I3302" s="1">
        <v>-2267400</v>
      </c>
      <c r="J3302" s="1">
        <v>-4444800</v>
      </c>
      <c r="K3302">
        <v>510</v>
      </c>
      <c r="L3302">
        <v>155</v>
      </c>
      <c r="M3302" t="s">
        <v>16</v>
      </c>
    </row>
    <row r="3303" spans="1:13" x14ac:dyDescent="0.35">
      <c r="A3303">
        <v>350320</v>
      </c>
      <c r="B3303">
        <v>28720</v>
      </c>
      <c r="C3303" t="s">
        <v>3455</v>
      </c>
      <c r="D3303" t="s">
        <v>3421</v>
      </c>
      <c r="E3303" t="s">
        <v>3455</v>
      </c>
      <c r="F3303">
        <v>195815</v>
      </c>
      <c r="G3303">
        <v>3</v>
      </c>
      <c r="H3303" t="s">
        <v>16</v>
      </c>
      <c r="I3303" s="1">
        <v>-2179400</v>
      </c>
      <c r="J3303" s="1">
        <v>-4817600</v>
      </c>
      <c r="K3303">
        <v>664</v>
      </c>
      <c r="L3303">
        <v>1005</v>
      </c>
      <c r="M3303" t="s">
        <v>16</v>
      </c>
    </row>
    <row r="3304" spans="1:13" x14ac:dyDescent="0.35">
      <c r="A3304">
        <v>350330</v>
      </c>
      <c r="B3304">
        <v>28738</v>
      </c>
      <c r="C3304" t="s">
        <v>3477</v>
      </c>
      <c r="D3304" t="s">
        <v>3421</v>
      </c>
      <c r="E3304" t="s">
        <v>3478</v>
      </c>
      <c r="F3304">
        <v>108689</v>
      </c>
      <c r="G3304">
        <v>3</v>
      </c>
      <c r="H3304" t="s">
        <v>16</v>
      </c>
      <c r="I3304" s="1">
        <v>-2235700</v>
      </c>
      <c r="J3304" s="1">
        <v>-4738400</v>
      </c>
      <c r="K3304">
        <v>629</v>
      </c>
      <c r="L3304">
        <v>643</v>
      </c>
      <c r="M3304" t="s">
        <v>16</v>
      </c>
    </row>
    <row r="3305" spans="1:13" x14ac:dyDescent="0.35">
      <c r="A3305">
        <v>350335</v>
      </c>
      <c r="B3305">
        <v>56375</v>
      </c>
      <c r="C3305" t="s">
        <v>3479</v>
      </c>
      <c r="D3305" t="s">
        <v>3421</v>
      </c>
      <c r="E3305" t="s">
        <v>3480</v>
      </c>
      <c r="F3305">
        <v>2003</v>
      </c>
      <c r="G3305">
        <v>1</v>
      </c>
      <c r="H3305" t="s">
        <v>16</v>
      </c>
      <c r="I3305" s="1">
        <v>-2177300</v>
      </c>
      <c r="J3305" s="1">
        <v>-5046500</v>
      </c>
      <c r="K3305">
        <v>419</v>
      </c>
      <c r="L3305">
        <v>263</v>
      </c>
      <c r="M3305" t="s">
        <v>16</v>
      </c>
    </row>
    <row r="3306" spans="1:13" x14ac:dyDescent="0.35">
      <c r="A3306">
        <v>350340</v>
      </c>
      <c r="B3306">
        <v>28746</v>
      </c>
      <c r="C3306" t="s">
        <v>3481</v>
      </c>
      <c r="D3306" t="s">
        <v>3421</v>
      </c>
      <c r="E3306" t="s">
        <v>3434</v>
      </c>
      <c r="F3306">
        <v>7504</v>
      </c>
      <c r="G3306">
        <v>1</v>
      </c>
      <c r="H3306" t="s">
        <v>16</v>
      </c>
      <c r="I3306" s="1">
        <v>-2202900</v>
      </c>
      <c r="J3306" s="1">
        <v>-4891100</v>
      </c>
      <c r="K3306">
        <v>445</v>
      </c>
      <c r="L3306">
        <v>506</v>
      </c>
      <c r="M3306" t="s">
        <v>16</v>
      </c>
    </row>
    <row r="3307" spans="1:13" x14ac:dyDescent="0.35">
      <c r="A3307">
        <v>350350</v>
      </c>
      <c r="B3307">
        <v>28754</v>
      </c>
      <c r="C3307" t="s">
        <v>3482</v>
      </c>
      <c r="D3307" t="s">
        <v>3421</v>
      </c>
      <c r="E3307" t="s">
        <v>3476</v>
      </c>
      <c r="F3307">
        <v>3571</v>
      </c>
      <c r="G3307">
        <v>1</v>
      </c>
      <c r="H3307" t="s">
        <v>16</v>
      </c>
      <c r="I3307" s="1">
        <v>-2258000</v>
      </c>
      <c r="J3307" s="1">
        <v>-4469700</v>
      </c>
      <c r="K3307">
        <v>519</v>
      </c>
      <c r="L3307">
        <v>306</v>
      </c>
      <c r="M3307" t="s">
        <v>16</v>
      </c>
    </row>
    <row r="3308" spans="1:13" x14ac:dyDescent="0.35">
      <c r="A3308">
        <v>350360</v>
      </c>
      <c r="B3308">
        <v>28762</v>
      </c>
      <c r="C3308" t="s">
        <v>3483</v>
      </c>
      <c r="D3308" t="s">
        <v>3421</v>
      </c>
      <c r="E3308" t="s">
        <v>3434</v>
      </c>
      <c r="F3308">
        <v>10630</v>
      </c>
      <c r="G3308">
        <v>1</v>
      </c>
      <c r="H3308" t="s">
        <v>16</v>
      </c>
      <c r="I3308" s="1">
        <v>-2266800</v>
      </c>
      <c r="J3308" s="1">
        <v>-4866500</v>
      </c>
      <c r="K3308">
        <v>635</v>
      </c>
      <c r="L3308">
        <v>85</v>
      </c>
      <c r="M3308" t="s">
        <v>16</v>
      </c>
    </row>
    <row r="3309" spans="1:13" x14ac:dyDescent="0.35">
      <c r="A3309">
        <v>350370</v>
      </c>
      <c r="B3309">
        <v>28770</v>
      </c>
      <c r="C3309" t="s">
        <v>3484</v>
      </c>
      <c r="D3309" t="s">
        <v>3421</v>
      </c>
      <c r="E3309" t="s">
        <v>3485</v>
      </c>
      <c r="F3309">
        <v>8255</v>
      </c>
      <c r="G3309">
        <v>1</v>
      </c>
      <c r="H3309" t="s">
        <v>16</v>
      </c>
      <c r="I3309" s="1">
        <v>-2118800</v>
      </c>
      <c r="J3309" s="1">
        <v>-4878700</v>
      </c>
      <c r="K3309">
        <v>595</v>
      </c>
      <c r="L3309">
        <v>133</v>
      </c>
      <c r="M3309" t="s">
        <v>16</v>
      </c>
    </row>
    <row r="3310" spans="1:13" x14ac:dyDescent="0.35">
      <c r="A3310">
        <v>350380</v>
      </c>
      <c r="B3310">
        <v>28789</v>
      </c>
      <c r="C3310" t="s">
        <v>3486</v>
      </c>
      <c r="D3310" t="s">
        <v>3421</v>
      </c>
      <c r="E3310" t="s">
        <v>3487</v>
      </c>
      <c r="F3310">
        <v>39457</v>
      </c>
      <c r="G3310">
        <v>4</v>
      </c>
      <c r="H3310" t="s">
        <v>3453</v>
      </c>
      <c r="I3310" s="1">
        <v>-2257300</v>
      </c>
      <c r="J3310" s="1">
        <v>-4717300</v>
      </c>
      <c r="K3310">
        <v>588</v>
      </c>
      <c r="L3310">
        <v>177</v>
      </c>
      <c r="M3310" t="s">
        <v>16</v>
      </c>
    </row>
    <row r="3311" spans="1:13" x14ac:dyDescent="0.35">
      <c r="A3311">
        <v>350390</v>
      </c>
      <c r="B3311">
        <v>28797</v>
      </c>
      <c r="C3311" t="s">
        <v>3488</v>
      </c>
      <c r="D3311" t="s">
        <v>3421</v>
      </c>
      <c r="E3311" t="s">
        <v>3489</v>
      </c>
      <c r="F3311">
        <v>72713</v>
      </c>
      <c r="G3311">
        <v>4</v>
      </c>
      <c r="H3311" t="s">
        <v>3490</v>
      </c>
      <c r="I3311" s="1">
        <v>-2339600</v>
      </c>
      <c r="J3311" s="1">
        <v>-4632100</v>
      </c>
      <c r="K3311">
        <v>775</v>
      </c>
      <c r="L3311">
        <v>97</v>
      </c>
      <c r="M3311" t="s">
        <v>16</v>
      </c>
    </row>
    <row r="3312" spans="1:13" x14ac:dyDescent="0.35">
      <c r="A3312">
        <v>350395</v>
      </c>
      <c r="B3312">
        <v>51101</v>
      </c>
      <c r="C3312" t="s">
        <v>3491</v>
      </c>
      <c r="D3312" t="s">
        <v>3421</v>
      </c>
      <c r="E3312" t="s">
        <v>3466</v>
      </c>
      <c r="F3312">
        <v>1790</v>
      </c>
      <c r="G3312">
        <v>1</v>
      </c>
      <c r="H3312" t="s">
        <v>16</v>
      </c>
      <c r="I3312" s="1">
        <v>-2015900</v>
      </c>
      <c r="J3312" s="1">
        <v>-5073300</v>
      </c>
      <c r="K3312">
        <v>403</v>
      </c>
      <c r="L3312">
        <v>69</v>
      </c>
      <c r="M3312" t="s">
        <v>16</v>
      </c>
    </row>
    <row r="3313" spans="1:13" x14ac:dyDescent="0.35">
      <c r="A3313">
        <v>350400</v>
      </c>
      <c r="B3313">
        <v>28800</v>
      </c>
      <c r="C3313" t="s">
        <v>3492</v>
      </c>
      <c r="D3313" t="s">
        <v>3421</v>
      </c>
      <c r="E3313" t="s">
        <v>3492</v>
      </c>
      <c r="F3313">
        <v>92965</v>
      </c>
      <c r="G3313">
        <v>2</v>
      </c>
      <c r="H3313" t="s">
        <v>16</v>
      </c>
      <c r="I3313" s="1">
        <v>-2266200</v>
      </c>
      <c r="J3313" s="1">
        <v>-5041200</v>
      </c>
      <c r="K3313">
        <v>546</v>
      </c>
      <c r="L3313">
        <v>461</v>
      </c>
      <c r="M3313" t="s">
        <v>16</v>
      </c>
    </row>
    <row r="3314" spans="1:13" x14ac:dyDescent="0.35">
      <c r="A3314">
        <v>350410</v>
      </c>
      <c r="B3314">
        <v>28819</v>
      </c>
      <c r="C3314" t="s">
        <v>3493</v>
      </c>
      <c r="D3314" t="s">
        <v>3421</v>
      </c>
      <c r="E3314" t="s">
        <v>3494</v>
      </c>
      <c r="F3314">
        <v>119166</v>
      </c>
      <c r="G3314">
        <v>3</v>
      </c>
      <c r="H3314" t="s">
        <v>16</v>
      </c>
      <c r="I3314" s="1">
        <v>-2311700</v>
      </c>
      <c r="J3314" s="1">
        <v>-4655000</v>
      </c>
      <c r="K3314">
        <v>803</v>
      </c>
      <c r="L3314">
        <v>478</v>
      </c>
      <c r="M3314" t="s">
        <v>16</v>
      </c>
    </row>
    <row r="3315" spans="1:13" x14ac:dyDescent="0.35">
      <c r="A3315">
        <v>350420</v>
      </c>
      <c r="B3315">
        <v>28827</v>
      </c>
      <c r="C3315" t="s">
        <v>3495</v>
      </c>
      <c r="D3315" t="s">
        <v>3421</v>
      </c>
      <c r="E3315" t="s">
        <v>3495</v>
      </c>
      <c r="F3315">
        <v>13760</v>
      </c>
      <c r="G3315">
        <v>1</v>
      </c>
      <c r="H3315" t="s">
        <v>16</v>
      </c>
      <c r="I3315" s="1">
        <v>-2068600</v>
      </c>
      <c r="J3315" s="1">
        <v>-5055500</v>
      </c>
      <c r="K3315">
        <v>482</v>
      </c>
      <c r="L3315">
        <v>432</v>
      </c>
      <c r="M3315" t="s">
        <v>16</v>
      </c>
    </row>
    <row r="3316" spans="1:13" x14ac:dyDescent="0.35">
      <c r="A3316">
        <v>350430</v>
      </c>
      <c r="B3316">
        <v>28835</v>
      </c>
      <c r="C3316" t="s">
        <v>3496</v>
      </c>
      <c r="D3316" t="s">
        <v>3421</v>
      </c>
      <c r="E3316" t="s">
        <v>3434</v>
      </c>
      <c r="F3316">
        <v>4877</v>
      </c>
      <c r="G3316">
        <v>1</v>
      </c>
      <c r="H3316" t="s">
        <v>16</v>
      </c>
      <c r="I3316" s="1">
        <v>-2214700</v>
      </c>
      <c r="J3316" s="1">
        <v>-4933300</v>
      </c>
      <c r="K3316">
        <v>481</v>
      </c>
      <c r="L3316">
        <v>542</v>
      </c>
      <c r="M3316" t="s">
        <v>16</v>
      </c>
    </row>
    <row r="3317" spans="1:13" x14ac:dyDescent="0.35">
      <c r="A3317">
        <v>350440</v>
      </c>
      <c r="B3317">
        <v>28843</v>
      </c>
      <c r="C3317" t="s">
        <v>3497</v>
      </c>
      <c r="D3317" t="s">
        <v>3421</v>
      </c>
      <c r="E3317" t="s">
        <v>3442</v>
      </c>
      <c r="F3317">
        <v>10875</v>
      </c>
      <c r="G3317">
        <v>1</v>
      </c>
      <c r="H3317" t="s">
        <v>16</v>
      </c>
      <c r="I3317" s="1">
        <v>-2146100</v>
      </c>
      <c r="J3317" s="1">
        <v>-4995000</v>
      </c>
      <c r="K3317">
        <v>428</v>
      </c>
      <c r="L3317">
        <v>340</v>
      </c>
      <c r="M3317" t="s">
        <v>16</v>
      </c>
    </row>
    <row r="3318" spans="1:13" x14ac:dyDescent="0.35">
      <c r="A3318">
        <v>350450</v>
      </c>
      <c r="B3318">
        <v>28851</v>
      </c>
      <c r="C3318" t="s">
        <v>3498</v>
      </c>
      <c r="D3318" t="s">
        <v>3421</v>
      </c>
      <c r="E3318" t="s">
        <v>3430</v>
      </c>
      <c r="F3318">
        <v>80026</v>
      </c>
      <c r="G3318">
        <v>2</v>
      </c>
      <c r="H3318" t="s">
        <v>16</v>
      </c>
      <c r="I3318" s="1">
        <v>-2309900</v>
      </c>
      <c r="J3318" s="1">
        <v>-4892600</v>
      </c>
      <c r="K3318">
        <v>766</v>
      </c>
      <c r="L3318">
        <v>1216</v>
      </c>
      <c r="M3318" t="s">
        <v>16</v>
      </c>
    </row>
    <row r="3319" spans="1:13" x14ac:dyDescent="0.35">
      <c r="A3319">
        <v>350460</v>
      </c>
      <c r="B3319">
        <v>28860</v>
      </c>
      <c r="C3319" t="s">
        <v>3499</v>
      </c>
      <c r="D3319" t="s">
        <v>3421</v>
      </c>
      <c r="E3319" t="s">
        <v>3423</v>
      </c>
      <c r="F3319">
        <v>13039</v>
      </c>
      <c r="G3319">
        <v>1</v>
      </c>
      <c r="H3319" t="s">
        <v>16</v>
      </c>
      <c r="I3319" s="1">
        <v>-2091800</v>
      </c>
      <c r="J3319" s="1">
        <v>-4944500</v>
      </c>
      <c r="K3319">
        <v>510</v>
      </c>
      <c r="L3319">
        <v>109</v>
      </c>
      <c r="M3319" t="s">
        <v>16</v>
      </c>
    </row>
    <row r="3320" spans="1:13" x14ac:dyDescent="0.35">
      <c r="A3320">
        <v>350470</v>
      </c>
      <c r="B3320">
        <v>28878</v>
      </c>
      <c r="C3320" t="s">
        <v>3500</v>
      </c>
      <c r="D3320" t="s">
        <v>3421</v>
      </c>
      <c r="E3320" t="s">
        <v>3434</v>
      </c>
      <c r="F3320">
        <v>3619</v>
      </c>
      <c r="G3320">
        <v>1</v>
      </c>
      <c r="H3320" t="s">
        <v>16</v>
      </c>
      <c r="I3320" s="1">
        <v>-2190000</v>
      </c>
      <c r="J3320" s="1">
        <v>-4935700</v>
      </c>
      <c r="K3320">
        <v>460</v>
      </c>
      <c r="L3320">
        <v>90</v>
      </c>
      <c r="M3320" t="s">
        <v>16</v>
      </c>
    </row>
    <row r="3321" spans="1:13" x14ac:dyDescent="0.35">
      <c r="A3321">
        <v>350480</v>
      </c>
      <c r="B3321">
        <v>28886</v>
      </c>
      <c r="C3321" t="s">
        <v>3501</v>
      </c>
      <c r="D3321" t="s">
        <v>3421</v>
      </c>
      <c r="E3321" t="s">
        <v>3423</v>
      </c>
      <c r="F3321">
        <v>7767</v>
      </c>
      <c r="G3321">
        <v>1</v>
      </c>
      <c r="H3321" t="s">
        <v>16</v>
      </c>
      <c r="I3321" s="1">
        <v>-2073500</v>
      </c>
      <c r="J3321" s="1">
        <v>-4958400</v>
      </c>
      <c r="K3321">
        <v>545</v>
      </c>
      <c r="L3321">
        <v>150</v>
      </c>
      <c r="M3321" t="s">
        <v>16</v>
      </c>
    </row>
    <row r="3322" spans="1:13" x14ac:dyDescent="0.35">
      <c r="A3322">
        <v>350490</v>
      </c>
      <c r="B3322">
        <v>28894</v>
      </c>
      <c r="C3322" t="s">
        <v>3476</v>
      </c>
      <c r="D3322" t="s">
        <v>3421</v>
      </c>
      <c r="E3322" t="s">
        <v>3476</v>
      </c>
      <c r="F3322">
        <v>10233</v>
      </c>
      <c r="G3322">
        <v>1</v>
      </c>
      <c r="H3322" t="s">
        <v>16</v>
      </c>
      <c r="I3322" s="1">
        <v>-2268400</v>
      </c>
      <c r="J3322" s="1">
        <v>-4432300</v>
      </c>
      <c r="K3322">
        <v>454</v>
      </c>
      <c r="L3322">
        <v>616</v>
      </c>
      <c r="M3322" t="s">
        <v>16</v>
      </c>
    </row>
    <row r="3323" spans="1:13" x14ac:dyDescent="0.35">
      <c r="A3323">
        <v>350500</v>
      </c>
      <c r="B3323">
        <v>28908</v>
      </c>
      <c r="C3323" t="s">
        <v>3502</v>
      </c>
      <c r="D3323" t="s">
        <v>3421</v>
      </c>
      <c r="E3323" t="s">
        <v>2799</v>
      </c>
      <c r="F3323">
        <v>2751</v>
      </c>
      <c r="G3323">
        <v>1</v>
      </c>
      <c r="H3323" t="s">
        <v>16</v>
      </c>
      <c r="I3323" s="1">
        <v>-2362700</v>
      </c>
      <c r="J3323" s="1">
        <v>-4956100</v>
      </c>
      <c r="K3323">
        <v>559</v>
      </c>
      <c r="L3323">
        <v>154</v>
      </c>
      <c r="M3323" t="s">
        <v>16</v>
      </c>
    </row>
    <row r="3324" spans="1:13" x14ac:dyDescent="0.35">
      <c r="A3324">
        <v>350510</v>
      </c>
      <c r="B3324">
        <v>28916</v>
      </c>
      <c r="C3324" t="s">
        <v>3503</v>
      </c>
      <c r="D3324" t="s">
        <v>3421</v>
      </c>
      <c r="E3324" t="s">
        <v>3442</v>
      </c>
      <c r="F3324">
        <v>6454</v>
      </c>
      <c r="G3324">
        <v>1</v>
      </c>
      <c r="H3324" t="s">
        <v>16</v>
      </c>
      <c r="I3324" s="1">
        <v>-2126700</v>
      </c>
      <c r="J3324" s="1">
        <v>-4994900</v>
      </c>
      <c r="K3324">
        <v>386</v>
      </c>
      <c r="L3324">
        <v>205</v>
      </c>
      <c r="M3324" t="s">
        <v>16</v>
      </c>
    </row>
    <row r="3325" spans="1:13" x14ac:dyDescent="0.35">
      <c r="A3325">
        <v>350520</v>
      </c>
      <c r="B3325">
        <v>28924</v>
      </c>
      <c r="C3325" t="s">
        <v>3504</v>
      </c>
      <c r="D3325" t="s">
        <v>3421</v>
      </c>
      <c r="E3325" t="s">
        <v>3505</v>
      </c>
      <c r="F3325">
        <v>30995</v>
      </c>
      <c r="G3325">
        <v>1</v>
      </c>
      <c r="H3325" t="s">
        <v>16</v>
      </c>
      <c r="I3325" s="1">
        <v>-2207400</v>
      </c>
      <c r="J3325" s="1">
        <v>-4874000</v>
      </c>
      <c r="K3325">
        <v>447</v>
      </c>
      <c r="L3325">
        <v>440</v>
      </c>
      <c r="M3325" t="s">
        <v>16</v>
      </c>
    </row>
    <row r="3326" spans="1:13" x14ac:dyDescent="0.35">
      <c r="A3326">
        <v>350530</v>
      </c>
      <c r="B3326">
        <v>28932</v>
      </c>
      <c r="C3326" t="s">
        <v>3506</v>
      </c>
      <c r="D3326" t="s">
        <v>3421</v>
      </c>
      <c r="E3326" t="s">
        <v>3505</v>
      </c>
      <c r="F3326">
        <v>35090</v>
      </c>
      <c r="G3326">
        <v>1</v>
      </c>
      <c r="H3326" t="s">
        <v>16</v>
      </c>
      <c r="I3326" s="1">
        <v>-2249500</v>
      </c>
      <c r="J3326" s="1">
        <v>-4855800</v>
      </c>
      <c r="K3326">
        <v>457</v>
      </c>
      <c r="L3326">
        <v>150</v>
      </c>
      <c r="M3326" t="s">
        <v>16</v>
      </c>
    </row>
    <row r="3327" spans="1:13" x14ac:dyDescent="0.35">
      <c r="A3327">
        <v>350535</v>
      </c>
      <c r="B3327">
        <v>51110</v>
      </c>
      <c r="C3327" t="s">
        <v>3507</v>
      </c>
      <c r="D3327" t="s">
        <v>3421</v>
      </c>
      <c r="E3327" t="s">
        <v>3468</v>
      </c>
      <c r="F3327">
        <v>5077</v>
      </c>
      <c r="G3327">
        <v>1</v>
      </c>
      <c r="H3327" t="s">
        <v>16</v>
      </c>
      <c r="I3327" s="1">
        <v>-2447300</v>
      </c>
      <c r="J3327" s="1">
        <v>-4902500</v>
      </c>
      <c r="K3327">
        <v>784</v>
      </c>
      <c r="L3327">
        <v>407</v>
      </c>
      <c r="M3327" t="s">
        <v>16</v>
      </c>
    </row>
    <row r="3328" spans="1:13" x14ac:dyDescent="0.35">
      <c r="A3328">
        <v>350540</v>
      </c>
      <c r="B3328">
        <v>28940</v>
      </c>
      <c r="C3328" t="s">
        <v>3508</v>
      </c>
      <c r="D3328" t="s">
        <v>3421</v>
      </c>
      <c r="E3328" t="s">
        <v>3509</v>
      </c>
      <c r="F3328">
        <v>7620</v>
      </c>
      <c r="G3328">
        <v>1</v>
      </c>
      <c r="H3328" t="s">
        <v>16</v>
      </c>
      <c r="I3328" s="1">
        <v>-2475600</v>
      </c>
      <c r="J3328" s="1">
        <v>-4850500</v>
      </c>
      <c r="K3328">
        <v>158</v>
      </c>
      <c r="L3328">
        <v>1007</v>
      </c>
      <c r="M3328" t="s">
        <v>16</v>
      </c>
    </row>
    <row r="3329" spans="1:13" x14ac:dyDescent="0.35">
      <c r="A3329">
        <v>350550</v>
      </c>
      <c r="B3329">
        <v>28959</v>
      </c>
      <c r="C3329" t="s">
        <v>3510</v>
      </c>
      <c r="D3329" t="s">
        <v>3421</v>
      </c>
      <c r="E3329" t="s">
        <v>3510</v>
      </c>
      <c r="F3329">
        <v>107988</v>
      </c>
      <c r="G3329">
        <v>3</v>
      </c>
      <c r="H3329" t="s">
        <v>16</v>
      </c>
      <c r="I3329" s="1">
        <v>-2055700</v>
      </c>
      <c r="J3329" s="1">
        <v>-4856800</v>
      </c>
      <c r="K3329">
        <v>530</v>
      </c>
      <c r="L3329">
        <v>1563</v>
      </c>
      <c r="M3329" t="s">
        <v>16</v>
      </c>
    </row>
    <row r="3330" spans="1:13" x14ac:dyDescent="0.35">
      <c r="A3330">
        <v>350560</v>
      </c>
      <c r="B3330">
        <v>28967</v>
      </c>
      <c r="C3330" t="s">
        <v>3511</v>
      </c>
      <c r="D3330" t="s">
        <v>3421</v>
      </c>
      <c r="E3330" t="s">
        <v>3512</v>
      </c>
      <c r="F3330">
        <v>25642</v>
      </c>
      <c r="G3330">
        <v>1</v>
      </c>
      <c r="H3330" t="s">
        <v>16</v>
      </c>
      <c r="I3330" s="1">
        <v>-2119400</v>
      </c>
      <c r="J3330" s="1">
        <v>-4816400</v>
      </c>
      <c r="K3330">
        <v>505</v>
      </c>
      <c r="L3330">
        <v>146</v>
      </c>
      <c r="M3330" t="s">
        <v>16</v>
      </c>
    </row>
    <row r="3331" spans="1:13" x14ac:dyDescent="0.35">
      <c r="A3331">
        <v>350570</v>
      </c>
      <c r="B3331">
        <v>28975</v>
      </c>
      <c r="C3331" t="s">
        <v>3513</v>
      </c>
      <c r="D3331" t="s">
        <v>3421</v>
      </c>
      <c r="E3331" t="s">
        <v>3514</v>
      </c>
      <c r="F3331">
        <v>252748</v>
      </c>
      <c r="G3331">
        <v>4</v>
      </c>
      <c r="H3331" t="s">
        <v>3490</v>
      </c>
      <c r="I3331" s="1">
        <v>-2351100</v>
      </c>
      <c r="J3331" s="1">
        <v>-4687600</v>
      </c>
      <c r="K3331">
        <v>719</v>
      </c>
      <c r="L3331">
        <v>64</v>
      </c>
      <c r="M3331" t="s">
        <v>16</v>
      </c>
    </row>
    <row r="3332" spans="1:13" x14ac:dyDescent="0.35">
      <c r="A3332">
        <v>350580</v>
      </c>
      <c r="B3332">
        <v>28983</v>
      </c>
      <c r="C3332" t="s">
        <v>3515</v>
      </c>
      <c r="D3332" t="s">
        <v>3421</v>
      </c>
      <c r="E3332" t="s">
        <v>3480</v>
      </c>
      <c r="F3332">
        <v>20613</v>
      </c>
      <c r="G3332">
        <v>1</v>
      </c>
      <c r="H3332" t="s">
        <v>16</v>
      </c>
      <c r="I3332" s="1">
        <v>-2192200</v>
      </c>
      <c r="J3332" s="1">
        <v>-5073400</v>
      </c>
      <c r="K3332">
        <v>445</v>
      </c>
      <c r="L3332">
        <v>170</v>
      </c>
      <c r="M3332" t="s">
        <v>16</v>
      </c>
    </row>
    <row r="3333" spans="1:13" x14ac:dyDescent="0.35">
      <c r="A3333">
        <v>350590</v>
      </c>
      <c r="B3333">
        <v>28991</v>
      </c>
      <c r="C3333" t="s">
        <v>3441</v>
      </c>
      <c r="D3333" t="s">
        <v>3421</v>
      </c>
      <c r="E3333" t="s">
        <v>3441</v>
      </c>
      <c r="F3333">
        <v>53525</v>
      </c>
      <c r="G3333">
        <v>2</v>
      </c>
      <c r="H3333" t="s">
        <v>16</v>
      </c>
      <c r="I3333" s="1">
        <v>-2089100</v>
      </c>
      <c r="J3333" s="1">
        <v>-4758500</v>
      </c>
      <c r="K3333">
        <v>862</v>
      </c>
      <c r="L3333">
        <v>850</v>
      </c>
      <c r="M3333" t="s">
        <v>16</v>
      </c>
    </row>
    <row r="3334" spans="1:13" x14ac:dyDescent="0.35">
      <c r="A3334">
        <v>350600</v>
      </c>
      <c r="B3334">
        <v>29009</v>
      </c>
      <c r="C3334" t="s">
        <v>3434</v>
      </c>
      <c r="D3334" t="s">
        <v>3421</v>
      </c>
      <c r="E3334" t="s">
        <v>3434</v>
      </c>
      <c r="F3334">
        <v>347601</v>
      </c>
      <c r="G3334">
        <v>3</v>
      </c>
      <c r="H3334" t="s">
        <v>16</v>
      </c>
      <c r="I3334" s="1">
        <v>-2231500</v>
      </c>
      <c r="J3334" s="1">
        <v>-4906100</v>
      </c>
      <c r="K3334">
        <v>526</v>
      </c>
      <c r="L3334">
        <v>673</v>
      </c>
      <c r="M3334" t="s">
        <v>16</v>
      </c>
    </row>
    <row r="3335" spans="1:13" x14ac:dyDescent="0.35">
      <c r="A3335">
        <v>350610</v>
      </c>
      <c r="B3335">
        <v>29017</v>
      </c>
      <c r="C3335" t="s">
        <v>3516</v>
      </c>
      <c r="D3335" t="s">
        <v>3421</v>
      </c>
      <c r="E3335" t="s">
        <v>3517</v>
      </c>
      <c r="F3335">
        <v>74865</v>
      </c>
      <c r="G3335">
        <v>2</v>
      </c>
      <c r="H3335" t="s">
        <v>16</v>
      </c>
      <c r="I3335" s="1">
        <v>-2094900</v>
      </c>
      <c r="J3335" s="1">
        <v>-4847900</v>
      </c>
      <c r="K3335">
        <v>573</v>
      </c>
      <c r="L3335">
        <v>682</v>
      </c>
      <c r="M3335" t="s">
        <v>16</v>
      </c>
    </row>
    <row r="3336" spans="1:13" x14ac:dyDescent="0.35">
      <c r="A3336">
        <v>350620</v>
      </c>
      <c r="B3336">
        <v>29025</v>
      </c>
      <c r="C3336" t="s">
        <v>3518</v>
      </c>
      <c r="D3336" t="s">
        <v>3421</v>
      </c>
      <c r="E3336" t="s">
        <v>3470</v>
      </c>
      <c r="F3336">
        <v>2740</v>
      </c>
      <c r="G3336">
        <v>1</v>
      </c>
      <c r="H3336" t="s">
        <v>16</v>
      </c>
      <c r="I3336" s="1">
        <v>-2127100</v>
      </c>
      <c r="J3336" s="1">
        <v>-5081200</v>
      </c>
      <c r="K3336">
        <v>431</v>
      </c>
      <c r="L3336">
        <v>301</v>
      </c>
      <c r="M3336" t="s">
        <v>16</v>
      </c>
    </row>
    <row r="3337" spans="1:13" x14ac:dyDescent="0.35">
      <c r="A3337">
        <v>350630</v>
      </c>
      <c r="B3337">
        <v>29033</v>
      </c>
      <c r="C3337" t="s">
        <v>3519</v>
      </c>
      <c r="D3337" t="s">
        <v>3421</v>
      </c>
      <c r="E3337" t="s">
        <v>3520</v>
      </c>
      <c r="F3337">
        <v>10487</v>
      </c>
      <c r="G3337">
        <v>1</v>
      </c>
      <c r="H3337" t="s">
        <v>16</v>
      </c>
      <c r="I3337" s="1">
        <v>-2301300</v>
      </c>
      <c r="J3337" s="1">
        <v>-4947400</v>
      </c>
      <c r="K3337">
        <v>695</v>
      </c>
      <c r="L3337">
        <v>244</v>
      </c>
      <c r="M3337" t="s">
        <v>16</v>
      </c>
    </row>
    <row r="3338" spans="1:13" x14ac:dyDescent="0.35">
      <c r="A3338">
        <v>350635</v>
      </c>
      <c r="B3338">
        <v>51128</v>
      </c>
      <c r="C3338" t="s">
        <v>3521</v>
      </c>
      <c r="D3338" t="s">
        <v>3421</v>
      </c>
      <c r="E3338" t="s">
        <v>3522</v>
      </c>
      <c r="F3338">
        <v>39091</v>
      </c>
      <c r="G3338">
        <v>4</v>
      </c>
      <c r="H3338" t="s">
        <v>3523</v>
      </c>
      <c r="I3338" s="1">
        <v>-2385400</v>
      </c>
      <c r="J3338" s="1">
        <v>-4613900</v>
      </c>
      <c r="K3338">
        <v>8</v>
      </c>
      <c r="L3338">
        <v>491</v>
      </c>
      <c r="M3338" t="s">
        <v>16</v>
      </c>
    </row>
    <row r="3339" spans="1:13" x14ac:dyDescent="0.35">
      <c r="A3339">
        <v>350640</v>
      </c>
      <c r="B3339">
        <v>29041</v>
      </c>
      <c r="C3339" t="s">
        <v>3524</v>
      </c>
      <c r="D3339" t="s">
        <v>3421</v>
      </c>
      <c r="E3339" t="s">
        <v>3442</v>
      </c>
      <c r="F3339">
        <v>6905</v>
      </c>
      <c r="G3339">
        <v>1</v>
      </c>
      <c r="H3339" t="s">
        <v>16</v>
      </c>
      <c r="I3339" s="1">
        <v>-2140300</v>
      </c>
      <c r="J3339" s="1">
        <v>-5047100</v>
      </c>
      <c r="K3339">
        <v>431</v>
      </c>
      <c r="L3339">
        <v>157</v>
      </c>
      <c r="M3339" t="s">
        <v>16</v>
      </c>
    </row>
    <row r="3340" spans="1:13" x14ac:dyDescent="0.35">
      <c r="A3340">
        <v>350650</v>
      </c>
      <c r="B3340">
        <v>29050</v>
      </c>
      <c r="C3340" t="s">
        <v>3442</v>
      </c>
      <c r="D3340" t="s">
        <v>3421</v>
      </c>
      <c r="E3340" t="s">
        <v>3442</v>
      </c>
      <c r="F3340">
        <v>103394</v>
      </c>
      <c r="G3340">
        <v>3</v>
      </c>
      <c r="H3340" t="s">
        <v>16</v>
      </c>
      <c r="I3340" s="1">
        <v>-2128900</v>
      </c>
      <c r="J3340" s="1">
        <v>-5034000</v>
      </c>
      <c r="K3340">
        <v>406</v>
      </c>
      <c r="L3340">
        <v>530</v>
      </c>
      <c r="M3340" t="s">
        <v>16</v>
      </c>
    </row>
    <row r="3341" spans="1:13" x14ac:dyDescent="0.35">
      <c r="A3341">
        <v>350660</v>
      </c>
      <c r="B3341">
        <v>29068</v>
      </c>
      <c r="C3341" t="s">
        <v>3525</v>
      </c>
      <c r="D3341" t="s">
        <v>3421</v>
      </c>
      <c r="E3341" t="s">
        <v>3526</v>
      </c>
      <c r="F3341">
        <v>27483</v>
      </c>
      <c r="G3341">
        <v>4</v>
      </c>
      <c r="H3341" t="s">
        <v>3490</v>
      </c>
      <c r="I3341" s="1">
        <v>-2357300</v>
      </c>
      <c r="J3341" s="1">
        <v>-4603900</v>
      </c>
      <c r="K3341">
        <v>780</v>
      </c>
      <c r="L3341">
        <v>316</v>
      </c>
      <c r="M3341" t="s">
        <v>16</v>
      </c>
    </row>
    <row r="3342" spans="1:13" x14ac:dyDescent="0.35">
      <c r="A3342">
        <v>350670</v>
      </c>
      <c r="B3342">
        <v>29076</v>
      </c>
      <c r="C3342" t="s">
        <v>3527</v>
      </c>
      <c r="D3342" t="s">
        <v>3421</v>
      </c>
      <c r="E3342" t="s">
        <v>3455</v>
      </c>
      <c r="F3342">
        <v>13208</v>
      </c>
      <c r="G3342">
        <v>1</v>
      </c>
      <c r="H3342" t="s">
        <v>16</v>
      </c>
      <c r="I3342" s="1">
        <v>-2199300</v>
      </c>
      <c r="J3342" s="1">
        <v>-4839100</v>
      </c>
      <c r="K3342">
        <v>490</v>
      </c>
      <c r="L3342">
        <v>691</v>
      </c>
      <c r="M3342" t="s">
        <v>16</v>
      </c>
    </row>
    <row r="3343" spans="1:13" x14ac:dyDescent="0.35">
      <c r="A3343">
        <v>350680</v>
      </c>
      <c r="B3343">
        <v>29084</v>
      </c>
      <c r="C3343" t="s">
        <v>818</v>
      </c>
      <c r="D3343" t="s">
        <v>3421</v>
      </c>
      <c r="E3343" t="s">
        <v>3505</v>
      </c>
      <c r="F3343">
        <v>10299</v>
      </c>
      <c r="G3343">
        <v>1</v>
      </c>
      <c r="H3343" t="s">
        <v>16</v>
      </c>
      <c r="I3343" s="1">
        <v>-2213600</v>
      </c>
      <c r="J3343" s="1">
        <v>-4851800</v>
      </c>
      <c r="K3343">
        <v>580</v>
      </c>
      <c r="L3343">
        <v>364</v>
      </c>
      <c r="M3343" t="s">
        <v>16</v>
      </c>
    </row>
    <row r="3344" spans="1:13" x14ac:dyDescent="0.35">
      <c r="A3344">
        <v>350690</v>
      </c>
      <c r="B3344">
        <v>29092</v>
      </c>
      <c r="C3344" t="s">
        <v>3528</v>
      </c>
      <c r="D3344" t="s">
        <v>3421</v>
      </c>
      <c r="E3344" t="s">
        <v>3462</v>
      </c>
      <c r="F3344">
        <v>8565</v>
      </c>
      <c r="G3344">
        <v>1</v>
      </c>
      <c r="H3344" t="s">
        <v>16</v>
      </c>
      <c r="I3344" s="1">
        <v>-2310200</v>
      </c>
      <c r="J3344" s="1">
        <v>-4825800</v>
      </c>
      <c r="K3344">
        <v>576</v>
      </c>
      <c r="L3344">
        <v>653</v>
      </c>
      <c r="M3344" t="s">
        <v>16</v>
      </c>
    </row>
    <row r="3345" spans="1:13" x14ac:dyDescent="0.35">
      <c r="A3345">
        <v>350700</v>
      </c>
      <c r="B3345">
        <v>29106</v>
      </c>
      <c r="C3345" t="s">
        <v>3529</v>
      </c>
      <c r="D3345" t="s">
        <v>3421</v>
      </c>
      <c r="E3345" t="s">
        <v>3530</v>
      </c>
      <c r="F3345">
        <v>40783</v>
      </c>
      <c r="G3345">
        <v>1</v>
      </c>
      <c r="H3345" t="s">
        <v>16</v>
      </c>
      <c r="I3345" s="1">
        <v>-2328300</v>
      </c>
      <c r="J3345" s="1">
        <v>-4767200</v>
      </c>
      <c r="K3345">
        <v>637</v>
      </c>
      <c r="L3345">
        <v>249</v>
      </c>
      <c r="M3345" t="s">
        <v>16</v>
      </c>
    </row>
    <row r="3346" spans="1:13" x14ac:dyDescent="0.35">
      <c r="A3346">
        <v>350710</v>
      </c>
      <c r="B3346">
        <v>29114</v>
      </c>
      <c r="C3346" t="s">
        <v>3531</v>
      </c>
      <c r="D3346" t="s">
        <v>3421</v>
      </c>
      <c r="E3346" t="s">
        <v>3494</v>
      </c>
      <c r="F3346">
        <v>16211</v>
      </c>
      <c r="G3346">
        <v>1</v>
      </c>
      <c r="H3346" t="s">
        <v>16</v>
      </c>
      <c r="I3346" s="1">
        <v>-2313500</v>
      </c>
      <c r="J3346" s="1">
        <v>-4646500</v>
      </c>
      <c r="K3346">
        <v>770</v>
      </c>
      <c r="L3346">
        <v>108</v>
      </c>
      <c r="M3346" t="s">
        <v>16</v>
      </c>
    </row>
    <row r="3347" spans="1:13" x14ac:dyDescent="0.35">
      <c r="A3347">
        <v>350715</v>
      </c>
      <c r="B3347">
        <v>51136</v>
      </c>
      <c r="C3347" t="s">
        <v>3532</v>
      </c>
      <c r="D3347" t="s">
        <v>3421</v>
      </c>
      <c r="E3347" t="s">
        <v>2799</v>
      </c>
      <c r="F3347">
        <v>3658</v>
      </c>
      <c r="G3347">
        <v>1</v>
      </c>
      <c r="H3347" t="s">
        <v>16</v>
      </c>
      <c r="I3347" s="1">
        <v>-2431800</v>
      </c>
      <c r="J3347" s="1">
        <v>-4914400</v>
      </c>
      <c r="K3347">
        <v>950</v>
      </c>
      <c r="L3347">
        <v>133</v>
      </c>
      <c r="M3347" t="s">
        <v>16</v>
      </c>
    </row>
    <row r="3348" spans="1:13" x14ac:dyDescent="0.35">
      <c r="A3348">
        <v>350720</v>
      </c>
      <c r="B3348">
        <v>29122</v>
      </c>
      <c r="C3348" t="s">
        <v>3533</v>
      </c>
      <c r="D3348" t="s">
        <v>3421</v>
      </c>
      <c r="E3348" t="s">
        <v>3492</v>
      </c>
      <c r="F3348">
        <v>804</v>
      </c>
      <c r="G3348">
        <v>1</v>
      </c>
      <c r="H3348" t="s">
        <v>16</v>
      </c>
      <c r="I3348" s="1">
        <v>-2227000</v>
      </c>
      <c r="J3348" s="1">
        <v>-5053400</v>
      </c>
      <c r="K3348">
        <v>582</v>
      </c>
      <c r="L3348">
        <v>118</v>
      </c>
      <c r="M3348" t="s">
        <v>16</v>
      </c>
    </row>
    <row r="3349" spans="1:13" x14ac:dyDescent="0.35">
      <c r="A3349">
        <v>350730</v>
      </c>
      <c r="B3349">
        <v>29130</v>
      </c>
      <c r="C3349" t="s">
        <v>3534</v>
      </c>
      <c r="D3349" t="s">
        <v>3421</v>
      </c>
      <c r="E3349" t="s">
        <v>3505</v>
      </c>
      <c r="F3349">
        <v>4128</v>
      </c>
      <c r="G3349">
        <v>1</v>
      </c>
      <c r="H3349" t="s">
        <v>16</v>
      </c>
      <c r="I3349" s="1">
        <v>-2219300</v>
      </c>
      <c r="J3349" s="1">
        <v>-4877900</v>
      </c>
      <c r="K3349">
        <v>480</v>
      </c>
      <c r="L3349">
        <v>120</v>
      </c>
      <c r="M3349" t="s">
        <v>16</v>
      </c>
    </row>
    <row r="3350" spans="1:13" x14ac:dyDescent="0.35">
      <c r="A3350">
        <v>350740</v>
      </c>
      <c r="B3350">
        <v>29149</v>
      </c>
      <c r="C3350" t="s">
        <v>1442</v>
      </c>
      <c r="D3350" t="s">
        <v>3421</v>
      </c>
      <c r="E3350" t="s">
        <v>3455</v>
      </c>
      <c r="F3350">
        <v>13752</v>
      </c>
      <c r="G3350">
        <v>1</v>
      </c>
      <c r="H3350" t="s">
        <v>16</v>
      </c>
      <c r="I3350" s="1">
        <v>-2162000</v>
      </c>
      <c r="J3350" s="1">
        <v>-4907400</v>
      </c>
      <c r="K3350">
        <v>429</v>
      </c>
      <c r="L3350">
        <v>552</v>
      </c>
      <c r="M3350" t="s">
        <v>16</v>
      </c>
    </row>
    <row r="3351" spans="1:13" x14ac:dyDescent="0.35">
      <c r="A3351">
        <v>350745</v>
      </c>
      <c r="B3351">
        <v>51144</v>
      </c>
      <c r="C3351" t="s">
        <v>3535</v>
      </c>
      <c r="D3351" t="s">
        <v>3421</v>
      </c>
      <c r="E3351" t="s">
        <v>3434</v>
      </c>
      <c r="F3351">
        <v>2172</v>
      </c>
      <c r="G3351">
        <v>1</v>
      </c>
      <c r="H3351" t="s">
        <v>16</v>
      </c>
      <c r="I3351" s="1">
        <v>-2256900</v>
      </c>
      <c r="J3351" s="1">
        <v>-4897100</v>
      </c>
      <c r="K3351">
        <v>590</v>
      </c>
      <c r="L3351">
        <v>348</v>
      </c>
      <c r="M3351" t="s">
        <v>16</v>
      </c>
    </row>
    <row r="3352" spans="1:13" x14ac:dyDescent="0.35">
      <c r="A3352">
        <v>350750</v>
      </c>
      <c r="B3352">
        <v>29157</v>
      </c>
      <c r="C3352" t="s">
        <v>3462</v>
      </c>
      <c r="D3352" t="s">
        <v>3421</v>
      </c>
      <c r="E3352" t="s">
        <v>3462</v>
      </c>
      <c r="F3352">
        <v>120800</v>
      </c>
      <c r="G3352">
        <v>3</v>
      </c>
      <c r="H3352" t="s">
        <v>16</v>
      </c>
      <c r="I3352" s="1">
        <v>-2288600</v>
      </c>
      <c r="J3352" s="1">
        <v>-4844500</v>
      </c>
      <c r="K3352">
        <v>804</v>
      </c>
      <c r="L3352">
        <v>1482</v>
      </c>
      <c r="M3352" t="s">
        <v>16</v>
      </c>
    </row>
    <row r="3353" spans="1:13" x14ac:dyDescent="0.35">
      <c r="A3353">
        <v>350760</v>
      </c>
      <c r="B3353">
        <v>29165</v>
      </c>
      <c r="C3353" t="s">
        <v>3494</v>
      </c>
      <c r="D3353" t="s">
        <v>3421</v>
      </c>
      <c r="E3353" t="s">
        <v>3494</v>
      </c>
      <c r="F3353">
        <v>136286</v>
      </c>
      <c r="G3353">
        <v>3</v>
      </c>
      <c r="H3353" t="s">
        <v>16</v>
      </c>
      <c r="I3353" s="1">
        <v>-2295200</v>
      </c>
      <c r="J3353" s="1">
        <v>-4654200</v>
      </c>
      <c r="K3353">
        <v>817</v>
      </c>
      <c r="L3353">
        <v>513</v>
      </c>
      <c r="M3353" t="s">
        <v>16</v>
      </c>
    </row>
    <row r="3354" spans="1:13" x14ac:dyDescent="0.35">
      <c r="A3354">
        <v>350770</v>
      </c>
      <c r="B3354">
        <v>29173</v>
      </c>
      <c r="C3354" t="s">
        <v>3536</v>
      </c>
      <c r="D3354" t="s">
        <v>3421</v>
      </c>
      <c r="E3354" t="s">
        <v>3442</v>
      </c>
      <c r="F3354">
        <v>4728</v>
      </c>
      <c r="G3354">
        <v>1</v>
      </c>
      <c r="H3354" t="s">
        <v>16</v>
      </c>
      <c r="I3354" s="1">
        <v>-2149900</v>
      </c>
      <c r="J3354" s="1">
        <v>-5031600</v>
      </c>
      <c r="K3354">
        <v>401</v>
      </c>
      <c r="L3354">
        <v>195</v>
      </c>
      <c r="M3354" t="s">
        <v>16</v>
      </c>
    </row>
    <row r="3355" spans="1:13" x14ac:dyDescent="0.35">
      <c r="A3355">
        <v>350775</v>
      </c>
      <c r="B3355">
        <v>56383</v>
      </c>
      <c r="C3355" t="s">
        <v>3537</v>
      </c>
      <c r="D3355" t="s">
        <v>3421</v>
      </c>
      <c r="E3355" t="s">
        <v>3442</v>
      </c>
      <c r="F3355">
        <v>2432</v>
      </c>
      <c r="G3355">
        <v>1</v>
      </c>
      <c r="H3355" t="s">
        <v>16</v>
      </c>
      <c r="I3355" s="1">
        <v>-2116600</v>
      </c>
      <c r="J3355" s="1">
        <v>-5018500</v>
      </c>
      <c r="K3355">
        <v>390</v>
      </c>
      <c r="L3355">
        <v>104</v>
      </c>
      <c r="M3355" t="s">
        <v>16</v>
      </c>
    </row>
    <row r="3356" spans="1:13" x14ac:dyDescent="0.35">
      <c r="A3356">
        <v>350780</v>
      </c>
      <c r="B3356">
        <v>29181</v>
      </c>
      <c r="C3356" t="s">
        <v>3538</v>
      </c>
      <c r="D3356" t="s">
        <v>3421</v>
      </c>
      <c r="E3356" t="s">
        <v>3512</v>
      </c>
      <c r="F3356">
        <v>19018</v>
      </c>
      <c r="G3356">
        <v>1</v>
      </c>
      <c r="H3356" t="s">
        <v>16</v>
      </c>
      <c r="I3356" s="1">
        <v>-2099100</v>
      </c>
      <c r="J3356" s="1">
        <v>-4765900</v>
      </c>
      <c r="K3356">
        <v>861</v>
      </c>
      <c r="L3356">
        <v>279</v>
      </c>
      <c r="M3356" t="s">
        <v>16</v>
      </c>
    </row>
    <row r="3357" spans="1:13" x14ac:dyDescent="0.35">
      <c r="A3357">
        <v>350790</v>
      </c>
      <c r="B3357">
        <v>29190</v>
      </c>
      <c r="C3357" t="s">
        <v>3539</v>
      </c>
      <c r="D3357" t="s">
        <v>3421</v>
      </c>
      <c r="E3357" t="s">
        <v>3396</v>
      </c>
      <c r="F3357">
        <v>20996</v>
      </c>
      <c r="G3357">
        <v>1</v>
      </c>
      <c r="H3357" t="s">
        <v>16</v>
      </c>
      <c r="I3357" s="1">
        <v>-2228400</v>
      </c>
      <c r="J3357" s="1">
        <v>-4812700</v>
      </c>
      <c r="K3357">
        <v>647</v>
      </c>
      <c r="L3357">
        <v>1101</v>
      </c>
      <c r="M3357" t="s">
        <v>16</v>
      </c>
    </row>
    <row r="3358" spans="1:13" x14ac:dyDescent="0.35">
      <c r="A3358">
        <v>350800</v>
      </c>
      <c r="B3358">
        <v>29203</v>
      </c>
      <c r="C3358" t="s">
        <v>3540</v>
      </c>
      <c r="D3358" t="s">
        <v>3421</v>
      </c>
      <c r="E3358" t="s">
        <v>2799</v>
      </c>
      <c r="F3358">
        <v>17539</v>
      </c>
      <c r="G3358">
        <v>1</v>
      </c>
      <c r="H3358" t="s">
        <v>16</v>
      </c>
      <c r="I3358" s="1">
        <v>-2379800</v>
      </c>
      <c r="J3358" s="1">
        <v>-4859300</v>
      </c>
      <c r="K3358">
        <v>590</v>
      </c>
      <c r="L3358">
        <v>1194</v>
      </c>
      <c r="M3358" t="s">
        <v>16</v>
      </c>
    </row>
    <row r="3359" spans="1:13" x14ac:dyDescent="0.35">
      <c r="A3359">
        <v>350810</v>
      </c>
      <c r="B3359">
        <v>29211</v>
      </c>
      <c r="C3359" t="s">
        <v>3541</v>
      </c>
      <c r="D3359" t="s">
        <v>3421</v>
      </c>
      <c r="E3359" t="s">
        <v>3442</v>
      </c>
      <c r="F3359">
        <v>14735</v>
      </c>
      <c r="G3359">
        <v>1</v>
      </c>
      <c r="H3359" t="s">
        <v>16</v>
      </c>
      <c r="I3359" s="1">
        <v>-2106600</v>
      </c>
      <c r="J3359" s="1">
        <v>-5014700</v>
      </c>
      <c r="K3359">
        <v>391</v>
      </c>
      <c r="L3359">
        <v>326</v>
      </c>
      <c r="M3359" t="s">
        <v>16</v>
      </c>
    </row>
    <row r="3360" spans="1:13" x14ac:dyDescent="0.35">
      <c r="A3360">
        <v>350820</v>
      </c>
      <c r="B3360">
        <v>29220</v>
      </c>
      <c r="C3360" t="s">
        <v>3542</v>
      </c>
      <c r="D3360" t="s">
        <v>3421</v>
      </c>
      <c r="E3360" t="s">
        <v>3473</v>
      </c>
      <c r="F3360">
        <v>3872</v>
      </c>
      <c r="G3360">
        <v>1</v>
      </c>
      <c r="H3360" t="s">
        <v>16</v>
      </c>
      <c r="I3360" s="1">
        <v>-2019100</v>
      </c>
      <c r="J3360" s="1">
        <v>-4770800</v>
      </c>
      <c r="K3360">
        <v>855</v>
      </c>
      <c r="L3360">
        <v>266</v>
      </c>
      <c r="M3360" t="s">
        <v>16</v>
      </c>
    </row>
    <row r="3361" spans="1:13" x14ac:dyDescent="0.35">
      <c r="A3361">
        <v>350830</v>
      </c>
      <c r="B3361">
        <v>29238</v>
      </c>
      <c r="C3361" t="s">
        <v>3543</v>
      </c>
      <c r="D3361" t="s">
        <v>3421</v>
      </c>
      <c r="E3361" t="s">
        <v>3434</v>
      </c>
      <c r="F3361">
        <v>4340</v>
      </c>
      <c r="G3361">
        <v>1</v>
      </c>
      <c r="H3361" t="s">
        <v>16</v>
      </c>
      <c r="I3361" s="1">
        <v>-2245600</v>
      </c>
      <c r="J3361" s="1">
        <v>-4933800</v>
      </c>
      <c r="K3361">
        <v>539</v>
      </c>
      <c r="L3361">
        <v>239</v>
      </c>
      <c r="M3361" t="s">
        <v>16</v>
      </c>
    </row>
    <row r="3362" spans="1:13" x14ac:dyDescent="0.35">
      <c r="A3362">
        <v>350840</v>
      </c>
      <c r="B3362">
        <v>29246</v>
      </c>
      <c r="C3362" t="s">
        <v>3544</v>
      </c>
      <c r="D3362" t="s">
        <v>3421</v>
      </c>
      <c r="E3362" t="s">
        <v>3444</v>
      </c>
      <c r="F3362">
        <v>38898</v>
      </c>
      <c r="G3362">
        <v>1</v>
      </c>
      <c r="H3362" t="s">
        <v>16</v>
      </c>
      <c r="I3362" s="1">
        <v>-2330800</v>
      </c>
      <c r="J3362" s="1">
        <v>-4713300</v>
      </c>
      <c r="K3362">
        <v>650</v>
      </c>
      <c r="L3362">
        <v>259</v>
      </c>
      <c r="M3362" t="s">
        <v>16</v>
      </c>
    </row>
    <row r="3363" spans="1:13" x14ac:dyDescent="0.35">
      <c r="A3363">
        <v>350850</v>
      </c>
      <c r="B3363">
        <v>29254</v>
      </c>
      <c r="C3363" t="s">
        <v>3545</v>
      </c>
      <c r="D3363" t="s">
        <v>3421</v>
      </c>
      <c r="E3363" t="s">
        <v>3546</v>
      </c>
      <c r="F3363">
        <v>80458</v>
      </c>
      <c r="G3363">
        <v>2</v>
      </c>
      <c r="H3363" t="s">
        <v>16</v>
      </c>
      <c r="I3363" s="1">
        <v>-2310100</v>
      </c>
      <c r="J3363" s="1">
        <v>-4570700</v>
      </c>
      <c r="K3363">
        <v>560</v>
      </c>
      <c r="L3363">
        <v>369</v>
      </c>
      <c r="M3363" t="s">
        <v>16</v>
      </c>
    </row>
    <row r="3364" spans="1:13" x14ac:dyDescent="0.35">
      <c r="A3364">
        <v>350860</v>
      </c>
      <c r="B3364">
        <v>29262</v>
      </c>
      <c r="C3364" t="s">
        <v>3547</v>
      </c>
      <c r="D3364" t="s">
        <v>3421</v>
      </c>
      <c r="E3364" t="s">
        <v>3464</v>
      </c>
      <c r="F3364">
        <v>31674</v>
      </c>
      <c r="G3364">
        <v>1</v>
      </c>
      <c r="H3364" t="s">
        <v>16</v>
      </c>
      <c r="I3364" s="1">
        <v>-2266500</v>
      </c>
      <c r="J3364" s="1">
        <v>-4500900</v>
      </c>
      <c r="K3364">
        <v>521</v>
      </c>
      <c r="L3364">
        <v>287</v>
      </c>
      <c r="M3364" t="s">
        <v>16</v>
      </c>
    </row>
    <row r="3365" spans="1:13" x14ac:dyDescent="0.35">
      <c r="A3365">
        <v>350870</v>
      </c>
      <c r="B3365">
        <v>29270</v>
      </c>
      <c r="C3365" t="s">
        <v>3548</v>
      </c>
      <c r="D3365" t="s">
        <v>3421</v>
      </c>
      <c r="E3365" t="s">
        <v>3427</v>
      </c>
      <c r="F3365">
        <v>18552</v>
      </c>
      <c r="G3365">
        <v>1</v>
      </c>
      <c r="H3365" t="s">
        <v>16</v>
      </c>
      <c r="I3365" s="1">
        <v>-2152900</v>
      </c>
      <c r="J3365" s="1">
        <v>-4664400</v>
      </c>
      <c r="K3365">
        <v>780</v>
      </c>
      <c r="L3365">
        <v>470</v>
      </c>
      <c r="M3365" t="s">
        <v>16</v>
      </c>
    </row>
    <row r="3366" spans="1:13" x14ac:dyDescent="0.35">
      <c r="A3366">
        <v>350880</v>
      </c>
      <c r="B3366">
        <v>29289</v>
      </c>
      <c r="C3366" t="s">
        <v>3549</v>
      </c>
      <c r="D3366" t="s">
        <v>3421</v>
      </c>
      <c r="E3366" t="s">
        <v>3550</v>
      </c>
      <c r="F3366">
        <v>16073</v>
      </c>
      <c r="G3366">
        <v>1</v>
      </c>
      <c r="H3366" t="s">
        <v>16</v>
      </c>
      <c r="I3366" s="1">
        <v>-2180300</v>
      </c>
      <c r="J3366" s="1">
        <v>-4961000</v>
      </c>
      <c r="K3366">
        <v>445</v>
      </c>
      <c r="L3366">
        <v>919</v>
      </c>
      <c r="M3366" t="s">
        <v>16</v>
      </c>
    </row>
    <row r="3367" spans="1:13" x14ac:dyDescent="0.35">
      <c r="A3367">
        <v>350890</v>
      </c>
      <c r="B3367">
        <v>29297</v>
      </c>
      <c r="C3367" t="s">
        <v>3551</v>
      </c>
      <c r="D3367" t="s">
        <v>3421</v>
      </c>
      <c r="E3367" t="s">
        <v>3438</v>
      </c>
      <c r="F3367">
        <v>4011</v>
      </c>
      <c r="G3367">
        <v>1</v>
      </c>
      <c r="H3367" t="s">
        <v>16</v>
      </c>
      <c r="I3367" s="1">
        <v>-2201200</v>
      </c>
      <c r="J3367" s="1">
        <v>-5123600</v>
      </c>
      <c r="K3367">
        <v>520</v>
      </c>
      <c r="L3367">
        <v>251</v>
      </c>
      <c r="M3367" t="s">
        <v>16</v>
      </c>
    </row>
    <row r="3368" spans="1:13" x14ac:dyDescent="0.35">
      <c r="A3368">
        <v>350900</v>
      </c>
      <c r="B3368">
        <v>29300</v>
      </c>
      <c r="C3368" t="s">
        <v>3552</v>
      </c>
      <c r="D3368" t="s">
        <v>3421</v>
      </c>
      <c r="E3368" t="s">
        <v>3553</v>
      </c>
      <c r="F3368">
        <v>81163</v>
      </c>
      <c r="G3368">
        <v>4</v>
      </c>
      <c r="H3368" t="s">
        <v>3490</v>
      </c>
      <c r="I3368" s="1">
        <v>-2336400</v>
      </c>
      <c r="J3368" s="1">
        <v>-4674100</v>
      </c>
      <c r="K3368">
        <v>785</v>
      </c>
      <c r="L3368">
        <v>95</v>
      </c>
      <c r="M3368" t="s">
        <v>16</v>
      </c>
    </row>
    <row r="3369" spans="1:13" x14ac:dyDescent="0.35">
      <c r="A3369">
        <v>350910</v>
      </c>
      <c r="B3369">
        <v>29319</v>
      </c>
      <c r="C3369" t="s">
        <v>3554</v>
      </c>
      <c r="D3369" t="s">
        <v>3421</v>
      </c>
      <c r="E3369" t="s">
        <v>3438</v>
      </c>
      <c r="F3369">
        <v>4953</v>
      </c>
      <c r="G3369">
        <v>1</v>
      </c>
      <c r="H3369" t="s">
        <v>16</v>
      </c>
      <c r="I3369" s="1">
        <v>-2183200</v>
      </c>
      <c r="J3369" s="1">
        <v>-5199800</v>
      </c>
      <c r="K3369">
        <v>375</v>
      </c>
      <c r="L3369">
        <v>535</v>
      </c>
      <c r="M3369" t="s">
        <v>16</v>
      </c>
    </row>
    <row r="3370" spans="1:13" x14ac:dyDescent="0.35">
      <c r="A3370">
        <v>350920</v>
      </c>
      <c r="B3370">
        <v>29327</v>
      </c>
      <c r="C3370" t="s">
        <v>3555</v>
      </c>
      <c r="D3370" t="s">
        <v>3421</v>
      </c>
      <c r="E3370" t="s">
        <v>3514</v>
      </c>
      <c r="F3370">
        <v>58403</v>
      </c>
      <c r="G3370">
        <v>4</v>
      </c>
      <c r="H3370" t="s">
        <v>3490</v>
      </c>
      <c r="I3370" s="1">
        <v>-2335600</v>
      </c>
      <c r="J3370" s="1">
        <v>-4687700</v>
      </c>
      <c r="K3370">
        <v>735</v>
      </c>
      <c r="L3370">
        <v>128</v>
      </c>
      <c r="M3370" t="s">
        <v>16</v>
      </c>
    </row>
    <row r="3371" spans="1:13" x14ac:dyDescent="0.35">
      <c r="A3371">
        <v>350925</v>
      </c>
      <c r="B3371">
        <v>53570</v>
      </c>
      <c r="C3371" t="s">
        <v>3556</v>
      </c>
      <c r="D3371" t="s">
        <v>3421</v>
      </c>
      <c r="E3371" t="s">
        <v>3509</v>
      </c>
      <c r="F3371">
        <v>28285</v>
      </c>
      <c r="G3371">
        <v>1</v>
      </c>
      <c r="H3371" t="s">
        <v>16</v>
      </c>
      <c r="I3371" s="1">
        <v>-2473600</v>
      </c>
      <c r="J3371" s="1">
        <v>-4812300</v>
      </c>
      <c r="K3371">
        <v>75</v>
      </c>
      <c r="L3371">
        <v>454</v>
      </c>
      <c r="M3371" t="s">
        <v>16</v>
      </c>
    </row>
    <row r="3372" spans="1:13" x14ac:dyDescent="0.35">
      <c r="A3372">
        <v>350930</v>
      </c>
      <c r="B3372">
        <v>29335</v>
      </c>
      <c r="C3372" t="s">
        <v>3557</v>
      </c>
      <c r="D3372" t="s">
        <v>3421</v>
      </c>
      <c r="E3372" t="s">
        <v>3485</v>
      </c>
      <c r="F3372">
        <v>9519</v>
      </c>
      <c r="G3372">
        <v>1</v>
      </c>
      <c r="H3372" t="s">
        <v>16</v>
      </c>
      <c r="I3372" s="1">
        <v>-2088000</v>
      </c>
      <c r="J3372" s="1">
        <v>-4880900</v>
      </c>
      <c r="K3372">
        <v>565</v>
      </c>
      <c r="L3372">
        <v>176</v>
      </c>
      <c r="M3372" t="s">
        <v>16</v>
      </c>
    </row>
    <row r="3373" spans="1:13" x14ac:dyDescent="0.35">
      <c r="A3373">
        <v>350940</v>
      </c>
      <c r="B3373">
        <v>29343</v>
      </c>
      <c r="C3373" t="s">
        <v>3558</v>
      </c>
      <c r="D3373" t="s">
        <v>3421</v>
      </c>
      <c r="E3373" t="s">
        <v>3441</v>
      </c>
      <c r="F3373">
        <v>22695</v>
      </c>
      <c r="G3373">
        <v>1</v>
      </c>
      <c r="H3373" t="s">
        <v>16</v>
      </c>
      <c r="I3373" s="1">
        <v>-2127500</v>
      </c>
      <c r="J3373" s="1">
        <v>-4730400</v>
      </c>
      <c r="K3373">
        <v>775</v>
      </c>
      <c r="L3373">
        <v>660</v>
      </c>
      <c r="M3373" t="s">
        <v>16</v>
      </c>
    </row>
    <row r="3374" spans="1:13" x14ac:dyDescent="0.35">
      <c r="A3374">
        <v>350945</v>
      </c>
      <c r="B3374">
        <v>51152</v>
      </c>
      <c r="C3374" t="s">
        <v>3559</v>
      </c>
      <c r="D3374" t="s">
        <v>3421</v>
      </c>
      <c r="E3374" t="s">
        <v>3436</v>
      </c>
      <c r="F3374">
        <v>5320</v>
      </c>
      <c r="G3374">
        <v>1</v>
      </c>
      <c r="H3374" t="s">
        <v>16</v>
      </c>
      <c r="I3374" s="1">
        <v>-2359200</v>
      </c>
      <c r="J3374" s="1">
        <v>-4847700</v>
      </c>
      <c r="K3374">
        <v>612</v>
      </c>
      <c r="L3374">
        <v>184</v>
      </c>
      <c r="M3374" t="s">
        <v>16</v>
      </c>
    </row>
    <row r="3375" spans="1:13" x14ac:dyDescent="0.35">
      <c r="A3375">
        <v>350950</v>
      </c>
      <c r="B3375">
        <v>29351</v>
      </c>
      <c r="C3375" t="s">
        <v>3452</v>
      </c>
      <c r="D3375" t="s">
        <v>3421</v>
      </c>
      <c r="E3375" t="s">
        <v>3452</v>
      </c>
      <c r="F3375">
        <v>1039297</v>
      </c>
      <c r="G3375">
        <v>4</v>
      </c>
      <c r="H3375" t="s">
        <v>3453</v>
      </c>
      <c r="I3375" s="1">
        <v>-2290600</v>
      </c>
      <c r="J3375" s="1">
        <v>-4706100</v>
      </c>
      <c r="K3375">
        <v>854</v>
      </c>
      <c r="L3375">
        <v>795</v>
      </c>
      <c r="M3375" t="s">
        <v>16</v>
      </c>
    </row>
    <row r="3376" spans="1:13" x14ac:dyDescent="0.35">
      <c r="A3376">
        <v>350960</v>
      </c>
      <c r="B3376">
        <v>29360</v>
      </c>
      <c r="C3376" t="s">
        <v>3560</v>
      </c>
      <c r="D3376" t="s">
        <v>3421</v>
      </c>
      <c r="E3376" t="s">
        <v>3561</v>
      </c>
      <c r="F3376">
        <v>69810</v>
      </c>
      <c r="G3376">
        <v>2</v>
      </c>
      <c r="H3376" t="s">
        <v>16</v>
      </c>
      <c r="I3376" s="1">
        <v>-2320600</v>
      </c>
      <c r="J3376" s="1">
        <v>-4678400</v>
      </c>
      <c r="K3376">
        <v>745</v>
      </c>
      <c r="L3376">
        <v>80</v>
      </c>
      <c r="M3376" t="s">
        <v>16</v>
      </c>
    </row>
    <row r="3377" spans="1:13" x14ac:dyDescent="0.35">
      <c r="A3377">
        <v>350970</v>
      </c>
      <c r="B3377">
        <v>29378</v>
      </c>
      <c r="C3377" t="s">
        <v>3562</v>
      </c>
      <c r="D3377" t="s">
        <v>3421</v>
      </c>
      <c r="E3377" t="s">
        <v>3563</v>
      </c>
      <c r="F3377">
        <v>44688</v>
      </c>
      <c r="G3377">
        <v>1</v>
      </c>
      <c r="H3377" t="s">
        <v>16</v>
      </c>
      <c r="I3377" s="1">
        <v>-2273900</v>
      </c>
      <c r="J3377" s="1">
        <v>-4559100</v>
      </c>
      <c r="K3377">
        <v>1628</v>
      </c>
      <c r="L3377">
        <v>289</v>
      </c>
      <c r="M3377" t="s">
        <v>16</v>
      </c>
    </row>
    <row r="3378" spans="1:13" x14ac:dyDescent="0.35">
      <c r="A3378">
        <v>350980</v>
      </c>
      <c r="B3378">
        <v>29386</v>
      </c>
      <c r="C3378" t="s">
        <v>3564</v>
      </c>
      <c r="D3378" t="s">
        <v>3421</v>
      </c>
      <c r="E3378" t="s">
        <v>3492</v>
      </c>
      <c r="F3378">
        <v>4651</v>
      </c>
      <c r="G3378">
        <v>1</v>
      </c>
      <c r="H3378" t="s">
        <v>16</v>
      </c>
      <c r="I3378" s="1">
        <v>-2260300</v>
      </c>
      <c r="J3378" s="1">
        <v>-5000300</v>
      </c>
      <c r="K3378">
        <v>446</v>
      </c>
      <c r="L3378">
        <v>484</v>
      </c>
      <c r="M3378" t="s">
        <v>16</v>
      </c>
    </row>
    <row r="3379" spans="1:13" x14ac:dyDescent="0.35">
      <c r="A3379">
        <v>350990</v>
      </c>
      <c r="B3379">
        <v>29394</v>
      </c>
      <c r="C3379" t="s">
        <v>3565</v>
      </c>
      <c r="D3379" t="s">
        <v>3421</v>
      </c>
      <c r="E3379" t="s">
        <v>3509</v>
      </c>
      <c r="F3379">
        <v>12039</v>
      </c>
      <c r="G3379">
        <v>1</v>
      </c>
      <c r="H3379" t="s">
        <v>16</v>
      </c>
      <c r="I3379" s="1">
        <v>-2501500</v>
      </c>
      <c r="J3379" s="1">
        <v>-4792700</v>
      </c>
      <c r="K3379">
        <v>8</v>
      </c>
      <c r="L3379">
        <v>1242</v>
      </c>
      <c r="M3379" t="s">
        <v>16</v>
      </c>
    </row>
    <row r="3380" spans="1:13" x14ac:dyDescent="0.35">
      <c r="A3380">
        <v>350995</v>
      </c>
      <c r="B3380">
        <v>56391</v>
      </c>
      <c r="C3380" t="s">
        <v>3566</v>
      </c>
      <c r="D3380" t="s">
        <v>3421</v>
      </c>
      <c r="E3380" t="s">
        <v>3464</v>
      </c>
      <c r="F3380">
        <v>4318</v>
      </c>
      <c r="G3380">
        <v>1</v>
      </c>
      <c r="H3380" t="s">
        <v>16</v>
      </c>
      <c r="I3380" s="1">
        <v>-2270400</v>
      </c>
      <c r="J3380" s="1">
        <v>-4505500</v>
      </c>
      <c r="K3380">
        <v>530</v>
      </c>
      <c r="L3380">
        <v>53</v>
      </c>
      <c r="M3380" t="s">
        <v>16</v>
      </c>
    </row>
    <row r="3381" spans="1:13" x14ac:dyDescent="0.35">
      <c r="A3381">
        <v>351000</v>
      </c>
      <c r="B3381">
        <v>29408</v>
      </c>
      <c r="C3381" t="s">
        <v>3567</v>
      </c>
      <c r="D3381" t="s">
        <v>3421</v>
      </c>
      <c r="E3381" t="s">
        <v>3492</v>
      </c>
      <c r="F3381">
        <v>29572</v>
      </c>
      <c r="G3381">
        <v>1</v>
      </c>
      <c r="H3381" t="s">
        <v>16</v>
      </c>
      <c r="I3381" s="1">
        <v>-2274600</v>
      </c>
      <c r="J3381" s="1">
        <v>-5038700</v>
      </c>
      <c r="K3381">
        <v>479</v>
      </c>
      <c r="L3381">
        <v>596</v>
      </c>
      <c r="M3381" t="s">
        <v>16</v>
      </c>
    </row>
    <row r="3382" spans="1:13" x14ac:dyDescent="0.35">
      <c r="A3382">
        <v>351010</v>
      </c>
      <c r="B3382">
        <v>29416</v>
      </c>
      <c r="C3382" t="s">
        <v>3568</v>
      </c>
      <c r="D3382" t="s">
        <v>3421</v>
      </c>
      <c r="E3382" t="s">
        <v>3517</v>
      </c>
      <c r="F3382">
        <v>2655</v>
      </c>
      <c r="G3382">
        <v>1</v>
      </c>
      <c r="H3382" t="s">
        <v>16</v>
      </c>
      <c r="I3382" s="1">
        <v>-2132500</v>
      </c>
      <c r="J3382" s="1">
        <v>-4863100</v>
      </c>
      <c r="K3382">
        <v>610</v>
      </c>
      <c r="L3382">
        <v>69</v>
      </c>
      <c r="M3382" t="s">
        <v>16</v>
      </c>
    </row>
    <row r="3383" spans="1:13" x14ac:dyDescent="0.35">
      <c r="A3383">
        <v>351015</v>
      </c>
      <c r="B3383">
        <v>51160</v>
      </c>
      <c r="C3383" t="s">
        <v>3569</v>
      </c>
      <c r="D3383" t="s">
        <v>3421</v>
      </c>
      <c r="E3383" t="s">
        <v>3520</v>
      </c>
      <c r="F3383">
        <v>4265</v>
      </c>
      <c r="G3383">
        <v>1</v>
      </c>
      <c r="H3383" t="s">
        <v>16</v>
      </c>
      <c r="I3383" s="1">
        <v>-2300600</v>
      </c>
      <c r="J3383" s="1">
        <v>-4978300</v>
      </c>
      <c r="K3383">
        <v>508</v>
      </c>
      <c r="L3383">
        <v>57</v>
      </c>
      <c r="M3383" t="s">
        <v>16</v>
      </c>
    </row>
    <row r="3384" spans="1:13" x14ac:dyDescent="0.35">
      <c r="A3384">
        <v>351020</v>
      </c>
      <c r="B3384">
        <v>29424</v>
      </c>
      <c r="C3384" t="s">
        <v>3570</v>
      </c>
      <c r="D3384" t="s">
        <v>3421</v>
      </c>
      <c r="E3384" t="s">
        <v>3468</v>
      </c>
      <c r="F3384">
        <v>45275</v>
      </c>
      <c r="G3384">
        <v>1</v>
      </c>
      <c r="H3384" t="s">
        <v>16</v>
      </c>
      <c r="I3384" s="1">
        <v>-2400600</v>
      </c>
      <c r="J3384" s="1">
        <v>-4834900</v>
      </c>
      <c r="K3384">
        <v>705</v>
      </c>
      <c r="L3384">
        <v>1641</v>
      </c>
      <c r="M3384" t="s">
        <v>16</v>
      </c>
    </row>
    <row r="3385" spans="1:13" x14ac:dyDescent="0.35">
      <c r="A3385">
        <v>351030</v>
      </c>
      <c r="B3385">
        <v>29432</v>
      </c>
      <c r="C3385" t="s">
        <v>3571</v>
      </c>
      <c r="D3385" t="s">
        <v>3421</v>
      </c>
      <c r="E3385" t="s">
        <v>3444</v>
      </c>
      <c r="F3385">
        <v>15950</v>
      </c>
      <c r="G3385">
        <v>1</v>
      </c>
      <c r="H3385" t="s">
        <v>16</v>
      </c>
      <c r="I3385" s="1">
        <v>-2347100</v>
      </c>
      <c r="J3385" s="1">
        <v>-4773500</v>
      </c>
      <c r="K3385">
        <v>625</v>
      </c>
      <c r="L3385">
        <v>169</v>
      </c>
      <c r="M3385" t="s">
        <v>16</v>
      </c>
    </row>
    <row r="3386" spans="1:13" x14ac:dyDescent="0.35">
      <c r="A3386">
        <v>351040</v>
      </c>
      <c r="B3386">
        <v>29440</v>
      </c>
      <c r="C3386" t="s">
        <v>3572</v>
      </c>
      <c r="D3386" t="s">
        <v>3421</v>
      </c>
      <c r="E3386" t="s">
        <v>3432</v>
      </c>
      <c r="F3386">
        <v>43779</v>
      </c>
      <c r="G3386">
        <v>1</v>
      </c>
      <c r="H3386" t="s">
        <v>16</v>
      </c>
      <c r="I3386" s="1">
        <v>-2299500</v>
      </c>
      <c r="J3386" s="1">
        <v>-4750800</v>
      </c>
      <c r="K3386">
        <v>636</v>
      </c>
      <c r="L3386">
        <v>323</v>
      </c>
      <c r="M3386" t="s">
        <v>16</v>
      </c>
    </row>
    <row r="3387" spans="1:13" x14ac:dyDescent="0.35">
      <c r="A3387">
        <v>351050</v>
      </c>
      <c r="B3387">
        <v>29459</v>
      </c>
      <c r="C3387" t="s">
        <v>3573</v>
      </c>
      <c r="D3387" t="s">
        <v>3421</v>
      </c>
      <c r="E3387" t="s">
        <v>3573</v>
      </c>
      <c r="F3387">
        <v>88815</v>
      </c>
      <c r="G3387">
        <v>2</v>
      </c>
      <c r="H3387" t="s">
        <v>16</v>
      </c>
      <c r="I3387" s="1">
        <v>-2362000</v>
      </c>
      <c r="J3387" s="1">
        <v>-4541300</v>
      </c>
      <c r="K3387">
        <v>2</v>
      </c>
      <c r="L3387">
        <v>483</v>
      </c>
      <c r="M3387" t="s">
        <v>16</v>
      </c>
    </row>
    <row r="3388" spans="1:13" x14ac:dyDescent="0.35">
      <c r="A3388">
        <v>351060</v>
      </c>
      <c r="B3388">
        <v>29467</v>
      </c>
      <c r="C3388" t="s">
        <v>3574</v>
      </c>
      <c r="D3388" t="s">
        <v>3421</v>
      </c>
      <c r="E3388" t="s">
        <v>3514</v>
      </c>
      <c r="F3388">
        <v>379566</v>
      </c>
      <c r="G3388">
        <v>4</v>
      </c>
      <c r="H3388" t="s">
        <v>3490</v>
      </c>
      <c r="I3388" s="1">
        <v>-2352300</v>
      </c>
      <c r="J3388" s="1">
        <v>-4683600</v>
      </c>
      <c r="K3388">
        <v>770</v>
      </c>
      <c r="L3388">
        <v>34</v>
      </c>
      <c r="M3388" t="s">
        <v>16</v>
      </c>
    </row>
    <row r="3389" spans="1:13" x14ac:dyDescent="0.35">
      <c r="A3389">
        <v>351070</v>
      </c>
      <c r="B3389">
        <v>29475</v>
      </c>
      <c r="C3389" t="s">
        <v>3575</v>
      </c>
      <c r="D3389" t="s">
        <v>3421</v>
      </c>
      <c r="E3389" t="s">
        <v>3446</v>
      </c>
      <c r="F3389">
        <v>11324</v>
      </c>
      <c r="G3389">
        <v>1</v>
      </c>
      <c r="H3389" t="s">
        <v>16</v>
      </c>
      <c r="I3389" s="1">
        <v>-2008200</v>
      </c>
      <c r="J3389" s="1">
        <v>-4991400</v>
      </c>
      <c r="K3389">
        <v>422</v>
      </c>
      <c r="L3389">
        <v>637</v>
      </c>
      <c r="M3389" t="s">
        <v>16</v>
      </c>
    </row>
    <row r="3390" spans="1:13" x14ac:dyDescent="0.35">
      <c r="A3390">
        <v>351080</v>
      </c>
      <c r="B3390">
        <v>29483</v>
      </c>
      <c r="C3390" t="s">
        <v>3576</v>
      </c>
      <c r="D3390" t="s">
        <v>3421</v>
      </c>
      <c r="E3390" t="s">
        <v>3427</v>
      </c>
      <c r="F3390">
        <v>27081</v>
      </c>
      <c r="G3390">
        <v>1</v>
      </c>
      <c r="H3390" t="s">
        <v>16</v>
      </c>
      <c r="I3390" s="1">
        <v>-2177400</v>
      </c>
      <c r="J3390" s="1">
        <v>-4708600</v>
      </c>
      <c r="K3390">
        <v>684</v>
      </c>
      <c r="L3390">
        <v>865</v>
      </c>
      <c r="M3390" t="s">
        <v>16</v>
      </c>
    </row>
    <row r="3391" spans="1:13" x14ac:dyDescent="0.35">
      <c r="A3391">
        <v>351090</v>
      </c>
      <c r="B3391">
        <v>29491</v>
      </c>
      <c r="C3391" t="s">
        <v>3577</v>
      </c>
      <c r="D3391" t="s">
        <v>3421</v>
      </c>
      <c r="E3391" t="s">
        <v>3441</v>
      </c>
      <c r="F3391">
        <v>2706</v>
      </c>
      <c r="G3391">
        <v>1</v>
      </c>
      <c r="H3391" t="s">
        <v>16</v>
      </c>
      <c r="I3391" s="1">
        <v>-2128300</v>
      </c>
      <c r="J3391" s="1">
        <v>-4717000</v>
      </c>
      <c r="K3391">
        <v>890</v>
      </c>
      <c r="L3391">
        <v>190</v>
      </c>
      <c r="M3391" t="s">
        <v>16</v>
      </c>
    </row>
    <row r="3392" spans="1:13" x14ac:dyDescent="0.35">
      <c r="A3392">
        <v>351100</v>
      </c>
      <c r="B3392">
        <v>29505</v>
      </c>
      <c r="C3392" t="s">
        <v>3578</v>
      </c>
      <c r="D3392" t="s">
        <v>3421</v>
      </c>
      <c r="E3392" t="s">
        <v>3459</v>
      </c>
      <c r="F3392">
        <v>15410</v>
      </c>
      <c r="G3392">
        <v>1</v>
      </c>
      <c r="H3392" t="s">
        <v>16</v>
      </c>
      <c r="I3392" s="1">
        <v>-2087200</v>
      </c>
      <c r="J3392" s="1">
        <v>-5148800</v>
      </c>
      <c r="K3392">
        <v>365</v>
      </c>
      <c r="L3392">
        <v>1062</v>
      </c>
      <c r="M3392" t="s">
        <v>16</v>
      </c>
    </row>
    <row r="3393" spans="1:13" x14ac:dyDescent="0.35">
      <c r="A3393">
        <v>351110</v>
      </c>
      <c r="B3393">
        <v>29513</v>
      </c>
      <c r="C3393" t="s">
        <v>3485</v>
      </c>
      <c r="D3393" t="s">
        <v>3421</v>
      </c>
      <c r="E3393" t="s">
        <v>3485</v>
      </c>
      <c r="F3393">
        <v>109362</v>
      </c>
      <c r="G3393">
        <v>3</v>
      </c>
      <c r="H3393" t="s">
        <v>16</v>
      </c>
      <c r="I3393" s="1">
        <v>-2113800</v>
      </c>
      <c r="J3393" s="1">
        <v>-4897300</v>
      </c>
      <c r="K3393">
        <v>503</v>
      </c>
      <c r="L3393">
        <v>292</v>
      </c>
      <c r="M3393" t="s">
        <v>16</v>
      </c>
    </row>
    <row r="3394" spans="1:13" x14ac:dyDescent="0.35">
      <c r="A3394">
        <v>351120</v>
      </c>
      <c r="B3394">
        <v>29521</v>
      </c>
      <c r="C3394" t="s">
        <v>3579</v>
      </c>
      <c r="D3394" t="s">
        <v>3421</v>
      </c>
      <c r="E3394" t="s">
        <v>3485</v>
      </c>
      <c r="F3394">
        <v>6870</v>
      </c>
      <c r="G3394">
        <v>1</v>
      </c>
      <c r="H3394" t="s">
        <v>16</v>
      </c>
      <c r="I3394" s="1">
        <v>-2104900</v>
      </c>
      <c r="J3394" s="1">
        <v>-4905800</v>
      </c>
      <c r="K3394">
        <v>483</v>
      </c>
      <c r="L3394">
        <v>145</v>
      </c>
      <c r="M3394" t="s">
        <v>16</v>
      </c>
    </row>
    <row r="3395" spans="1:13" x14ac:dyDescent="0.35">
      <c r="A3395">
        <v>351130</v>
      </c>
      <c r="B3395">
        <v>29530</v>
      </c>
      <c r="C3395" t="s">
        <v>614</v>
      </c>
      <c r="D3395" t="s">
        <v>3421</v>
      </c>
      <c r="E3395" t="s">
        <v>3423</v>
      </c>
      <c r="F3395">
        <v>7607</v>
      </c>
      <c r="G3395">
        <v>1</v>
      </c>
      <c r="H3395" t="s">
        <v>16</v>
      </c>
      <c r="I3395" s="1">
        <v>-2090300</v>
      </c>
      <c r="J3395" s="1">
        <v>-4926800</v>
      </c>
      <c r="K3395">
        <v>558</v>
      </c>
      <c r="L3395">
        <v>197</v>
      </c>
      <c r="M3395" t="s">
        <v>16</v>
      </c>
    </row>
    <row r="3396" spans="1:13" x14ac:dyDescent="0.35">
      <c r="A3396">
        <v>351140</v>
      </c>
      <c r="B3396">
        <v>29548</v>
      </c>
      <c r="C3396" t="s">
        <v>3580</v>
      </c>
      <c r="D3396" t="s">
        <v>3421</v>
      </c>
      <c r="E3396" t="s">
        <v>3430</v>
      </c>
      <c r="F3396">
        <v>16276</v>
      </c>
      <c r="G3396">
        <v>1</v>
      </c>
      <c r="H3396" t="s">
        <v>16</v>
      </c>
      <c r="I3396" s="1">
        <v>-2303600</v>
      </c>
      <c r="J3396" s="1">
        <v>-4916600</v>
      </c>
      <c r="K3396">
        <v>737</v>
      </c>
      <c r="L3396">
        <v>503</v>
      </c>
      <c r="M3396" t="s">
        <v>16</v>
      </c>
    </row>
    <row r="3397" spans="1:13" x14ac:dyDescent="0.35">
      <c r="A3397">
        <v>351150</v>
      </c>
      <c r="B3397">
        <v>29556</v>
      </c>
      <c r="C3397" t="s">
        <v>3581</v>
      </c>
      <c r="D3397" t="s">
        <v>3421</v>
      </c>
      <c r="E3397" t="s">
        <v>3530</v>
      </c>
      <c r="F3397">
        <v>34769</v>
      </c>
      <c r="G3397">
        <v>1</v>
      </c>
      <c r="H3397" t="s">
        <v>16</v>
      </c>
      <c r="I3397" s="1">
        <v>-2316500</v>
      </c>
      <c r="J3397" s="1">
        <v>-4774400</v>
      </c>
      <c r="K3397">
        <v>595</v>
      </c>
      <c r="L3397">
        <v>127</v>
      </c>
      <c r="M3397" t="s">
        <v>16</v>
      </c>
    </row>
    <row r="3398" spans="1:13" x14ac:dyDescent="0.35">
      <c r="A3398">
        <v>351160</v>
      </c>
      <c r="B3398">
        <v>29564</v>
      </c>
      <c r="C3398" t="s">
        <v>3582</v>
      </c>
      <c r="D3398" t="s">
        <v>3421</v>
      </c>
      <c r="E3398" t="s">
        <v>3530</v>
      </c>
      <c r="F3398">
        <v>14005</v>
      </c>
      <c r="G3398">
        <v>1</v>
      </c>
      <c r="H3398" t="s">
        <v>16</v>
      </c>
      <c r="I3398" s="1">
        <v>-2322700</v>
      </c>
      <c r="J3398" s="1">
        <v>-4795300</v>
      </c>
      <c r="K3398">
        <v>590</v>
      </c>
      <c r="L3398">
        <v>190</v>
      </c>
      <c r="M3398" t="s">
        <v>16</v>
      </c>
    </row>
    <row r="3399" spans="1:13" x14ac:dyDescent="0.35">
      <c r="A3399">
        <v>351170</v>
      </c>
      <c r="B3399">
        <v>29572</v>
      </c>
      <c r="C3399" t="s">
        <v>3583</v>
      </c>
      <c r="D3399" t="s">
        <v>3421</v>
      </c>
      <c r="E3399" t="s">
        <v>3432</v>
      </c>
      <c r="F3399">
        <v>14356</v>
      </c>
      <c r="G3399">
        <v>1</v>
      </c>
      <c r="H3399" t="s">
        <v>16</v>
      </c>
      <c r="I3399" s="1">
        <v>-2251000</v>
      </c>
      <c r="J3399" s="1">
        <v>-4777800</v>
      </c>
      <c r="K3399">
        <v>610</v>
      </c>
      <c r="L3399">
        <v>175</v>
      </c>
      <c r="M3399" t="s">
        <v>16</v>
      </c>
    </row>
    <row r="3400" spans="1:13" x14ac:dyDescent="0.35">
      <c r="A3400">
        <v>351190</v>
      </c>
      <c r="B3400">
        <v>29599</v>
      </c>
      <c r="C3400" t="s">
        <v>3584</v>
      </c>
      <c r="D3400" t="s">
        <v>3421</v>
      </c>
      <c r="E3400" t="s">
        <v>3442</v>
      </c>
      <c r="F3400">
        <v>6081</v>
      </c>
      <c r="G3400">
        <v>1</v>
      </c>
      <c r="H3400" t="s">
        <v>16</v>
      </c>
      <c r="I3400" s="1">
        <v>-2156000</v>
      </c>
      <c r="J3400" s="1">
        <v>-5044900</v>
      </c>
      <c r="K3400">
        <v>465</v>
      </c>
      <c r="L3400">
        <v>168</v>
      </c>
      <c r="M3400" t="s">
        <v>16</v>
      </c>
    </row>
    <row r="3401" spans="1:13" x14ac:dyDescent="0.35">
      <c r="A3401">
        <v>351200</v>
      </c>
      <c r="B3401">
        <v>29602</v>
      </c>
      <c r="C3401" t="s">
        <v>3585</v>
      </c>
      <c r="D3401" t="s">
        <v>3421</v>
      </c>
      <c r="E3401" t="s">
        <v>3510</v>
      </c>
      <c r="F3401">
        <v>16989</v>
      </c>
      <c r="G3401">
        <v>1</v>
      </c>
      <c r="H3401" t="s">
        <v>16</v>
      </c>
      <c r="I3401" s="1">
        <v>-2071300</v>
      </c>
      <c r="J3401" s="1">
        <v>-4854100</v>
      </c>
      <c r="K3401">
        <v>595</v>
      </c>
      <c r="L3401">
        <v>423</v>
      </c>
      <c r="M3401" t="s">
        <v>16</v>
      </c>
    </row>
    <row r="3402" spans="1:13" x14ac:dyDescent="0.35">
      <c r="A3402">
        <v>351210</v>
      </c>
      <c r="B3402">
        <v>29610</v>
      </c>
      <c r="C3402" t="s">
        <v>3586</v>
      </c>
      <c r="D3402" t="s">
        <v>3421</v>
      </c>
      <c r="E3402" t="s">
        <v>3510</v>
      </c>
      <c r="F3402">
        <v>6073</v>
      </c>
      <c r="G3402">
        <v>1</v>
      </c>
      <c r="H3402" t="s">
        <v>16</v>
      </c>
      <c r="I3402" s="1">
        <v>-2017600</v>
      </c>
      <c r="J3402" s="1">
        <v>-4868900</v>
      </c>
      <c r="K3402">
        <v>492</v>
      </c>
      <c r="L3402">
        <v>729</v>
      </c>
      <c r="M3402" t="s">
        <v>16</v>
      </c>
    </row>
    <row r="3403" spans="1:13" x14ac:dyDescent="0.35">
      <c r="A3403">
        <v>351220</v>
      </c>
      <c r="B3403">
        <v>29629</v>
      </c>
      <c r="C3403" t="s">
        <v>3587</v>
      </c>
      <c r="D3403" t="s">
        <v>3421</v>
      </c>
      <c r="E3403" t="s">
        <v>3478</v>
      </c>
      <c r="F3403">
        <v>23352</v>
      </c>
      <c r="G3403">
        <v>1</v>
      </c>
      <c r="H3403" t="s">
        <v>16</v>
      </c>
      <c r="I3403" s="1">
        <v>-2233000</v>
      </c>
      <c r="J3403" s="1">
        <v>-4717300</v>
      </c>
      <c r="K3403">
        <v>591</v>
      </c>
      <c r="L3403">
        <v>183</v>
      </c>
      <c r="M3403" t="s">
        <v>16</v>
      </c>
    </row>
    <row r="3404" spans="1:13" x14ac:dyDescent="0.35">
      <c r="A3404">
        <v>351230</v>
      </c>
      <c r="B3404">
        <v>29637</v>
      </c>
      <c r="C3404" t="s">
        <v>3588</v>
      </c>
      <c r="D3404" t="s">
        <v>3421</v>
      </c>
      <c r="E3404" t="s">
        <v>3462</v>
      </c>
      <c r="F3404">
        <v>15473</v>
      </c>
      <c r="G3404">
        <v>1</v>
      </c>
      <c r="H3404" t="s">
        <v>16</v>
      </c>
      <c r="I3404" s="1">
        <v>-2301500</v>
      </c>
      <c r="J3404" s="1">
        <v>-4801100</v>
      </c>
      <c r="K3404">
        <v>503</v>
      </c>
      <c r="L3404">
        <v>468</v>
      </c>
      <c r="M3404" t="s">
        <v>16</v>
      </c>
    </row>
    <row r="3405" spans="1:13" x14ac:dyDescent="0.35">
      <c r="A3405">
        <v>351240</v>
      </c>
      <c r="B3405">
        <v>29645</v>
      </c>
      <c r="C3405" t="s">
        <v>3589</v>
      </c>
      <c r="D3405" t="s">
        <v>3421</v>
      </c>
      <c r="E3405" t="s">
        <v>3478</v>
      </c>
      <c r="F3405">
        <v>19309</v>
      </c>
      <c r="G3405">
        <v>1</v>
      </c>
      <c r="H3405" t="s">
        <v>16</v>
      </c>
      <c r="I3405" s="1">
        <v>-2248200</v>
      </c>
      <c r="J3405" s="1">
        <v>-4745700</v>
      </c>
      <c r="K3405">
        <v>668</v>
      </c>
      <c r="L3405">
        <v>137</v>
      </c>
      <c r="M3405" t="s">
        <v>16</v>
      </c>
    </row>
    <row r="3406" spans="1:13" x14ac:dyDescent="0.35">
      <c r="A3406">
        <v>351250</v>
      </c>
      <c r="B3406">
        <v>29653</v>
      </c>
      <c r="C3406" t="s">
        <v>3590</v>
      </c>
      <c r="D3406" t="s">
        <v>3421</v>
      </c>
      <c r="E3406" t="s">
        <v>3442</v>
      </c>
      <c r="F3406">
        <v>4881</v>
      </c>
      <c r="G3406">
        <v>1</v>
      </c>
      <c r="H3406" t="s">
        <v>16</v>
      </c>
      <c r="I3406" s="1">
        <v>-2135200</v>
      </c>
      <c r="J3406" s="1">
        <v>-5028100</v>
      </c>
      <c r="K3406">
        <v>409</v>
      </c>
      <c r="L3406">
        <v>246</v>
      </c>
      <c r="M3406" t="s">
        <v>16</v>
      </c>
    </row>
    <row r="3407" spans="1:13" x14ac:dyDescent="0.35">
      <c r="A3407">
        <v>351260</v>
      </c>
      <c r="B3407">
        <v>29661</v>
      </c>
      <c r="C3407" t="s">
        <v>3591</v>
      </c>
      <c r="D3407" t="s">
        <v>3421</v>
      </c>
      <c r="E3407" t="s">
        <v>2799</v>
      </c>
      <c r="F3407">
        <v>5277</v>
      </c>
      <c r="G3407">
        <v>1</v>
      </c>
      <c r="H3407" t="s">
        <v>16</v>
      </c>
      <c r="I3407" s="1">
        <v>-2363100</v>
      </c>
      <c r="J3407" s="1">
        <v>-4931400</v>
      </c>
      <c r="K3407">
        <v>624</v>
      </c>
      <c r="L3407">
        <v>304</v>
      </c>
      <c r="M3407" t="s">
        <v>16</v>
      </c>
    </row>
    <row r="3408" spans="1:13" x14ac:dyDescent="0.35">
      <c r="A3408">
        <v>351270</v>
      </c>
      <c r="B3408">
        <v>29670</v>
      </c>
      <c r="C3408" t="s">
        <v>3592</v>
      </c>
      <c r="D3408" t="s">
        <v>3421</v>
      </c>
      <c r="E3408" t="s">
        <v>3396</v>
      </c>
      <c r="F3408">
        <v>3935</v>
      </c>
      <c r="G3408">
        <v>1</v>
      </c>
      <c r="H3408" t="s">
        <v>16</v>
      </c>
      <c r="I3408" s="1">
        <v>-2222000</v>
      </c>
      <c r="J3408" s="1">
        <v>-4762600</v>
      </c>
      <c r="K3408">
        <v>608</v>
      </c>
      <c r="L3408">
        <v>278</v>
      </c>
      <c r="M3408" t="s">
        <v>16</v>
      </c>
    </row>
    <row r="3409" spans="1:13" x14ac:dyDescent="0.35">
      <c r="A3409">
        <v>351280</v>
      </c>
      <c r="B3409">
        <v>29688</v>
      </c>
      <c r="C3409" t="s">
        <v>3593</v>
      </c>
      <c r="D3409" t="s">
        <v>3421</v>
      </c>
      <c r="E3409" t="s">
        <v>3452</v>
      </c>
      <c r="F3409">
        <v>53561</v>
      </c>
      <c r="G3409">
        <v>4</v>
      </c>
      <c r="H3409" t="s">
        <v>3453</v>
      </c>
      <c r="I3409" s="1">
        <v>-2264600</v>
      </c>
      <c r="J3409" s="1">
        <v>-4719600</v>
      </c>
      <c r="K3409">
        <v>652</v>
      </c>
      <c r="L3409">
        <v>154</v>
      </c>
      <c r="M3409" t="s">
        <v>16</v>
      </c>
    </row>
    <row r="3410" spans="1:13" x14ac:dyDescent="0.35">
      <c r="A3410">
        <v>351290</v>
      </c>
      <c r="B3410">
        <v>29696</v>
      </c>
      <c r="C3410" t="s">
        <v>3594</v>
      </c>
      <c r="D3410" t="s">
        <v>3421</v>
      </c>
      <c r="E3410" t="s">
        <v>3446</v>
      </c>
      <c r="F3410">
        <v>6951</v>
      </c>
      <c r="G3410">
        <v>1</v>
      </c>
      <c r="H3410" t="s">
        <v>16</v>
      </c>
      <c r="I3410" s="1">
        <v>-2047800</v>
      </c>
      <c r="J3410" s="1">
        <v>-4977800</v>
      </c>
      <c r="K3410">
        <v>540</v>
      </c>
      <c r="L3410">
        <v>441</v>
      </c>
      <c r="M3410" t="s">
        <v>16</v>
      </c>
    </row>
    <row r="3411" spans="1:13" x14ac:dyDescent="0.35">
      <c r="A3411">
        <v>351300</v>
      </c>
      <c r="B3411">
        <v>29700</v>
      </c>
      <c r="C3411" t="s">
        <v>3595</v>
      </c>
      <c r="D3411" t="s">
        <v>3421</v>
      </c>
      <c r="E3411" t="s">
        <v>3596</v>
      </c>
      <c r="F3411">
        <v>172823</v>
      </c>
      <c r="G3411">
        <v>4</v>
      </c>
      <c r="H3411" t="s">
        <v>3490</v>
      </c>
      <c r="I3411" s="1">
        <v>-2360400</v>
      </c>
      <c r="J3411" s="1">
        <v>-4691900</v>
      </c>
      <c r="K3411">
        <v>853</v>
      </c>
      <c r="L3411">
        <v>323</v>
      </c>
      <c r="M3411" t="s">
        <v>16</v>
      </c>
    </row>
    <row r="3412" spans="1:13" x14ac:dyDescent="0.35">
      <c r="A3412">
        <v>351310</v>
      </c>
      <c r="B3412">
        <v>29718</v>
      </c>
      <c r="C3412" t="s">
        <v>3597</v>
      </c>
      <c r="D3412" t="s">
        <v>3421</v>
      </c>
      <c r="E3412" t="s">
        <v>3512</v>
      </c>
      <c r="F3412">
        <v>29377</v>
      </c>
      <c r="G3412">
        <v>1</v>
      </c>
      <c r="H3412" t="s">
        <v>16</v>
      </c>
      <c r="I3412" s="1">
        <v>-2134000</v>
      </c>
      <c r="J3412" s="1">
        <v>-4772900</v>
      </c>
      <c r="K3412">
        <v>788</v>
      </c>
      <c r="L3412">
        <v>311</v>
      </c>
      <c r="M3412" t="s">
        <v>16</v>
      </c>
    </row>
    <row r="3413" spans="1:13" x14ac:dyDescent="0.35">
      <c r="A3413">
        <v>351320</v>
      </c>
      <c r="B3413">
        <v>29726</v>
      </c>
      <c r="C3413" t="s">
        <v>3598</v>
      </c>
      <c r="D3413" t="s">
        <v>3421</v>
      </c>
      <c r="E3413" t="s">
        <v>3599</v>
      </c>
      <c r="F3413">
        <v>7005</v>
      </c>
      <c r="G3413">
        <v>1</v>
      </c>
      <c r="H3413" t="s">
        <v>16</v>
      </c>
      <c r="I3413" s="1">
        <v>-2039700</v>
      </c>
      <c r="J3413" s="1">
        <v>-4742000</v>
      </c>
      <c r="K3413">
        <v>996</v>
      </c>
      <c r="L3413">
        <v>385</v>
      </c>
      <c r="M3413" t="s">
        <v>16</v>
      </c>
    </row>
    <row r="3414" spans="1:13" x14ac:dyDescent="0.35">
      <c r="A3414">
        <v>351330</v>
      </c>
      <c r="B3414">
        <v>29734</v>
      </c>
      <c r="C3414" t="s">
        <v>3600</v>
      </c>
      <c r="D3414" t="s">
        <v>3421</v>
      </c>
      <c r="E3414" t="s">
        <v>3492</v>
      </c>
      <c r="F3414">
        <v>2368</v>
      </c>
      <c r="G3414">
        <v>1</v>
      </c>
      <c r="H3414" t="s">
        <v>16</v>
      </c>
      <c r="I3414" s="1">
        <v>-2267700</v>
      </c>
      <c r="J3414" s="1">
        <v>-5079400</v>
      </c>
      <c r="K3414">
        <v>318</v>
      </c>
      <c r="L3414">
        <v>149</v>
      </c>
      <c r="M3414" t="s">
        <v>16</v>
      </c>
    </row>
    <row r="3415" spans="1:13" x14ac:dyDescent="0.35">
      <c r="A3415">
        <v>351340</v>
      </c>
      <c r="B3415">
        <v>29742</v>
      </c>
      <c r="C3415" t="s">
        <v>3601</v>
      </c>
      <c r="D3415" t="s">
        <v>3421</v>
      </c>
      <c r="E3415" t="s">
        <v>3464</v>
      </c>
      <c r="F3415">
        <v>76098</v>
      </c>
      <c r="G3415">
        <v>2</v>
      </c>
      <c r="H3415" t="s">
        <v>16</v>
      </c>
      <c r="I3415" s="1">
        <v>-2257600</v>
      </c>
      <c r="J3415" s="1">
        <v>-4496300</v>
      </c>
      <c r="K3415">
        <v>517</v>
      </c>
      <c r="L3415">
        <v>304</v>
      </c>
      <c r="M3415" t="s">
        <v>16</v>
      </c>
    </row>
    <row r="3416" spans="1:13" x14ac:dyDescent="0.35">
      <c r="A3416">
        <v>351350</v>
      </c>
      <c r="B3416">
        <v>29750</v>
      </c>
      <c r="C3416" t="s">
        <v>3602</v>
      </c>
      <c r="D3416" t="s">
        <v>3421</v>
      </c>
      <c r="E3416" t="s">
        <v>3522</v>
      </c>
      <c r="F3416">
        <v>120271</v>
      </c>
      <c r="G3416">
        <v>4</v>
      </c>
      <c r="H3416" t="s">
        <v>3523</v>
      </c>
      <c r="I3416" s="1">
        <v>-2389500</v>
      </c>
      <c r="J3416" s="1">
        <v>-4642500</v>
      </c>
      <c r="K3416">
        <v>4</v>
      </c>
      <c r="L3416">
        <v>142</v>
      </c>
      <c r="M3416" t="s">
        <v>16</v>
      </c>
    </row>
    <row r="3417" spans="1:13" x14ac:dyDescent="0.35">
      <c r="A3417">
        <v>351360</v>
      </c>
      <c r="B3417">
        <v>29769</v>
      </c>
      <c r="C3417" t="s">
        <v>3603</v>
      </c>
      <c r="D3417" t="s">
        <v>3421</v>
      </c>
      <c r="E3417" t="s">
        <v>3604</v>
      </c>
      <c r="F3417">
        <v>22951</v>
      </c>
      <c r="G3417">
        <v>1</v>
      </c>
      <c r="H3417" t="s">
        <v>16</v>
      </c>
      <c r="I3417" s="1">
        <v>-2307400</v>
      </c>
      <c r="J3417" s="1">
        <v>-4496000</v>
      </c>
      <c r="K3417">
        <v>950</v>
      </c>
      <c r="L3417">
        <v>1407</v>
      </c>
      <c r="M3417" t="s">
        <v>16</v>
      </c>
    </row>
    <row r="3418" spans="1:13" x14ac:dyDescent="0.35">
      <c r="A3418">
        <v>351370</v>
      </c>
      <c r="B3418">
        <v>29777</v>
      </c>
      <c r="C3418" t="s">
        <v>3605</v>
      </c>
      <c r="D3418" t="s">
        <v>3421</v>
      </c>
      <c r="E3418" t="s">
        <v>3458</v>
      </c>
      <c r="F3418">
        <v>29533</v>
      </c>
      <c r="G3418">
        <v>1</v>
      </c>
      <c r="H3418" t="s">
        <v>16</v>
      </c>
      <c r="I3418" s="1">
        <v>-2190400</v>
      </c>
      <c r="J3418" s="1">
        <v>-4761900</v>
      </c>
      <c r="K3418">
        <v>679</v>
      </c>
      <c r="L3418">
        <v>755</v>
      </c>
      <c r="M3418" t="s">
        <v>16</v>
      </c>
    </row>
    <row r="3419" spans="1:13" x14ac:dyDescent="0.35">
      <c r="A3419">
        <v>351380</v>
      </c>
      <c r="B3419">
        <v>29785</v>
      </c>
      <c r="C3419" t="s">
        <v>3606</v>
      </c>
      <c r="D3419" t="s">
        <v>3421</v>
      </c>
      <c r="E3419" t="s">
        <v>3607</v>
      </c>
      <c r="F3419">
        <v>386779</v>
      </c>
      <c r="G3419">
        <v>4</v>
      </c>
      <c r="H3419" t="s">
        <v>3490</v>
      </c>
      <c r="I3419" s="1">
        <v>-2368600</v>
      </c>
      <c r="J3419" s="1">
        <v>-4662300</v>
      </c>
      <c r="K3419">
        <v>780</v>
      </c>
      <c r="L3419">
        <v>30</v>
      </c>
      <c r="M3419" t="s">
        <v>16</v>
      </c>
    </row>
    <row r="3420" spans="1:13" x14ac:dyDescent="0.35">
      <c r="A3420">
        <v>351385</v>
      </c>
      <c r="B3420">
        <v>51179</v>
      </c>
      <c r="C3420" t="s">
        <v>3608</v>
      </c>
      <c r="D3420" t="s">
        <v>3421</v>
      </c>
      <c r="E3420" t="s">
        <v>3466</v>
      </c>
      <c r="F3420">
        <v>1582</v>
      </c>
      <c r="G3420">
        <v>1</v>
      </c>
      <c r="H3420" t="s">
        <v>16</v>
      </c>
      <c r="I3420" s="1">
        <v>-2046600</v>
      </c>
      <c r="J3420" s="1">
        <v>-5060600</v>
      </c>
      <c r="K3420">
        <v>402</v>
      </c>
      <c r="L3420">
        <v>88</v>
      </c>
      <c r="M3420" t="s">
        <v>16</v>
      </c>
    </row>
    <row r="3421" spans="1:13" x14ac:dyDescent="0.35">
      <c r="A3421">
        <v>351390</v>
      </c>
      <c r="B3421">
        <v>29793</v>
      </c>
      <c r="C3421" t="s">
        <v>3609</v>
      </c>
      <c r="D3421" t="s">
        <v>3421</v>
      </c>
      <c r="E3421" t="s">
        <v>3427</v>
      </c>
      <c r="F3421">
        <v>11246</v>
      </c>
      <c r="G3421">
        <v>1</v>
      </c>
      <c r="H3421" t="s">
        <v>16</v>
      </c>
      <c r="I3421" s="1">
        <v>-2166100</v>
      </c>
      <c r="J3421" s="1">
        <v>-4673900</v>
      </c>
      <c r="K3421">
        <v>1040</v>
      </c>
      <c r="L3421">
        <v>222</v>
      </c>
      <c r="M3421" t="s">
        <v>16</v>
      </c>
    </row>
    <row r="3422" spans="1:13" x14ac:dyDescent="0.35">
      <c r="A3422">
        <v>351400</v>
      </c>
      <c r="B3422">
        <v>29807</v>
      </c>
      <c r="C3422" t="s">
        <v>3610</v>
      </c>
      <c r="D3422" t="s">
        <v>3421</v>
      </c>
      <c r="E3422" t="s">
        <v>3455</v>
      </c>
      <c r="F3422">
        <v>7664</v>
      </c>
      <c r="G3422">
        <v>1</v>
      </c>
      <c r="H3422" t="s">
        <v>16</v>
      </c>
      <c r="I3422" s="1">
        <v>-2151700</v>
      </c>
      <c r="J3422" s="1">
        <v>-4839400</v>
      </c>
      <c r="K3422">
        <v>575</v>
      </c>
      <c r="L3422">
        <v>150</v>
      </c>
      <c r="M3422" t="s">
        <v>16</v>
      </c>
    </row>
    <row r="3423" spans="1:13" x14ac:dyDescent="0.35">
      <c r="A3423">
        <v>351410</v>
      </c>
      <c r="B3423">
        <v>29815</v>
      </c>
      <c r="C3423" t="s">
        <v>3611</v>
      </c>
      <c r="D3423" t="s">
        <v>3421</v>
      </c>
      <c r="E3423" t="s">
        <v>3505</v>
      </c>
      <c r="F3423">
        <v>24384</v>
      </c>
      <c r="G3423">
        <v>1</v>
      </c>
      <c r="H3423" t="s">
        <v>16</v>
      </c>
      <c r="I3423" s="1">
        <v>-2236600</v>
      </c>
      <c r="J3423" s="1">
        <v>-4838000</v>
      </c>
      <c r="K3423">
        <v>673</v>
      </c>
      <c r="L3423">
        <v>632</v>
      </c>
      <c r="M3423" t="s">
        <v>16</v>
      </c>
    </row>
    <row r="3424" spans="1:13" x14ac:dyDescent="0.35">
      <c r="A3424">
        <v>351420</v>
      </c>
      <c r="B3424">
        <v>29823</v>
      </c>
      <c r="C3424" t="s">
        <v>3612</v>
      </c>
      <c r="D3424" t="s">
        <v>3421</v>
      </c>
      <c r="E3424" t="s">
        <v>3466</v>
      </c>
      <c r="F3424">
        <v>2181</v>
      </c>
      <c r="G3424">
        <v>1</v>
      </c>
      <c r="H3424" t="s">
        <v>16</v>
      </c>
      <c r="I3424" s="1">
        <v>-2012300</v>
      </c>
      <c r="J3424" s="1">
        <v>-5051300</v>
      </c>
      <c r="K3424">
        <v>463</v>
      </c>
      <c r="L3424">
        <v>78</v>
      </c>
      <c r="M3424" t="s">
        <v>16</v>
      </c>
    </row>
    <row r="3425" spans="1:13" x14ac:dyDescent="0.35">
      <c r="A3425">
        <v>351430</v>
      </c>
      <c r="B3425">
        <v>29831</v>
      </c>
      <c r="C3425" t="s">
        <v>3613</v>
      </c>
      <c r="D3425" t="s">
        <v>3421</v>
      </c>
      <c r="E3425" t="s">
        <v>3458</v>
      </c>
      <c r="F3425">
        <v>8751</v>
      </c>
      <c r="G3425">
        <v>1</v>
      </c>
      <c r="H3425" t="s">
        <v>16</v>
      </c>
      <c r="I3425" s="1">
        <v>-2210000</v>
      </c>
      <c r="J3425" s="1">
        <v>-4831800</v>
      </c>
      <c r="K3425">
        <v>706</v>
      </c>
      <c r="L3425">
        <v>205</v>
      </c>
      <c r="M3425" t="s">
        <v>16</v>
      </c>
    </row>
    <row r="3426" spans="1:13" x14ac:dyDescent="0.35">
      <c r="A3426">
        <v>351440</v>
      </c>
      <c r="B3426">
        <v>29840</v>
      </c>
      <c r="C3426" t="s">
        <v>3614</v>
      </c>
      <c r="D3426" t="s">
        <v>3421</v>
      </c>
      <c r="E3426" t="s">
        <v>3614</v>
      </c>
      <c r="F3426">
        <v>42107</v>
      </c>
      <c r="G3426">
        <v>1</v>
      </c>
      <c r="H3426" t="s">
        <v>16</v>
      </c>
      <c r="I3426" s="1">
        <v>-2148300</v>
      </c>
      <c r="J3426" s="1">
        <v>-5153300</v>
      </c>
      <c r="K3426">
        <v>421</v>
      </c>
      <c r="L3426">
        <v>488</v>
      </c>
      <c r="M3426" t="s">
        <v>16</v>
      </c>
    </row>
    <row r="3427" spans="1:13" x14ac:dyDescent="0.35">
      <c r="A3427">
        <v>351450</v>
      </c>
      <c r="B3427">
        <v>29858</v>
      </c>
      <c r="C3427" t="s">
        <v>3615</v>
      </c>
      <c r="D3427" t="s">
        <v>3421</v>
      </c>
      <c r="E3427" t="s">
        <v>3434</v>
      </c>
      <c r="F3427">
        <v>12381</v>
      </c>
      <c r="G3427">
        <v>1</v>
      </c>
      <c r="H3427" t="s">
        <v>16</v>
      </c>
      <c r="I3427" s="1">
        <v>-2241400</v>
      </c>
      <c r="J3427" s="1">
        <v>-4940400</v>
      </c>
      <c r="K3427">
        <v>520</v>
      </c>
      <c r="L3427">
        <v>264</v>
      </c>
      <c r="M3427" t="s">
        <v>16</v>
      </c>
    </row>
    <row r="3428" spans="1:13" x14ac:dyDescent="0.35">
      <c r="A3428">
        <v>351460</v>
      </c>
      <c r="B3428">
        <v>29866</v>
      </c>
      <c r="C3428" t="s">
        <v>3616</v>
      </c>
      <c r="D3428" t="s">
        <v>3421</v>
      </c>
      <c r="E3428" t="s">
        <v>3512</v>
      </c>
      <c r="F3428">
        <v>7557</v>
      </c>
      <c r="G3428">
        <v>1</v>
      </c>
      <c r="H3428" t="s">
        <v>16</v>
      </c>
      <c r="I3428" s="1">
        <v>-2123600</v>
      </c>
      <c r="J3428" s="1">
        <v>-4797300</v>
      </c>
      <c r="K3428">
        <v>595</v>
      </c>
      <c r="L3428">
        <v>110</v>
      </c>
      <c r="M3428" t="s">
        <v>16</v>
      </c>
    </row>
    <row r="3429" spans="1:13" x14ac:dyDescent="0.35">
      <c r="A3429">
        <v>351470</v>
      </c>
      <c r="B3429">
        <v>29874</v>
      </c>
      <c r="C3429" t="s">
        <v>3617</v>
      </c>
      <c r="D3429" t="s">
        <v>3421</v>
      </c>
      <c r="E3429" t="s">
        <v>3449</v>
      </c>
      <c r="F3429">
        <v>6247</v>
      </c>
      <c r="G3429">
        <v>1</v>
      </c>
      <c r="H3429" t="s">
        <v>16</v>
      </c>
      <c r="I3429" s="1">
        <v>-2242900</v>
      </c>
      <c r="J3429" s="1">
        <v>-5020100</v>
      </c>
      <c r="K3429">
        <v>700</v>
      </c>
      <c r="L3429">
        <v>514</v>
      </c>
      <c r="M3429" t="s">
        <v>16</v>
      </c>
    </row>
    <row r="3430" spans="1:13" x14ac:dyDescent="0.35">
      <c r="A3430">
        <v>351480</v>
      </c>
      <c r="B3430">
        <v>29882</v>
      </c>
      <c r="C3430" t="s">
        <v>3618</v>
      </c>
      <c r="D3430" t="s">
        <v>3421</v>
      </c>
      <c r="E3430" t="s">
        <v>3509</v>
      </c>
      <c r="F3430">
        <v>14038</v>
      </c>
      <c r="G3430">
        <v>1</v>
      </c>
      <c r="H3430" t="s">
        <v>16</v>
      </c>
      <c r="I3430" s="1">
        <v>-2452000</v>
      </c>
      <c r="J3430" s="1">
        <v>-4810800</v>
      </c>
      <c r="K3430">
        <v>62</v>
      </c>
      <c r="L3430">
        <v>1656</v>
      </c>
      <c r="M3430" t="s">
        <v>16</v>
      </c>
    </row>
    <row r="3431" spans="1:13" x14ac:dyDescent="0.35">
      <c r="A3431">
        <v>351490</v>
      </c>
      <c r="B3431">
        <v>29890</v>
      </c>
      <c r="C3431" t="s">
        <v>3619</v>
      </c>
      <c r="D3431" t="s">
        <v>3421</v>
      </c>
      <c r="E3431" t="s">
        <v>3452</v>
      </c>
      <c r="F3431">
        <v>14521</v>
      </c>
      <c r="G3431">
        <v>1</v>
      </c>
      <c r="H3431" t="s">
        <v>16</v>
      </c>
      <c r="I3431" s="1">
        <v>-2304300</v>
      </c>
      <c r="J3431" s="1">
        <v>-4737400</v>
      </c>
      <c r="K3431">
        <v>605</v>
      </c>
      <c r="L3431">
        <v>201</v>
      </c>
      <c r="M3431" t="s">
        <v>16</v>
      </c>
    </row>
    <row r="3432" spans="1:13" x14ac:dyDescent="0.35">
      <c r="A3432">
        <v>351492</v>
      </c>
      <c r="B3432">
        <v>51187</v>
      </c>
      <c r="C3432" t="s">
        <v>3620</v>
      </c>
      <c r="D3432" t="s">
        <v>3421</v>
      </c>
      <c r="E3432" t="s">
        <v>3485</v>
      </c>
      <c r="F3432">
        <v>3024</v>
      </c>
      <c r="G3432">
        <v>1</v>
      </c>
      <c r="H3432" t="s">
        <v>16</v>
      </c>
      <c r="I3432" s="1">
        <v>-2116600</v>
      </c>
      <c r="J3432" s="1">
        <v>-4911200</v>
      </c>
      <c r="K3432">
        <v>494</v>
      </c>
      <c r="L3432">
        <v>92</v>
      </c>
      <c r="M3432" t="s">
        <v>16</v>
      </c>
    </row>
    <row r="3433" spans="1:13" x14ac:dyDescent="0.35">
      <c r="A3433">
        <v>351495</v>
      </c>
      <c r="B3433">
        <v>51195</v>
      </c>
      <c r="C3433" t="s">
        <v>3621</v>
      </c>
      <c r="D3433" t="s">
        <v>3421</v>
      </c>
      <c r="E3433" t="s">
        <v>3485</v>
      </c>
      <c r="F3433">
        <v>2391</v>
      </c>
      <c r="G3433">
        <v>1</v>
      </c>
      <c r="H3433" t="s">
        <v>16</v>
      </c>
      <c r="I3433" s="1">
        <v>-2098300</v>
      </c>
      <c r="J3433" s="1">
        <v>-4883600</v>
      </c>
      <c r="K3433">
        <v>570</v>
      </c>
      <c r="L3433">
        <v>83</v>
      </c>
      <c r="M3433" t="s">
        <v>16</v>
      </c>
    </row>
    <row r="3434" spans="1:13" x14ac:dyDescent="0.35">
      <c r="A3434">
        <v>351500</v>
      </c>
      <c r="B3434">
        <v>29904</v>
      </c>
      <c r="C3434" t="s">
        <v>3622</v>
      </c>
      <c r="D3434" t="s">
        <v>3421</v>
      </c>
      <c r="E3434" t="s">
        <v>3596</v>
      </c>
      <c r="F3434">
        <v>237318</v>
      </c>
      <c r="G3434">
        <v>4</v>
      </c>
      <c r="H3434" t="s">
        <v>3490</v>
      </c>
      <c r="I3434" s="1">
        <v>-2364900</v>
      </c>
      <c r="J3434" s="1">
        <v>-4685200</v>
      </c>
      <c r="K3434">
        <v>775</v>
      </c>
      <c r="L3434">
        <v>70</v>
      </c>
      <c r="M3434" t="s">
        <v>16</v>
      </c>
    </row>
    <row r="3435" spans="1:13" x14ac:dyDescent="0.35">
      <c r="A3435">
        <v>351510</v>
      </c>
      <c r="B3435">
        <v>29912</v>
      </c>
      <c r="C3435" t="s">
        <v>3623</v>
      </c>
      <c r="D3435" t="s">
        <v>3421</v>
      </c>
      <c r="E3435" t="s">
        <v>3596</v>
      </c>
      <c r="F3435">
        <v>59083</v>
      </c>
      <c r="G3435">
        <v>4</v>
      </c>
      <c r="H3435" t="s">
        <v>3490</v>
      </c>
      <c r="I3435" s="1">
        <v>-2383200</v>
      </c>
      <c r="J3435" s="1">
        <v>-4681100</v>
      </c>
      <c r="K3435">
        <v>742</v>
      </c>
      <c r="L3435">
        <v>155</v>
      </c>
      <c r="M3435" t="s">
        <v>16</v>
      </c>
    </row>
    <row r="3436" spans="1:13" x14ac:dyDescent="0.35">
      <c r="A3436">
        <v>351512</v>
      </c>
      <c r="B3436">
        <v>51209</v>
      </c>
      <c r="C3436" t="s">
        <v>3624</v>
      </c>
      <c r="D3436" t="s">
        <v>3421</v>
      </c>
      <c r="E3436" t="s">
        <v>3438</v>
      </c>
      <c r="F3436">
        <v>3021</v>
      </c>
      <c r="G3436">
        <v>1</v>
      </c>
      <c r="H3436" t="s">
        <v>16</v>
      </c>
      <c r="I3436" s="1">
        <v>-2183300</v>
      </c>
      <c r="J3436" s="1">
        <v>-5148300</v>
      </c>
      <c r="K3436">
        <v>354</v>
      </c>
      <c r="L3436">
        <v>223</v>
      </c>
      <c r="M3436" t="s">
        <v>16</v>
      </c>
    </row>
    <row r="3437" spans="1:13" x14ac:dyDescent="0.35">
      <c r="A3437">
        <v>351515</v>
      </c>
      <c r="B3437">
        <v>51217</v>
      </c>
      <c r="C3437" t="s">
        <v>3625</v>
      </c>
      <c r="D3437" t="s">
        <v>3421</v>
      </c>
      <c r="E3437" t="s">
        <v>3487</v>
      </c>
      <c r="F3437">
        <v>12729</v>
      </c>
      <c r="G3437">
        <v>4</v>
      </c>
      <c r="H3437" t="s">
        <v>3453</v>
      </c>
      <c r="I3437" s="1">
        <v>-2248800</v>
      </c>
      <c r="J3437" s="1">
        <v>-4721500</v>
      </c>
      <c r="K3437">
        <v>655</v>
      </c>
      <c r="L3437">
        <v>109</v>
      </c>
      <c r="M3437" t="s">
        <v>16</v>
      </c>
    </row>
    <row r="3438" spans="1:13" x14ac:dyDescent="0.35">
      <c r="A3438">
        <v>351518</v>
      </c>
      <c r="B3438">
        <v>32220</v>
      </c>
      <c r="C3438" t="s">
        <v>3626</v>
      </c>
      <c r="D3438" t="s">
        <v>3421</v>
      </c>
      <c r="E3438" t="s">
        <v>3427</v>
      </c>
      <c r="F3438">
        <v>40684</v>
      </c>
      <c r="G3438">
        <v>1</v>
      </c>
      <c r="H3438" t="s">
        <v>16</v>
      </c>
      <c r="I3438" s="1">
        <v>-2219100</v>
      </c>
      <c r="J3438" s="1">
        <v>-4674100</v>
      </c>
      <c r="K3438">
        <v>870</v>
      </c>
      <c r="L3438">
        <v>390</v>
      </c>
      <c r="M3438" t="s">
        <v>16</v>
      </c>
    </row>
    <row r="3439" spans="1:13" x14ac:dyDescent="0.35">
      <c r="A3439">
        <v>351519</v>
      </c>
      <c r="B3439">
        <v>51225</v>
      </c>
      <c r="C3439" t="s">
        <v>3627</v>
      </c>
      <c r="D3439" t="s">
        <v>3421</v>
      </c>
      <c r="E3439" t="s">
        <v>3520</v>
      </c>
      <c r="F3439">
        <v>4103</v>
      </c>
      <c r="G3439">
        <v>1</v>
      </c>
      <c r="H3439" t="s">
        <v>16</v>
      </c>
      <c r="I3439" s="1">
        <v>-2269200</v>
      </c>
      <c r="J3439" s="1">
        <v>-4943000</v>
      </c>
      <c r="K3439">
        <v>520</v>
      </c>
      <c r="L3439">
        <v>191</v>
      </c>
      <c r="M3439" t="s">
        <v>16</v>
      </c>
    </row>
    <row r="3440" spans="1:13" x14ac:dyDescent="0.35">
      <c r="A3440">
        <v>351520</v>
      </c>
      <c r="B3440">
        <v>29920</v>
      </c>
      <c r="C3440" t="s">
        <v>3628</v>
      </c>
      <c r="D3440" t="s">
        <v>3421</v>
      </c>
      <c r="E3440" t="s">
        <v>3629</v>
      </c>
      <c r="F3440">
        <v>8590</v>
      </c>
      <c r="G3440">
        <v>1</v>
      </c>
      <c r="H3440" t="s">
        <v>16</v>
      </c>
      <c r="I3440" s="1">
        <v>-2028800</v>
      </c>
      <c r="J3440" s="1">
        <v>-5040100</v>
      </c>
      <c r="K3440">
        <v>456</v>
      </c>
      <c r="L3440">
        <v>296</v>
      </c>
      <c r="M3440" t="s">
        <v>16</v>
      </c>
    </row>
    <row r="3441" spans="1:13" x14ac:dyDescent="0.35">
      <c r="A3441">
        <v>351530</v>
      </c>
      <c r="B3441">
        <v>29939</v>
      </c>
      <c r="C3441" t="s">
        <v>3630</v>
      </c>
      <c r="D3441" t="s">
        <v>3421</v>
      </c>
      <c r="E3441" t="s">
        <v>3438</v>
      </c>
      <c r="F3441">
        <v>2454</v>
      </c>
      <c r="G3441">
        <v>1</v>
      </c>
      <c r="H3441" t="s">
        <v>16</v>
      </c>
      <c r="I3441" s="1">
        <v>-2248800</v>
      </c>
      <c r="J3441" s="1">
        <v>-5166000</v>
      </c>
      <c r="K3441">
        <v>409</v>
      </c>
      <c r="L3441">
        <v>263</v>
      </c>
      <c r="M3441" t="s">
        <v>16</v>
      </c>
    </row>
    <row r="3442" spans="1:13" x14ac:dyDescent="0.35">
      <c r="A3442">
        <v>351535</v>
      </c>
      <c r="B3442">
        <v>51233</v>
      </c>
      <c r="C3442" t="s">
        <v>3631</v>
      </c>
      <c r="D3442" t="s">
        <v>3421</v>
      </c>
      <c r="E3442" t="s">
        <v>3438</v>
      </c>
      <c r="F3442">
        <v>9923</v>
      </c>
      <c r="G3442">
        <v>1</v>
      </c>
      <c r="H3442" t="s">
        <v>16</v>
      </c>
      <c r="I3442" s="1">
        <v>-2256100</v>
      </c>
      <c r="J3442" s="1">
        <v>-5259000</v>
      </c>
      <c r="K3442">
        <v>265</v>
      </c>
      <c r="L3442">
        <v>577</v>
      </c>
      <c r="M3442" t="s">
        <v>16</v>
      </c>
    </row>
    <row r="3443" spans="1:13" x14ac:dyDescent="0.35">
      <c r="A3443">
        <v>351540</v>
      </c>
      <c r="B3443">
        <v>29947</v>
      </c>
      <c r="C3443" t="s">
        <v>3632</v>
      </c>
      <c r="D3443" t="s">
        <v>3421</v>
      </c>
      <c r="E3443" t="s">
        <v>3520</v>
      </c>
      <c r="F3443">
        <v>14601</v>
      </c>
      <c r="G3443">
        <v>1</v>
      </c>
      <c r="H3443" t="s">
        <v>16</v>
      </c>
      <c r="I3443" s="1">
        <v>-2338800</v>
      </c>
      <c r="J3443" s="1">
        <v>-4951000</v>
      </c>
      <c r="K3443">
        <v>516</v>
      </c>
      <c r="L3443">
        <v>429</v>
      </c>
      <c r="M3443" t="s">
        <v>16</v>
      </c>
    </row>
    <row r="3444" spans="1:13" x14ac:dyDescent="0.35">
      <c r="A3444">
        <v>351550</v>
      </c>
      <c r="B3444">
        <v>29955</v>
      </c>
      <c r="C3444" t="s">
        <v>3633</v>
      </c>
      <c r="D3444" t="s">
        <v>3421</v>
      </c>
      <c r="E3444" t="s">
        <v>3629</v>
      </c>
      <c r="F3444">
        <v>61392</v>
      </c>
      <c r="G3444">
        <v>2</v>
      </c>
      <c r="H3444" t="s">
        <v>16</v>
      </c>
      <c r="I3444" s="1">
        <v>-2028400</v>
      </c>
      <c r="J3444" s="1">
        <v>-5024600</v>
      </c>
      <c r="K3444">
        <v>535</v>
      </c>
      <c r="L3444">
        <v>549</v>
      </c>
      <c r="M3444" t="s">
        <v>16</v>
      </c>
    </row>
    <row r="3445" spans="1:13" x14ac:dyDescent="0.35">
      <c r="A3445">
        <v>351560</v>
      </c>
      <c r="B3445">
        <v>29963</v>
      </c>
      <c r="C3445" t="s">
        <v>3634</v>
      </c>
      <c r="D3445" t="s">
        <v>3421</v>
      </c>
      <c r="E3445" t="s">
        <v>3517</v>
      </c>
      <c r="F3445">
        <v>5212</v>
      </c>
      <c r="G3445">
        <v>1</v>
      </c>
      <c r="H3445" t="s">
        <v>16</v>
      </c>
      <c r="I3445" s="1">
        <v>-2126400</v>
      </c>
      <c r="J3445" s="1">
        <v>-4868500</v>
      </c>
      <c r="K3445">
        <v>545</v>
      </c>
      <c r="L3445">
        <v>170</v>
      </c>
      <c r="M3445" t="s">
        <v>16</v>
      </c>
    </row>
    <row r="3446" spans="1:13" x14ac:dyDescent="0.35">
      <c r="A3446">
        <v>351565</v>
      </c>
      <c r="B3446">
        <v>56405</v>
      </c>
      <c r="C3446" t="s">
        <v>3635</v>
      </c>
      <c r="D3446" t="s">
        <v>3421</v>
      </c>
      <c r="E3446" t="s">
        <v>3449</v>
      </c>
      <c r="F3446">
        <v>1457</v>
      </c>
      <c r="G3446">
        <v>1</v>
      </c>
      <c r="H3446" t="s">
        <v>16</v>
      </c>
      <c r="I3446" s="1">
        <v>-2235900</v>
      </c>
      <c r="J3446" s="1">
        <v>-4952100</v>
      </c>
      <c r="K3446">
        <v>558</v>
      </c>
      <c r="L3446">
        <v>100</v>
      </c>
      <c r="M3446" t="s">
        <v>16</v>
      </c>
    </row>
    <row r="3447" spans="1:13" x14ac:dyDescent="0.35">
      <c r="A3447">
        <v>351570</v>
      </c>
      <c r="B3447">
        <v>29971</v>
      </c>
      <c r="C3447" t="s">
        <v>3636</v>
      </c>
      <c r="D3447" t="s">
        <v>3421</v>
      </c>
      <c r="E3447" t="s">
        <v>3526</v>
      </c>
      <c r="F3447">
        <v>168897</v>
      </c>
      <c r="G3447">
        <v>4</v>
      </c>
      <c r="H3447" t="s">
        <v>3490</v>
      </c>
      <c r="I3447" s="1">
        <v>-2354100</v>
      </c>
      <c r="J3447" s="1">
        <v>-4636900</v>
      </c>
      <c r="K3447">
        <v>755</v>
      </c>
      <c r="L3447">
        <v>30</v>
      </c>
      <c r="M3447" t="s">
        <v>16</v>
      </c>
    </row>
    <row r="3448" spans="1:13" x14ac:dyDescent="0.35">
      <c r="A3448">
        <v>351580</v>
      </c>
      <c r="B3448">
        <v>29980</v>
      </c>
      <c r="C3448" t="s">
        <v>3637</v>
      </c>
      <c r="D3448" t="s">
        <v>3421</v>
      </c>
      <c r="E3448" t="s">
        <v>3420</v>
      </c>
      <c r="F3448">
        <v>2019</v>
      </c>
      <c r="G3448">
        <v>1</v>
      </c>
      <c r="H3448" t="s">
        <v>16</v>
      </c>
      <c r="I3448" s="1">
        <v>-2167600</v>
      </c>
      <c r="J3448" s="1">
        <v>-5138400</v>
      </c>
      <c r="K3448">
        <v>382</v>
      </c>
      <c r="L3448">
        <v>225</v>
      </c>
      <c r="M3448" t="s">
        <v>16</v>
      </c>
    </row>
    <row r="3449" spans="1:13" x14ac:dyDescent="0.35">
      <c r="A3449">
        <v>351590</v>
      </c>
      <c r="B3449">
        <v>29998</v>
      </c>
      <c r="C3449" t="s">
        <v>3638</v>
      </c>
      <c r="D3449" t="s">
        <v>3421</v>
      </c>
      <c r="E3449" t="s">
        <v>3495</v>
      </c>
      <c r="F3449">
        <v>2907</v>
      </c>
      <c r="G3449">
        <v>1</v>
      </c>
      <c r="H3449" t="s">
        <v>16</v>
      </c>
      <c r="I3449" s="1">
        <v>-2067700</v>
      </c>
      <c r="J3449" s="1">
        <v>-5014500</v>
      </c>
      <c r="K3449">
        <v>518</v>
      </c>
      <c r="L3449">
        <v>203</v>
      </c>
      <c r="M3449" t="s">
        <v>16</v>
      </c>
    </row>
    <row r="3450" spans="1:13" x14ac:dyDescent="0.35">
      <c r="A3450">
        <v>351600</v>
      </c>
      <c r="B3450">
        <v>30007</v>
      </c>
      <c r="C3450" t="s">
        <v>3639</v>
      </c>
      <c r="D3450" t="s">
        <v>3421</v>
      </c>
      <c r="E3450" t="s">
        <v>3420</v>
      </c>
      <c r="F3450">
        <v>12660</v>
      </c>
      <c r="G3450">
        <v>1</v>
      </c>
      <c r="H3450" t="s">
        <v>16</v>
      </c>
      <c r="I3450" s="1">
        <v>-2161500</v>
      </c>
      <c r="J3450" s="1">
        <v>-5117400</v>
      </c>
      <c r="K3450">
        <v>410</v>
      </c>
      <c r="L3450">
        <v>524</v>
      </c>
      <c r="M3450" t="s">
        <v>16</v>
      </c>
    </row>
    <row r="3451" spans="1:13" x14ac:dyDescent="0.35">
      <c r="A3451">
        <v>351610</v>
      </c>
      <c r="B3451">
        <v>30015</v>
      </c>
      <c r="C3451" t="s">
        <v>3640</v>
      </c>
      <c r="D3451" t="s">
        <v>3421</v>
      </c>
      <c r="E3451" t="s">
        <v>3492</v>
      </c>
      <c r="F3451">
        <v>2860</v>
      </c>
      <c r="G3451">
        <v>1</v>
      </c>
      <c r="H3451" t="s">
        <v>16</v>
      </c>
      <c r="I3451" s="1">
        <v>-2290300</v>
      </c>
      <c r="J3451" s="1">
        <v>-5073800</v>
      </c>
      <c r="K3451">
        <v>360</v>
      </c>
      <c r="L3451">
        <v>227</v>
      </c>
      <c r="M3451" t="s">
        <v>16</v>
      </c>
    </row>
    <row r="3452" spans="1:13" x14ac:dyDescent="0.35">
      <c r="A3452">
        <v>351620</v>
      </c>
      <c r="B3452">
        <v>30023</v>
      </c>
      <c r="C3452" t="s">
        <v>3599</v>
      </c>
      <c r="D3452" t="s">
        <v>3421</v>
      </c>
      <c r="E3452" t="s">
        <v>3599</v>
      </c>
      <c r="F3452">
        <v>319094</v>
      </c>
      <c r="G3452">
        <v>3</v>
      </c>
      <c r="H3452" t="s">
        <v>16</v>
      </c>
      <c r="I3452" s="1">
        <v>-2053900</v>
      </c>
      <c r="J3452" s="1">
        <v>-4740100</v>
      </c>
      <c r="K3452">
        <v>996</v>
      </c>
      <c r="L3452">
        <v>607</v>
      </c>
      <c r="M3452" t="s">
        <v>16</v>
      </c>
    </row>
    <row r="3453" spans="1:13" x14ac:dyDescent="0.35">
      <c r="A3453">
        <v>351630</v>
      </c>
      <c r="B3453">
        <v>30031</v>
      </c>
      <c r="C3453" t="s">
        <v>3641</v>
      </c>
      <c r="D3453" t="s">
        <v>3421</v>
      </c>
      <c r="E3453" t="s">
        <v>3553</v>
      </c>
      <c r="F3453">
        <v>146634</v>
      </c>
      <c r="G3453">
        <v>4</v>
      </c>
      <c r="H3453" t="s">
        <v>3490</v>
      </c>
      <c r="I3453" s="1">
        <v>-2328200</v>
      </c>
      <c r="J3453" s="1">
        <v>-4674500</v>
      </c>
      <c r="K3453">
        <v>792</v>
      </c>
      <c r="L3453">
        <v>49</v>
      </c>
      <c r="M3453" t="s">
        <v>16</v>
      </c>
    </row>
    <row r="3454" spans="1:13" x14ac:dyDescent="0.35">
      <c r="A3454">
        <v>351640</v>
      </c>
      <c r="B3454">
        <v>30040</v>
      </c>
      <c r="C3454" t="s">
        <v>3553</v>
      </c>
      <c r="D3454" t="s">
        <v>3421</v>
      </c>
      <c r="E3454" t="s">
        <v>3553</v>
      </c>
      <c r="F3454">
        <v>121451</v>
      </c>
      <c r="G3454">
        <v>4</v>
      </c>
      <c r="H3454" t="s">
        <v>3490</v>
      </c>
      <c r="I3454" s="1">
        <v>-2332200</v>
      </c>
      <c r="J3454" s="1">
        <v>-4672700</v>
      </c>
      <c r="K3454">
        <v>740</v>
      </c>
      <c r="L3454">
        <v>133</v>
      </c>
      <c r="M3454" t="s">
        <v>16</v>
      </c>
    </row>
    <row r="3455" spans="1:13" x14ac:dyDescent="0.35">
      <c r="A3455">
        <v>351650</v>
      </c>
      <c r="B3455">
        <v>30058</v>
      </c>
      <c r="C3455" t="s">
        <v>3642</v>
      </c>
      <c r="D3455" t="s">
        <v>3421</v>
      </c>
      <c r="E3455" t="s">
        <v>3442</v>
      </c>
      <c r="F3455">
        <v>2638</v>
      </c>
      <c r="G3455">
        <v>1</v>
      </c>
      <c r="H3455" t="s">
        <v>16</v>
      </c>
      <c r="I3455" s="1">
        <v>-2153100</v>
      </c>
      <c r="J3455" s="1">
        <v>-5055500</v>
      </c>
      <c r="K3455">
        <v>436</v>
      </c>
      <c r="L3455">
        <v>138</v>
      </c>
      <c r="M3455" t="s">
        <v>16</v>
      </c>
    </row>
    <row r="3456" spans="1:13" x14ac:dyDescent="0.35">
      <c r="A3456">
        <v>351660</v>
      </c>
      <c r="B3456">
        <v>30066</v>
      </c>
      <c r="C3456" t="s">
        <v>3643</v>
      </c>
      <c r="D3456" t="s">
        <v>3421</v>
      </c>
      <c r="E3456" t="s">
        <v>3449</v>
      </c>
      <c r="F3456">
        <v>6812</v>
      </c>
      <c r="G3456">
        <v>1</v>
      </c>
      <c r="H3456" t="s">
        <v>16</v>
      </c>
      <c r="I3456" s="1">
        <v>-2229100</v>
      </c>
      <c r="J3456" s="1">
        <v>-4955300</v>
      </c>
      <c r="K3456">
        <v>561</v>
      </c>
      <c r="L3456">
        <v>355</v>
      </c>
      <c r="M3456" t="s">
        <v>16</v>
      </c>
    </row>
    <row r="3457" spans="1:13" x14ac:dyDescent="0.35">
      <c r="A3457">
        <v>351670</v>
      </c>
      <c r="B3457">
        <v>30074</v>
      </c>
      <c r="C3457" t="s">
        <v>3644</v>
      </c>
      <c r="D3457" t="s">
        <v>3421</v>
      </c>
      <c r="E3457" t="s">
        <v>3449</v>
      </c>
      <c r="F3457">
        <v>42218</v>
      </c>
      <c r="G3457">
        <v>1</v>
      </c>
      <c r="H3457" t="s">
        <v>16</v>
      </c>
      <c r="I3457" s="1">
        <v>-2221100</v>
      </c>
      <c r="J3457" s="1">
        <v>-4965600</v>
      </c>
      <c r="K3457">
        <v>683</v>
      </c>
      <c r="L3457">
        <v>555</v>
      </c>
      <c r="M3457" t="s">
        <v>16</v>
      </c>
    </row>
    <row r="3458" spans="1:13" x14ac:dyDescent="0.35">
      <c r="A3458">
        <v>351680</v>
      </c>
      <c r="B3458">
        <v>30082</v>
      </c>
      <c r="C3458" t="s">
        <v>3645</v>
      </c>
      <c r="D3458" t="s">
        <v>3421</v>
      </c>
      <c r="E3458" t="s">
        <v>3495</v>
      </c>
      <c r="F3458">
        <v>3863</v>
      </c>
      <c r="G3458">
        <v>1</v>
      </c>
      <c r="H3458" t="s">
        <v>16</v>
      </c>
      <c r="I3458" s="1">
        <v>-2079900</v>
      </c>
      <c r="J3458" s="1">
        <v>-5018700</v>
      </c>
      <c r="K3458">
        <v>401</v>
      </c>
      <c r="L3458">
        <v>180</v>
      </c>
      <c r="M3458" t="s">
        <v>16</v>
      </c>
    </row>
    <row r="3459" spans="1:13" x14ac:dyDescent="0.35">
      <c r="A3459">
        <v>351685</v>
      </c>
      <c r="B3459">
        <v>56413</v>
      </c>
      <c r="C3459" t="s">
        <v>3646</v>
      </c>
      <c r="D3459" t="s">
        <v>3421</v>
      </c>
      <c r="E3459" t="s">
        <v>3455</v>
      </c>
      <c r="F3459">
        <v>4103</v>
      </c>
      <c r="G3459">
        <v>1</v>
      </c>
      <c r="H3459" t="s">
        <v>16</v>
      </c>
      <c r="I3459" s="1">
        <v>-2183900</v>
      </c>
      <c r="J3459" s="1">
        <v>-4849500</v>
      </c>
      <c r="K3459">
        <v>515</v>
      </c>
      <c r="L3459">
        <v>243</v>
      </c>
      <c r="M3459" t="s">
        <v>16</v>
      </c>
    </row>
    <row r="3460" spans="1:13" x14ac:dyDescent="0.35">
      <c r="A3460">
        <v>351690</v>
      </c>
      <c r="B3460">
        <v>30090</v>
      </c>
      <c r="C3460" t="s">
        <v>3647</v>
      </c>
      <c r="D3460" t="s">
        <v>3421</v>
      </c>
      <c r="E3460" t="s">
        <v>3495</v>
      </c>
      <c r="F3460">
        <v>10626</v>
      </c>
      <c r="G3460">
        <v>1</v>
      </c>
      <c r="H3460" t="s">
        <v>16</v>
      </c>
      <c r="I3460" s="1">
        <v>-2064800</v>
      </c>
      <c r="J3460" s="1">
        <v>-5036100</v>
      </c>
      <c r="K3460">
        <v>418</v>
      </c>
      <c r="L3460">
        <v>493</v>
      </c>
      <c r="M3460" t="s">
        <v>16</v>
      </c>
    </row>
    <row r="3461" spans="1:13" x14ac:dyDescent="0.35">
      <c r="A3461">
        <v>351700</v>
      </c>
      <c r="B3461">
        <v>30104</v>
      </c>
      <c r="C3461" t="s">
        <v>3648</v>
      </c>
      <c r="D3461" t="s">
        <v>3421</v>
      </c>
      <c r="E3461" t="s">
        <v>3550</v>
      </c>
      <c r="F3461">
        <v>10515</v>
      </c>
      <c r="G3461">
        <v>1</v>
      </c>
      <c r="H3461" t="s">
        <v>16</v>
      </c>
      <c r="I3461" s="1">
        <v>-2179900</v>
      </c>
      <c r="J3461" s="1">
        <v>-4992900</v>
      </c>
      <c r="K3461">
        <v>487</v>
      </c>
      <c r="L3461">
        <v>675</v>
      </c>
      <c r="M3461" t="s">
        <v>16</v>
      </c>
    </row>
    <row r="3462" spans="1:13" x14ac:dyDescent="0.35">
      <c r="A3462">
        <v>351710</v>
      </c>
      <c r="B3462">
        <v>30112</v>
      </c>
      <c r="C3462" t="s">
        <v>3649</v>
      </c>
      <c r="D3462" t="s">
        <v>3421</v>
      </c>
      <c r="E3462" t="s">
        <v>3442</v>
      </c>
      <c r="F3462">
        <v>4398</v>
      </c>
      <c r="G3462">
        <v>1</v>
      </c>
      <c r="H3462" t="s">
        <v>16</v>
      </c>
      <c r="I3462" s="1">
        <v>-2138400</v>
      </c>
      <c r="J3462" s="1">
        <v>-5021100</v>
      </c>
      <c r="K3462">
        <v>400</v>
      </c>
      <c r="L3462">
        <v>274</v>
      </c>
      <c r="M3462" t="s">
        <v>16</v>
      </c>
    </row>
    <row r="3463" spans="1:13" x14ac:dyDescent="0.35">
      <c r="A3463">
        <v>351720</v>
      </c>
      <c r="B3463">
        <v>30120</v>
      </c>
      <c r="C3463" t="s">
        <v>3650</v>
      </c>
      <c r="D3463" t="s">
        <v>3421</v>
      </c>
      <c r="E3463" t="s">
        <v>3550</v>
      </c>
      <c r="F3463">
        <v>10357</v>
      </c>
      <c r="G3463">
        <v>1</v>
      </c>
      <c r="H3463" t="s">
        <v>16</v>
      </c>
      <c r="I3463" s="1">
        <v>-2162200</v>
      </c>
      <c r="J3463" s="1">
        <v>-4979900</v>
      </c>
      <c r="K3463">
        <v>461</v>
      </c>
      <c r="L3463">
        <v>269</v>
      </c>
      <c r="M3463" t="s">
        <v>16</v>
      </c>
    </row>
    <row r="3464" spans="1:13" x14ac:dyDescent="0.35">
      <c r="A3464">
        <v>351730</v>
      </c>
      <c r="B3464">
        <v>30139</v>
      </c>
      <c r="C3464" t="s">
        <v>3651</v>
      </c>
      <c r="D3464" t="s">
        <v>3421</v>
      </c>
      <c r="E3464" t="s">
        <v>3550</v>
      </c>
      <c r="F3464">
        <v>4752</v>
      </c>
      <c r="G3464">
        <v>1</v>
      </c>
      <c r="H3464" t="s">
        <v>16</v>
      </c>
      <c r="I3464" s="1">
        <v>-2191000</v>
      </c>
      <c r="J3464" s="1">
        <v>-4989700</v>
      </c>
      <c r="K3464">
        <v>469</v>
      </c>
      <c r="L3464">
        <v>217</v>
      </c>
      <c r="M3464" t="s">
        <v>16</v>
      </c>
    </row>
    <row r="3465" spans="1:13" x14ac:dyDescent="0.35">
      <c r="A3465">
        <v>351740</v>
      </c>
      <c r="B3465">
        <v>30147</v>
      </c>
      <c r="C3465" t="s">
        <v>3652</v>
      </c>
      <c r="D3465" t="s">
        <v>3421</v>
      </c>
      <c r="E3465" t="s">
        <v>3653</v>
      </c>
      <c r="F3465">
        <v>36544</v>
      </c>
      <c r="G3465">
        <v>1</v>
      </c>
      <c r="H3465" t="s">
        <v>16</v>
      </c>
      <c r="I3465" s="1">
        <v>-2031800</v>
      </c>
      <c r="J3465" s="1">
        <v>-4831100</v>
      </c>
      <c r="K3465">
        <v>517</v>
      </c>
      <c r="L3465">
        <v>1258</v>
      </c>
      <c r="M3465" t="s">
        <v>16</v>
      </c>
    </row>
    <row r="3466" spans="1:13" x14ac:dyDescent="0.35">
      <c r="A3466">
        <v>351750</v>
      </c>
      <c r="B3466">
        <v>30155</v>
      </c>
      <c r="C3466" t="s">
        <v>3654</v>
      </c>
      <c r="D3466" t="s">
        <v>3421</v>
      </c>
      <c r="E3466" t="s">
        <v>3423</v>
      </c>
      <c r="F3466">
        <v>16392</v>
      </c>
      <c r="G3466">
        <v>1</v>
      </c>
      <c r="H3466" t="s">
        <v>16</v>
      </c>
      <c r="I3466" s="1">
        <v>-2079500</v>
      </c>
      <c r="J3466" s="1">
        <v>-4922000</v>
      </c>
      <c r="K3466">
        <v>505</v>
      </c>
      <c r="L3466">
        <v>325</v>
      </c>
      <c r="M3466" t="s">
        <v>16</v>
      </c>
    </row>
    <row r="3467" spans="1:13" x14ac:dyDescent="0.35">
      <c r="A3467">
        <v>351760</v>
      </c>
      <c r="B3467">
        <v>30163</v>
      </c>
      <c r="C3467" t="s">
        <v>3655</v>
      </c>
      <c r="D3467" t="s">
        <v>3421</v>
      </c>
      <c r="E3467" t="s">
        <v>3468</v>
      </c>
      <c r="F3467">
        <v>20056</v>
      </c>
      <c r="G3467">
        <v>1</v>
      </c>
      <c r="H3467" t="s">
        <v>16</v>
      </c>
      <c r="I3467" s="1">
        <v>-2418500</v>
      </c>
      <c r="J3467" s="1">
        <v>-4853300</v>
      </c>
      <c r="K3467">
        <v>750</v>
      </c>
      <c r="L3467">
        <v>407</v>
      </c>
      <c r="M3467" t="s">
        <v>16</v>
      </c>
    </row>
    <row r="3468" spans="1:13" x14ac:dyDescent="0.35">
      <c r="A3468">
        <v>351770</v>
      </c>
      <c r="B3468">
        <v>30171</v>
      </c>
      <c r="C3468" t="s">
        <v>3656</v>
      </c>
      <c r="D3468" t="s">
        <v>3421</v>
      </c>
      <c r="E3468" t="s">
        <v>3473</v>
      </c>
      <c r="F3468">
        <v>18611</v>
      </c>
      <c r="G3468">
        <v>1</v>
      </c>
      <c r="H3468" t="s">
        <v>16</v>
      </c>
      <c r="I3468" s="1">
        <v>-2042800</v>
      </c>
      <c r="J3468" s="1">
        <v>-4782400</v>
      </c>
      <c r="K3468">
        <v>573</v>
      </c>
      <c r="L3468">
        <v>362</v>
      </c>
      <c r="M3468" t="s">
        <v>16</v>
      </c>
    </row>
    <row r="3469" spans="1:13" x14ac:dyDescent="0.35">
      <c r="A3469">
        <v>351780</v>
      </c>
      <c r="B3469">
        <v>30180</v>
      </c>
      <c r="C3469" t="s">
        <v>3657</v>
      </c>
      <c r="D3469" t="s">
        <v>3421</v>
      </c>
      <c r="E3469" t="s">
        <v>3459</v>
      </c>
      <c r="F3469">
        <v>8505</v>
      </c>
      <c r="G3469">
        <v>1</v>
      </c>
      <c r="H3469" t="s">
        <v>16</v>
      </c>
      <c r="I3469" s="1">
        <v>-2102800</v>
      </c>
      <c r="J3469" s="1">
        <v>-5120700</v>
      </c>
      <c r="K3469">
        <v>440</v>
      </c>
      <c r="L3469">
        <v>568</v>
      </c>
      <c r="M3469" t="s">
        <v>16</v>
      </c>
    </row>
    <row r="3470" spans="1:13" x14ac:dyDescent="0.35">
      <c r="A3470">
        <v>351790</v>
      </c>
      <c r="B3470">
        <v>30198</v>
      </c>
      <c r="C3470" t="s">
        <v>3658</v>
      </c>
      <c r="D3470" t="s">
        <v>3421</v>
      </c>
      <c r="E3470" t="s">
        <v>3423</v>
      </c>
      <c r="F3470">
        <v>9045</v>
      </c>
      <c r="G3470">
        <v>1</v>
      </c>
      <c r="H3470" t="s">
        <v>16</v>
      </c>
      <c r="I3470" s="1">
        <v>-2049900</v>
      </c>
      <c r="J3470" s="1">
        <v>-4894500</v>
      </c>
      <c r="K3470">
        <v>481</v>
      </c>
      <c r="L3470">
        <v>638</v>
      </c>
      <c r="M3470" t="s">
        <v>16</v>
      </c>
    </row>
    <row r="3471" spans="1:13" x14ac:dyDescent="0.35">
      <c r="A3471">
        <v>351800</v>
      </c>
      <c r="B3471">
        <v>30201</v>
      </c>
      <c r="C3471" t="s">
        <v>3659</v>
      </c>
      <c r="D3471" t="s">
        <v>3421</v>
      </c>
      <c r="E3471" t="s">
        <v>3629</v>
      </c>
      <c r="F3471">
        <v>1963</v>
      </c>
      <c r="G3471">
        <v>1</v>
      </c>
      <c r="H3471" t="s">
        <v>16</v>
      </c>
      <c r="I3471" s="1">
        <v>-2007500</v>
      </c>
      <c r="J3471" s="1">
        <v>-5033900</v>
      </c>
      <c r="K3471">
        <v>499</v>
      </c>
      <c r="L3471">
        <v>84</v>
      </c>
      <c r="M3471" t="s">
        <v>16</v>
      </c>
    </row>
    <row r="3472" spans="1:13" x14ac:dyDescent="0.35">
      <c r="A3472">
        <v>351810</v>
      </c>
      <c r="B3472">
        <v>30210</v>
      </c>
      <c r="C3472" t="s">
        <v>3660</v>
      </c>
      <c r="D3472" t="s">
        <v>3421</v>
      </c>
      <c r="E3472" t="s">
        <v>3434</v>
      </c>
      <c r="F3472">
        <v>6410</v>
      </c>
      <c r="G3472">
        <v>1</v>
      </c>
      <c r="H3472" t="s">
        <v>16</v>
      </c>
      <c r="I3472" s="1">
        <v>-2189500</v>
      </c>
      <c r="J3472" s="1">
        <v>-4959000</v>
      </c>
      <c r="K3472">
        <v>505</v>
      </c>
      <c r="L3472">
        <v>461</v>
      </c>
      <c r="M3472" t="s">
        <v>16</v>
      </c>
    </row>
    <row r="3473" spans="1:13" x14ac:dyDescent="0.35">
      <c r="A3473">
        <v>351820</v>
      </c>
      <c r="B3473">
        <v>30228</v>
      </c>
      <c r="C3473" t="s">
        <v>3661</v>
      </c>
      <c r="D3473" t="s">
        <v>3421</v>
      </c>
      <c r="E3473" t="s">
        <v>3470</v>
      </c>
      <c r="F3473">
        <v>28662</v>
      </c>
      <c r="G3473">
        <v>1</v>
      </c>
      <c r="H3473" t="s">
        <v>16</v>
      </c>
      <c r="I3473" s="1">
        <v>-2126100</v>
      </c>
      <c r="J3473" s="1">
        <v>-5064300</v>
      </c>
      <c r="K3473">
        <v>415</v>
      </c>
      <c r="L3473">
        <v>956</v>
      </c>
      <c r="M3473" t="s">
        <v>16</v>
      </c>
    </row>
    <row r="3474" spans="1:13" x14ac:dyDescent="0.35">
      <c r="A3474">
        <v>351830</v>
      </c>
      <c r="B3474">
        <v>30236</v>
      </c>
      <c r="C3474" t="s">
        <v>3662</v>
      </c>
      <c r="D3474" t="s">
        <v>3421</v>
      </c>
      <c r="E3474" t="s">
        <v>3526</v>
      </c>
      <c r="F3474">
        <v>24854</v>
      </c>
      <c r="G3474">
        <v>4</v>
      </c>
      <c r="H3474" t="s">
        <v>3490</v>
      </c>
      <c r="I3474" s="1">
        <v>-2341500</v>
      </c>
      <c r="J3474" s="1">
        <v>-4603500</v>
      </c>
      <c r="K3474">
        <v>585</v>
      </c>
      <c r="L3474">
        <v>270</v>
      </c>
      <c r="M3474" t="s">
        <v>16</v>
      </c>
    </row>
    <row r="3475" spans="1:13" x14ac:dyDescent="0.35">
      <c r="A3475">
        <v>351840</v>
      </c>
      <c r="B3475">
        <v>30244</v>
      </c>
      <c r="C3475" t="s">
        <v>3663</v>
      </c>
      <c r="D3475" t="s">
        <v>3421</v>
      </c>
      <c r="E3475" t="s">
        <v>3464</v>
      </c>
      <c r="F3475">
        <v>107895</v>
      </c>
      <c r="G3475">
        <v>3</v>
      </c>
      <c r="H3475" t="s">
        <v>16</v>
      </c>
      <c r="I3475" s="1">
        <v>-2281600</v>
      </c>
      <c r="J3475" s="1">
        <v>-4519300</v>
      </c>
      <c r="K3475">
        <v>539</v>
      </c>
      <c r="L3475">
        <v>751</v>
      </c>
      <c r="M3475" t="s">
        <v>16</v>
      </c>
    </row>
    <row r="3476" spans="1:13" x14ac:dyDescent="0.35">
      <c r="A3476">
        <v>351850</v>
      </c>
      <c r="B3476">
        <v>30252</v>
      </c>
      <c r="C3476" t="s">
        <v>3664</v>
      </c>
      <c r="D3476" t="s">
        <v>3421</v>
      </c>
      <c r="E3476" t="s">
        <v>3436</v>
      </c>
      <c r="F3476">
        <v>13202</v>
      </c>
      <c r="G3476">
        <v>1</v>
      </c>
      <c r="H3476" t="s">
        <v>16</v>
      </c>
      <c r="I3476" s="1">
        <v>-2337300</v>
      </c>
      <c r="J3476" s="1">
        <v>-4818400</v>
      </c>
      <c r="K3476">
        <v>635</v>
      </c>
      <c r="L3476">
        <v>566</v>
      </c>
      <c r="M3476" t="s">
        <v>16</v>
      </c>
    </row>
    <row r="3477" spans="1:13" x14ac:dyDescent="0.35">
      <c r="A3477">
        <v>351860</v>
      </c>
      <c r="B3477">
        <v>30260</v>
      </c>
      <c r="C3477" t="s">
        <v>3665</v>
      </c>
      <c r="D3477" t="s">
        <v>3421</v>
      </c>
      <c r="E3477" t="s">
        <v>3517</v>
      </c>
      <c r="F3477">
        <v>32664</v>
      </c>
      <c r="G3477">
        <v>1</v>
      </c>
      <c r="H3477" t="s">
        <v>16</v>
      </c>
      <c r="I3477" s="1">
        <v>-2136000</v>
      </c>
      <c r="J3477" s="1">
        <v>-4822800</v>
      </c>
      <c r="K3477">
        <v>618</v>
      </c>
      <c r="L3477">
        <v>270</v>
      </c>
      <c r="M3477" t="s">
        <v>16</v>
      </c>
    </row>
    <row r="3478" spans="1:13" x14ac:dyDescent="0.35">
      <c r="A3478">
        <v>351870</v>
      </c>
      <c r="B3478">
        <v>30279</v>
      </c>
      <c r="C3478" t="s">
        <v>3666</v>
      </c>
      <c r="D3478" t="s">
        <v>3421</v>
      </c>
      <c r="E3478" t="s">
        <v>3522</v>
      </c>
      <c r="F3478">
        <v>296150</v>
      </c>
      <c r="G3478">
        <v>4</v>
      </c>
      <c r="H3478" t="s">
        <v>3523</v>
      </c>
      <c r="I3478" s="1">
        <v>-2399300</v>
      </c>
      <c r="J3478" s="1">
        <v>-4625600</v>
      </c>
      <c r="K3478">
        <v>4</v>
      </c>
      <c r="L3478">
        <v>142</v>
      </c>
      <c r="M3478" t="s">
        <v>16</v>
      </c>
    </row>
    <row r="3479" spans="1:13" x14ac:dyDescent="0.35">
      <c r="A3479">
        <v>351880</v>
      </c>
      <c r="B3479">
        <v>30287</v>
      </c>
      <c r="C3479" t="s">
        <v>3489</v>
      </c>
      <c r="D3479" t="s">
        <v>3421</v>
      </c>
      <c r="E3479" t="s">
        <v>3489</v>
      </c>
      <c r="F3479">
        <v>1236192</v>
      </c>
      <c r="G3479">
        <v>4</v>
      </c>
      <c r="H3479" t="s">
        <v>3490</v>
      </c>
      <c r="I3479" s="1">
        <v>-2346300</v>
      </c>
      <c r="J3479" s="1">
        <v>-4653300</v>
      </c>
      <c r="K3479">
        <v>759</v>
      </c>
      <c r="L3479">
        <v>318</v>
      </c>
      <c r="M3479" t="s">
        <v>16</v>
      </c>
    </row>
    <row r="3480" spans="1:13" x14ac:dyDescent="0.35">
      <c r="A3480">
        <v>351885</v>
      </c>
      <c r="B3480">
        <v>51241</v>
      </c>
      <c r="C3480" t="s">
        <v>3667</v>
      </c>
      <c r="D3480" t="s">
        <v>3421</v>
      </c>
      <c r="E3480" t="s">
        <v>3512</v>
      </c>
      <c r="F3480">
        <v>6217</v>
      </c>
      <c r="G3480">
        <v>1</v>
      </c>
      <c r="H3480" t="s">
        <v>16</v>
      </c>
      <c r="I3480" s="1">
        <v>-2149700</v>
      </c>
      <c r="J3480" s="1">
        <v>-4803800</v>
      </c>
      <c r="K3480">
        <v>512</v>
      </c>
      <c r="L3480">
        <v>412</v>
      </c>
      <c r="M3480" t="s">
        <v>16</v>
      </c>
    </row>
    <row r="3481" spans="1:13" x14ac:dyDescent="0.35">
      <c r="A3481">
        <v>351890</v>
      </c>
      <c r="B3481">
        <v>30295</v>
      </c>
      <c r="C3481" t="s">
        <v>3668</v>
      </c>
      <c r="D3481" t="s">
        <v>3421</v>
      </c>
      <c r="E3481" t="s">
        <v>3495</v>
      </c>
      <c r="F3481">
        <v>4616</v>
      </c>
      <c r="G3481">
        <v>1</v>
      </c>
      <c r="H3481" t="s">
        <v>16</v>
      </c>
      <c r="I3481" s="1">
        <v>-2065000</v>
      </c>
      <c r="J3481" s="1">
        <v>-5066200</v>
      </c>
      <c r="K3481">
        <v>465</v>
      </c>
      <c r="L3481">
        <v>253</v>
      </c>
      <c r="M3481" t="s">
        <v>16</v>
      </c>
    </row>
    <row r="3482" spans="1:13" x14ac:dyDescent="0.35">
      <c r="A3482">
        <v>351900</v>
      </c>
      <c r="B3482">
        <v>30309</v>
      </c>
      <c r="C3482" t="s">
        <v>3669</v>
      </c>
      <c r="D3482" t="s">
        <v>3421</v>
      </c>
      <c r="E3482" t="s">
        <v>3480</v>
      </c>
      <c r="F3482">
        <v>8573</v>
      </c>
      <c r="G3482">
        <v>1</v>
      </c>
      <c r="H3482" t="s">
        <v>16</v>
      </c>
      <c r="I3482" s="1">
        <v>-2200400</v>
      </c>
      <c r="J3482" s="1">
        <v>-5038500</v>
      </c>
      <c r="K3482">
        <v>502</v>
      </c>
      <c r="L3482">
        <v>365</v>
      </c>
      <c r="M3482" t="s">
        <v>16</v>
      </c>
    </row>
    <row r="3483" spans="1:13" x14ac:dyDescent="0.35">
      <c r="A3483">
        <v>351905</v>
      </c>
      <c r="B3483">
        <v>51250</v>
      </c>
      <c r="C3483" t="s">
        <v>3670</v>
      </c>
      <c r="D3483" t="s">
        <v>3421</v>
      </c>
      <c r="E3483" t="s">
        <v>3452</v>
      </c>
      <c r="F3483">
        <v>9111</v>
      </c>
      <c r="G3483">
        <v>4</v>
      </c>
      <c r="H3483" t="s">
        <v>3453</v>
      </c>
      <c r="I3483" s="1">
        <v>-2263300</v>
      </c>
      <c r="J3483" s="1">
        <v>-4705600</v>
      </c>
      <c r="K3483">
        <v>0</v>
      </c>
      <c r="L3483">
        <v>64</v>
      </c>
      <c r="M3483" t="s">
        <v>16</v>
      </c>
    </row>
    <row r="3484" spans="1:13" x14ac:dyDescent="0.35">
      <c r="A3484">
        <v>351907</v>
      </c>
      <c r="B3484">
        <v>51268</v>
      </c>
      <c r="C3484" t="s">
        <v>3671</v>
      </c>
      <c r="D3484" t="s">
        <v>3421</v>
      </c>
      <c r="E3484" t="s">
        <v>3452</v>
      </c>
      <c r="F3484">
        <v>190781</v>
      </c>
      <c r="G3484">
        <v>4</v>
      </c>
      <c r="H3484" t="s">
        <v>3453</v>
      </c>
      <c r="I3484" s="1">
        <v>-2285800</v>
      </c>
      <c r="J3484" s="1">
        <v>-4722000</v>
      </c>
      <c r="K3484">
        <v>587</v>
      </c>
      <c r="L3484">
        <v>62</v>
      </c>
      <c r="M3484" t="s">
        <v>16</v>
      </c>
    </row>
    <row r="3485" spans="1:13" x14ac:dyDescent="0.35">
      <c r="A3485">
        <v>351910</v>
      </c>
      <c r="B3485">
        <v>30317</v>
      </c>
      <c r="C3485" t="s">
        <v>3672</v>
      </c>
      <c r="D3485" t="s">
        <v>3421</v>
      </c>
      <c r="E3485" t="s">
        <v>3434</v>
      </c>
      <c r="F3485">
        <v>9074</v>
      </c>
      <c r="G3485">
        <v>1</v>
      </c>
      <c r="H3485" t="s">
        <v>16</v>
      </c>
      <c r="I3485" s="1">
        <v>-2189000</v>
      </c>
      <c r="J3485" s="1">
        <v>-4902500</v>
      </c>
      <c r="K3485">
        <v>422</v>
      </c>
      <c r="L3485">
        <v>548</v>
      </c>
      <c r="M3485" t="s">
        <v>16</v>
      </c>
    </row>
    <row r="3486" spans="1:13" x14ac:dyDescent="0.35">
      <c r="A3486">
        <v>351920</v>
      </c>
      <c r="B3486">
        <v>30325</v>
      </c>
      <c r="C3486" t="s">
        <v>3673</v>
      </c>
      <c r="D3486" t="s">
        <v>3421</v>
      </c>
      <c r="E3486" t="s">
        <v>3480</v>
      </c>
      <c r="F3486">
        <v>6677</v>
      </c>
      <c r="G3486">
        <v>1</v>
      </c>
      <c r="H3486" t="s">
        <v>16</v>
      </c>
      <c r="I3486" s="1">
        <v>-2185800</v>
      </c>
      <c r="J3486" s="1">
        <v>-5068900</v>
      </c>
      <c r="K3486">
        <v>499</v>
      </c>
      <c r="L3486">
        <v>324</v>
      </c>
      <c r="M3486" t="s">
        <v>16</v>
      </c>
    </row>
    <row r="3487" spans="1:13" x14ac:dyDescent="0.35">
      <c r="A3487">
        <v>351925</v>
      </c>
      <c r="B3487">
        <v>51276</v>
      </c>
      <c r="C3487" t="s">
        <v>3674</v>
      </c>
      <c r="D3487" t="s">
        <v>3421</v>
      </c>
      <c r="E3487" t="s">
        <v>3430</v>
      </c>
      <c r="F3487">
        <v>4777</v>
      </c>
      <c r="G3487">
        <v>1</v>
      </c>
      <c r="H3487" t="s">
        <v>16</v>
      </c>
      <c r="I3487" s="1">
        <v>-2287100</v>
      </c>
      <c r="J3487" s="1">
        <v>-4916300</v>
      </c>
      <c r="K3487">
        <v>648</v>
      </c>
      <c r="L3487">
        <v>401</v>
      </c>
      <c r="M3487" t="s">
        <v>16</v>
      </c>
    </row>
    <row r="3488" spans="1:13" x14ac:dyDescent="0.35">
      <c r="A3488">
        <v>351930</v>
      </c>
      <c r="B3488">
        <v>30333</v>
      </c>
      <c r="C3488" t="s">
        <v>3675</v>
      </c>
      <c r="D3488" t="s">
        <v>3421</v>
      </c>
      <c r="E3488" t="s">
        <v>3458</v>
      </c>
      <c r="F3488">
        <v>28040</v>
      </c>
      <c r="G3488">
        <v>1</v>
      </c>
      <c r="H3488" t="s">
        <v>16</v>
      </c>
      <c r="I3488" s="1">
        <v>-2195500</v>
      </c>
      <c r="J3488" s="1">
        <v>-4799700</v>
      </c>
      <c r="K3488">
        <v>839</v>
      </c>
      <c r="L3488">
        <v>289</v>
      </c>
      <c r="M3488" t="s">
        <v>16</v>
      </c>
    </row>
    <row r="3489" spans="1:13" x14ac:dyDescent="0.35">
      <c r="A3489">
        <v>351940</v>
      </c>
      <c r="B3489">
        <v>30341</v>
      </c>
      <c r="C3489" t="s">
        <v>3676</v>
      </c>
      <c r="D3489" t="s">
        <v>3421</v>
      </c>
      <c r="E3489" t="s">
        <v>3423</v>
      </c>
      <c r="F3489">
        <v>10379</v>
      </c>
      <c r="G3489">
        <v>1</v>
      </c>
      <c r="H3489" t="s">
        <v>16</v>
      </c>
      <c r="I3489" s="1">
        <v>-2108000</v>
      </c>
      <c r="J3489" s="1">
        <v>-4924100</v>
      </c>
      <c r="K3489">
        <v>446</v>
      </c>
      <c r="L3489">
        <v>270</v>
      </c>
      <c r="M3489" t="s">
        <v>16</v>
      </c>
    </row>
    <row r="3490" spans="1:13" x14ac:dyDescent="0.35">
      <c r="A3490">
        <v>351950</v>
      </c>
      <c r="B3490">
        <v>30350</v>
      </c>
      <c r="C3490" t="s">
        <v>3677</v>
      </c>
      <c r="D3490" t="s">
        <v>3421</v>
      </c>
      <c r="E3490" t="s">
        <v>3492</v>
      </c>
      <c r="F3490">
        <v>6617</v>
      </c>
      <c r="G3490">
        <v>1</v>
      </c>
      <c r="H3490" t="s">
        <v>16</v>
      </c>
      <c r="I3490" s="1">
        <v>-2281800</v>
      </c>
      <c r="J3490" s="1">
        <v>-5007300</v>
      </c>
      <c r="K3490">
        <v>483</v>
      </c>
      <c r="L3490">
        <v>228</v>
      </c>
      <c r="M3490" t="s">
        <v>16</v>
      </c>
    </row>
    <row r="3491" spans="1:13" x14ac:dyDescent="0.35">
      <c r="A3491">
        <v>351960</v>
      </c>
      <c r="B3491">
        <v>30368</v>
      </c>
      <c r="C3491" t="s">
        <v>3678</v>
      </c>
      <c r="D3491" t="s">
        <v>3421</v>
      </c>
      <c r="E3491" t="s">
        <v>3455</v>
      </c>
      <c r="F3491">
        <v>49951</v>
      </c>
      <c r="G3491">
        <v>1</v>
      </c>
      <c r="H3491" t="s">
        <v>16</v>
      </c>
      <c r="I3491" s="1">
        <v>-2175800</v>
      </c>
      <c r="J3491" s="1">
        <v>-4882900</v>
      </c>
      <c r="K3491">
        <v>491</v>
      </c>
      <c r="L3491">
        <v>688</v>
      </c>
      <c r="M3491" t="s">
        <v>16</v>
      </c>
    </row>
    <row r="3492" spans="1:13" x14ac:dyDescent="0.35">
      <c r="A3492">
        <v>351970</v>
      </c>
      <c r="B3492">
        <v>30376</v>
      </c>
      <c r="C3492" t="s">
        <v>3679</v>
      </c>
      <c r="D3492" t="s">
        <v>3421</v>
      </c>
      <c r="E3492" t="s">
        <v>3680</v>
      </c>
      <c r="F3492">
        <v>64832</v>
      </c>
      <c r="G3492">
        <v>2</v>
      </c>
      <c r="H3492" t="s">
        <v>16</v>
      </c>
      <c r="I3492" s="1">
        <v>-2365600</v>
      </c>
      <c r="J3492" s="1">
        <v>-4722300</v>
      </c>
      <c r="K3492">
        <v>860</v>
      </c>
      <c r="L3492">
        <v>1059</v>
      </c>
      <c r="M3492" t="s">
        <v>16</v>
      </c>
    </row>
    <row r="3493" spans="1:13" x14ac:dyDescent="0.35">
      <c r="A3493">
        <v>351980</v>
      </c>
      <c r="B3493">
        <v>30384</v>
      </c>
      <c r="C3493" t="s">
        <v>3681</v>
      </c>
      <c r="D3493" t="s">
        <v>3421</v>
      </c>
      <c r="E3493" t="s">
        <v>3423</v>
      </c>
      <c r="F3493">
        <v>6429</v>
      </c>
      <c r="G3493">
        <v>1</v>
      </c>
      <c r="H3493" t="s">
        <v>16</v>
      </c>
      <c r="I3493" s="1">
        <v>-2034200</v>
      </c>
      <c r="J3493" s="1">
        <v>-4919500</v>
      </c>
      <c r="K3493">
        <v>449</v>
      </c>
      <c r="L3493">
        <v>363</v>
      </c>
      <c r="M3493" t="s">
        <v>16</v>
      </c>
    </row>
    <row r="3494" spans="1:13" x14ac:dyDescent="0.35">
      <c r="A3494">
        <v>351990</v>
      </c>
      <c r="B3494">
        <v>30392</v>
      </c>
      <c r="C3494" t="s">
        <v>3682</v>
      </c>
      <c r="D3494" t="s">
        <v>3421</v>
      </c>
      <c r="E3494" t="s">
        <v>3492</v>
      </c>
      <c r="F3494">
        <v>7487</v>
      </c>
      <c r="G3494">
        <v>1</v>
      </c>
      <c r="H3494" t="s">
        <v>16</v>
      </c>
      <c r="I3494" s="1">
        <v>-2266100</v>
      </c>
      <c r="J3494" s="1">
        <v>-5107600</v>
      </c>
      <c r="K3494">
        <v>400</v>
      </c>
      <c r="L3494">
        <v>596</v>
      </c>
      <c r="M3494" t="s">
        <v>16</v>
      </c>
    </row>
    <row r="3495" spans="1:13" x14ac:dyDescent="0.35">
      <c r="A3495">
        <v>352000</v>
      </c>
      <c r="B3495">
        <v>30406</v>
      </c>
      <c r="C3495" t="s">
        <v>3683</v>
      </c>
      <c r="D3495" t="s">
        <v>3421</v>
      </c>
      <c r="E3495" t="s">
        <v>3505</v>
      </c>
      <c r="F3495">
        <v>23085</v>
      </c>
      <c r="G3495">
        <v>1</v>
      </c>
      <c r="H3495" t="s">
        <v>16</v>
      </c>
      <c r="I3495" s="1">
        <v>-2250900</v>
      </c>
      <c r="J3495" s="1">
        <v>-4855800</v>
      </c>
      <c r="K3495">
        <v>498</v>
      </c>
      <c r="L3495">
        <v>96</v>
      </c>
      <c r="M3495" t="s">
        <v>16</v>
      </c>
    </row>
    <row r="3496" spans="1:13" x14ac:dyDescent="0.35">
      <c r="A3496">
        <v>352010</v>
      </c>
      <c r="B3496">
        <v>30414</v>
      </c>
      <c r="C3496" t="s">
        <v>3684</v>
      </c>
      <c r="D3496" t="s">
        <v>3421</v>
      </c>
      <c r="E3496" t="s">
        <v>3473</v>
      </c>
      <c r="F3496">
        <v>26862</v>
      </c>
      <c r="G3496">
        <v>1</v>
      </c>
      <c r="H3496" t="s">
        <v>16</v>
      </c>
      <c r="I3496" s="1">
        <v>-2003800</v>
      </c>
      <c r="J3496" s="1">
        <v>-4774700</v>
      </c>
      <c r="K3496">
        <v>576</v>
      </c>
      <c r="L3496">
        <v>467</v>
      </c>
      <c r="M3496" t="s">
        <v>16</v>
      </c>
    </row>
    <row r="3497" spans="1:13" x14ac:dyDescent="0.35">
      <c r="A3497">
        <v>352020</v>
      </c>
      <c r="B3497">
        <v>30422</v>
      </c>
      <c r="C3497" t="s">
        <v>3685</v>
      </c>
      <c r="D3497" t="s">
        <v>3421</v>
      </c>
      <c r="E3497" t="s">
        <v>3546</v>
      </c>
      <c r="F3497">
        <v>8537</v>
      </c>
      <c r="G3497">
        <v>1</v>
      </c>
      <c r="H3497" t="s">
        <v>16</v>
      </c>
      <c r="I3497" s="1">
        <v>-2320400</v>
      </c>
      <c r="J3497" s="1">
        <v>-4615600</v>
      </c>
      <c r="K3497">
        <v>745</v>
      </c>
      <c r="L3497">
        <v>293</v>
      </c>
      <c r="M3497" t="s">
        <v>16</v>
      </c>
    </row>
    <row r="3498" spans="1:13" x14ac:dyDescent="0.35">
      <c r="A3498">
        <v>352030</v>
      </c>
      <c r="B3498">
        <v>30430</v>
      </c>
      <c r="C3498" t="s">
        <v>3686</v>
      </c>
      <c r="D3498" t="s">
        <v>3421</v>
      </c>
      <c r="E3498" t="s">
        <v>3509</v>
      </c>
      <c r="F3498">
        <v>28977</v>
      </c>
      <c r="G3498">
        <v>1</v>
      </c>
      <c r="H3498" t="s">
        <v>16</v>
      </c>
      <c r="I3498" s="1">
        <v>-2470800</v>
      </c>
      <c r="J3498" s="1">
        <v>-4755500</v>
      </c>
      <c r="K3498">
        <v>3</v>
      </c>
      <c r="L3498">
        <v>1980</v>
      </c>
      <c r="M3498" t="s">
        <v>16</v>
      </c>
    </row>
    <row r="3499" spans="1:13" x14ac:dyDescent="0.35">
      <c r="A3499">
        <v>352040</v>
      </c>
      <c r="B3499">
        <v>30449</v>
      </c>
      <c r="C3499" t="s">
        <v>3687</v>
      </c>
      <c r="D3499" t="s">
        <v>3421</v>
      </c>
      <c r="E3499" t="s">
        <v>3573</v>
      </c>
      <c r="F3499">
        <v>23886</v>
      </c>
      <c r="G3499">
        <v>1</v>
      </c>
      <c r="H3499" t="s">
        <v>16</v>
      </c>
      <c r="I3499" s="1">
        <v>-2377800</v>
      </c>
      <c r="J3499" s="1">
        <v>-4535800</v>
      </c>
      <c r="K3499">
        <v>4</v>
      </c>
      <c r="L3499">
        <v>348</v>
      </c>
      <c r="M3499" t="s">
        <v>16</v>
      </c>
    </row>
    <row r="3500" spans="1:13" x14ac:dyDescent="0.35">
      <c r="A3500">
        <v>352042</v>
      </c>
      <c r="B3500">
        <v>51284</v>
      </c>
      <c r="C3500" t="s">
        <v>3688</v>
      </c>
      <c r="D3500" t="s">
        <v>3421</v>
      </c>
      <c r="E3500" t="s">
        <v>3509</v>
      </c>
      <c r="F3500">
        <v>8875</v>
      </c>
      <c r="G3500">
        <v>1</v>
      </c>
      <c r="H3500" t="s">
        <v>16</v>
      </c>
      <c r="I3500" s="1">
        <v>-2474100</v>
      </c>
      <c r="J3500" s="1">
        <v>-4754000</v>
      </c>
      <c r="K3500">
        <v>0</v>
      </c>
      <c r="L3500">
        <v>188</v>
      </c>
      <c r="M3500" t="s">
        <v>16</v>
      </c>
    </row>
    <row r="3501" spans="1:13" x14ac:dyDescent="0.35">
      <c r="A3501">
        <v>352044</v>
      </c>
      <c r="B3501">
        <v>51292</v>
      </c>
      <c r="C3501" t="s">
        <v>3689</v>
      </c>
      <c r="D3501" t="s">
        <v>3421</v>
      </c>
      <c r="E3501" t="s">
        <v>3459</v>
      </c>
      <c r="F3501">
        <v>24181</v>
      </c>
      <c r="G3501">
        <v>1</v>
      </c>
      <c r="H3501" t="s">
        <v>16</v>
      </c>
      <c r="I3501" s="1">
        <v>-2043300</v>
      </c>
      <c r="J3501" s="1">
        <v>-5134300</v>
      </c>
      <c r="K3501">
        <v>0</v>
      </c>
      <c r="L3501">
        <v>659</v>
      </c>
      <c r="M3501" t="s">
        <v>16</v>
      </c>
    </row>
    <row r="3502" spans="1:13" x14ac:dyDescent="0.35">
      <c r="A3502">
        <v>352050</v>
      </c>
      <c r="B3502">
        <v>30457</v>
      </c>
      <c r="C3502" t="s">
        <v>3690</v>
      </c>
      <c r="D3502" t="s">
        <v>3421</v>
      </c>
      <c r="E3502" t="s">
        <v>3452</v>
      </c>
      <c r="F3502">
        <v>173508</v>
      </c>
      <c r="G3502">
        <v>4</v>
      </c>
      <c r="H3502" t="s">
        <v>3453</v>
      </c>
      <c r="I3502" s="1">
        <v>-2309000</v>
      </c>
      <c r="J3502" s="1">
        <v>-4721800</v>
      </c>
      <c r="K3502">
        <v>624</v>
      </c>
      <c r="L3502">
        <v>310</v>
      </c>
      <c r="M3502" t="s">
        <v>16</v>
      </c>
    </row>
    <row r="3503" spans="1:13" x14ac:dyDescent="0.35">
      <c r="A3503">
        <v>352060</v>
      </c>
      <c r="B3503">
        <v>30465</v>
      </c>
      <c r="C3503" t="s">
        <v>3691</v>
      </c>
      <c r="D3503" t="s">
        <v>3421</v>
      </c>
      <c r="E3503" t="s">
        <v>3438</v>
      </c>
      <c r="F3503">
        <v>4682</v>
      </c>
      <c r="G3503">
        <v>1</v>
      </c>
      <c r="H3503" t="s">
        <v>16</v>
      </c>
      <c r="I3503" s="1">
        <v>-2217400</v>
      </c>
      <c r="J3503" s="1">
        <v>-5125200</v>
      </c>
      <c r="K3503">
        <v>479</v>
      </c>
      <c r="L3503">
        <v>127</v>
      </c>
      <c r="M3503" t="s">
        <v>16</v>
      </c>
    </row>
    <row r="3504" spans="1:13" x14ac:dyDescent="0.35">
      <c r="A3504">
        <v>352070</v>
      </c>
      <c r="B3504">
        <v>30473</v>
      </c>
      <c r="C3504" t="s">
        <v>3692</v>
      </c>
      <c r="D3504" t="s">
        <v>3421</v>
      </c>
      <c r="E3504" t="s">
        <v>3629</v>
      </c>
      <c r="F3504">
        <v>3880</v>
      </c>
      <c r="G3504">
        <v>1</v>
      </c>
      <c r="H3504" t="s">
        <v>16</v>
      </c>
      <c r="I3504" s="1">
        <v>-1998000</v>
      </c>
      <c r="J3504" s="1">
        <v>-5029000</v>
      </c>
      <c r="K3504">
        <v>440</v>
      </c>
      <c r="L3504">
        <v>279</v>
      </c>
      <c r="M3504" t="s">
        <v>16</v>
      </c>
    </row>
    <row r="3505" spans="1:13" x14ac:dyDescent="0.35">
      <c r="A3505">
        <v>352080</v>
      </c>
      <c r="B3505">
        <v>30481</v>
      </c>
      <c r="C3505" t="s">
        <v>3693</v>
      </c>
      <c r="D3505" t="s">
        <v>3421</v>
      </c>
      <c r="E3505" t="s">
        <v>3420</v>
      </c>
      <c r="F3505">
        <v>3595</v>
      </c>
      <c r="G3505">
        <v>1</v>
      </c>
      <c r="H3505" t="s">
        <v>16</v>
      </c>
      <c r="I3505" s="1">
        <v>-2177000</v>
      </c>
      <c r="J3505" s="1">
        <v>-5096200</v>
      </c>
      <c r="K3505">
        <v>467</v>
      </c>
      <c r="L3505">
        <v>86</v>
      </c>
      <c r="M3505" t="s">
        <v>16</v>
      </c>
    </row>
    <row r="3506" spans="1:13" x14ac:dyDescent="0.35">
      <c r="A3506">
        <v>352090</v>
      </c>
      <c r="B3506">
        <v>30490</v>
      </c>
      <c r="C3506" t="s">
        <v>3694</v>
      </c>
      <c r="D3506" t="s">
        <v>3421</v>
      </c>
      <c r="E3506" t="s">
        <v>3520</v>
      </c>
      <c r="F3506">
        <v>12964</v>
      </c>
      <c r="G3506">
        <v>1</v>
      </c>
      <c r="H3506" t="s">
        <v>16</v>
      </c>
      <c r="I3506" s="1">
        <v>-2305700</v>
      </c>
      <c r="J3506" s="1">
        <v>-4962600</v>
      </c>
      <c r="K3506">
        <v>568</v>
      </c>
      <c r="L3506">
        <v>209</v>
      </c>
      <c r="M3506" t="s">
        <v>16</v>
      </c>
    </row>
    <row r="3507" spans="1:13" x14ac:dyDescent="0.35">
      <c r="A3507">
        <v>352100</v>
      </c>
      <c r="B3507">
        <v>30503</v>
      </c>
      <c r="C3507" t="s">
        <v>3695</v>
      </c>
      <c r="D3507" t="s">
        <v>3421</v>
      </c>
      <c r="E3507" t="s">
        <v>3444</v>
      </c>
      <c r="F3507">
        <v>24239</v>
      </c>
      <c r="G3507">
        <v>1</v>
      </c>
      <c r="H3507" t="s">
        <v>16</v>
      </c>
      <c r="I3507" s="1">
        <v>-2335000</v>
      </c>
      <c r="J3507" s="1">
        <v>-4768900</v>
      </c>
      <c r="K3507">
        <v>590</v>
      </c>
      <c r="L3507">
        <v>170</v>
      </c>
      <c r="M3507" t="s">
        <v>16</v>
      </c>
    </row>
    <row r="3508" spans="1:13" x14ac:dyDescent="0.35">
      <c r="A3508">
        <v>352110</v>
      </c>
      <c r="B3508">
        <v>30511</v>
      </c>
      <c r="C3508" t="s">
        <v>3696</v>
      </c>
      <c r="D3508" t="s">
        <v>3421</v>
      </c>
      <c r="E3508" t="s">
        <v>3396</v>
      </c>
      <c r="F3508">
        <v>5164</v>
      </c>
      <c r="G3508">
        <v>1</v>
      </c>
      <c r="H3508" t="s">
        <v>16</v>
      </c>
      <c r="I3508" s="1">
        <v>-2243600</v>
      </c>
      <c r="J3508" s="1">
        <v>-4771900</v>
      </c>
      <c r="K3508">
        <v>635</v>
      </c>
      <c r="L3508">
        <v>190</v>
      </c>
      <c r="M3508" t="s">
        <v>16</v>
      </c>
    </row>
    <row r="3509" spans="1:13" x14ac:dyDescent="0.35">
      <c r="A3509">
        <v>352115</v>
      </c>
      <c r="B3509">
        <v>56421</v>
      </c>
      <c r="C3509" t="s">
        <v>3697</v>
      </c>
      <c r="D3509" t="s">
        <v>3421</v>
      </c>
      <c r="E3509" t="s">
        <v>3423</v>
      </c>
      <c r="F3509">
        <v>3925</v>
      </c>
      <c r="G3509">
        <v>1</v>
      </c>
      <c r="H3509" t="s">
        <v>16</v>
      </c>
      <c r="I3509" s="1">
        <v>-2065700</v>
      </c>
      <c r="J3509" s="1">
        <v>-4938700</v>
      </c>
      <c r="K3509">
        <v>508</v>
      </c>
      <c r="L3509">
        <v>135</v>
      </c>
      <c r="M3509" t="s">
        <v>16</v>
      </c>
    </row>
    <row r="3510" spans="1:13" x14ac:dyDescent="0.35">
      <c r="A3510">
        <v>352120</v>
      </c>
      <c r="B3510">
        <v>30520</v>
      </c>
      <c r="C3510" t="s">
        <v>3698</v>
      </c>
      <c r="D3510" t="s">
        <v>3421</v>
      </c>
      <c r="E3510" t="s">
        <v>3468</v>
      </c>
      <c r="F3510">
        <v>4603</v>
      </c>
      <c r="G3510">
        <v>1</v>
      </c>
      <c r="H3510" t="s">
        <v>16</v>
      </c>
      <c r="I3510" s="1">
        <v>-2458600</v>
      </c>
      <c r="J3510" s="1">
        <v>-4859300</v>
      </c>
      <c r="K3510">
        <v>81</v>
      </c>
      <c r="L3510">
        <v>1160</v>
      </c>
      <c r="M3510" t="s">
        <v>16</v>
      </c>
    </row>
    <row r="3511" spans="1:13" x14ac:dyDescent="0.35">
      <c r="A3511">
        <v>352130</v>
      </c>
      <c r="B3511">
        <v>30538</v>
      </c>
      <c r="C3511" t="s">
        <v>3699</v>
      </c>
      <c r="D3511" t="s">
        <v>3421</v>
      </c>
      <c r="E3511" t="s">
        <v>3653</v>
      </c>
      <c r="F3511">
        <v>14344</v>
      </c>
      <c r="G3511">
        <v>1</v>
      </c>
      <c r="H3511" t="s">
        <v>16</v>
      </c>
      <c r="I3511" s="1">
        <v>-2043800</v>
      </c>
      <c r="J3511" s="1">
        <v>-4801200</v>
      </c>
      <c r="K3511">
        <v>555</v>
      </c>
      <c r="L3511">
        <v>465</v>
      </c>
      <c r="M3511" t="s">
        <v>16</v>
      </c>
    </row>
    <row r="3512" spans="1:13" x14ac:dyDescent="0.35">
      <c r="A3512">
        <v>352140</v>
      </c>
      <c r="B3512">
        <v>30546</v>
      </c>
      <c r="C3512" t="s">
        <v>3700</v>
      </c>
      <c r="D3512" t="s">
        <v>3421</v>
      </c>
      <c r="E3512" t="s">
        <v>3478</v>
      </c>
      <c r="F3512">
        <v>18026</v>
      </c>
      <c r="G3512">
        <v>1</v>
      </c>
      <c r="H3512" t="s">
        <v>16</v>
      </c>
      <c r="I3512" s="1">
        <v>-2258100</v>
      </c>
      <c r="J3512" s="1">
        <v>-4751900</v>
      </c>
      <c r="K3512">
        <v>608</v>
      </c>
      <c r="L3512">
        <v>115</v>
      </c>
      <c r="M3512" t="s">
        <v>16</v>
      </c>
    </row>
    <row r="3513" spans="1:13" x14ac:dyDescent="0.35">
      <c r="A3513">
        <v>352150</v>
      </c>
      <c r="B3513">
        <v>30554</v>
      </c>
      <c r="C3513" t="s">
        <v>3701</v>
      </c>
      <c r="D3513" t="s">
        <v>3421</v>
      </c>
      <c r="E3513" t="s">
        <v>2259</v>
      </c>
      <c r="F3513">
        <v>6710</v>
      </c>
      <c r="G3513">
        <v>1</v>
      </c>
      <c r="H3513" t="s">
        <v>16</v>
      </c>
      <c r="I3513" s="1">
        <v>-2127900</v>
      </c>
      <c r="J3513" s="1">
        <v>-4940900</v>
      </c>
      <c r="K3513">
        <v>428</v>
      </c>
      <c r="L3513">
        <v>257</v>
      </c>
      <c r="M3513" t="s">
        <v>16</v>
      </c>
    </row>
    <row r="3514" spans="1:13" x14ac:dyDescent="0.35">
      <c r="A3514">
        <v>352160</v>
      </c>
      <c r="B3514">
        <v>30562</v>
      </c>
      <c r="C3514" t="s">
        <v>3702</v>
      </c>
      <c r="D3514" t="s">
        <v>3421</v>
      </c>
      <c r="E3514" t="s">
        <v>3420</v>
      </c>
      <c r="F3514">
        <v>7556</v>
      </c>
      <c r="G3514">
        <v>1</v>
      </c>
      <c r="H3514" t="s">
        <v>16</v>
      </c>
      <c r="I3514" s="1">
        <v>-2157100</v>
      </c>
      <c r="J3514" s="1">
        <v>-5134500</v>
      </c>
      <c r="K3514">
        <v>436</v>
      </c>
      <c r="L3514">
        <v>213</v>
      </c>
      <c r="M3514" t="s">
        <v>16</v>
      </c>
    </row>
    <row r="3515" spans="1:13" x14ac:dyDescent="0.35">
      <c r="A3515">
        <v>352170</v>
      </c>
      <c r="B3515">
        <v>30570</v>
      </c>
      <c r="C3515" t="s">
        <v>3703</v>
      </c>
      <c r="D3515" t="s">
        <v>3421</v>
      </c>
      <c r="E3515" t="s">
        <v>2799</v>
      </c>
      <c r="F3515">
        <v>17576</v>
      </c>
      <c r="G3515">
        <v>1</v>
      </c>
      <c r="H3515" t="s">
        <v>16</v>
      </c>
      <c r="I3515" s="1">
        <v>-2386200</v>
      </c>
      <c r="J3515" s="1">
        <v>-4913700</v>
      </c>
      <c r="K3515">
        <v>651</v>
      </c>
      <c r="L3515">
        <v>1082</v>
      </c>
      <c r="M3515" t="s">
        <v>16</v>
      </c>
    </row>
    <row r="3516" spans="1:13" x14ac:dyDescent="0.35">
      <c r="A3516">
        <v>352180</v>
      </c>
      <c r="B3516">
        <v>30589</v>
      </c>
      <c r="C3516" t="s">
        <v>3704</v>
      </c>
      <c r="D3516" t="s">
        <v>3421</v>
      </c>
      <c r="E3516" t="s">
        <v>3430</v>
      </c>
      <c r="F3516">
        <v>22617</v>
      </c>
      <c r="G3516">
        <v>1</v>
      </c>
      <c r="H3516" t="s">
        <v>16</v>
      </c>
      <c r="I3516" s="1">
        <v>-2341800</v>
      </c>
      <c r="J3516" s="1">
        <v>-4909100</v>
      </c>
      <c r="K3516">
        <v>614</v>
      </c>
      <c r="L3516">
        <v>1112</v>
      </c>
      <c r="M3516" t="s">
        <v>16</v>
      </c>
    </row>
    <row r="3517" spans="1:13" x14ac:dyDescent="0.35">
      <c r="A3517">
        <v>352190</v>
      </c>
      <c r="B3517">
        <v>30597</v>
      </c>
      <c r="C3517" t="s">
        <v>3705</v>
      </c>
      <c r="D3517" t="s">
        <v>3421</v>
      </c>
      <c r="E3517" t="s">
        <v>2259</v>
      </c>
      <c r="F3517">
        <v>14182</v>
      </c>
      <c r="G3517">
        <v>1</v>
      </c>
      <c r="H3517" t="s">
        <v>16</v>
      </c>
      <c r="I3517" s="1">
        <v>-2131800</v>
      </c>
      <c r="J3517" s="1">
        <v>-4905400</v>
      </c>
      <c r="K3517">
        <v>453</v>
      </c>
      <c r="L3517">
        <v>501</v>
      </c>
      <c r="M3517" t="s">
        <v>16</v>
      </c>
    </row>
    <row r="3518" spans="1:13" x14ac:dyDescent="0.35">
      <c r="A3518">
        <v>352200</v>
      </c>
      <c r="B3518">
        <v>30600</v>
      </c>
      <c r="C3518" t="s">
        <v>3706</v>
      </c>
      <c r="D3518" t="s">
        <v>3421</v>
      </c>
      <c r="E3518" t="s">
        <v>3505</v>
      </c>
      <c r="F3518">
        <v>2624</v>
      </c>
      <c r="G3518">
        <v>1</v>
      </c>
      <c r="H3518" t="s">
        <v>16</v>
      </c>
      <c r="I3518" s="1">
        <v>-2198100</v>
      </c>
      <c r="J3518" s="1">
        <v>-4880500</v>
      </c>
      <c r="K3518">
        <v>498</v>
      </c>
      <c r="L3518">
        <v>228</v>
      </c>
      <c r="M3518" t="s">
        <v>16</v>
      </c>
    </row>
    <row r="3519" spans="1:13" x14ac:dyDescent="0.35">
      <c r="A3519">
        <v>352210</v>
      </c>
      <c r="B3519">
        <v>30619</v>
      </c>
      <c r="C3519" t="s">
        <v>3707</v>
      </c>
      <c r="D3519" t="s">
        <v>3421</v>
      </c>
      <c r="E3519" t="s">
        <v>3708</v>
      </c>
      <c r="F3519">
        <v>80778</v>
      </c>
      <c r="G3519">
        <v>4</v>
      </c>
      <c r="H3519" t="s">
        <v>3523</v>
      </c>
      <c r="I3519" s="1">
        <v>-2418300</v>
      </c>
      <c r="J3519" s="1">
        <v>-4678900</v>
      </c>
      <c r="K3519">
        <v>5</v>
      </c>
      <c r="L3519">
        <v>599</v>
      </c>
      <c r="M3519" t="s">
        <v>16</v>
      </c>
    </row>
    <row r="3520" spans="1:13" x14ac:dyDescent="0.35">
      <c r="A3520">
        <v>352215</v>
      </c>
      <c r="B3520">
        <v>51306</v>
      </c>
      <c r="C3520" t="s">
        <v>3709</v>
      </c>
      <c r="D3520" t="s">
        <v>3421</v>
      </c>
      <c r="E3520" t="s">
        <v>3468</v>
      </c>
      <c r="F3520">
        <v>3087</v>
      </c>
      <c r="G3520">
        <v>1</v>
      </c>
      <c r="H3520" t="s">
        <v>16</v>
      </c>
      <c r="I3520" s="1">
        <v>-2464000</v>
      </c>
      <c r="J3520" s="1">
        <v>-4884300</v>
      </c>
      <c r="K3520">
        <v>155</v>
      </c>
      <c r="L3520">
        <v>182</v>
      </c>
      <c r="M3520" t="s">
        <v>16</v>
      </c>
    </row>
    <row r="3521" spans="1:13" x14ac:dyDescent="0.35">
      <c r="A3521">
        <v>352220</v>
      </c>
      <c r="B3521">
        <v>30627</v>
      </c>
      <c r="C3521" t="s">
        <v>3596</v>
      </c>
      <c r="D3521" t="s">
        <v>3421</v>
      </c>
      <c r="E3521" t="s">
        <v>3596</v>
      </c>
      <c r="F3521">
        <v>148728</v>
      </c>
      <c r="G3521">
        <v>4</v>
      </c>
      <c r="H3521" t="s">
        <v>3490</v>
      </c>
      <c r="I3521" s="1">
        <v>-2371700</v>
      </c>
      <c r="J3521" s="1">
        <v>-4684900</v>
      </c>
      <c r="K3521">
        <v>906</v>
      </c>
      <c r="L3521">
        <v>151</v>
      </c>
      <c r="M3521" t="s">
        <v>16</v>
      </c>
    </row>
    <row r="3522" spans="1:13" x14ac:dyDescent="0.35">
      <c r="A3522">
        <v>352230</v>
      </c>
      <c r="B3522">
        <v>30635</v>
      </c>
      <c r="C3522" t="s">
        <v>3436</v>
      </c>
      <c r="D3522" t="s">
        <v>3421</v>
      </c>
      <c r="E3522" t="s">
        <v>3436</v>
      </c>
      <c r="F3522">
        <v>138450</v>
      </c>
      <c r="G3522">
        <v>3</v>
      </c>
      <c r="H3522" t="s">
        <v>16</v>
      </c>
      <c r="I3522" s="1">
        <v>-2359200</v>
      </c>
      <c r="J3522" s="1">
        <v>-4805300</v>
      </c>
      <c r="K3522">
        <v>656</v>
      </c>
      <c r="L3522">
        <v>1792</v>
      </c>
      <c r="M3522" t="s">
        <v>16</v>
      </c>
    </row>
    <row r="3523" spans="1:13" x14ac:dyDescent="0.35">
      <c r="A3523">
        <v>352240</v>
      </c>
      <c r="B3523">
        <v>30643</v>
      </c>
      <c r="C3523" t="s">
        <v>2799</v>
      </c>
      <c r="D3523" t="s">
        <v>3421</v>
      </c>
      <c r="E3523" t="s">
        <v>2799</v>
      </c>
      <c r="F3523">
        <v>85537</v>
      </c>
      <c r="G3523">
        <v>2</v>
      </c>
      <c r="H3523" t="s">
        <v>16</v>
      </c>
      <c r="I3523" s="1">
        <v>-2398200</v>
      </c>
      <c r="J3523" s="1">
        <v>-4887600</v>
      </c>
      <c r="K3523">
        <v>684</v>
      </c>
      <c r="L3523">
        <v>1826</v>
      </c>
      <c r="M3523" t="s">
        <v>16</v>
      </c>
    </row>
    <row r="3524" spans="1:13" x14ac:dyDescent="0.35">
      <c r="A3524">
        <v>352250</v>
      </c>
      <c r="B3524">
        <v>30651</v>
      </c>
      <c r="C3524" t="s">
        <v>3710</v>
      </c>
      <c r="D3524" t="s">
        <v>3421</v>
      </c>
      <c r="E3524" t="s">
        <v>3514</v>
      </c>
      <c r="F3524">
        <v>193686</v>
      </c>
      <c r="G3524">
        <v>4</v>
      </c>
      <c r="H3524" t="s">
        <v>3490</v>
      </c>
      <c r="I3524" s="1">
        <v>-2354900</v>
      </c>
      <c r="J3524" s="1">
        <v>-4693400</v>
      </c>
      <c r="K3524">
        <v>770</v>
      </c>
      <c r="L3524">
        <v>91</v>
      </c>
      <c r="M3524" t="s">
        <v>16</v>
      </c>
    </row>
    <row r="3525" spans="1:13" x14ac:dyDescent="0.35">
      <c r="A3525">
        <v>352260</v>
      </c>
      <c r="B3525">
        <v>30660</v>
      </c>
      <c r="C3525" t="s">
        <v>3711</v>
      </c>
      <c r="D3525" t="s">
        <v>3421</v>
      </c>
      <c r="E3525" t="s">
        <v>3487</v>
      </c>
      <c r="F3525">
        <v>68187</v>
      </c>
      <c r="G3525">
        <v>2</v>
      </c>
      <c r="H3525" t="s">
        <v>16</v>
      </c>
      <c r="I3525" s="1">
        <v>-2243600</v>
      </c>
      <c r="J3525" s="1">
        <v>-4682200</v>
      </c>
      <c r="K3525">
        <v>643</v>
      </c>
      <c r="L3525">
        <v>517</v>
      </c>
      <c r="M3525" t="s">
        <v>16</v>
      </c>
    </row>
    <row r="3526" spans="1:13" x14ac:dyDescent="0.35">
      <c r="A3526">
        <v>352265</v>
      </c>
      <c r="B3526">
        <v>51314</v>
      </c>
      <c r="C3526" t="s">
        <v>3712</v>
      </c>
      <c r="D3526" t="s">
        <v>3421</v>
      </c>
      <c r="E3526" t="s">
        <v>3468</v>
      </c>
      <c r="F3526">
        <v>3723</v>
      </c>
      <c r="G3526">
        <v>1</v>
      </c>
      <c r="H3526" t="s">
        <v>16</v>
      </c>
      <c r="I3526" s="1">
        <v>-2457400</v>
      </c>
      <c r="J3526" s="1">
        <v>-4916800</v>
      </c>
      <c r="K3526">
        <v>589</v>
      </c>
      <c r="L3526">
        <v>406</v>
      </c>
      <c r="M3526" t="s">
        <v>16</v>
      </c>
    </row>
    <row r="3527" spans="1:13" x14ac:dyDescent="0.35">
      <c r="A3527">
        <v>352270</v>
      </c>
      <c r="B3527">
        <v>30678</v>
      </c>
      <c r="C3527" t="s">
        <v>3713</v>
      </c>
      <c r="D3527" t="s">
        <v>3421</v>
      </c>
      <c r="E3527" t="s">
        <v>3455</v>
      </c>
      <c r="F3527">
        <v>38633</v>
      </c>
      <c r="G3527">
        <v>1</v>
      </c>
      <c r="H3527" t="s">
        <v>16</v>
      </c>
      <c r="I3527" s="1">
        <v>-2159600</v>
      </c>
      <c r="J3527" s="1">
        <v>-4881300</v>
      </c>
      <c r="K3527">
        <v>481</v>
      </c>
      <c r="L3527">
        <v>997</v>
      </c>
      <c r="M3527" t="s">
        <v>16</v>
      </c>
    </row>
    <row r="3528" spans="1:13" x14ac:dyDescent="0.35">
      <c r="A3528">
        <v>352280</v>
      </c>
      <c r="B3528">
        <v>30686</v>
      </c>
      <c r="C3528" t="s">
        <v>1436</v>
      </c>
      <c r="D3528" t="s">
        <v>3421</v>
      </c>
      <c r="E3528" t="s">
        <v>2799</v>
      </c>
      <c r="F3528">
        <v>14284</v>
      </c>
      <c r="G3528">
        <v>1</v>
      </c>
      <c r="H3528" t="s">
        <v>16</v>
      </c>
      <c r="I3528" s="1">
        <v>-2370800</v>
      </c>
      <c r="J3528" s="1">
        <v>-4949000</v>
      </c>
      <c r="K3528">
        <v>589</v>
      </c>
      <c r="L3528">
        <v>507</v>
      </c>
      <c r="M3528" t="s">
        <v>16</v>
      </c>
    </row>
    <row r="3529" spans="1:13" x14ac:dyDescent="0.35">
      <c r="A3529">
        <v>352290</v>
      </c>
      <c r="B3529">
        <v>30694</v>
      </c>
      <c r="C3529" t="s">
        <v>3714</v>
      </c>
      <c r="D3529" t="s">
        <v>3421</v>
      </c>
      <c r="E3529" t="s">
        <v>3505</v>
      </c>
      <c r="F3529">
        <v>11605</v>
      </c>
      <c r="G3529">
        <v>1</v>
      </c>
      <c r="H3529" t="s">
        <v>16</v>
      </c>
      <c r="I3529" s="1">
        <v>-2223300</v>
      </c>
      <c r="J3529" s="1">
        <v>-4871900</v>
      </c>
      <c r="K3529">
        <v>456</v>
      </c>
      <c r="L3529">
        <v>139</v>
      </c>
      <c r="M3529" t="s">
        <v>16</v>
      </c>
    </row>
    <row r="3530" spans="1:13" x14ac:dyDescent="0.35">
      <c r="A3530">
        <v>352300</v>
      </c>
      <c r="B3530">
        <v>30708</v>
      </c>
      <c r="C3530" t="s">
        <v>3715</v>
      </c>
      <c r="D3530" t="s">
        <v>3421</v>
      </c>
      <c r="E3530" t="s">
        <v>3459</v>
      </c>
      <c r="F3530">
        <v>3812</v>
      </c>
      <c r="G3530">
        <v>1</v>
      </c>
      <c r="H3530" t="s">
        <v>16</v>
      </c>
      <c r="I3530" s="1">
        <v>-2064600</v>
      </c>
      <c r="J3530" s="1">
        <v>-5150900</v>
      </c>
      <c r="K3530">
        <v>318</v>
      </c>
      <c r="L3530">
        <v>307</v>
      </c>
      <c r="M3530" t="s">
        <v>16</v>
      </c>
    </row>
    <row r="3531" spans="1:13" x14ac:dyDescent="0.35">
      <c r="A3531">
        <v>352310</v>
      </c>
      <c r="B3531">
        <v>30716</v>
      </c>
      <c r="C3531" t="s">
        <v>3716</v>
      </c>
      <c r="D3531" t="s">
        <v>3421</v>
      </c>
      <c r="E3531" t="s">
        <v>3526</v>
      </c>
      <c r="F3531">
        <v>334914</v>
      </c>
      <c r="G3531">
        <v>4</v>
      </c>
      <c r="H3531" t="s">
        <v>3490</v>
      </c>
      <c r="I3531" s="1">
        <v>-2348600</v>
      </c>
      <c r="J3531" s="1">
        <v>-4634800</v>
      </c>
      <c r="K3531">
        <v>790</v>
      </c>
      <c r="L3531">
        <v>81</v>
      </c>
      <c r="M3531" t="s">
        <v>16</v>
      </c>
    </row>
    <row r="3532" spans="1:13" x14ac:dyDescent="0.35">
      <c r="A3532">
        <v>352320</v>
      </c>
      <c r="B3532">
        <v>30724</v>
      </c>
      <c r="C3532" t="s">
        <v>3717</v>
      </c>
      <c r="D3532" t="s">
        <v>3421</v>
      </c>
      <c r="E3532" t="s">
        <v>2799</v>
      </c>
      <c r="F3532">
        <v>48732</v>
      </c>
      <c r="G3532">
        <v>1</v>
      </c>
      <c r="H3532" t="s">
        <v>16</v>
      </c>
      <c r="I3532" s="1">
        <v>-2411500</v>
      </c>
      <c r="J3532" s="1">
        <v>-4934100</v>
      </c>
      <c r="K3532">
        <v>740</v>
      </c>
      <c r="L3532">
        <v>1003</v>
      </c>
      <c r="M3532" t="s">
        <v>16</v>
      </c>
    </row>
    <row r="3533" spans="1:13" x14ac:dyDescent="0.35">
      <c r="A3533">
        <v>352330</v>
      </c>
      <c r="B3533">
        <v>30732</v>
      </c>
      <c r="C3533" t="s">
        <v>3718</v>
      </c>
      <c r="D3533" t="s">
        <v>3421</v>
      </c>
      <c r="E3533" t="s">
        <v>3708</v>
      </c>
      <c r="F3533">
        <v>15115</v>
      </c>
      <c r="G3533">
        <v>1</v>
      </c>
      <c r="H3533" t="s">
        <v>16</v>
      </c>
      <c r="I3533" s="1">
        <v>-2428900</v>
      </c>
      <c r="J3533" s="1">
        <v>-4717400</v>
      </c>
      <c r="K3533">
        <v>55</v>
      </c>
      <c r="L3533">
        <v>272</v>
      </c>
      <c r="M3533" t="s">
        <v>16</v>
      </c>
    </row>
    <row r="3534" spans="1:13" x14ac:dyDescent="0.35">
      <c r="A3534">
        <v>352340</v>
      </c>
      <c r="B3534">
        <v>30740</v>
      </c>
      <c r="C3534" t="s">
        <v>3719</v>
      </c>
      <c r="D3534" t="s">
        <v>3421</v>
      </c>
      <c r="E3534" t="s">
        <v>3494</v>
      </c>
      <c r="F3534">
        <v>91479</v>
      </c>
      <c r="G3534">
        <v>4</v>
      </c>
      <c r="H3534" t="s">
        <v>3453</v>
      </c>
      <c r="I3534" s="1">
        <v>-2300600</v>
      </c>
      <c r="J3534" s="1">
        <v>-4683900</v>
      </c>
      <c r="K3534">
        <v>750</v>
      </c>
      <c r="L3534">
        <v>322</v>
      </c>
      <c r="M3534" t="s">
        <v>16</v>
      </c>
    </row>
    <row r="3535" spans="1:13" x14ac:dyDescent="0.35">
      <c r="A3535">
        <v>352350</v>
      </c>
      <c r="B3535">
        <v>30759</v>
      </c>
      <c r="C3535" t="s">
        <v>3720</v>
      </c>
      <c r="D3535" t="s">
        <v>3421</v>
      </c>
      <c r="E3535" t="s">
        <v>3430</v>
      </c>
      <c r="F3535">
        <v>17570</v>
      </c>
      <c r="G3535">
        <v>1</v>
      </c>
      <c r="H3535" t="s">
        <v>16</v>
      </c>
      <c r="I3535" s="1">
        <v>-2310200</v>
      </c>
      <c r="J3535" s="1">
        <v>-4861600</v>
      </c>
      <c r="K3535">
        <v>845</v>
      </c>
      <c r="L3535">
        <v>979</v>
      </c>
      <c r="M3535" t="s">
        <v>16</v>
      </c>
    </row>
    <row r="3536" spans="1:13" x14ac:dyDescent="0.35">
      <c r="A3536">
        <v>352360</v>
      </c>
      <c r="B3536">
        <v>30767</v>
      </c>
      <c r="C3536" t="s">
        <v>3721</v>
      </c>
      <c r="D3536" t="s">
        <v>3421</v>
      </c>
      <c r="E3536" t="s">
        <v>3396</v>
      </c>
      <c r="F3536">
        <v>13889</v>
      </c>
      <c r="G3536">
        <v>1</v>
      </c>
      <c r="H3536" t="s">
        <v>16</v>
      </c>
      <c r="I3536" s="1">
        <v>-2225300</v>
      </c>
      <c r="J3536" s="1">
        <v>-4782300</v>
      </c>
      <c r="K3536">
        <v>770</v>
      </c>
      <c r="L3536">
        <v>564</v>
      </c>
      <c r="M3536" t="s">
        <v>16</v>
      </c>
    </row>
    <row r="3537" spans="1:13" x14ac:dyDescent="0.35">
      <c r="A3537">
        <v>352370</v>
      </c>
      <c r="B3537">
        <v>30775</v>
      </c>
      <c r="C3537" t="s">
        <v>3722</v>
      </c>
      <c r="D3537" t="s">
        <v>3421</v>
      </c>
      <c r="E3537" t="s">
        <v>3599</v>
      </c>
      <c r="F3537">
        <v>5614</v>
      </c>
      <c r="G3537">
        <v>1</v>
      </c>
      <c r="H3537" t="s">
        <v>16</v>
      </c>
      <c r="I3537" s="1">
        <v>-2064100</v>
      </c>
      <c r="J3537" s="1">
        <v>-4721900</v>
      </c>
      <c r="K3537">
        <v>865</v>
      </c>
      <c r="L3537">
        <v>161</v>
      </c>
      <c r="M3537" t="s">
        <v>16</v>
      </c>
    </row>
    <row r="3538" spans="1:13" x14ac:dyDescent="0.35">
      <c r="A3538">
        <v>352380</v>
      </c>
      <c r="B3538">
        <v>30783</v>
      </c>
      <c r="C3538" t="s">
        <v>3723</v>
      </c>
      <c r="D3538" t="s">
        <v>3421</v>
      </c>
      <c r="E3538" t="s">
        <v>3427</v>
      </c>
      <c r="F3538">
        <v>7444</v>
      </c>
      <c r="G3538">
        <v>1</v>
      </c>
      <c r="H3538" t="s">
        <v>16</v>
      </c>
      <c r="I3538" s="1">
        <v>-2173700</v>
      </c>
      <c r="J3538" s="1">
        <v>-4697500</v>
      </c>
      <c r="K3538">
        <v>658</v>
      </c>
      <c r="L3538">
        <v>138</v>
      </c>
      <c r="M3538" t="s">
        <v>16</v>
      </c>
    </row>
    <row r="3539" spans="1:13" x14ac:dyDescent="0.35">
      <c r="A3539">
        <v>352390</v>
      </c>
      <c r="B3539">
        <v>30791</v>
      </c>
      <c r="C3539" t="s">
        <v>3724</v>
      </c>
      <c r="D3539" t="s">
        <v>3421</v>
      </c>
      <c r="E3539" t="s">
        <v>3444</v>
      </c>
      <c r="F3539">
        <v>147157</v>
      </c>
      <c r="G3539">
        <v>3</v>
      </c>
      <c r="H3539" t="s">
        <v>16</v>
      </c>
      <c r="I3539" s="1">
        <v>-2326400</v>
      </c>
      <c r="J3539" s="1">
        <v>-4729900</v>
      </c>
      <c r="K3539">
        <v>583</v>
      </c>
      <c r="L3539">
        <v>639</v>
      </c>
      <c r="M3539" t="s">
        <v>16</v>
      </c>
    </row>
    <row r="3540" spans="1:13" x14ac:dyDescent="0.35">
      <c r="A3540">
        <v>352400</v>
      </c>
      <c r="B3540">
        <v>30805</v>
      </c>
      <c r="C3540" t="s">
        <v>3725</v>
      </c>
      <c r="D3540" t="s">
        <v>3421</v>
      </c>
      <c r="E3540" t="s">
        <v>3561</v>
      </c>
      <c r="F3540">
        <v>36766</v>
      </c>
      <c r="G3540">
        <v>1</v>
      </c>
      <c r="H3540" t="s">
        <v>16</v>
      </c>
      <c r="I3540" s="1">
        <v>-2315300</v>
      </c>
      <c r="J3540" s="1">
        <v>-4705800</v>
      </c>
      <c r="K3540">
        <v>675</v>
      </c>
      <c r="L3540">
        <v>200</v>
      </c>
      <c r="M3540" t="s">
        <v>16</v>
      </c>
    </row>
    <row r="3541" spans="1:13" x14ac:dyDescent="0.35">
      <c r="A3541">
        <v>352410</v>
      </c>
      <c r="B3541">
        <v>30813</v>
      </c>
      <c r="C3541" t="s">
        <v>3473</v>
      </c>
      <c r="D3541" t="s">
        <v>3421</v>
      </c>
      <c r="E3541" t="s">
        <v>3473</v>
      </c>
      <c r="F3541">
        <v>38539</v>
      </c>
      <c r="G3541">
        <v>1</v>
      </c>
      <c r="H3541" t="s">
        <v>16</v>
      </c>
      <c r="I3541" s="1">
        <v>-2033900</v>
      </c>
      <c r="J3541" s="1">
        <v>-4778100</v>
      </c>
      <c r="K3541">
        <v>605</v>
      </c>
      <c r="L3541">
        <v>697</v>
      </c>
      <c r="M3541" t="s">
        <v>16</v>
      </c>
    </row>
    <row r="3542" spans="1:13" x14ac:dyDescent="0.35">
      <c r="A3542">
        <v>352420</v>
      </c>
      <c r="B3542">
        <v>30821</v>
      </c>
      <c r="C3542" t="s">
        <v>2189</v>
      </c>
      <c r="D3542" t="s">
        <v>3421</v>
      </c>
      <c r="E3542" t="s">
        <v>3653</v>
      </c>
      <c r="F3542">
        <v>6462</v>
      </c>
      <c r="G3542">
        <v>1</v>
      </c>
      <c r="H3542" t="s">
        <v>16</v>
      </c>
      <c r="I3542" s="1">
        <v>-2068800</v>
      </c>
      <c r="J3542" s="1">
        <v>-4841300</v>
      </c>
      <c r="K3542">
        <v>493</v>
      </c>
      <c r="L3542">
        <v>274</v>
      </c>
      <c r="M3542" t="s">
        <v>16</v>
      </c>
    </row>
    <row r="3543" spans="1:13" x14ac:dyDescent="0.35">
      <c r="A3543">
        <v>352430</v>
      </c>
      <c r="B3543">
        <v>30830</v>
      </c>
      <c r="C3543" t="s">
        <v>3517</v>
      </c>
      <c r="D3543" t="s">
        <v>3421</v>
      </c>
      <c r="E3543" t="s">
        <v>3517</v>
      </c>
      <c r="F3543">
        <v>69624</v>
      </c>
      <c r="G3543">
        <v>2</v>
      </c>
      <c r="H3543" t="s">
        <v>16</v>
      </c>
      <c r="I3543" s="1">
        <v>-2125500</v>
      </c>
      <c r="J3543" s="1">
        <v>-4832200</v>
      </c>
      <c r="K3543">
        <v>605</v>
      </c>
      <c r="L3543">
        <v>706</v>
      </c>
      <c r="M3543" t="s">
        <v>16</v>
      </c>
    </row>
    <row r="3544" spans="1:13" x14ac:dyDescent="0.35">
      <c r="A3544">
        <v>352440</v>
      </c>
      <c r="B3544">
        <v>30848</v>
      </c>
      <c r="C3544" t="s">
        <v>3726</v>
      </c>
      <c r="D3544" t="s">
        <v>3421</v>
      </c>
      <c r="E3544" t="s">
        <v>3546</v>
      </c>
      <c r="F3544">
        <v>207028</v>
      </c>
      <c r="G3544">
        <v>3</v>
      </c>
      <c r="H3544" t="s">
        <v>16</v>
      </c>
      <c r="I3544" s="1">
        <v>-2330500</v>
      </c>
      <c r="J3544" s="1">
        <v>-4596600</v>
      </c>
      <c r="K3544">
        <v>567</v>
      </c>
      <c r="L3544">
        <v>460</v>
      </c>
      <c r="M3544" t="s">
        <v>16</v>
      </c>
    </row>
    <row r="3545" spans="1:13" x14ac:dyDescent="0.35">
      <c r="A3545">
        <v>352450</v>
      </c>
      <c r="B3545">
        <v>30856</v>
      </c>
      <c r="C3545" t="s">
        <v>3727</v>
      </c>
      <c r="D3545" t="s">
        <v>3421</v>
      </c>
      <c r="E3545" t="s">
        <v>3423</v>
      </c>
      <c r="F3545">
        <v>5008</v>
      </c>
      <c r="G3545">
        <v>1</v>
      </c>
      <c r="H3545" t="s">
        <v>16</v>
      </c>
      <c r="I3545" s="1">
        <v>-2088200</v>
      </c>
      <c r="J3545" s="1">
        <v>-4957000</v>
      </c>
      <c r="K3545">
        <v>545</v>
      </c>
      <c r="L3545">
        <v>144</v>
      </c>
      <c r="M3545" t="s">
        <v>16</v>
      </c>
    </row>
    <row r="3546" spans="1:13" x14ac:dyDescent="0.35">
      <c r="A3546">
        <v>352460</v>
      </c>
      <c r="B3546">
        <v>30864</v>
      </c>
      <c r="C3546" t="s">
        <v>3728</v>
      </c>
      <c r="D3546" t="s">
        <v>3421</v>
      </c>
      <c r="E3546" t="s">
        <v>3509</v>
      </c>
      <c r="F3546">
        <v>16112</v>
      </c>
      <c r="G3546">
        <v>1</v>
      </c>
      <c r="H3546" t="s">
        <v>16</v>
      </c>
      <c r="I3546" s="1">
        <v>-2469300</v>
      </c>
      <c r="J3546" s="1">
        <v>-4800200</v>
      </c>
      <c r="K3546">
        <v>33</v>
      </c>
      <c r="L3546">
        <v>708</v>
      </c>
      <c r="M3546" t="s">
        <v>16</v>
      </c>
    </row>
    <row r="3547" spans="1:13" x14ac:dyDescent="0.35">
      <c r="A3547">
        <v>352470</v>
      </c>
      <c r="B3547">
        <v>30872</v>
      </c>
      <c r="C3547" t="s">
        <v>3729</v>
      </c>
      <c r="D3547" t="s">
        <v>3421</v>
      </c>
      <c r="E3547" t="s">
        <v>3452</v>
      </c>
      <c r="F3547">
        <v>36804</v>
      </c>
      <c r="G3547">
        <v>4</v>
      </c>
      <c r="H3547" t="s">
        <v>3453</v>
      </c>
      <c r="I3547" s="1">
        <v>-2270600</v>
      </c>
      <c r="J3547" s="1">
        <v>-4698600</v>
      </c>
      <c r="K3547">
        <v>584</v>
      </c>
      <c r="L3547">
        <v>142</v>
      </c>
      <c r="M3547" t="s">
        <v>16</v>
      </c>
    </row>
    <row r="3548" spans="1:13" x14ac:dyDescent="0.35">
      <c r="A3548">
        <v>352480</v>
      </c>
      <c r="B3548">
        <v>30880</v>
      </c>
      <c r="C3548" t="s">
        <v>3466</v>
      </c>
      <c r="D3548" t="s">
        <v>3421</v>
      </c>
      <c r="E3548" t="s">
        <v>3466</v>
      </c>
      <c r="F3548">
        <v>47649</v>
      </c>
      <c r="G3548">
        <v>1</v>
      </c>
      <c r="H3548" t="s">
        <v>16</v>
      </c>
      <c r="I3548" s="1">
        <v>-2026900</v>
      </c>
      <c r="J3548" s="1">
        <v>-5054600</v>
      </c>
      <c r="K3548">
        <v>478</v>
      </c>
      <c r="L3548">
        <v>368</v>
      </c>
      <c r="M3548" t="s">
        <v>16</v>
      </c>
    </row>
    <row r="3549" spans="1:13" x14ac:dyDescent="0.35">
      <c r="A3549">
        <v>352490</v>
      </c>
      <c r="B3549">
        <v>30899</v>
      </c>
      <c r="C3549" t="s">
        <v>3730</v>
      </c>
      <c r="D3549" t="s">
        <v>3421</v>
      </c>
      <c r="E3549" t="s">
        <v>3604</v>
      </c>
      <c r="F3549">
        <v>4968</v>
      </c>
      <c r="G3549">
        <v>1</v>
      </c>
      <c r="H3549" t="s">
        <v>16</v>
      </c>
      <c r="I3549" s="1">
        <v>-2325400</v>
      </c>
      <c r="J3549" s="1">
        <v>-4568800</v>
      </c>
      <c r="K3549">
        <v>695</v>
      </c>
      <c r="L3549">
        <v>183</v>
      </c>
      <c r="M3549" t="s">
        <v>16</v>
      </c>
    </row>
    <row r="3550" spans="1:13" x14ac:dyDescent="0.35">
      <c r="A3550">
        <v>352500</v>
      </c>
      <c r="B3550">
        <v>30902</v>
      </c>
      <c r="C3550" t="s">
        <v>3731</v>
      </c>
      <c r="D3550" t="s">
        <v>3421</v>
      </c>
      <c r="E3550" t="s">
        <v>3514</v>
      </c>
      <c r="F3550">
        <v>103531</v>
      </c>
      <c r="G3550">
        <v>4</v>
      </c>
      <c r="H3550" t="s">
        <v>3490</v>
      </c>
      <c r="I3550" s="1">
        <v>-2352800</v>
      </c>
      <c r="J3550" s="1">
        <v>-4690300</v>
      </c>
      <c r="K3550">
        <v>720</v>
      </c>
      <c r="L3550">
        <v>17</v>
      </c>
      <c r="M3550" t="s">
        <v>16</v>
      </c>
    </row>
    <row r="3551" spans="1:13" x14ac:dyDescent="0.35">
      <c r="A3551">
        <v>352510</v>
      </c>
      <c r="B3551">
        <v>30910</v>
      </c>
      <c r="C3551" t="s">
        <v>3732</v>
      </c>
      <c r="D3551" t="s">
        <v>3421</v>
      </c>
      <c r="E3551" t="s">
        <v>3512</v>
      </c>
      <c r="F3551">
        <v>34611</v>
      </c>
      <c r="G3551">
        <v>1</v>
      </c>
      <c r="H3551" t="s">
        <v>16</v>
      </c>
      <c r="I3551" s="1">
        <v>-2101800</v>
      </c>
      <c r="J3551" s="1">
        <v>-4776400</v>
      </c>
      <c r="K3551">
        <v>590</v>
      </c>
      <c r="L3551">
        <v>503</v>
      </c>
      <c r="M3551" t="s">
        <v>16</v>
      </c>
    </row>
    <row r="3552" spans="1:13" x14ac:dyDescent="0.35">
      <c r="A3552">
        <v>352520</v>
      </c>
      <c r="B3552">
        <v>30929</v>
      </c>
      <c r="C3552" t="s">
        <v>3733</v>
      </c>
      <c r="D3552" t="s">
        <v>3421</v>
      </c>
      <c r="E3552" t="s">
        <v>3494</v>
      </c>
      <c r="F3552">
        <v>20606</v>
      </c>
      <c r="G3552">
        <v>1</v>
      </c>
      <c r="H3552" t="s">
        <v>16</v>
      </c>
      <c r="I3552" s="1">
        <v>-2310100</v>
      </c>
      <c r="J3552" s="1">
        <v>-4672800</v>
      </c>
      <c r="K3552">
        <v>755</v>
      </c>
      <c r="L3552">
        <v>207</v>
      </c>
      <c r="M3552" t="s">
        <v>16</v>
      </c>
    </row>
    <row r="3553" spans="1:13" x14ac:dyDescent="0.35">
      <c r="A3553">
        <v>352530</v>
      </c>
      <c r="B3553">
        <v>30937</v>
      </c>
      <c r="C3553" t="s">
        <v>3734</v>
      </c>
      <c r="D3553" t="s">
        <v>3421</v>
      </c>
      <c r="E3553" t="s">
        <v>3505</v>
      </c>
      <c r="F3553">
        <v>125469</v>
      </c>
      <c r="G3553">
        <v>3</v>
      </c>
      <c r="H3553" t="s">
        <v>16</v>
      </c>
      <c r="I3553" s="1">
        <v>-2229600</v>
      </c>
      <c r="J3553" s="1">
        <v>-4855800</v>
      </c>
      <c r="K3553">
        <v>522</v>
      </c>
      <c r="L3553">
        <v>688</v>
      </c>
      <c r="M3553" t="s">
        <v>16</v>
      </c>
    </row>
    <row r="3554" spans="1:13" x14ac:dyDescent="0.35">
      <c r="A3554">
        <v>352540</v>
      </c>
      <c r="B3554">
        <v>30945</v>
      </c>
      <c r="C3554" t="s">
        <v>3735</v>
      </c>
      <c r="D3554" t="s">
        <v>3421</v>
      </c>
      <c r="E3554" t="s">
        <v>3599</v>
      </c>
      <c r="F3554">
        <v>3153</v>
      </c>
      <c r="G3554">
        <v>1</v>
      </c>
      <c r="H3554" t="s">
        <v>16</v>
      </c>
      <c r="I3554" s="1">
        <v>-2031100</v>
      </c>
      <c r="J3554" s="1">
        <v>-4758900</v>
      </c>
      <c r="K3554">
        <v>860</v>
      </c>
      <c r="L3554">
        <v>140</v>
      </c>
      <c r="M3554" t="s">
        <v>16</v>
      </c>
    </row>
    <row r="3555" spans="1:13" x14ac:dyDescent="0.35">
      <c r="A3555">
        <v>352550</v>
      </c>
      <c r="B3555">
        <v>30953</v>
      </c>
      <c r="C3555" t="s">
        <v>3736</v>
      </c>
      <c r="D3555" t="s">
        <v>3421</v>
      </c>
      <c r="E3555" t="s">
        <v>3494</v>
      </c>
      <c r="F3555">
        <v>10671</v>
      </c>
      <c r="G3555">
        <v>1</v>
      </c>
      <c r="H3555" t="s">
        <v>16</v>
      </c>
      <c r="I3555" s="1">
        <v>-2293000</v>
      </c>
      <c r="J3555" s="1">
        <v>-4627600</v>
      </c>
      <c r="K3555">
        <v>906</v>
      </c>
      <c r="L3555">
        <v>374</v>
      </c>
      <c r="M3555" t="s">
        <v>16</v>
      </c>
    </row>
    <row r="3556" spans="1:13" x14ac:dyDescent="0.35">
      <c r="A3556">
        <v>352560</v>
      </c>
      <c r="B3556">
        <v>30961</v>
      </c>
      <c r="C3556" t="s">
        <v>3737</v>
      </c>
      <c r="D3556" t="s">
        <v>3421</v>
      </c>
      <c r="E3556" t="s">
        <v>3438</v>
      </c>
      <c r="F3556">
        <v>4092</v>
      </c>
      <c r="G3556">
        <v>1</v>
      </c>
      <c r="H3556" t="s">
        <v>16</v>
      </c>
      <c r="I3556" s="1">
        <v>-2225000</v>
      </c>
      <c r="J3556" s="1">
        <v>-5076800</v>
      </c>
      <c r="K3556">
        <v>551</v>
      </c>
      <c r="L3556">
        <v>416</v>
      </c>
      <c r="M3556" t="s">
        <v>16</v>
      </c>
    </row>
    <row r="3557" spans="1:13" x14ac:dyDescent="0.35">
      <c r="A3557">
        <v>352570</v>
      </c>
      <c r="B3557">
        <v>30970</v>
      </c>
      <c r="C3557" t="s">
        <v>3738</v>
      </c>
      <c r="D3557" t="s">
        <v>3421</v>
      </c>
      <c r="E3557" t="s">
        <v>3423</v>
      </c>
      <c r="F3557">
        <v>30639</v>
      </c>
      <c r="G3557">
        <v>1</v>
      </c>
      <c r="H3557" t="s">
        <v>16</v>
      </c>
      <c r="I3557" s="1">
        <v>-2105300</v>
      </c>
      <c r="J3557" s="1">
        <v>-4968800</v>
      </c>
      <c r="K3557">
        <v>458</v>
      </c>
      <c r="L3557">
        <v>858</v>
      </c>
      <c r="M3557" t="s">
        <v>16</v>
      </c>
    </row>
    <row r="3558" spans="1:13" x14ac:dyDescent="0.35">
      <c r="A3558">
        <v>352580</v>
      </c>
      <c r="B3558">
        <v>30988</v>
      </c>
      <c r="C3558" t="s">
        <v>3739</v>
      </c>
      <c r="D3558" t="s">
        <v>3421</v>
      </c>
      <c r="E3558" t="s">
        <v>3550</v>
      </c>
      <c r="F3558">
        <v>4318</v>
      </c>
      <c r="G3558">
        <v>1</v>
      </c>
      <c r="H3558" t="s">
        <v>16</v>
      </c>
      <c r="I3558" s="1">
        <v>-2200900</v>
      </c>
      <c r="J3558" s="1">
        <v>-4978700</v>
      </c>
      <c r="K3558">
        <v>520</v>
      </c>
      <c r="L3558">
        <v>128</v>
      </c>
      <c r="M3558" t="s">
        <v>16</v>
      </c>
    </row>
    <row r="3559" spans="1:13" x14ac:dyDescent="0.35">
      <c r="A3559">
        <v>352585</v>
      </c>
      <c r="B3559">
        <v>56430</v>
      </c>
      <c r="C3559" t="s">
        <v>3740</v>
      </c>
      <c r="D3559" t="s">
        <v>3421</v>
      </c>
      <c r="E3559" t="s">
        <v>3432</v>
      </c>
      <c r="F3559">
        <v>2205</v>
      </c>
      <c r="G3559">
        <v>1</v>
      </c>
      <c r="H3559" t="s">
        <v>16</v>
      </c>
      <c r="I3559" s="1">
        <v>-2308700</v>
      </c>
      <c r="J3559" s="1">
        <v>-4778400</v>
      </c>
      <c r="K3559">
        <v>561</v>
      </c>
      <c r="L3559">
        <v>56</v>
      </c>
      <c r="M3559" t="s">
        <v>16</v>
      </c>
    </row>
    <row r="3560" spans="1:13" x14ac:dyDescent="0.35">
      <c r="A3560">
        <v>352590</v>
      </c>
      <c r="B3560">
        <v>30996</v>
      </c>
      <c r="C3560" t="s">
        <v>3741</v>
      </c>
      <c r="D3560" t="s">
        <v>3421</v>
      </c>
      <c r="E3560" t="s">
        <v>3561</v>
      </c>
      <c r="F3560">
        <v>342983</v>
      </c>
      <c r="G3560">
        <v>3</v>
      </c>
      <c r="H3560" t="s">
        <v>16</v>
      </c>
      <c r="I3560" s="1">
        <v>-2318600</v>
      </c>
      <c r="J3560" s="1">
        <v>-4688400</v>
      </c>
      <c r="K3560">
        <v>761</v>
      </c>
      <c r="L3560">
        <v>431</v>
      </c>
      <c r="M3560" t="s">
        <v>16</v>
      </c>
    </row>
    <row r="3561" spans="1:13" x14ac:dyDescent="0.35">
      <c r="A3561">
        <v>352600</v>
      </c>
      <c r="B3561">
        <v>31003</v>
      </c>
      <c r="C3561" t="s">
        <v>3742</v>
      </c>
      <c r="D3561" t="s">
        <v>3421</v>
      </c>
      <c r="E3561" t="s">
        <v>3614</v>
      </c>
      <c r="F3561">
        <v>18628</v>
      </c>
      <c r="G3561">
        <v>1</v>
      </c>
      <c r="H3561" t="s">
        <v>16</v>
      </c>
      <c r="I3561" s="1">
        <v>-2151500</v>
      </c>
      <c r="J3561" s="1">
        <v>-5143400</v>
      </c>
      <c r="K3561">
        <v>421</v>
      </c>
      <c r="L3561">
        <v>582</v>
      </c>
      <c r="M3561" t="s">
        <v>16</v>
      </c>
    </row>
    <row r="3562" spans="1:13" x14ac:dyDescent="0.35">
      <c r="A3562">
        <v>352610</v>
      </c>
      <c r="B3562">
        <v>31011</v>
      </c>
      <c r="C3562" t="s">
        <v>3743</v>
      </c>
      <c r="D3562" t="s">
        <v>3421</v>
      </c>
      <c r="E3562" t="s">
        <v>3509</v>
      </c>
      <c r="F3562">
        <v>19352</v>
      </c>
      <c r="G3562">
        <v>1</v>
      </c>
      <c r="H3562" t="s">
        <v>16</v>
      </c>
      <c r="I3562" s="1">
        <v>-2432100</v>
      </c>
      <c r="J3562" s="1">
        <v>-4763500</v>
      </c>
      <c r="K3562">
        <v>17</v>
      </c>
      <c r="L3562">
        <v>820</v>
      </c>
      <c r="M3562" t="s">
        <v>16</v>
      </c>
    </row>
    <row r="3563" spans="1:13" x14ac:dyDescent="0.35">
      <c r="A3563">
        <v>352620</v>
      </c>
      <c r="B3563">
        <v>31020</v>
      </c>
      <c r="C3563" t="s">
        <v>3744</v>
      </c>
      <c r="D3563" t="s">
        <v>3421</v>
      </c>
      <c r="E3563" t="s">
        <v>3596</v>
      </c>
      <c r="F3563">
        <v>27777</v>
      </c>
      <c r="G3563">
        <v>4</v>
      </c>
      <c r="H3563" t="s">
        <v>3490</v>
      </c>
      <c r="I3563" s="1">
        <v>-2393200</v>
      </c>
      <c r="J3563" s="1">
        <v>-4706800</v>
      </c>
      <c r="K3563">
        <v>685</v>
      </c>
      <c r="L3563">
        <v>521</v>
      </c>
      <c r="M3563" t="s">
        <v>16</v>
      </c>
    </row>
    <row r="3564" spans="1:13" x14ac:dyDescent="0.35">
      <c r="A3564">
        <v>352630</v>
      </c>
      <c r="B3564">
        <v>31038</v>
      </c>
      <c r="C3564" t="s">
        <v>3745</v>
      </c>
      <c r="D3564" t="s">
        <v>3421</v>
      </c>
      <c r="E3564" t="s">
        <v>3604</v>
      </c>
      <c r="F3564">
        <v>4798</v>
      </c>
      <c r="G3564">
        <v>1</v>
      </c>
      <c r="H3564" t="s">
        <v>16</v>
      </c>
      <c r="I3564" s="1">
        <v>-2309100</v>
      </c>
      <c r="J3564" s="1">
        <v>-4519000</v>
      </c>
      <c r="K3564">
        <v>913</v>
      </c>
      <c r="L3564">
        <v>255</v>
      </c>
      <c r="M3564" t="s">
        <v>16</v>
      </c>
    </row>
    <row r="3565" spans="1:13" x14ac:dyDescent="0.35">
      <c r="A3565">
        <v>352640</v>
      </c>
      <c r="B3565">
        <v>31046</v>
      </c>
      <c r="C3565" t="s">
        <v>3746</v>
      </c>
      <c r="D3565" t="s">
        <v>3421</v>
      </c>
      <c r="E3565" t="s">
        <v>3530</v>
      </c>
      <c r="F3565">
        <v>24454</v>
      </c>
      <c r="G3565">
        <v>1</v>
      </c>
      <c r="H3565" t="s">
        <v>16</v>
      </c>
      <c r="I3565" s="1">
        <v>-2305000</v>
      </c>
      <c r="J3565" s="1">
        <v>-4783700</v>
      </c>
      <c r="K3565">
        <v>536</v>
      </c>
      <c r="L3565">
        <v>386</v>
      </c>
      <c r="M3565" t="s">
        <v>16</v>
      </c>
    </row>
    <row r="3566" spans="1:13" x14ac:dyDescent="0.35">
      <c r="A3566">
        <v>352650</v>
      </c>
      <c r="B3566">
        <v>31054</v>
      </c>
      <c r="C3566" t="s">
        <v>3747</v>
      </c>
      <c r="D3566" t="s">
        <v>3421</v>
      </c>
      <c r="E3566" t="s">
        <v>3470</v>
      </c>
      <c r="F3566">
        <v>7984</v>
      </c>
      <c r="G3566">
        <v>1</v>
      </c>
      <c r="H3566" t="s">
        <v>16</v>
      </c>
      <c r="I3566" s="1">
        <v>-2116800</v>
      </c>
      <c r="J3566" s="1">
        <v>-5104000</v>
      </c>
      <c r="K3566">
        <v>458</v>
      </c>
      <c r="L3566">
        <v>538</v>
      </c>
      <c r="M3566" t="s">
        <v>16</v>
      </c>
    </row>
    <row r="3567" spans="1:13" x14ac:dyDescent="0.35">
      <c r="A3567">
        <v>352660</v>
      </c>
      <c r="B3567">
        <v>31062</v>
      </c>
      <c r="C3567" t="s">
        <v>3748</v>
      </c>
      <c r="D3567" t="s">
        <v>3421</v>
      </c>
      <c r="E3567" t="s">
        <v>3464</v>
      </c>
      <c r="F3567">
        <v>6543</v>
      </c>
      <c r="G3567">
        <v>1</v>
      </c>
      <c r="H3567" t="s">
        <v>16</v>
      </c>
      <c r="I3567" s="1">
        <v>-2257100</v>
      </c>
      <c r="J3567" s="1">
        <v>-4490200</v>
      </c>
      <c r="K3567">
        <v>508</v>
      </c>
      <c r="L3567">
        <v>166</v>
      </c>
      <c r="M3567" t="s">
        <v>16</v>
      </c>
    </row>
    <row r="3568" spans="1:13" x14ac:dyDescent="0.35">
      <c r="A3568">
        <v>352670</v>
      </c>
      <c r="B3568">
        <v>31070</v>
      </c>
      <c r="C3568" t="s">
        <v>3749</v>
      </c>
      <c r="D3568" t="s">
        <v>3421</v>
      </c>
      <c r="E3568" t="s">
        <v>3478</v>
      </c>
      <c r="F3568">
        <v>84406</v>
      </c>
      <c r="G3568">
        <v>2</v>
      </c>
      <c r="H3568" t="s">
        <v>16</v>
      </c>
      <c r="I3568" s="1">
        <v>-2218600</v>
      </c>
      <c r="J3568" s="1">
        <v>-4739000</v>
      </c>
      <c r="K3568">
        <v>619</v>
      </c>
      <c r="L3568">
        <v>403</v>
      </c>
      <c r="M3568" t="s">
        <v>16</v>
      </c>
    </row>
    <row r="3569" spans="1:13" x14ac:dyDescent="0.35">
      <c r="A3569">
        <v>352680</v>
      </c>
      <c r="B3569">
        <v>31089</v>
      </c>
      <c r="C3569" t="s">
        <v>3750</v>
      </c>
      <c r="D3569" t="s">
        <v>3421</v>
      </c>
      <c r="E3569" t="s">
        <v>3434</v>
      </c>
      <c r="F3569">
        <v>59366</v>
      </c>
      <c r="G3569">
        <v>2</v>
      </c>
      <c r="H3569" t="s">
        <v>16</v>
      </c>
      <c r="I3569" s="1">
        <v>-2259900</v>
      </c>
      <c r="J3569" s="1">
        <v>-4880000</v>
      </c>
      <c r="K3569">
        <v>550</v>
      </c>
      <c r="L3569">
        <v>803</v>
      </c>
      <c r="M3569" t="s">
        <v>16</v>
      </c>
    </row>
    <row r="3570" spans="1:13" x14ac:dyDescent="0.35">
      <c r="A3570">
        <v>352690</v>
      </c>
      <c r="B3570">
        <v>31097</v>
      </c>
      <c r="C3570" t="s">
        <v>3478</v>
      </c>
      <c r="D3570" t="s">
        <v>3421</v>
      </c>
      <c r="E3570" t="s">
        <v>3478</v>
      </c>
      <c r="F3570">
        <v>272734</v>
      </c>
      <c r="G3570">
        <v>3</v>
      </c>
      <c r="H3570" t="s">
        <v>16</v>
      </c>
      <c r="I3570" s="1">
        <v>-2256500</v>
      </c>
      <c r="J3570" s="1">
        <v>-4740200</v>
      </c>
      <c r="K3570">
        <v>588</v>
      </c>
      <c r="L3570">
        <v>580</v>
      </c>
      <c r="M3570" t="s">
        <v>16</v>
      </c>
    </row>
    <row r="3571" spans="1:13" x14ac:dyDescent="0.35">
      <c r="A3571">
        <v>352700</v>
      </c>
      <c r="B3571">
        <v>31100</v>
      </c>
      <c r="C3571" t="s">
        <v>3751</v>
      </c>
      <c r="D3571" t="s">
        <v>3421</v>
      </c>
      <c r="E3571" t="s">
        <v>1406</v>
      </c>
      <c r="F3571">
        <v>5657</v>
      </c>
      <c r="G3571">
        <v>1</v>
      </c>
      <c r="H3571" t="s">
        <v>16</v>
      </c>
      <c r="I3571" s="1">
        <v>-2252300</v>
      </c>
      <c r="J3571" s="1">
        <v>-4665000</v>
      </c>
      <c r="K3571">
        <v>677</v>
      </c>
      <c r="L3571">
        <v>48</v>
      </c>
      <c r="M3571" t="s">
        <v>16</v>
      </c>
    </row>
    <row r="3572" spans="1:13" x14ac:dyDescent="0.35">
      <c r="A3572">
        <v>352710</v>
      </c>
      <c r="B3572">
        <v>31119</v>
      </c>
      <c r="C3572" t="s">
        <v>3550</v>
      </c>
      <c r="D3572" t="s">
        <v>3421</v>
      </c>
      <c r="E3572" t="s">
        <v>3550</v>
      </c>
      <c r="F3572">
        <v>69279</v>
      </c>
      <c r="G3572">
        <v>2</v>
      </c>
      <c r="H3572" t="s">
        <v>16</v>
      </c>
      <c r="I3572" s="1">
        <v>-2167900</v>
      </c>
      <c r="J3572" s="1">
        <v>-4974300</v>
      </c>
      <c r="K3572">
        <v>437</v>
      </c>
      <c r="L3572">
        <v>571</v>
      </c>
      <c r="M3572" t="s">
        <v>16</v>
      </c>
    </row>
    <row r="3573" spans="1:13" x14ac:dyDescent="0.35">
      <c r="A3573">
        <v>352720</v>
      </c>
      <c r="B3573">
        <v>31127</v>
      </c>
      <c r="C3573" t="s">
        <v>3752</v>
      </c>
      <c r="D3573" t="s">
        <v>3421</v>
      </c>
      <c r="E3573" t="s">
        <v>3464</v>
      </c>
      <c r="F3573">
        <v>79317</v>
      </c>
      <c r="G3573">
        <v>2</v>
      </c>
      <c r="H3573" t="s">
        <v>16</v>
      </c>
      <c r="I3573" s="1">
        <v>-2273100</v>
      </c>
      <c r="J3573" s="1">
        <v>-4512500</v>
      </c>
      <c r="K3573">
        <v>524</v>
      </c>
      <c r="L3573">
        <v>413</v>
      </c>
      <c r="M3573" t="s">
        <v>16</v>
      </c>
    </row>
    <row r="3574" spans="1:13" x14ac:dyDescent="0.35">
      <c r="A3574">
        <v>352725</v>
      </c>
      <c r="B3574">
        <v>51322</v>
      </c>
      <c r="C3574" t="s">
        <v>3753</v>
      </c>
      <c r="D3574" t="s">
        <v>3421</v>
      </c>
      <c r="E3574" t="s">
        <v>3442</v>
      </c>
      <c r="F3574">
        <v>1974</v>
      </c>
      <c r="G3574">
        <v>1</v>
      </c>
      <c r="H3574" t="s">
        <v>16</v>
      </c>
      <c r="I3574" s="1">
        <v>-2096700</v>
      </c>
      <c r="J3574" s="1">
        <v>-5022400</v>
      </c>
      <c r="K3574">
        <v>403</v>
      </c>
      <c r="L3574">
        <v>113</v>
      </c>
      <c r="M3574" t="s">
        <v>16</v>
      </c>
    </row>
    <row r="3575" spans="1:13" x14ac:dyDescent="0.35">
      <c r="A3575">
        <v>352730</v>
      </c>
      <c r="B3575">
        <v>31135</v>
      </c>
      <c r="C3575" t="s">
        <v>3754</v>
      </c>
      <c r="D3575" t="s">
        <v>3421</v>
      </c>
      <c r="E3575" t="s">
        <v>3561</v>
      </c>
      <c r="F3575">
        <v>29760</v>
      </c>
      <c r="G3575">
        <v>1</v>
      </c>
      <c r="H3575" t="s">
        <v>16</v>
      </c>
      <c r="I3575" s="1">
        <v>-2308600</v>
      </c>
      <c r="J3575" s="1">
        <v>-4695100</v>
      </c>
      <c r="K3575">
        <v>690</v>
      </c>
      <c r="L3575">
        <v>55</v>
      </c>
      <c r="M3575" t="s">
        <v>16</v>
      </c>
    </row>
    <row r="3576" spans="1:13" x14ac:dyDescent="0.35">
      <c r="A3576">
        <v>352740</v>
      </c>
      <c r="B3576">
        <v>31143</v>
      </c>
      <c r="C3576" t="s">
        <v>3755</v>
      </c>
      <c r="D3576" t="s">
        <v>3421</v>
      </c>
      <c r="E3576" t="s">
        <v>3420</v>
      </c>
      <c r="F3576">
        <v>19212</v>
      </c>
      <c r="G3576">
        <v>1</v>
      </c>
      <c r="H3576" t="s">
        <v>16</v>
      </c>
      <c r="I3576" s="1">
        <v>-2172000</v>
      </c>
      <c r="J3576" s="1">
        <v>-5101900</v>
      </c>
      <c r="K3576">
        <v>438</v>
      </c>
      <c r="L3576">
        <v>314</v>
      </c>
      <c r="M3576" t="s">
        <v>16</v>
      </c>
    </row>
    <row r="3577" spans="1:13" x14ac:dyDescent="0.35">
      <c r="A3577">
        <v>352750</v>
      </c>
      <c r="B3577">
        <v>31151</v>
      </c>
      <c r="C3577" t="s">
        <v>3756</v>
      </c>
      <c r="D3577" t="s">
        <v>3421</v>
      </c>
      <c r="E3577" t="s">
        <v>3434</v>
      </c>
      <c r="F3577">
        <v>2299</v>
      </c>
      <c r="G3577">
        <v>1</v>
      </c>
      <c r="H3577" t="s">
        <v>16</v>
      </c>
      <c r="I3577" s="1">
        <v>-2243100</v>
      </c>
      <c r="J3577" s="1">
        <v>-4952300</v>
      </c>
      <c r="K3577">
        <v>561</v>
      </c>
      <c r="L3577">
        <v>190</v>
      </c>
      <c r="M3577" t="s">
        <v>16</v>
      </c>
    </row>
    <row r="3578" spans="1:13" x14ac:dyDescent="0.35">
      <c r="A3578">
        <v>352760</v>
      </c>
      <c r="B3578">
        <v>31160</v>
      </c>
      <c r="C3578" t="s">
        <v>3757</v>
      </c>
      <c r="D3578" t="s">
        <v>3421</v>
      </c>
      <c r="E3578" t="s">
        <v>3512</v>
      </c>
      <c r="F3578">
        <v>10272</v>
      </c>
      <c r="G3578">
        <v>1</v>
      </c>
      <c r="H3578" t="s">
        <v>16</v>
      </c>
      <c r="I3578" s="1">
        <v>-2155500</v>
      </c>
      <c r="J3578" s="1">
        <v>-4770400</v>
      </c>
      <c r="K3578">
        <v>675</v>
      </c>
      <c r="L3578">
        <v>597</v>
      </c>
      <c r="M3578" t="s">
        <v>16</v>
      </c>
    </row>
    <row r="3579" spans="1:13" x14ac:dyDescent="0.35">
      <c r="A3579">
        <v>352770</v>
      </c>
      <c r="B3579">
        <v>31178</v>
      </c>
      <c r="C3579" t="s">
        <v>3758</v>
      </c>
      <c r="D3579" t="s">
        <v>3421</v>
      </c>
      <c r="E3579" t="s">
        <v>3442</v>
      </c>
      <c r="F3579">
        <v>4763</v>
      </c>
      <c r="G3579">
        <v>1</v>
      </c>
      <c r="H3579" t="s">
        <v>16</v>
      </c>
      <c r="I3579" s="1">
        <v>-2167600</v>
      </c>
      <c r="J3579" s="1">
        <v>-5032700</v>
      </c>
      <c r="K3579">
        <v>426</v>
      </c>
      <c r="L3579">
        <v>167</v>
      </c>
      <c r="M3579" t="s">
        <v>16</v>
      </c>
    </row>
    <row r="3580" spans="1:13" x14ac:dyDescent="0.35">
      <c r="A3580">
        <v>352780</v>
      </c>
      <c r="B3580">
        <v>31186</v>
      </c>
      <c r="C3580" t="s">
        <v>3759</v>
      </c>
      <c r="D3580" t="s">
        <v>3421</v>
      </c>
      <c r="E3580" t="s">
        <v>3449</v>
      </c>
      <c r="F3580">
        <v>4238</v>
      </c>
      <c r="G3580">
        <v>1</v>
      </c>
      <c r="H3580" t="s">
        <v>16</v>
      </c>
      <c r="I3580" s="1">
        <v>-2241500</v>
      </c>
      <c r="J3580" s="1">
        <v>-4981700</v>
      </c>
      <c r="K3580">
        <v>661</v>
      </c>
      <c r="L3580">
        <v>155</v>
      </c>
      <c r="M3580" t="s">
        <v>16</v>
      </c>
    </row>
    <row r="3581" spans="1:13" x14ac:dyDescent="0.35">
      <c r="A3581">
        <v>352790</v>
      </c>
      <c r="B3581">
        <v>31194</v>
      </c>
      <c r="C3581" t="s">
        <v>3760</v>
      </c>
      <c r="D3581" t="s">
        <v>3421</v>
      </c>
      <c r="E3581" t="s">
        <v>3492</v>
      </c>
      <c r="F3581">
        <v>2794</v>
      </c>
      <c r="G3581">
        <v>1</v>
      </c>
      <c r="H3581" t="s">
        <v>16</v>
      </c>
      <c r="I3581" s="1">
        <v>-2234000</v>
      </c>
      <c r="J3581" s="1">
        <v>-5039200</v>
      </c>
      <c r="K3581">
        <v>581</v>
      </c>
      <c r="L3581">
        <v>474</v>
      </c>
      <c r="M3581" t="s">
        <v>16</v>
      </c>
    </row>
    <row r="3582" spans="1:13" x14ac:dyDescent="0.35">
      <c r="A3582">
        <v>352800</v>
      </c>
      <c r="B3582">
        <v>31208</v>
      </c>
      <c r="C3582" t="s">
        <v>3761</v>
      </c>
      <c r="D3582" t="s">
        <v>3421</v>
      </c>
      <c r="E3582" t="s">
        <v>3505</v>
      </c>
      <c r="F3582">
        <v>16173</v>
      </c>
      <c r="G3582">
        <v>1</v>
      </c>
      <c r="H3582" t="s">
        <v>16</v>
      </c>
      <c r="I3582" s="1">
        <v>-2250200</v>
      </c>
      <c r="J3582" s="1">
        <v>-4871100</v>
      </c>
      <c r="K3582">
        <v>515</v>
      </c>
      <c r="L3582">
        <v>226</v>
      </c>
      <c r="M3582" t="s">
        <v>16</v>
      </c>
    </row>
    <row r="3583" spans="1:13" x14ac:dyDescent="0.35">
      <c r="A3583">
        <v>352810</v>
      </c>
      <c r="B3583">
        <v>31216</v>
      </c>
      <c r="C3583" t="s">
        <v>3762</v>
      </c>
      <c r="D3583" t="s">
        <v>3421</v>
      </c>
      <c r="E3583" t="s">
        <v>3763</v>
      </c>
      <c r="F3583">
        <v>7396</v>
      </c>
      <c r="G3583">
        <v>1</v>
      </c>
      <c r="H3583" t="s">
        <v>16</v>
      </c>
      <c r="I3583" s="1">
        <v>-2080600</v>
      </c>
      <c r="J3583" s="1">
        <v>-4996400</v>
      </c>
      <c r="K3583">
        <v>516</v>
      </c>
      <c r="L3583">
        <v>248</v>
      </c>
      <c r="M3583" t="s">
        <v>16</v>
      </c>
    </row>
    <row r="3584" spans="1:13" x14ac:dyDescent="0.35">
      <c r="A3584">
        <v>352820</v>
      </c>
      <c r="B3584">
        <v>31224</v>
      </c>
      <c r="C3584" t="s">
        <v>3764</v>
      </c>
      <c r="D3584" t="s">
        <v>3421</v>
      </c>
      <c r="E3584" t="s">
        <v>3629</v>
      </c>
      <c r="F3584">
        <v>3411</v>
      </c>
      <c r="G3584">
        <v>1</v>
      </c>
      <c r="H3584" t="s">
        <v>16</v>
      </c>
      <c r="I3584" s="1">
        <v>-2014600</v>
      </c>
      <c r="J3584" s="1">
        <v>-5019400</v>
      </c>
      <c r="K3584">
        <v>502</v>
      </c>
      <c r="L3584">
        <v>329</v>
      </c>
      <c r="M3584" t="s">
        <v>16</v>
      </c>
    </row>
    <row r="3585" spans="1:13" x14ac:dyDescent="0.35">
      <c r="A3585">
        <v>352830</v>
      </c>
      <c r="B3585">
        <v>31232</v>
      </c>
      <c r="C3585" t="s">
        <v>3765</v>
      </c>
      <c r="D3585" t="s">
        <v>3421</v>
      </c>
      <c r="E3585" t="s">
        <v>3495</v>
      </c>
      <c r="F3585">
        <v>3154</v>
      </c>
      <c r="G3585">
        <v>1</v>
      </c>
      <c r="H3585" t="s">
        <v>16</v>
      </c>
      <c r="I3585" s="1">
        <v>-2064400</v>
      </c>
      <c r="J3585" s="1">
        <v>-5022600</v>
      </c>
      <c r="K3585">
        <v>526</v>
      </c>
      <c r="L3585">
        <v>312</v>
      </c>
      <c r="M3585" t="s">
        <v>16</v>
      </c>
    </row>
    <row r="3586" spans="1:13" x14ac:dyDescent="0.35">
      <c r="A3586">
        <v>352840</v>
      </c>
      <c r="B3586">
        <v>31240</v>
      </c>
      <c r="C3586" t="s">
        <v>3766</v>
      </c>
      <c r="D3586" t="s">
        <v>3421</v>
      </c>
      <c r="E3586" t="s">
        <v>3444</v>
      </c>
      <c r="F3586">
        <v>41508</v>
      </c>
      <c r="G3586">
        <v>1</v>
      </c>
      <c r="H3586" t="s">
        <v>16</v>
      </c>
      <c r="I3586" s="1">
        <v>-2354600</v>
      </c>
      <c r="J3586" s="1">
        <v>-4718300</v>
      </c>
      <c r="K3586">
        <v>850</v>
      </c>
      <c r="L3586">
        <v>209</v>
      </c>
      <c r="M3586" t="s">
        <v>16</v>
      </c>
    </row>
    <row r="3587" spans="1:13" x14ac:dyDescent="0.35">
      <c r="A3587">
        <v>352850</v>
      </c>
      <c r="B3587">
        <v>31259</v>
      </c>
      <c r="C3587" t="s">
        <v>3767</v>
      </c>
      <c r="D3587" t="s">
        <v>3421</v>
      </c>
      <c r="E3587" t="s">
        <v>3553</v>
      </c>
      <c r="F3587">
        <v>71754</v>
      </c>
      <c r="G3587">
        <v>4</v>
      </c>
      <c r="H3587" t="s">
        <v>3490</v>
      </c>
      <c r="I3587" s="1">
        <v>-2331900</v>
      </c>
      <c r="J3587" s="1">
        <v>-4658700</v>
      </c>
      <c r="K3587">
        <v>750</v>
      </c>
      <c r="L3587">
        <v>321</v>
      </c>
      <c r="M3587" t="s">
        <v>16</v>
      </c>
    </row>
    <row r="3588" spans="1:13" x14ac:dyDescent="0.35">
      <c r="A3588">
        <v>352860</v>
      </c>
      <c r="B3588">
        <v>31267</v>
      </c>
      <c r="C3588" t="s">
        <v>3768</v>
      </c>
      <c r="D3588" t="s">
        <v>3421</v>
      </c>
      <c r="E3588" t="s">
        <v>3520</v>
      </c>
      <c r="F3588">
        <v>8651</v>
      </c>
      <c r="G3588">
        <v>1</v>
      </c>
      <c r="H3588" t="s">
        <v>16</v>
      </c>
      <c r="I3588" s="1">
        <v>-2300300</v>
      </c>
      <c r="J3588" s="1">
        <v>-4932200</v>
      </c>
      <c r="K3588">
        <v>710</v>
      </c>
      <c r="L3588">
        <v>228</v>
      </c>
      <c r="M3588" t="s">
        <v>16</v>
      </c>
    </row>
    <row r="3589" spans="1:13" x14ac:dyDescent="0.35">
      <c r="A3589">
        <v>352870</v>
      </c>
      <c r="B3589">
        <v>31275</v>
      </c>
      <c r="C3589" t="s">
        <v>3769</v>
      </c>
      <c r="D3589" t="s">
        <v>3421</v>
      </c>
      <c r="E3589" t="s">
        <v>3438</v>
      </c>
      <c r="F3589">
        <v>5193</v>
      </c>
      <c r="G3589">
        <v>1</v>
      </c>
      <c r="H3589" t="s">
        <v>16</v>
      </c>
      <c r="I3589" s="1">
        <v>-2210800</v>
      </c>
      <c r="J3589" s="1">
        <v>-5196300</v>
      </c>
      <c r="K3589">
        <v>401</v>
      </c>
      <c r="L3589">
        <v>917</v>
      </c>
      <c r="M3589" t="s">
        <v>16</v>
      </c>
    </row>
    <row r="3590" spans="1:13" x14ac:dyDescent="0.35">
      <c r="A3590">
        <v>352880</v>
      </c>
      <c r="B3590">
        <v>31283</v>
      </c>
      <c r="C3590" t="s">
        <v>3770</v>
      </c>
      <c r="D3590" t="s">
        <v>3421</v>
      </c>
      <c r="E3590" t="s">
        <v>3492</v>
      </c>
      <c r="F3590">
        <v>13163</v>
      </c>
      <c r="G3590">
        <v>1</v>
      </c>
      <c r="H3590" t="s">
        <v>16</v>
      </c>
      <c r="I3590" s="1">
        <v>-2261100</v>
      </c>
      <c r="J3590" s="1">
        <v>-5066700</v>
      </c>
      <c r="K3590">
        <v>435</v>
      </c>
      <c r="L3590">
        <v>533</v>
      </c>
      <c r="M3590" t="s">
        <v>16</v>
      </c>
    </row>
    <row r="3591" spans="1:13" x14ac:dyDescent="0.35">
      <c r="A3591">
        <v>352885</v>
      </c>
      <c r="B3591">
        <v>51330</v>
      </c>
      <c r="C3591" t="s">
        <v>3771</v>
      </c>
      <c r="D3591" t="s">
        <v>3421</v>
      </c>
      <c r="E3591" t="s">
        <v>2259</v>
      </c>
      <c r="F3591">
        <v>2556</v>
      </c>
      <c r="G3591">
        <v>1</v>
      </c>
      <c r="H3591" t="s">
        <v>16</v>
      </c>
      <c r="I3591" s="1">
        <v>-2125900</v>
      </c>
      <c r="J3591" s="1">
        <v>-4912900</v>
      </c>
      <c r="K3591">
        <v>467</v>
      </c>
      <c r="L3591">
        <v>113</v>
      </c>
      <c r="M3591" t="s">
        <v>16</v>
      </c>
    </row>
    <row r="3592" spans="1:13" x14ac:dyDescent="0.35">
      <c r="A3592">
        <v>352890</v>
      </c>
      <c r="B3592">
        <v>31291</v>
      </c>
      <c r="C3592" t="s">
        <v>3772</v>
      </c>
      <c r="D3592" t="s">
        <v>3421</v>
      </c>
      <c r="E3592" t="s">
        <v>3420</v>
      </c>
      <c r="F3592">
        <v>3786</v>
      </c>
      <c r="G3592">
        <v>1</v>
      </c>
      <c r="H3592" t="s">
        <v>16</v>
      </c>
      <c r="I3592" s="1">
        <v>-2179900</v>
      </c>
      <c r="J3592" s="1">
        <v>-5118100</v>
      </c>
      <c r="K3592">
        <v>410</v>
      </c>
      <c r="L3592">
        <v>186</v>
      </c>
      <c r="M3592" t="s">
        <v>16</v>
      </c>
    </row>
    <row r="3593" spans="1:13" x14ac:dyDescent="0.35">
      <c r="A3593">
        <v>352900</v>
      </c>
      <c r="B3593">
        <v>31305</v>
      </c>
      <c r="C3593" t="s">
        <v>3773</v>
      </c>
      <c r="D3593" t="s">
        <v>3421</v>
      </c>
      <c r="E3593" t="s">
        <v>3449</v>
      </c>
      <c r="F3593">
        <v>218113</v>
      </c>
      <c r="G3593">
        <v>3</v>
      </c>
      <c r="H3593" t="s">
        <v>16</v>
      </c>
      <c r="I3593" s="1">
        <v>-2221400</v>
      </c>
      <c r="J3593" s="1">
        <v>-4994600</v>
      </c>
      <c r="K3593">
        <v>675</v>
      </c>
      <c r="L3593">
        <v>1170</v>
      </c>
      <c r="M3593" t="s">
        <v>16</v>
      </c>
    </row>
    <row r="3594" spans="1:13" x14ac:dyDescent="0.35">
      <c r="A3594">
        <v>352910</v>
      </c>
      <c r="B3594">
        <v>31313</v>
      </c>
      <c r="C3594" t="s">
        <v>3774</v>
      </c>
      <c r="D3594" t="s">
        <v>3421</v>
      </c>
      <c r="E3594" t="s">
        <v>3466</v>
      </c>
      <c r="F3594">
        <v>2114</v>
      </c>
      <c r="G3594">
        <v>1</v>
      </c>
      <c r="H3594" t="s">
        <v>16</v>
      </c>
      <c r="I3594" s="1">
        <v>-2044100</v>
      </c>
      <c r="J3594" s="1">
        <v>-5082300</v>
      </c>
      <c r="K3594">
        <v>408</v>
      </c>
      <c r="L3594">
        <v>78</v>
      </c>
      <c r="M3594" t="s">
        <v>16</v>
      </c>
    </row>
    <row r="3595" spans="1:13" x14ac:dyDescent="0.35">
      <c r="A3595">
        <v>352920</v>
      </c>
      <c r="B3595">
        <v>31321</v>
      </c>
      <c r="C3595" t="s">
        <v>3775</v>
      </c>
      <c r="D3595" t="s">
        <v>3421</v>
      </c>
      <c r="E3595" t="s">
        <v>3438</v>
      </c>
      <c r="F3595">
        <v>23983</v>
      </c>
      <c r="G3595">
        <v>1</v>
      </c>
      <c r="H3595" t="s">
        <v>16</v>
      </c>
      <c r="I3595" s="1">
        <v>-2214600</v>
      </c>
      <c r="J3595" s="1">
        <v>-5117100</v>
      </c>
      <c r="K3595">
        <v>488</v>
      </c>
      <c r="L3595">
        <v>1253</v>
      </c>
      <c r="M3595" t="s">
        <v>16</v>
      </c>
    </row>
    <row r="3596" spans="1:13" x14ac:dyDescent="0.35">
      <c r="A3596">
        <v>352930</v>
      </c>
      <c r="B3596">
        <v>31330</v>
      </c>
      <c r="C3596" t="s">
        <v>3776</v>
      </c>
      <c r="D3596" t="s">
        <v>3421</v>
      </c>
      <c r="E3596" t="s">
        <v>3455</v>
      </c>
      <c r="F3596">
        <v>74407</v>
      </c>
      <c r="G3596">
        <v>2</v>
      </c>
      <c r="H3596" t="s">
        <v>16</v>
      </c>
      <c r="I3596" s="1">
        <v>-2160300</v>
      </c>
      <c r="J3596" s="1">
        <v>-4836600</v>
      </c>
      <c r="K3596">
        <v>585</v>
      </c>
      <c r="L3596">
        <v>527</v>
      </c>
      <c r="M3596" t="s">
        <v>16</v>
      </c>
    </row>
    <row r="3597" spans="1:13" x14ac:dyDescent="0.35">
      <c r="A3597">
        <v>352940</v>
      </c>
      <c r="B3597">
        <v>31348</v>
      </c>
      <c r="C3597" t="s">
        <v>3777</v>
      </c>
      <c r="D3597" t="s">
        <v>3421</v>
      </c>
      <c r="E3597" t="s">
        <v>3607</v>
      </c>
      <c r="F3597">
        <v>402643</v>
      </c>
      <c r="G3597">
        <v>4</v>
      </c>
      <c r="H3597" t="s">
        <v>3490</v>
      </c>
      <c r="I3597" s="1">
        <v>-2366800</v>
      </c>
      <c r="J3597" s="1">
        <v>-4646100</v>
      </c>
      <c r="K3597">
        <v>764</v>
      </c>
      <c r="L3597">
        <v>62</v>
      </c>
      <c r="M3597" t="s">
        <v>16</v>
      </c>
    </row>
    <row r="3598" spans="1:13" x14ac:dyDescent="0.35">
      <c r="A3598">
        <v>352950</v>
      </c>
      <c r="B3598">
        <v>31356</v>
      </c>
      <c r="C3598" t="s">
        <v>3778</v>
      </c>
      <c r="D3598" t="s">
        <v>3421</v>
      </c>
      <c r="E3598" t="s">
        <v>3423</v>
      </c>
      <c r="F3598">
        <v>3980</v>
      </c>
      <c r="G3598">
        <v>1</v>
      </c>
      <c r="H3598" t="s">
        <v>16</v>
      </c>
      <c r="I3598" s="1">
        <v>-2116700</v>
      </c>
      <c r="J3598" s="1">
        <v>-4958100</v>
      </c>
      <c r="K3598">
        <v>484</v>
      </c>
      <c r="L3598">
        <v>194</v>
      </c>
      <c r="M3598" t="s">
        <v>16</v>
      </c>
    </row>
    <row r="3599" spans="1:13" x14ac:dyDescent="0.35">
      <c r="A3599">
        <v>352960</v>
      </c>
      <c r="B3599">
        <v>31364</v>
      </c>
      <c r="C3599" t="s">
        <v>3779</v>
      </c>
      <c r="D3599" t="s">
        <v>3421</v>
      </c>
      <c r="E3599" t="s">
        <v>3629</v>
      </c>
      <c r="F3599">
        <v>3857</v>
      </c>
      <c r="G3599">
        <v>1</v>
      </c>
      <c r="H3599" t="s">
        <v>16</v>
      </c>
      <c r="I3599" s="1">
        <v>-2035900</v>
      </c>
      <c r="J3599" s="1">
        <v>-5017300</v>
      </c>
      <c r="K3599">
        <v>529</v>
      </c>
      <c r="L3599">
        <v>228</v>
      </c>
      <c r="M3599" t="s">
        <v>16</v>
      </c>
    </row>
    <row r="3600" spans="1:13" x14ac:dyDescent="0.35">
      <c r="A3600">
        <v>352965</v>
      </c>
      <c r="B3600">
        <v>51500</v>
      </c>
      <c r="C3600" t="s">
        <v>3780</v>
      </c>
      <c r="D3600" t="s">
        <v>3421</v>
      </c>
      <c r="E3600" t="s">
        <v>3466</v>
      </c>
      <c r="F3600">
        <v>1768</v>
      </c>
      <c r="G3600">
        <v>1</v>
      </c>
      <c r="H3600" t="s">
        <v>16</v>
      </c>
      <c r="I3600" s="1">
        <v>-1996600</v>
      </c>
      <c r="J3600" s="1">
        <v>-5063800</v>
      </c>
      <c r="K3600">
        <v>400</v>
      </c>
      <c r="L3600">
        <v>149</v>
      </c>
      <c r="M3600" t="s">
        <v>16</v>
      </c>
    </row>
    <row r="3601" spans="1:13" x14ac:dyDescent="0.35">
      <c r="A3601">
        <v>352970</v>
      </c>
      <c r="B3601">
        <v>31372</v>
      </c>
      <c r="C3601" t="s">
        <v>3781</v>
      </c>
      <c r="D3601" t="s">
        <v>3421</v>
      </c>
      <c r="E3601" t="s">
        <v>3653</v>
      </c>
      <c r="F3601">
        <v>19972</v>
      </c>
      <c r="G3601">
        <v>1</v>
      </c>
      <c r="H3601" t="s">
        <v>16</v>
      </c>
      <c r="I3601" s="1">
        <v>-2017900</v>
      </c>
      <c r="J3601" s="1">
        <v>-4803200</v>
      </c>
      <c r="K3601">
        <v>510</v>
      </c>
      <c r="L3601">
        <v>826</v>
      </c>
      <c r="M3601" t="s">
        <v>16</v>
      </c>
    </row>
    <row r="3602" spans="1:13" x14ac:dyDescent="0.35">
      <c r="A3602">
        <v>352980</v>
      </c>
      <c r="B3602">
        <v>31380</v>
      </c>
      <c r="C3602" t="s">
        <v>3782</v>
      </c>
      <c r="D3602" t="s">
        <v>3421</v>
      </c>
      <c r="E3602" t="s">
        <v>3505</v>
      </c>
      <c r="F3602">
        <v>11760</v>
      </c>
      <c r="G3602">
        <v>1</v>
      </c>
      <c r="H3602" t="s">
        <v>16</v>
      </c>
      <c r="I3602" s="1">
        <v>-2240900</v>
      </c>
      <c r="J3602" s="1">
        <v>-4845100</v>
      </c>
      <c r="K3602">
        <v>669</v>
      </c>
      <c r="L3602">
        <v>211</v>
      </c>
      <c r="M3602" t="s">
        <v>16</v>
      </c>
    </row>
    <row r="3603" spans="1:13" x14ac:dyDescent="0.35">
      <c r="A3603">
        <v>352990</v>
      </c>
      <c r="B3603">
        <v>31399</v>
      </c>
      <c r="C3603" t="s">
        <v>3783</v>
      </c>
      <c r="D3603" t="s">
        <v>3421</v>
      </c>
      <c r="E3603" t="s">
        <v>3509</v>
      </c>
      <c r="F3603">
        <v>22796</v>
      </c>
      <c r="G3603">
        <v>1</v>
      </c>
      <c r="H3603" t="s">
        <v>16</v>
      </c>
      <c r="I3603" s="1">
        <v>-2428100</v>
      </c>
      <c r="J3603" s="1">
        <v>-4746000</v>
      </c>
      <c r="K3603">
        <v>27</v>
      </c>
      <c r="L3603">
        <v>1000</v>
      </c>
      <c r="M3603" t="s">
        <v>16</v>
      </c>
    </row>
    <row r="3604" spans="1:13" x14ac:dyDescent="0.35">
      <c r="A3604">
        <v>353000</v>
      </c>
      <c r="B3604">
        <v>31402</v>
      </c>
      <c r="C3604" t="s">
        <v>3784</v>
      </c>
      <c r="D3604" t="s">
        <v>3421</v>
      </c>
      <c r="E3604" t="s">
        <v>3629</v>
      </c>
      <c r="F3604">
        <v>2576</v>
      </c>
      <c r="G3604">
        <v>1</v>
      </c>
      <c r="H3604" t="s">
        <v>16</v>
      </c>
      <c r="I3604" s="1">
        <v>-1997900</v>
      </c>
      <c r="J3604" s="1">
        <v>-5013700</v>
      </c>
      <c r="K3604">
        <v>458</v>
      </c>
      <c r="L3604">
        <v>217</v>
      </c>
      <c r="M3604" t="s">
        <v>16</v>
      </c>
    </row>
    <row r="3605" spans="1:13" x14ac:dyDescent="0.35">
      <c r="A3605">
        <v>353010</v>
      </c>
      <c r="B3605">
        <v>31410</v>
      </c>
      <c r="C3605" t="s">
        <v>3785</v>
      </c>
      <c r="D3605" t="s">
        <v>3421</v>
      </c>
      <c r="E3605" t="s">
        <v>3459</v>
      </c>
      <c r="F3605">
        <v>25849</v>
      </c>
      <c r="G3605">
        <v>1</v>
      </c>
      <c r="H3605" t="s">
        <v>16</v>
      </c>
      <c r="I3605" s="1">
        <v>-2113400</v>
      </c>
      <c r="J3605" s="1">
        <v>-5110200</v>
      </c>
      <c r="K3605">
        <v>429</v>
      </c>
      <c r="L3605">
        <v>918</v>
      </c>
      <c r="M3605" t="s">
        <v>16</v>
      </c>
    </row>
    <row r="3606" spans="1:13" x14ac:dyDescent="0.35">
      <c r="A3606">
        <v>353020</v>
      </c>
      <c r="B3606">
        <v>31429</v>
      </c>
      <c r="C3606" t="s">
        <v>3786</v>
      </c>
      <c r="D3606" t="s">
        <v>3421</v>
      </c>
      <c r="E3606" t="s">
        <v>3438</v>
      </c>
      <c r="F3606">
        <v>17128</v>
      </c>
      <c r="G3606">
        <v>1</v>
      </c>
      <c r="H3606" t="s">
        <v>16</v>
      </c>
      <c r="I3606" s="1">
        <v>-2229200</v>
      </c>
      <c r="J3606" s="1">
        <v>-5190600</v>
      </c>
      <c r="K3606">
        <v>448</v>
      </c>
      <c r="L3606">
        <v>1237</v>
      </c>
      <c r="M3606" t="s">
        <v>16</v>
      </c>
    </row>
    <row r="3607" spans="1:13" x14ac:dyDescent="0.35">
      <c r="A3607">
        <v>353030</v>
      </c>
      <c r="B3607">
        <v>31437</v>
      </c>
      <c r="C3607" t="s">
        <v>3787</v>
      </c>
      <c r="D3607" t="s">
        <v>3421</v>
      </c>
      <c r="E3607" t="s">
        <v>3423</v>
      </c>
      <c r="F3607">
        <v>51660</v>
      </c>
      <c r="G3607">
        <v>2</v>
      </c>
      <c r="H3607" t="s">
        <v>16</v>
      </c>
      <c r="I3607" s="1">
        <v>-2081900</v>
      </c>
      <c r="J3607" s="1">
        <v>-4952100</v>
      </c>
      <c r="K3607">
        <v>587</v>
      </c>
      <c r="L3607">
        <v>243</v>
      </c>
      <c r="M3607" t="s">
        <v>16</v>
      </c>
    </row>
    <row r="3608" spans="1:13" x14ac:dyDescent="0.35">
      <c r="A3608">
        <v>353040</v>
      </c>
      <c r="B3608">
        <v>31445</v>
      </c>
      <c r="C3608" t="s">
        <v>3788</v>
      </c>
      <c r="D3608" t="s">
        <v>3421</v>
      </c>
      <c r="E3608" t="s">
        <v>3423</v>
      </c>
      <c r="F3608">
        <v>4099</v>
      </c>
      <c r="G3608">
        <v>1</v>
      </c>
      <c r="H3608" t="s">
        <v>16</v>
      </c>
      <c r="I3608" s="1">
        <v>-2061700</v>
      </c>
      <c r="J3608" s="1">
        <v>-4946400</v>
      </c>
      <c r="K3608">
        <v>524</v>
      </c>
      <c r="L3608">
        <v>166</v>
      </c>
      <c r="M3608" t="s">
        <v>16</v>
      </c>
    </row>
    <row r="3609" spans="1:13" x14ac:dyDescent="0.35">
      <c r="A3609">
        <v>353050</v>
      </c>
      <c r="B3609">
        <v>31453</v>
      </c>
      <c r="C3609" t="s">
        <v>3789</v>
      </c>
      <c r="D3609" t="s">
        <v>3421</v>
      </c>
      <c r="E3609" t="s">
        <v>3427</v>
      </c>
      <c r="F3609">
        <v>66086</v>
      </c>
      <c r="G3609">
        <v>2</v>
      </c>
      <c r="H3609" t="s">
        <v>16</v>
      </c>
      <c r="I3609" s="1">
        <v>-2146800</v>
      </c>
      <c r="J3609" s="1">
        <v>-4700500</v>
      </c>
      <c r="K3609">
        <v>645</v>
      </c>
      <c r="L3609">
        <v>854</v>
      </c>
      <c r="M3609" t="s">
        <v>16</v>
      </c>
    </row>
    <row r="3610" spans="1:13" x14ac:dyDescent="0.35">
      <c r="A3610">
        <v>353060</v>
      </c>
      <c r="B3610">
        <v>31461</v>
      </c>
      <c r="C3610" t="s">
        <v>3526</v>
      </c>
      <c r="D3610" t="s">
        <v>3421</v>
      </c>
      <c r="E3610" t="s">
        <v>3526</v>
      </c>
      <c r="F3610">
        <v>362991</v>
      </c>
      <c r="G3610">
        <v>4</v>
      </c>
      <c r="H3610" t="s">
        <v>3490</v>
      </c>
      <c r="I3610" s="1">
        <v>-2352300</v>
      </c>
      <c r="J3610" s="1">
        <v>-4618800</v>
      </c>
      <c r="K3610">
        <v>742</v>
      </c>
      <c r="L3610">
        <v>714</v>
      </c>
      <c r="M3610" t="s">
        <v>16</v>
      </c>
    </row>
    <row r="3611" spans="1:13" x14ac:dyDescent="0.35">
      <c r="A3611">
        <v>353070</v>
      </c>
      <c r="B3611">
        <v>31470</v>
      </c>
      <c r="C3611" t="s">
        <v>3790</v>
      </c>
      <c r="D3611" t="s">
        <v>3421</v>
      </c>
      <c r="E3611" t="s">
        <v>3487</v>
      </c>
      <c r="F3611">
        <v>131870</v>
      </c>
      <c r="G3611">
        <v>3</v>
      </c>
      <c r="H3611" t="s">
        <v>16</v>
      </c>
      <c r="I3611" s="1">
        <v>-2237200</v>
      </c>
      <c r="J3611" s="1">
        <v>-4694200</v>
      </c>
      <c r="K3611">
        <v>591</v>
      </c>
      <c r="L3611">
        <v>813</v>
      </c>
      <c r="M3611" t="s">
        <v>16</v>
      </c>
    </row>
    <row r="3612" spans="1:13" x14ac:dyDescent="0.35">
      <c r="A3612">
        <v>353080</v>
      </c>
      <c r="B3612">
        <v>31488</v>
      </c>
      <c r="C3612" t="s">
        <v>3487</v>
      </c>
      <c r="D3612" t="s">
        <v>3421</v>
      </c>
      <c r="E3612" t="s">
        <v>3487</v>
      </c>
      <c r="F3612">
        <v>84176</v>
      </c>
      <c r="G3612">
        <v>2</v>
      </c>
      <c r="H3612" t="s">
        <v>16</v>
      </c>
      <c r="I3612" s="1">
        <v>-2243200</v>
      </c>
      <c r="J3612" s="1">
        <v>-4695800</v>
      </c>
      <c r="K3612">
        <v>632</v>
      </c>
      <c r="L3612">
        <v>499</v>
      </c>
      <c r="M3612" t="s">
        <v>16</v>
      </c>
    </row>
    <row r="3613" spans="1:13" x14ac:dyDescent="0.35">
      <c r="A3613">
        <v>353090</v>
      </c>
      <c r="B3613">
        <v>31496</v>
      </c>
      <c r="C3613" t="s">
        <v>3791</v>
      </c>
      <c r="D3613" t="s">
        <v>3421</v>
      </c>
      <c r="E3613" t="s">
        <v>3432</v>
      </c>
      <c r="F3613">
        <v>3280</v>
      </c>
      <c r="G3613">
        <v>1</v>
      </c>
      <c r="H3613" t="s">
        <v>16</v>
      </c>
      <c r="I3613" s="1">
        <v>-2292900</v>
      </c>
      <c r="J3613" s="1">
        <v>-4756600</v>
      </c>
      <c r="K3613">
        <v>550</v>
      </c>
      <c r="L3613">
        <v>133</v>
      </c>
      <c r="M3613" t="s">
        <v>16</v>
      </c>
    </row>
    <row r="3614" spans="1:13" x14ac:dyDescent="0.35">
      <c r="A3614">
        <v>353100</v>
      </c>
      <c r="B3614">
        <v>31500</v>
      </c>
      <c r="C3614" t="s">
        <v>3792</v>
      </c>
      <c r="D3614" t="s">
        <v>3421</v>
      </c>
      <c r="E3614" t="s">
        <v>3763</v>
      </c>
      <c r="F3614">
        <v>2054</v>
      </c>
      <c r="G3614">
        <v>1</v>
      </c>
      <c r="H3614" t="s">
        <v>16</v>
      </c>
      <c r="I3614" s="1">
        <v>-2085000</v>
      </c>
      <c r="J3614" s="1">
        <v>-5009200</v>
      </c>
      <c r="K3614">
        <v>406</v>
      </c>
      <c r="L3614">
        <v>104</v>
      </c>
      <c r="M3614" t="s">
        <v>16</v>
      </c>
    </row>
    <row r="3615" spans="1:13" x14ac:dyDescent="0.35">
      <c r="A3615">
        <v>353110</v>
      </c>
      <c r="B3615">
        <v>31518</v>
      </c>
      <c r="C3615" t="s">
        <v>3793</v>
      </c>
      <c r="D3615" t="s">
        <v>3421</v>
      </c>
      <c r="E3615" t="s">
        <v>3708</v>
      </c>
      <c r="F3615">
        <v>40423</v>
      </c>
      <c r="G3615">
        <v>4</v>
      </c>
      <c r="H3615" t="s">
        <v>3523</v>
      </c>
      <c r="I3615" s="1">
        <v>-2408700</v>
      </c>
      <c r="J3615" s="1">
        <v>-4662900</v>
      </c>
      <c r="K3615">
        <v>18</v>
      </c>
      <c r="L3615">
        <v>143</v>
      </c>
      <c r="M3615" t="s">
        <v>16</v>
      </c>
    </row>
    <row r="3616" spans="1:13" x14ac:dyDescent="0.35">
      <c r="A3616">
        <v>353120</v>
      </c>
      <c r="B3616">
        <v>31526</v>
      </c>
      <c r="C3616" t="s">
        <v>3794</v>
      </c>
      <c r="D3616" t="s">
        <v>3421</v>
      </c>
      <c r="E3616" t="s">
        <v>1406</v>
      </c>
      <c r="F3616">
        <v>6957</v>
      </c>
      <c r="G3616">
        <v>1</v>
      </c>
      <c r="H3616" t="s">
        <v>16</v>
      </c>
      <c r="I3616" s="1">
        <v>-2268200</v>
      </c>
      <c r="J3616" s="1">
        <v>-4668100</v>
      </c>
      <c r="K3616">
        <v>750</v>
      </c>
      <c r="L3616">
        <v>110</v>
      </c>
      <c r="M3616" t="s">
        <v>16</v>
      </c>
    </row>
    <row r="3617" spans="1:13" x14ac:dyDescent="0.35">
      <c r="A3617">
        <v>353130</v>
      </c>
      <c r="B3617">
        <v>31534</v>
      </c>
      <c r="C3617" t="s">
        <v>3795</v>
      </c>
      <c r="D3617" t="s">
        <v>3421</v>
      </c>
      <c r="E3617" t="s">
        <v>3517</v>
      </c>
      <c r="F3617">
        <v>44085</v>
      </c>
      <c r="G3617">
        <v>1</v>
      </c>
      <c r="H3617" t="s">
        <v>16</v>
      </c>
      <c r="I3617" s="1">
        <v>-2126100</v>
      </c>
      <c r="J3617" s="1">
        <v>-4849600</v>
      </c>
      <c r="K3617">
        <v>735</v>
      </c>
      <c r="L3617">
        <v>347</v>
      </c>
      <c r="M3617" t="s">
        <v>16</v>
      </c>
    </row>
    <row r="3618" spans="1:13" x14ac:dyDescent="0.35">
      <c r="A3618">
        <v>353140</v>
      </c>
      <c r="B3618">
        <v>31542</v>
      </c>
      <c r="C3618" t="s">
        <v>3796</v>
      </c>
      <c r="D3618" t="s">
        <v>3421</v>
      </c>
      <c r="E3618" t="s">
        <v>3763</v>
      </c>
      <c r="F3618">
        <v>19745</v>
      </c>
      <c r="G3618">
        <v>1</v>
      </c>
      <c r="H3618" t="s">
        <v>16</v>
      </c>
      <c r="I3618" s="1">
        <v>-2077300</v>
      </c>
      <c r="J3618" s="1">
        <v>-4971400</v>
      </c>
      <c r="K3618">
        <v>475</v>
      </c>
      <c r="L3618">
        <v>482</v>
      </c>
      <c r="M3618" t="s">
        <v>16</v>
      </c>
    </row>
    <row r="3619" spans="1:13" x14ac:dyDescent="0.35">
      <c r="A3619">
        <v>353150</v>
      </c>
      <c r="B3619">
        <v>31550</v>
      </c>
      <c r="C3619" t="s">
        <v>3797</v>
      </c>
      <c r="D3619" t="s">
        <v>3421</v>
      </c>
      <c r="E3619" t="s">
        <v>3517</v>
      </c>
      <c r="F3619">
        <v>19187</v>
      </c>
      <c r="G3619">
        <v>1</v>
      </c>
      <c r="H3619" t="s">
        <v>16</v>
      </c>
      <c r="I3619" s="1">
        <v>-2090700</v>
      </c>
      <c r="J3619" s="1">
        <v>-4864100</v>
      </c>
      <c r="K3619">
        <v>611</v>
      </c>
      <c r="L3619">
        <v>263</v>
      </c>
      <c r="M3619" t="s">
        <v>16</v>
      </c>
    </row>
    <row r="3620" spans="1:13" x14ac:dyDescent="0.35">
      <c r="A3620">
        <v>353160</v>
      </c>
      <c r="B3620">
        <v>31569</v>
      </c>
      <c r="C3620" t="s">
        <v>3798</v>
      </c>
      <c r="D3620" t="s">
        <v>3421</v>
      </c>
      <c r="E3620" t="s">
        <v>3614</v>
      </c>
      <c r="F3620">
        <v>4014</v>
      </c>
      <c r="G3620">
        <v>1</v>
      </c>
      <c r="H3620" t="s">
        <v>16</v>
      </c>
      <c r="I3620" s="1">
        <v>-2129900</v>
      </c>
      <c r="J3620" s="1">
        <v>-5156900</v>
      </c>
      <c r="K3620">
        <v>375</v>
      </c>
      <c r="L3620">
        <v>233</v>
      </c>
      <c r="M3620" t="s">
        <v>16</v>
      </c>
    </row>
    <row r="3621" spans="1:13" x14ac:dyDescent="0.35">
      <c r="A3621">
        <v>353170</v>
      </c>
      <c r="B3621">
        <v>31577</v>
      </c>
      <c r="C3621" t="s">
        <v>3799</v>
      </c>
      <c r="D3621" t="s">
        <v>3421</v>
      </c>
      <c r="E3621" t="s">
        <v>3563</v>
      </c>
      <c r="F3621">
        <v>3994</v>
      </c>
      <c r="G3621">
        <v>1</v>
      </c>
      <c r="H3621" t="s">
        <v>16</v>
      </c>
      <c r="I3621" s="1">
        <v>-2295700</v>
      </c>
      <c r="J3621" s="1">
        <v>-4584000</v>
      </c>
      <c r="K3621">
        <v>685</v>
      </c>
      <c r="L3621">
        <v>332</v>
      </c>
      <c r="M3621" t="s">
        <v>16</v>
      </c>
    </row>
    <row r="3622" spans="1:13" x14ac:dyDescent="0.35">
      <c r="A3622">
        <v>353180</v>
      </c>
      <c r="B3622">
        <v>31585</v>
      </c>
      <c r="C3622" t="s">
        <v>3800</v>
      </c>
      <c r="D3622" t="s">
        <v>3421</v>
      </c>
      <c r="E3622" t="s">
        <v>3452</v>
      </c>
      <c r="F3622">
        <v>42824</v>
      </c>
      <c r="G3622">
        <v>4</v>
      </c>
      <c r="H3622" t="s">
        <v>3453</v>
      </c>
      <c r="I3622" s="1">
        <v>-2294700</v>
      </c>
      <c r="J3622" s="1">
        <v>-4731600</v>
      </c>
      <c r="K3622">
        <v>560</v>
      </c>
      <c r="L3622">
        <v>240</v>
      </c>
      <c r="M3622" t="s">
        <v>16</v>
      </c>
    </row>
    <row r="3623" spans="1:13" x14ac:dyDescent="0.35">
      <c r="A3623">
        <v>353190</v>
      </c>
      <c r="B3623">
        <v>31593</v>
      </c>
      <c r="C3623" t="s">
        <v>3801</v>
      </c>
      <c r="D3623" t="s">
        <v>3421</v>
      </c>
      <c r="E3623" t="s">
        <v>3653</v>
      </c>
      <c r="F3623">
        <v>25390</v>
      </c>
      <c r="G3623">
        <v>1</v>
      </c>
      <c r="H3623" t="s">
        <v>16</v>
      </c>
      <c r="I3623" s="1">
        <v>-2073100</v>
      </c>
      <c r="J3623" s="1">
        <v>-4805800</v>
      </c>
      <c r="K3623">
        <v>546</v>
      </c>
      <c r="L3623">
        <v>1386</v>
      </c>
      <c r="M3623" t="s">
        <v>16</v>
      </c>
    </row>
    <row r="3624" spans="1:13" x14ac:dyDescent="0.35">
      <c r="A3624">
        <v>353200</v>
      </c>
      <c r="B3624">
        <v>31607</v>
      </c>
      <c r="C3624" t="s">
        <v>3802</v>
      </c>
      <c r="D3624" t="s">
        <v>3421</v>
      </c>
      <c r="E3624" t="s">
        <v>3494</v>
      </c>
      <c r="F3624">
        <v>12007</v>
      </c>
      <c r="G3624">
        <v>1</v>
      </c>
      <c r="H3624" t="s">
        <v>16</v>
      </c>
      <c r="I3624" s="1">
        <v>-2288000</v>
      </c>
      <c r="J3624" s="1">
        <v>-4679200</v>
      </c>
      <c r="K3624">
        <v>765</v>
      </c>
      <c r="L3624">
        <v>146</v>
      </c>
      <c r="M3624" t="s">
        <v>16</v>
      </c>
    </row>
    <row r="3625" spans="1:13" x14ac:dyDescent="0.35">
      <c r="A3625">
        <v>353205</v>
      </c>
      <c r="B3625">
        <v>51349</v>
      </c>
      <c r="C3625" t="s">
        <v>3803</v>
      </c>
      <c r="D3625" t="s">
        <v>3421</v>
      </c>
      <c r="E3625" t="s">
        <v>3455</v>
      </c>
      <c r="F3625">
        <v>4340</v>
      </c>
      <c r="G3625">
        <v>1</v>
      </c>
      <c r="H3625" t="s">
        <v>16</v>
      </c>
      <c r="I3625" s="1">
        <v>-2150800</v>
      </c>
      <c r="J3625" s="1">
        <v>-4815100</v>
      </c>
      <c r="K3625">
        <v>618</v>
      </c>
      <c r="L3625">
        <v>229</v>
      </c>
      <c r="M3625" t="s">
        <v>16</v>
      </c>
    </row>
    <row r="3626" spans="1:13" x14ac:dyDescent="0.35">
      <c r="A3626">
        <v>353210</v>
      </c>
      <c r="B3626">
        <v>31615</v>
      </c>
      <c r="C3626" t="s">
        <v>3804</v>
      </c>
      <c r="D3626" t="s">
        <v>3421</v>
      </c>
      <c r="E3626" t="s">
        <v>3459</v>
      </c>
      <c r="F3626">
        <v>4091</v>
      </c>
      <c r="G3626">
        <v>1</v>
      </c>
      <c r="H3626" t="s">
        <v>16</v>
      </c>
      <c r="I3626" s="1">
        <v>-2099300</v>
      </c>
      <c r="J3626" s="1">
        <v>-5127800</v>
      </c>
      <c r="K3626">
        <v>409</v>
      </c>
      <c r="L3626">
        <v>248</v>
      </c>
      <c r="M3626" t="s">
        <v>16</v>
      </c>
    </row>
    <row r="3627" spans="1:13" x14ac:dyDescent="0.35">
      <c r="A3627">
        <v>353215</v>
      </c>
      <c r="B3627">
        <v>56448</v>
      </c>
      <c r="C3627" t="s">
        <v>3805</v>
      </c>
      <c r="D3627" t="s">
        <v>3421</v>
      </c>
      <c r="E3627" t="s">
        <v>3492</v>
      </c>
      <c r="F3627">
        <v>2483</v>
      </c>
      <c r="G3627">
        <v>1</v>
      </c>
      <c r="H3627" t="s">
        <v>16</v>
      </c>
      <c r="I3627" s="1">
        <v>-2262100</v>
      </c>
      <c r="J3627" s="1">
        <v>-5123700</v>
      </c>
      <c r="K3627">
        <v>418</v>
      </c>
      <c r="L3627">
        <v>285</v>
      </c>
      <c r="M3627" t="s">
        <v>16</v>
      </c>
    </row>
    <row r="3628" spans="1:13" x14ac:dyDescent="0.35">
      <c r="A3628">
        <v>353220</v>
      </c>
      <c r="B3628">
        <v>31623</v>
      </c>
      <c r="C3628" t="s">
        <v>3806</v>
      </c>
      <c r="D3628" t="s">
        <v>3421</v>
      </c>
      <c r="E3628" t="s">
        <v>3438</v>
      </c>
      <c r="F3628">
        <v>3941</v>
      </c>
      <c r="G3628">
        <v>1</v>
      </c>
      <c r="H3628" t="s">
        <v>16</v>
      </c>
      <c r="I3628" s="1">
        <v>-2240700</v>
      </c>
      <c r="J3628" s="1">
        <v>-5152400</v>
      </c>
      <c r="K3628">
        <v>419</v>
      </c>
      <c r="L3628">
        <v>358</v>
      </c>
      <c r="M3628" t="s">
        <v>16</v>
      </c>
    </row>
    <row r="3629" spans="1:13" x14ac:dyDescent="0.35">
      <c r="A3629">
        <v>353230</v>
      </c>
      <c r="B3629">
        <v>31631</v>
      </c>
      <c r="C3629" t="s">
        <v>3807</v>
      </c>
      <c r="D3629" t="s">
        <v>3421</v>
      </c>
      <c r="E3629" t="s">
        <v>3604</v>
      </c>
      <c r="F3629">
        <v>7275</v>
      </c>
      <c r="G3629">
        <v>1</v>
      </c>
      <c r="H3629" t="s">
        <v>16</v>
      </c>
      <c r="I3629" s="1">
        <v>-2337600</v>
      </c>
      <c r="J3629" s="1">
        <v>-4544200</v>
      </c>
      <c r="K3629">
        <v>720</v>
      </c>
      <c r="L3629">
        <v>832</v>
      </c>
      <c r="M3629" t="s">
        <v>16</v>
      </c>
    </row>
    <row r="3630" spans="1:13" x14ac:dyDescent="0.35">
      <c r="A3630">
        <v>353240</v>
      </c>
      <c r="B3630">
        <v>31640</v>
      </c>
      <c r="C3630" t="s">
        <v>3808</v>
      </c>
      <c r="D3630" t="s">
        <v>3421</v>
      </c>
      <c r="E3630" t="s">
        <v>3494</v>
      </c>
      <c r="F3630">
        <v>14613</v>
      </c>
      <c r="G3630">
        <v>1</v>
      </c>
      <c r="H3630" t="s">
        <v>16</v>
      </c>
      <c r="I3630" s="1">
        <v>-2318100</v>
      </c>
      <c r="J3630" s="1">
        <v>-4639500</v>
      </c>
      <c r="K3630">
        <v>845</v>
      </c>
      <c r="L3630">
        <v>326</v>
      </c>
      <c r="M3630" t="s">
        <v>16</v>
      </c>
    </row>
    <row r="3631" spans="1:13" x14ac:dyDescent="0.35">
      <c r="A3631">
        <v>353250</v>
      </c>
      <c r="B3631">
        <v>31658</v>
      </c>
      <c r="C3631" t="s">
        <v>3809</v>
      </c>
      <c r="D3631" t="s">
        <v>3421</v>
      </c>
      <c r="E3631" t="s">
        <v>3763</v>
      </c>
      <c r="F3631">
        <v>8825</v>
      </c>
      <c r="G3631">
        <v>1</v>
      </c>
      <c r="H3631" t="s">
        <v>16</v>
      </c>
      <c r="I3631" s="1">
        <v>-2084600</v>
      </c>
      <c r="J3631" s="1">
        <v>-4963000</v>
      </c>
      <c r="K3631">
        <v>549</v>
      </c>
      <c r="L3631">
        <v>232</v>
      </c>
      <c r="M3631" t="s">
        <v>16</v>
      </c>
    </row>
    <row r="3632" spans="1:13" x14ac:dyDescent="0.35">
      <c r="A3632">
        <v>353260</v>
      </c>
      <c r="B3632">
        <v>31666</v>
      </c>
      <c r="C3632" t="s">
        <v>3763</v>
      </c>
      <c r="D3632" t="s">
        <v>3421</v>
      </c>
      <c r="E3632" t="s">
        <v>3763</v>
      </c>
      <c r="F3632">
        <v>10334</v>
      </c>
      <c r="G3632">
        <v>1</v>
      </c>
      <c r="H3632" t="s">
        <v>16</v>
      </c>
      <c r="I3632" s="1">
        <v>-2069400</v>
      </c>
      <c r="J3632" s="1">
        <v>-5003800</v>
      </c>
      <c r="K3632">
        <v>525</v>
      </c>
      <c r="L3632">
        <v>437</v>
      </c>
      <c r="M3632" t="s">
        <v>16</v>
      </c>
    </row>
    <row r="3633" spans="1:13" x14ac:dyDescent="0.35">
      <c r="A3633">
        <v>353270</v>
      </c>
      <c r="B3633">
        <v>31674</v>
      </c>
      <c r="C3633" t="s">
        <v>3810</v>
      </c>
      <c r="D3633" t="s">
        <v>3421</v>
      </c>
      <c r="E3633" t="s">
        <v>3763</v>
      </c>
      <c r="F3633">
        <v>3762</v>
      </c>
      <c r="G3633">
        <v>1</v>
      </c>
      <c r="H3633" t="s">
        <v>16</v>
      </c>
      <c r="I3633" s="1">
        <v>-2091300</v>
      </c>
      <c r="J3633" s="1">
        <v>-4977800</v>
      </c>
      <c r="K3633">
        <v>439</v>
      </c>
      <c r="L3633">
        <v>138</v>
      </c>
      <c r="M3633" t="s">
        <v>16</v>
      </c>
    </row>
    <row r="3634" spans="1:13" x14ac:dyDescent="0.35">
      <c r="A3634">
        <v>353280</v>
      </c>
      <c r="B3634">
        <v>31682</v>
      </c>
      <c r="C3634" t="s">
        <v>3811</v>
      </c>
      <c r="D3634" t="s">
        <v>3421</v>
      </c>
      <c r="E3634" t="s">
        <v>3423</v>
      </c>
      <c r="F3634">
        <v>4905</v>
      </c>
      <c r="G3634">
        <v>1</v>
      </c>
      <c r="H3634" t="s">
        <v>16</v>
      </c>
      <c r="I3634" s="1">
        <v>-2101600</v>
      </c>
      <c r="J3634" s="1">
        <v>-4949600</v>
      </c>
      <c r="K3634">
        <v>464</v>
      </c>
      <c r="L3634">
        <v>217</v>
      </c>
      <c r="M3634" t="s">
        <v>16</v>
      </c>
    </row>
    <row r="3635" spans="1:13" x14ac:dyDescent="0.35">
      <c r="A3635">
        <v>353282</v>
      </c>
      <c r="B3635">
        <v>51357</v>
      </c>
      <c r="C3635" t="s">
        <v>3812</v>
      </c>
      <c r="D3635" t="s">
        <v>3421</v>
      </c>
      <c r="E3635" t="s">
        <v>2799</v>
      </c>
      <c r="F3635">
        <v>8474</v>
      </c>
      <c r="G3635">
        <v>1</v>
      </c>
      <c r="H3635" t="s">
        <v>16</v>
      </c>
      <c r="I3635" s="1">
        <v>-2412100</v>
      </c>
      <c r="J3635" s="1">
        <v>-4890400</v>
      </c>
      <c r="K3635">
        <v>848</v>
      </c>
      <c r="L3635">
        <v>385</v>
      </c>
      <c r="M3635" t="s">
        <v>16</v>
      </c>
    </row>
    <row r="3636" spans="1:13" x14ac:dyDescent="0.35">
      <c r="A3636">
        <v>353284</v>
      </c>
      <c r="B3636">
        <v>51365</v>
      </c>
      <c r="C3636" t="s">
        <v>3813</v>
      </c>
      <c r="D3636" t="s">
        <v>3421</v>
      </c>
      <c r="E3636" t="s">
        <v>3466</v>
      </c>
      <c r="F3636">
        <v>2205</v>
      </c>
      <c r="G3636">
        <v>1</v>
      </c>
      <c r="H3636" t="s">
        <v>16</v>
      </c>
      <c r="I3636" s="1">
        <v>-2038600</v>
      </c>
      <c r="J3636" s="1">
        <v>-5094900</v>
      </c>
      <c r="K3636">
        <v>401</v>
      </c>
      <c r="L3636">
        <v>124</v>
      </c>
      <c r="M3636" t="s">
        <v>16</v>
      </c>
    </row>
    <row r="3637" spans="1:13" x14ac:dyDescent="0.35">
      <c r="A3637">
        <v>353286</v>
      </c>
      <c r="B3637">
        <v>56456</v>
      </c>
      <c r="C3637" t="s">
        <v>3814</v>
      </c>
      <c r="D3637" t="s">
        <v>3421</v>
      </c>
      <c r="E3637" t="s">
        <v>3495</v>
      </c>
      <c r="F3637">
        <v>1057</v>
      </c>
      <c r="G3637">
        <v>1</v>
      </c>
      <c r="H3637" t="s">
        <v>16</v>
      </c>
      <c r="I3637" s="1">
        <v>-2076300</v>
      </c>
      <c r="J3637" s="1">
        <v>-5034300</v>
      </c>
      <c r="K3637">
        <v>420</v>
      </c>
      <c r="L3637">
        <v>183</v>
      </c>
      <c r="M3637" t="s">
        <v>16</v>
      </c>
    </row>
    <row r="3638" spans="1:13" x14ac:dyDescent="0.35">
      <c r="A3638">
        <v>353290</v>
      </c>
      <c r="B3638">
        <v>31690</v>
      </c>
      <c r="C3638" t="s">
        <v>3815</v>
      </c>
      <c r="D3638" t="s">
        <v>3421</v>
      </c>
      <c r="E3638" t="s">
        <v>3455</v>
      </c>
      <c r="F3638">
        <v>9047</v>
      </c>
      <c r="G3638">
        <v>1</v>
      </c>
      <c r="H3638" t="s">
        <v>16</v>
      </c>
      <c r="I3638" s="1">
        <v>-2177800</v>
      </c>
      <c r="J3638" s="1">
        <v>-4856100</v>
      </c>
      <c r="K3638">
        <v>490</v>
      </c>
      <c r="L3638">
        <v>160</v>
      </c>
      <c r="M3638" t="s">
        <v>16</v>
      </c>
    </row>
    <row r="3639" spans="1:13" x14ac:dyDescent="0.35">
      <c r="A3639">
        <v>353300</v>
      </c>
      <c r="B3639">
        <v>31704</v>
      </c>
      <c r="C3639" t="s">
        <v>3816</v>
      </c>
      <c r="D3639" t="s">
        <v>3421</v>
      </c>
      <c r="E3639" t="s">
        <v>3423</v>
      </c>
      <c r="F3639">
        <v>17739</v>
      </c>
      <c r="G3639">
        <v>1</v>
      </c>
      <c r="H3639" t="s">
        <v>16</v>
      </c>
      <c r="I3639" s="1">
        <v>-2053400</v>
      </c>
      <c r="J3639" s="1">
        <v>-4931400</v>
      </c>
      <c r="K3639">
        <v>542</v>
      </c>
      <c r="L3639">
        <v>531</v>
      </c>
      <c r="M3639" t="s">
        <v>16</v>
      </c>
    </row>
    <row r="3640" spans="1:13" x14ac:dyDescent="0.35">
      <c r="A3640">
        <v>353310</v>
      </c>
      <c r="B3640">
        <v>31712</v>
      </c>
      <c r="C3640" t="s">
        <v>3817</v>
      </c>
      <c r="D3640" t="s">
        <v>3421</v>
      </c>
      <c r="E3640" t="s">
        <v>3614</v>
      </c>
      <c r="F3640">
        <v>2101</v>
      </c>
      <c r="G3640">
        <v>1</v>
      </c>
      <c r="H3640" t="s">
        <v>16</v>
      </c>
      <c r="I3640" s="1">
        <v>-2133400</v>
      </c>
      <c r="J3640" s="1">
        <v>-5164400</v>
      </c>
      <c r="K3640">
        <v>382</v>
      </c>
      <c r="L3640">
        <v>34</v>
      </c>
      <c r="M3640" t="s">
        <v>16</v>
      </c>
    </row>
    <row r="3641" spans="1:13" x14ac:dyDescent="0.35">
      <c r="A3641">
        <v>353320</v>
      </c>
      <c r="B3641">
        <v>31720</v>
      </c>
      <c r="C3641" t="s">
        <v>3818</v>
      </c>
      <c r="D3641" t="s">
        <v>3421</v>
      </c>
      <c r="E3641" t="s">
        <v>3459</v>
      </c>
      <c r="F3641">
        <v>2480</v>
      </c>
      <c r="G3641">
        <v>1</v>
      </c>
      <c r="H3641" t="s">
        <v>16</v>
      </c>
      <c r="I3641" s="1">
        <v>-2110400</v>
      </c>
      <c r="J3641" s="1">
        <v>-5149000</v>
      </c>
      <c r="K3641">
        <v>316</v>
      </c>
      <c r="L3641">
        <v>265</v>
      </c>
      <c r="M3641" t="s">
        <v>16</v>
      </c>
    </row>
    <row r="3642" spans="1:13" x14ac:dyDescent="0.35">
      <c r="A3642">
        <v>353325</v>
      </c>
      <c r="B3642">
        <v>51373</v>
      </c>
      <c r="C3642" t="s">
        <v>3819</v>
      </c>
      <c r="D3642" t="s">
        <v>3421</v>
      </c>
      <c r="E3642" t="s">
        <v>3485</v>
      </c>
      <c r="F3642">
        <v>3661</v>
      </c>
      <c r="G3642">
        <v>1</v>
      </c>
      <c r="H3642" t="s">
        <v>16</v>
      </c>
      <c r="I3642" s="1">
        <v>-2099200</v>
      </c>
      <c r="J3642" s="1">
        <v>-4891900</v>
      </c>
      <c r="K3642">
        <v>555</v>
      </c>
      <c r="L3642">
        <v>116</v>
      </c>
      <c r="M3642" t="s">
        <v>16</v>
      </c>
    </row>
    <row r="3643" spans="1:13" x14ac:dyDescent="0.35">
      <c r="A3643">
        <v>353330</v>
      </c>
      <c r="B3643">
        <v>31739</v>
      </c>
      <c r="C3643" t="s">
        <v>3820</v>
      </c>
      <c r="D3643" t="s">
        <v>3421</v>
      </c>
      <c r="E3643" t="s">
        <v>3495</v>
      </c>
      <c r="F3643">
        <v>3403</v>
      </c>
      <c r="G3643">
        <v>1</v>
      </c>
      <c r="H3643" t="s">
        <v>16</v>
      </c>
      <c r="I3643" s="1">
        <v>-2085600</v>
      </c>
      <c r="J3643" s="1">
        <v>-5026200</v>
      </c>
      <c r="K3643">
        <v>420</v>
      </c>
      <c r="L3643">
        <v>73</v>
      </c>
      <c r="M3643" t="s">
        <v>16</v>
      </c>
    </row>
    <row r="3644" spans="1:13" x14ac:dyDescent="0.35">
      <c r="A3644">
        <v>353340</v>
      </c>
      <c r="B3644">
        <v>31747</v>
      </c>
      <c r="C3644" t="s">
        <v>3821</v>
      </c>
      <c r="D3644" t="s">
        <v>3421</v>
      </c>
      <c r="E3644" t="s">
        <v>3452</v>
      </c>
      <c r="F3644">
        <v>45625</v>
      </c>
      <c r="G3644">
        <v>4</v>
      </c>
      <c r="H3644" t="s">
        <v>3453</v>
      </c>
      <c r="I3644" s="1">
        <v>-2277800</v>
      </c>
      <c r="J3644" s="1">
        <v>-4729600</v>
      </c>
      <c r="K3644">
        <v>570</v>
      </c>
      <c r="L3644">
        <v>73</v>
      </c>
      <c r="M3644" t="s">
        <v>16</v>
      </c>
    </row>
    <row r="3645" spans="1:13" x14ac:dyDescent="0.35">
      <c r="A3645">
        <v>353350</v>
      </c>
      <c r="B3645">
        <v>31755</v>
      </c>
      <c r="C3645" t="s">
        <v>2259</v>
      </c>
      <c r="D3645" t="s">
        <v>3421</v>
      </c>
      <c r="E3645" t="s">
        <v>2259</v>
      </c>
      <c r="F3645">
        <v>34264</v>
      </c>
      <c r="G3645">
        <v>1</v>
      </c>
      <c r="H3645" t="s">
        <v>16</v>
      </c>
      <c r="I3645" s="1">
        <v>-2146800</v>
      </c>
      <c r="J3645" s="1">
        <v>-4922100</v>
      </c>
      <c r="K3645">
        <v>447</v>
      </c>
      <c r="L3645">
        <v>932</v>
      </c>
      <c r="M3645" t="s">
        <v>16</v>
      </c>
    </row>
    <row r="3646" spans="1:13" x14ac:dyDescent="0.35">
      <c r="A3646">
        <v>353360</v>
      </c>
      <c r="B3646">
        <v>31763</v>
      </c>
      <c r="C3646" t="s">
        <v>3822</v>
      </c>
      <c r="D3646" t="s">
        <v>3421</v>
      </c>
      <c r="E3646" t="s">
        <v>3653</v>
      </c>
      <c r="F3646">
        <v>6629</v>
      </c>
      <c r="G3646">
        <v>1</v>
      </c>
      <c r="H3646" t="s">
        <v>16</v>
      </c>
      <c r="I3646" s="1">
        <v>-2073000</v>
      </c>
      <c r="J3646" s="1">
        <v>-4774900</v>
      </c>
      <c r="K3646">
        <v>775</v>
      </c>
      <c r="L3646">
        <v>346</v>
      </c>
      <c r="M3646" t="s">
        <v>16</v>
      </c>
    </row>
    <row r="3647" spans="1:13" x14ac:dyDescent="0.35">
      <c r="A3647">
        <v>353370</v>
      </c>
      <c r="B3647">
        <v>31771</v>
      </c>
      <c r="C3647" t="s">
        <v>3823</v>
      </c>
      <c r="D3647" t="s">
        <v>3421</v>
      </c>
      <c r="E3647" t="s">
        <v>3449</v>
      </c>
      <c r="F3647">
        <v>4180</v>
      </c>
      <c r="G3647">
        <v>1</v>
      </c>
      <c r="H3647" t="s">
        <v>16</v>
      </c>
      <c r="I3647" s="1">
        <v>-2243900</v>
      </c>
      <c r="J3647" s="1">
        <v>-4992300</v>
      </c>
      <c r="K3647">
        <v>551</v>
      </c>
      <c r="L3647">
        <v>300</v>
      </c>
      <c r="M3647" t="s">
        <v>16</v>
      </c>
    </row>
    <row r="3648" spans="1:13" x14ac:dyDescent="0.35">
      <c r="A3648">
        <v>353380</v>
      </c>
      <c r="B3648">
        <v>31780</v>
      </c>
      <c r="C3648" t="s">
        <v>3824</v>
      </c>
      <c r="D3648" t="s">
        <v>3421</v>
      </c>
      <c r="E3648" t="s">
        <v>3520</v>
      </c>
      <c r="F3648">
        <v>2714</v>
      </c>
      <c r="G3648">
        <v>1</v>
      </c>
      <c r="H3648" t="s">
        <v>16</v>
      </c>
      <c r="I3648" s="1">
        <v>-2294100</v>
      </c>
      <c r="J3648" s="1">
        <v>-4934200</v>
      </c>
      <c r="K3648">
        <v>682</v>
      </c>
      <c r="L3648">
        <v>197</v>
      </c>
      <c r="M3648" t="s">
        <v>16</v>
      </c>
    </row>
    <row r="3649" spans="1:13" x14ac:dyDescent="0.35">
      <c r="A3649">
        <v>353390</v>
      </c>
      <c r="B3649">
        <v>31798</v>
      </c>
      <c r="C3649" t="s">
        <v>3825</v>
      </c>
      <c r="D3649" t="s">
        <v>3421</v>
      </c>
      <c r="E3649" t="s">
        <v>3423</v>
      </c>
      <c r="F3649">
        <v>48020</v>
      </c>
      <c r="G3649">
        <v>1</v>
      </c>
      <c r="H3649" t="s">
        <v>16</v>
      </c>
      <c r="I3649" s="1">
        <v>-2073700</v>
      </c>
      <c r="J3649" s="1">
        <v>-4891500</v>
      </c>
      <c r="K3649">
        <v>506</v>
      </c>
      <c r="L3649">
        <v>803</v>
      </c>
      <c r="M3649" t="s">
        <v>16</v>
      </c>
    </row>
    <row r="3650" spans="1:13" x14ac:dyDescent="0.35">
      <c r="A3650">
        <v>353400</v>
      </c>
      <c r="B3650">
        <v>31801</v>
      </c>
      <c r="C3650" t="s">
        <v>3826</v>
      </c>
      <c r="D3650" t="s">
        <v>3421</v>
      </c>
      <c r="E3650" t="s">
        <v>3423</v>
      </c>
      <c r="F3650">
        <v>3736</v>
      </c>
      <c r="G3650">
        <v>1</v>
      </c>
      <c r="H3650" t="s">
        <v>16</v>
      </c>
      <c r="I3650" s="1">
        <v>-2061400</v>
      </c>
      <c r="J3650" s="1">
        <v>-4929900</v>
      </c>
      <c r="K3650">
        <v>534</v>
      </c>
      <c r="L3650">
        <v>243</v>
      </c>
      <c r="M3650" t="s">
        <v>16</v>
      </c>
    </row>
    <row r="3651" spans="1:13" x14ac:dyDescent="0.35">
      <c r="A3651">
        <v>353410</v>
      </c>
      <c r="B3651">
        <v>31810</v>
      </c>
      <c r="C3651" t="s">
        <v>3827</v>
      </c>
      <c r="D3651" t="s">
        <v>3421</v>
      </c>
      <c r="E3651" t="s">
        <v>3449</v>
      </c>
      <c r="F3651">
        <v>6079</v>
      </c>
      <c r="G3651">
        <v>1</v>
      </c>
      <c r="H3651" t="s">
        <v>16</v>
      </c>
      <c r="I3651" s="1">
        <v>-2215300</v>
      </c>
      <c r="J3651" s="1">
        <v>-5009100</v>
      </c>
      <c r="K3651">
        <v>604</v>
      </c>
      <c r="L3651">
        <v>217</v>
      </c>
      <c r="M3651" t="s">
        <v>16</v>
      </c>
    </row>
    <row r="3652" spans="1:13" x14ac:dyDescent="0.35">
      <c r="A3652">
        <v>353420</v>
      </c>
      <c r="B3652">
        <v>31828</v>
      </c>
      <c r="C3652" t="s">
        <v>3828</v>
      </c>
      <c r="D3652" t="s">
        <v>3421</v>
      </c>
      <c r="E3652" t="s">
        <v>3423</v>
      </c>
      <c r="F3652">
        <v>4916</v>
      </c>
      <c r="G3652">
        <v>1</v>
      </c>
      <c r="H3652" t="s">
        <v>16</v>
      </c>
      <c r="I3652" s="1">
        <v>-2018200</v>
      </c>
      <c r="J3652" s="1">
        <v>-4935100</v>
      </c>
      <c r="K3652">
        <v>633</v>
      </c>
      <c r="L3652">
        <v>248</v>
      </c>
      <c r="M3652" t="s">
        <v>16</v>
      </c>
    </row>
    <row r="3653" spans="1:13" x14ac:dyDescent="0.35">
      <c r="A3653">
        <v>353430</v>
      </c>
      <c r="B3653">
        <v>31836</v>
      </c>
      <c r="C3653" t="s">
        <v>3829</v>
      </c>
      <c r="D3653" t="s">
        <v>3421</v>
      </c>
      <c r="E3653" t="s">
        <v>3653</v>
      </c>
      <c r="F3653">
        <v>36149</v>
      </c>
      <c r="G3653">
        <v>1</v>
      </c>
      <c r="H3653" t="s">
        <v>16</v>
      </c>
      <c r="I3653" s="1">
        <v>-2072000</v>
      </c>
      <c r="J3653" s="1">
        <v>-4788700</v>
      </c>
      <c r="K3653">
        <v>695</v>
      </c>
      <c r="L3653">
        <v>296</v>
      </c>
      <c r="M3653" t="s">
        <v>16</v>
      </c>
    </row>
    <row r="3654" spans="1:13" x14ac:dyDescent="0.35">
      <c r="A3654">
        <v>353440</v>
      </c>
      <c r="B3654">
        <v>31844</v>
      </c>
      <c r="C3654" t="s">
        <v>3514</v>
      </c>
      <c r="D3654" t="s">
        <v>3421</v>
      </c>
      <c r="E3654" t="s">
        <v>3514</v>
      </c>
      <c r="F3654">
        <v>701012</v>
      </c>
      <c r="G3654">
        <v>4</v>
      </c>
      <c r="H3654" t="s">
        <v>3490</v>
      </c>
      <c r="I3654" s="1">
        <v>-2353300</v>
      </c>
      <c r="J3654" s="1">
        <v>-4679200</v>
      </c>
      <c r="K3654">
        <v>745</v>
      </c>
      <c r="L3654">
        <v>64</v>
      </c>
      <c r="M3654" t="s">
        <v>16</v>
      </c>
    </row>
    <row r="3655" spans="1:13" x14ac:dyDescent="0.35">
      <c r="A3655">
        <v>353450</v>
      </c>
      <c r="B3655">
        <v>31852</v>
      </c>
      <c r="C3655" t="s">
        <v>3830</v>
      </c>
      <c r="D3655" t="s">
        <v>3421</v>
      </c>
      <c r="E3655" t="s">
        <v>3449</v>
      </c>
      <c r="F3655">
        <v>2476</v>
      </c>
      <c r="G3655">
        <v>1</v>
      </c>
      <c r="H3655" t="s">
        <v>16</v>
      </c>
      <c r="I3655" s="1">
        <v>-2231800</v>
      </c>
      <c r="J3655" s="1">
        <v>-5028100</v>
      </c>
      <c r="K3655">
        <v>481</v>
      </c>
      <c r="L3655">
        <v>221</v>
      </c>
      <c r="M3655" t="s">
        <v>16</v>
      </c>
    </row>
    <row r="3656" spans="1:13" x14ac:dyDescent="0.35">
      <c r="A3656">
        <v>353460</v>
      </c>
      <c r="B3656">
        <v>31860</v>
      </c>
      <c r="C3656" t="s">
        <v>3831</v>
      </c>
      <c r="D3656" t="s">
        <v>3421</v>
      </c>
      <c r="E3656" t="s">
        <v>3420</v>
      </c>
      <c r="F3656">
        <v>30150</v>
      </c>
      <c r="G3656">
        <v>1</v>
      </c>
      <c r="H3656" t="s">
        <v>16</v>
      </c>
      <c r="I3656" s="1">
        <v>-2179700</v>
      </c>
      <c r="J3656" s="1">
        <v>-5089000</v>
      </c>
      <c r="K3656">
        <v>485</v>
      </c>
      <c r="L3656">
        <v>247</v>
      </c>
      <c r="M3656" t="s">
        <v>16</v>
      </c>
    </row>
    <row r="3657" spans="1:13" x14ac:dyDescent="0.35">
      <c r="A3657">
        <v>353470</v>
      </c>
      <c r="B3657">
        <v>31879</v>
      </c>
      <c r="C3657" t="s">
        <v>3520</v>
      </c>
      <c r="D3657" t="s">
        <v>3421</v>
      </c>
      <c r="E3657" t="s">
        <v>3520</v>
      </c>
      <c r="F3657">
        <v>98868</v>
      </c>
      <c r="G3657">
        <v>2</v>
      </c>
      <c r="H3657" t="s">
        <v>16</v>
      </c>
      <c r="I3657" s="1">
        <v>-2297900</v>
      </c>
      <c r="J3657" s="1">
        <v>-4987100</v>
      </c>
      <c r="K3657">
        <v>483</v>
      </c>
      <c r="L3657">
        <v>296</v>
      </c>
      <c r="M3657" t="s">
        <v>16</v>
      </c>
    </row>
    <row r="3658" spans="1:13" x14ac:dyDescent="0.35">
      <c r="A3658">
        <v>353475</v>
      </c>
      <c r="B3658">
        <v>56138</v>
      </c>
      <c r="C3658" t="s">
        <v>3832</v>
      </c>
      <c r="D3658" t="s">
        <v>3421</v>
      </c>
      <c r="E3658" t="s">
        <v>3629</v>
      </c>
      <c r="F3658">
        <v>7035</v>
      </c>
      <c r="G3658">
        <v>1</v>
      </c>
      <c r="H3658" t="s">
        <v>16</v>
      </c>
      <c r="I3658" s="1">
        <v>-2000100</v>
      </c>
      <c r="J3658" s="1">
        <v>-5037200</v>
      </c>
      <c r="K3658">
        <v>500</v>
      </c>
      <c r="L3658">
        <v>287</v>
      </c>
      <c r="M3658" t="s">
        <v>16</v>
      </c>
    </row>
    <row r="3659" spans="1:13" x14ac:dyDescent="0.35">
      <c r="A3659">
        <v>353480</v>
      </c>
      <c r="B3659">
        <v>31887</v>
      </c>
      <c r="C3659" t="s">
        <v>3833</v>
      </c>
      <c r="D3659" t="s">
        <v>3421</v>
      </c>
      <c r="E3659" t="s">
        <v>3614</v>
      </c>
      <c r="F3659">
        <v>7668</v>
      </c>
      <c r="G3659">
        <v>1</v>
      </c>
      <c r="H3659" t="s">
        <v>16</v>
      </c>
      <c r="I3659" s="1">
        <v>-2148900</v>
      </c>
      <c r="J3659" s="1">
        <v>-5170000</v>
      </c>
      <c r="K3659">
        <v>350</v>
      </c>
      <c r="L3659">
        <v>266</v>
      </c>
      <c r="M3659" t="s">
        <v>16</v>
      </c>
    </row>
    <row r="3660" spans="1:13" x14ac:dyDescent="0.35">
      <c r="A3660">
        <v>353490</v>
      </c>
      <c r="B3660">
        <v>31895</v>
      </c>
      <c r="C3660" t="s">
        <v>3834</v>
      </c>
      <c r="D3660" t="s">
        <v>3421</v>
      </c>
      <c r="E3660" t="s">
        <v>3420</v>
      </c>
      <c r="F3660">
        <v>13072</v>
      </c>
      <c r="G3660">
        <v>1</v>
      </c>
      <c r="H3660" t="s">
        <v>16</v>
      </c>
      <c r="I3660" s="1">
        <v>-2156200</v>
      </c>
      <c r="J3660" s="1">
        <v>-5126100</v>
      </c>
      <c r="K3660">
        <v>415</v>
      </c>
      <c r="L3660">
        <v>339</v>
      </c>
      <c r="M3660" t="s">
        <v>16</v>
      </c>
    </row>
    <row r="3661" spans="1:13" x14ac:dyDescent="0.35">
      <c r="A3661">
        <v>353500</v>
      </c>
      <c r="B3661">
        <v>31909</v>
      </c>
      <c r="C3661" t="s">
        <v>1863</v>
      </c>
      <c r="D3661" t="s">
        <v>3421</v>
      </c>
      <c r="E3661" t="s">
        <v>3423</v>
      </c>
      <c r="F3661">
        <v>10428</v>
      </c>
      <c r="G3661">
        <v>1</v>
      </c>
      <c r="H3661" t="s">
        <v>16</v>
      </c>
      <c r="I3661" s="1">
        <v>-2039000</v>
      </c>
      <c r="J3661" s="1">
        <v>-4943300</v>
      </c>
      <c r="K3661">
        <v>550</v>
      </c>
      <c r="L3661">
        <v>695</v>
      </c>
      <c r="M3661" t="s">
        <v>16</v>
      </c>
    </row>
    <row r="3662" spans="1:13" x14ac:dyDescent="0.35">
      <c r="A3662">
        <v>353510</v>
      </c>
      <c r="B3662">
        <v>31917</v>
      </c>
      <c r="C3662" t="s">
        <v>3835</v>
      </c>
      <c r="D3662" t="s">
        <v>3421</v>
      </c>
      <c r="E3662" t="s">
        <v>3485</v>
      </c>
      <c r="F3662">
        <v>10508</v>
      </c>
      <c r="G3662">
        <v>1</v>
      </c>
      <c r="H3662" t="s">
        <v>16</v>
      </c>
      <c r="I3662" s="1">
        <v>-2108300</v>
      </c>
      <c r="J3662" s="1">
        <v>-4880100</v>
      </c>
      <c r="K3662">
        <v>530</v>
      </c>
      <c r="L3662">
        <v>82</v>
      </c>
      <c r="M3662" t="s">
        <v>16</v>
      </c>
    </row>
    <row r="3663" spans="1:13" x14ac:dyDescent="0.35">
      <c r="A3663">
        <v>353520</v>
      </c>
      <c r="B3663">
        <v>31925</v>
      </c>
      <c r="C3663" t="s">
        <v>3836</v>
      </c>
      <c r="D3663" t="s">
        <v>3421</v>
      </c>
      <c r="E3663" t="s">
        <v>3466</v>
      </c>
      <c r="F3663">
        <v>9634</v>
      </c>
      <c r="G3663">
        <v>1</v>
      </c>
      <c r="H3663" t="s">
        <v>16</v>
      </c>
      <c r="I3663" s="1">
        <v>-2041600</v>
      </c>
      <c r="J3663" s="1">
        <v>-5076200</v>
      </c>
      <c r="K3663">
        <v>433</v>
      </c>
      <c r="L3663">
        <v>320</v>
      </c>
      <c r="M3663" t="s">
        <v>16</v>
      </c>
    </row>
    <row r="3664" spans="1:13" x14ac:dyDescent="0.35">
      <c r="A3664">
        <v>353530</v>
      </c>
      <c r="B3664">
        <v>31933</v>
      </c>
      <c r="C3664" t="s">
        <v>3837</v>
      </c>
      <c r="D3664" t="s">
        <v>3421</v>
      </c>
      <c r="E3664" t="s">
        <v>3492</v>
      </c>
      <c r="F3664">
        <v>21298</v>
      </c>
      <c r="G3664">
        <v>1</v>
      </c>
      <c r="H3664" t="s">
        <v>16</v>
      </c>
      <c r="I3664" s="1">
        <v>-2278900</v>
      </c>
      <c r="J3664" s="1">
        <v>-5021800</v>
      </c>
      <c r="K3664">
        <v>508</v>
      </c>
      <c r="L3664">
        <v>549</v>
      </c>
      <c r="M3664" t="s">
        <v>16</v>
      </c>
    </row>
    <row r="3665" spans="1:13" x14ac:dyDescent="0.35">
      <c r="A3665">
        <v>353540</v>
      </c>
      <c r="B3665">
        <v>31941</v>
      </c>
      <c r="C3665" t="s">
        <v>3838</v>
      </c>
      <c r="D3665" t="s">
        <v>3421</v>
      </c>
      <c r="E3665" t="s">
        <v>3614</v>
      </c>
      <c r="F3665">
        <v>13944</v>
      </c>
      <c r="G3665">
        <v>1</v>
      </c>
      <c r="H3665" t="s">
        <v>16</v>
      </c>
      <c r="I3665" s="1">
        <v>-2135600</v>
      </c>
      <c r="J3665" s="1">
        <v>-5186000</v>
      </c>
      <c r="K3665">
        <v>276</v>
      </c>
      <c r="L3665">
        <v>353</v>
      </c>
      <c r="M3665" t="s">
        <v>16</v>
      </c>
    </row>
    <row r="3666" spans="1:13" x14ac:dyDescent="0.35">
      <c r="A3666">
        <v>353550</v>
      </c>
      <c r="B3666">
        <v>31950</v>
      </c>
      <c r="C3666" t="s">
        <v>3839</v>
      </c>
      <c r="D3666" t="s">
        <v>3421</v>
      </c>
      <c r="E3666" t="s">
        <v>3492</v>
      </c>
      <c r="F3666">
        <v>42117</v>
      </c>
      <c r="G3666">
        <v>1</v>
      </c>
      <c r="H3666" t="s">
        <v>16</v>
      </c>
      <c r="I3666" s="1">
        <v>-2241300</v>
      </c>
      <c r="J3666" s="1">
        <v>-5057600</v>
      </c>
      <c r="K3666">
        <v>506</v>
      </c>
      <c r="L3666">
        <v>1001</v>
      </c>
      <c r="M3666" t="s">
        <v>16</v>
      </c>
    </row>
    <row r="3667" spans="1:13" x14ac:dyDescent="0.35">
      <c r="A3667">
        <v>353560</v>
      </c>
      <c r="B3667">
        <v>31968</v>
      </c>
      <c r="C3667" t="s">
        <v>3840</v>
      </c>
      <c r="D3667" t="s">
        <v>3421</v>
      </c>
      <c r="E3667" t="s">
        <v>3604</v>
      </c>
      <c r="F3667">
        <v>16456</v>
      </c>
      <c r="G3667">
        <v>1</v>
      </c>
      <c r="H3667" t="s">
        <v>16</v>
      </c>
      <c r="I3667" s="1">
        <v>-2338600</v>
      </c>
      <c r="J3667" s="1">
        <v>-4566200</v>
      </c>
      <c r="K3667">
        <v>635</v>
      </c>
      <c r="L3667">
        <v>809</v>
      </c>
      <c r="M3667" t="s">
        <v>16</v>
      </c>
    </row>
    <row r="3668" spans="1:13" x14ac:dyDescent="0.35">
      <c r="A3668">
        <v>353570</v>
      </c>
      <c r="B3668">
        <v>31976</v>
      </c>
      <c r="C3668" t="s">
        <v>3841</v>
      </c>
      <c r="D3668" t="s">
        <v>3421</v>
      </c>
      <c r="E3668" t="s">
        <v>3485</v>
      </c>
      <c r="F3668">
        <v>5559</v>
      </c>
      <c r="G3668">
        <v>1</v>
      </c>
      <c r="H3668" t="s">
        <v>16</v>
      </c>
      <c r="I3668" s="1">
        <v>-2101600</v>
      </c>
      <c r="J3668" s="1">
        <v>-4877400</v>
      </c>
      <c r="K3668">
        <v>598</v>
      </c>
      <c r="L3668">
        <v>154</v>
      </c>
      <c r="M3668" t="s">
        <v>16</v>
      </c>
    </row>
    <row r="3669" spans="1:13" x14ac:dyDescent="0.35">
      <c r="A3669">
        <v>353580</v>
      </c>
      <c r="B3669">
        <v>31984</v>
      </c>
      <c r="C3669" t="s">
        <v>3842</v>
      </c>
      <c r="D3669" t="s">
        <v>3421</v>
      </c>
      <c r="E3669" t="s">
        <v>3430</v>
      </c>
      <c r="F3669">
        <v>16667</v>
      </c>
      <c r="G3669">
        <v>1</v>
      </c>
      <c r="H3669" t="s">
        <v>16</v>
      </c>
      <c r="I3669" s="1">
        <v>-2338900</v>
      </c>
      <c r="J3669" s="1">
        <v>-4872300</v>
      </c>
      <c r="K3669">
        <v>610</v>
      </c>
      <c r="L3669">
        <v>1019</v>
      </c>
      <c r="M3669" t="s">
        <v>16</v>
      </c>
    </row>
    <row r="3670" spans="1:13" x14ac:dyDescent="0.35">
      <c r="A3670">
        <v>353590</v>
      </c>
      <c r="B3670">
        <v>31992</v>
      </c>
      <c r="C3670" t="s">
        <v>3843</v>
      </c>
      <c r="D3670" t="s">
        <v>3421</v>
      </c>
      <c r="E3670" t="s">
        <v>3466</v>
      </c>
      <c r="F3670">
        <v>3614</v>
      </c>
      <c r="G3670">
        <v>1</v>
      </c>
      <c r="H3670" t="s">
        <v>16</v>
      </c>
      <c r="I3670" s="1">
        <v>-2010300</v>
      </c>
      <c r="J3670" s="1">
        <v>-5058600</v>
      </c>
      <c r="K3670">
        <v>474</v>
      </c>
      <c r="L3670">
        <v>139</v>
      </c>
      <c r="M3670" t="s">
        <v>16</v>
      </c>
    </row>
    <row r="3671" spans="1:13" x14ac:dyDescent="0.35">
      <c r="A3671">
        <v>353600</v>
      </c>
      <c r="B3671">
        <v>32000</v>
      </c>
      <c r="C3671" t="s">
        <v>3844</v>
      </c>
      <c r="D3671" t="s">
        <v>3421</v>
      </c>
      <c r="E3671" t="s">
        <v>3420</v>
      </c>
      <c r="F3671">
        <v>11029</v>
      </c>
      <c r="G3671">
        <v>1</v>
      </c>
      <c r="H3671" t="s">
        <v>16</v>
      </c>
      <c r="I3671" s="1">
        <v>-2178300</v>
      </c>
      <c r="J3671" s="1">
        <v>-5079300</v>
      </c>
      <c r="K3671">
        <v>486</v>
      </c>
      <c r="L3671">
        <v>365</v>
      </c>
      <c r="M3671" t="s">
        <v>16</v>
      </c>
    </row>
    <row r="3672" spans="1:13" x14ac:dyDescent="0.35">
      <c r="A3672">
        <v>353610</v>
      </c>
      <c r="B3672">
        <v>32018</v>
      </c>
      <c r="C3672" t="s">
        <v>3845</v>
      </c>
      <c r="D3672" t="s">
        <v>3421</v>
      </c>
      <c r="E3672" t="s">
        <v>3462</v>
      </c>
      <c r="F3672">
        <v>5030</v>
      </c>
      <c r="G3672">
        <v>1</v>
      </c>
      <c r="H3672" t="s">
        <v>16</v>
      </c>
      <c r="I3672" s="1">
        <v>-2308100</v>
      </c>
      <c r="J3672" s="1">
        <v>-4837400</v>
      </c>
      <c r="K3672">
        <v>898</v>
      </c>
      <c r="L3672">
        <v>210</v>
      </c>
      <c r="M3672" t="s">
        <v>16</v>
      </c>
    </row>
    <row r="3673" spans="1:13" x14ac:dyDescent="0.35">
      <c r="A3673">
        <v>353620</v>
      </c>
      <c r="B3673">
        <v>32026</v>
      </c>
      <c r="C3673" t="s">
        <v>3846</v>
      </c>
      <c r="D3673" t="s">
        <v>3421</v>
      </c>
      <c r="E3673" t="s">
        <v>3509</v>
      </c>
      <c r="F3673">
        <v>18079</v>
      </c>
      <c r="G3673">
        <v>1</v>
      </c>
      <c r="H3673" t="s">
        <v>16</v>
      </c>
      <c r="I3673" s="1">
        <v>-2471500</v>
      </c>
      <c r="J3673" s="1">
        <v>-4788100</v>
      </c>
      <c r="K3673">
        <v>39</v>
      </c>
      <c r="L3673">
        <v>359</v>
      </c>
      <c r="M3673" t="s">
        <v>16</v>
      </c>
    </row>
    <row r="3674" spans="1:13" x14ac:dyDescent="0.35">
      <c r="A3674">
        <v>353625</v>
      </c>
      <c r="B3674">
        <v>51381</v>
      </c>
      <c r="C3674" t="s">
        <v>3847</v>
      </c>
      <c r="D3674" t="s">
        <v>3421</v>
      </c>
      <c r="E3674" t="s">
        <v>3446</v>
      </c>
      <c r="F3674">
        <v>2038</v>
      </c>
      <c r="G3674">
        <v>1</v>
      </c>
      <c r="H3674" t="s">
        <v>16</v>
      </c>
      <c r="I3674" s="1">
        <v>-2030400</v>
      </c>
      <c r="J3674" s="1">
        <v>-5001500</v>
      </c>
      <c r="K3674">
        <v>496</v>
      </c>
      <c r="L3674">
        <v>84</v>
      </c>
      <c r="M3674" t="s">
        <v>16</v>
      </c>
    </row>
    <row r="3675" spans="1:13" x14ac:dyDescent="0.35">
      <c r="A3675">
        <v>353630</v>
      </c>
      <c r="B3675">
        <v>32034</v>
      </c>
      <c r="C3675" t="s">
        <v>3848</v>
      </c>
      <c r="D3675" t="s">
        <v>3421</v>
      </c>
      <c r="E3675" t="s">
        <v>3599</v>
      </c>
      <c r="F3675">
        <v>12183</v>
      </c>
      <c r="G3675">
        <v>1</v>
      </c>
      <c r="H3675" t="s">
        <v>16</v>
      </c>
      <c r="I3675" s="1">
        <v>-2063900</v>
      </c>
      <c r="J3675" s="1">
        <v>-4728200</v>
      </c>
      <c r="K3675">
        <v>743</v>
      </c>
      <c r="L3675">
        <v>600</v>
      </c>
      <c r="M3675" t="s">
        <v>16</v>
      </c>
    </row>
    <row r="3676" spans="1:13" x14ac:dyDescent="0.35">
      <c r="A3676">
        <v>353640</v>
      </c>
      <c r="B3676">
        <v>32042</v>
      </c>
      <c r="C3676" t="s">
        <v>3849</v>
      </c>
      <c r="D3676" t="s">
        <v>3421</v>
      </c>
      <c r="E3676" t="s">
        <v>3614</v>
      </c>
      <c r="F3676">
        <v>5506</v>
      </c>
      <c r="G3676">
        <v>1</v>
      </c>
      <c r="H3676" t="s">
        <v>16</v>
      </c>
      <c r="I3676" s="1">
        <v>-2131800</v>
      </c>
      <c r="J3676" s="1">
        <v>-5183100</v>
      </c>
      <c r="K3676">
        <v>328</v>
      </c>
      <c r="L3676">
        <v>373</v>
      </c>
      <c r="M3676" t="s">
        <v>16</v>
      </c>
    </row>
    <row r="3677" spans="1:13" x14ac:dyDescent="0.35">
      <c r="A3677">
        <v>353650</v>
      </c>
      <c r="B3677">
        <v>32050</v>
      </c>
      <c r="C3677" t="s">
        <v>3850</v>
      </c>
      <c r="D3677" t="s">
        <v>3421</v>
      </c>
      <c r="E3677" t="s">
        <v>3452</v>
      </c>
      <c r="F3677">
        <v>73014</v>
      </c>
      <c r="G3677">
        <v>4</v>
      </c>
      <c r="H3677" t="s">
        <v>3453</v>
      </c>
      <c r="I3677" s="1">
        <v>-2276100</v>
      </c>
      <c r="J3677" s="1">
        <v>-4715400</v>
      </c>
      <c r="K3677">
        <v>590</v>
      </c>
      <c r="L3677">
        <v>139</v>
      </c>
      <c r="M3677" t="s">
        <v>16</v>
      </c>
    </row>
    <row r="3678" spans="1:13" x14ac:dyDescent="0.35">
      <c r="A3678">
        <v>353657</v>
      </c>
      <c r="B3678">
        <v>56464</v>
      </c>
      <c r="C3678" t="s">
        <v>3851</v>
      </c>
      <c r="D3678" t="s">
        <v>3421</v>
      </c>
      <c r="E3678" t="s">
        <v>3434</v>
      </c>
      <c r="F3678">
        <v>1824</v>
      </c>
      <c r="G3678">
        <v>1</v>
      </c>
      <c r="H3678" t="s">
        <v>16</v>
      </c>
      <c r="I3678" s="1">
        <v>-2257800</v>
      </c>
      <c r="J3678" s="1">
        <v>-4940300</v>
      </c>
      <c r="K3678">
        <v>645</v>
      </c>
      <c r="L3678">
        <v>256</v>
      </c>
      <c r="M3678" t="s">
        <v>16</v>
      </c>
    </row>
    <row r="3679" spans="1:13" x14ac:dyDescent="0.35">
      <c r="A3679">
        <v>353660</v>
      </c>
      <c r="B3679">
        <v>32069</v>
      </c>
      <c r="C3679" t="s">
        <v>3852</v>
      </c>
      <c r="D3679" t="s">
        <v>3421</v>
      </c>
      <c r="E3679" t="s">
        <v>3423</v>
      </c>
      <c r="F3679">
        <v>8942</v>
      </c>
      <c r="G3679">
        <v>1</v>
      </c>
      <c r="H3679" t="s">
        <v>16</v>
      </c>
      <c r="I3679" s="1">
        <v>-2003100</v>
      </c>
      <c r="J3679" s="1">
        <v>-4938300</v>
      </c>
      <c r="K3679">
        <v>444</v>
      </c>
      <c r="L3679">
        <v>740</v>
      </c>
      <c r="M3679" t="s">
        <v>16</v>
      </c>
    </row>
    <row r="3680" spans="1:13" x14ac:dyDescent="0.35">
      <c r="A3680">
        <v>353670</v>
      </c>
      <c r="B3680">
        <v>32077</v>
      </c>
      <c r="C3680" t="s">
        <v>3853</v>
      </c>
      <c r="D3680" t="s">
        <v>3421</v>
      </c>
      <c r="E3680" t="s">
        <v>3505</v>
      </c>
      <c r="F3680">
        <v>40270</v>
      </c>
      <c r="G3680">
        <v>1</v>
      </c>
      <c r="H3680" t="s">
        <v>16</v>
      </c>
      <c r="I3680" s="1">
        <v>-2235200</v>
      </c>
      <c r="J3680" s="1">
        <v>-4877500</v>
      </c>
      <c r="K3680">
        <v>475</v>
      </c>
      <c r="L3680">
        <v>729</v>
      </c>
      <c r="M3680" t="s">
        <v>16</v>
      </c>
    </row>
    <row r="3681" spans="1:13" x14ac:dyDescent="0.35">
      <c r="A3681">
        <v>353680</v>
      </c>
      <c r="B3681">
        <v>32085</v>
      </c>
      <c r="C3681" t="s">
        <v>3854</v>
      </c>
      <c r="D3681" t="s">
        <v>3421</v>
      </c>
      <c r="E3681" t="s">
        <v>1406</v>
      </c>
      <c r="F3681">
        <v>5835</v>
      </c>
      <c r="G3681">
        <v>1</v>
      </c>
      <c r="H3681" t="s">
        <v>16</v>
      </c>
      <c r="I3681" s="1">
        <v>-2279300</v>
      </c>
      <c r="J3681" s="1">
        <v>-4644300</v>
      </c>
      <c r="K3681">
        <v>1120</v>
      </c>
      <c r="L3681">
        <v>157</v>
      </c>
      <c r="M3681" t="s">
        <v>16</v>
      </c>
    </row>
    <row r="3682" spans="1:13" x14ac:dyDescent="0.35">
      <c r="A3682">
        <v>353690</v>
      </c>
      <c r="B3682">
        <v>32093</v>
      </c>
      <c r="C3682" t="s">
        <v>3855</v>
      </c>
      <c r="D3682" t="s">
        <v>3421</v>
      </c>
      <c r="E3682" t="s">
        <v>3629</v>
      </c>
      <c r="F3682">
        <v>2734</v>
      </c>
      <c r="G3682">
        <v>1</v>
      </c>
      <c r="H3682" t="s">
        <v>16</v>
      </c>
      <c r="I3682" s="1">
        <v>-2024800</v>
      </c>
      <c r="J3682" s="1">
        <v>-5011000</v>
      </c>
      <c r="K3682">
        <v>475</v>
      </c>
      <c r="L3682">
        <v>259</v>
      </c>
      <c r="M3682" t="s">
        <v>16</v>
      </c>
    </row>
    <row r="3683" spans="1:13" x14ac:dyDescent="0.35">
      <c r="A3683">
        <v>353700</v>
      </c>
      <c r="B3683">
        <v>32107</v>
      </c>
      <c r="C3683" t="s">
        <v>3856</v>
      </c>
      <c r="D3683" t="s">
        <v>3421</v>
      </c>
      <c r="E3683" t="s">
        <v>3599</v>
      </c>
      <c r="F3683">
        <v>15156</v>
      </c>
      <c r="G3683">
        <v>1</v>
      </c>
      <c r="H3683" t="s">
        <v>16</v>
      </c>
      <c r="I3683" s="1">
        <v>-2025700</v>
      </c>
      <c r="J3683" s="1">
        <v>-4747700</v>
      </c>
      <c r="K3683">
        <v>1035</v>
      </c>
      <c r="L3683">
        <v>701</v>
      </c>
      <c r="M3683" t="s">
        <v>16</v>
      </c>
    </row>
    <row r="3684" spans="1:13" x14ac:dyDescent="0.35">
      <c r="A3684">
        <v>353710</v>
      </c>
      <c r="B3684">
        <v>32115</v>
      </c>
      <c r="C3684" t="s">
        <v>3857</v>
      </c>
      <c r="D3684" t="s">
        <v>3421</v>
      </c>
      <c r="E3684" t="s">
        <v>3452</v>
      </c>
      <c r="F3684">
        <v>38152</v>
      </c>
      <c r="G3684">
        <v>4</v>
      </c>
      <c r="H3684" t="s">
        <v>3453</v>
      </c>
      <c r="I3684" s="1">
        <v>-2274200</v>
      </c>
      <c r="J3684" s="1">
        <v>-4690100</v>
      </c>
      <c r="K3684">
        <v>590</v>
      </c>
      <c r="L3684">
        <v>109</v>
      </c>
      <c r="M3684" t="s">
        <v>16</v>
      </c>
    </row>
    <row r="3685" spans="1:13" x14ac:dyDescent="0.35">
      <c r="A3685">
        <v>353715</v>
      </c>
      <c r="B3685">
        <v>51390</v>
      </c>
      <c r="C3685" t="s">
        <v>3858</v>
      </c>
      <c r="D3685" t="s">
        <v>3421</v>
      </c>
      <c r="E3685" t="s">
        <v>3492</v>
      </c>
      <c r="F3685">
        <v>2834</v>
      </c>
      <c r="G3685">
        <v>1</v>
      </c>
      <c r="H3685" t="s">
        <v>16</v>
      </c>
      <c r="I3685" s="1">
        <v>-2281500</v>
      </c>
      <c r="J3685" s="1">
        <v>-5079400</v>
      </c>
      <c r="K3685">
        <v>330</v>
      </c>
      <c r="L3685">
        <v>152</v>
      </c>
      <c r="M3685" t="s">
        <v>16</v>
      </c>
    </row>
    <row r="3686" spans="1:13" x14ac:dyDescent="0.35">
      <c r="A3686">
        <v>353720</v>
      </c>
      <c r="B3686">
        <v>32123</v>
      </c>
      <c r="C3686" t="s">
        <v>3859</v>
      </c>
      <c r="D3686" t="s">
        <v>3421</v>
      </c>
      <c r="E3686" t="s">
        <v>3708</v>
      </c>
      <c r="F3686">
        <v>9692</v>
      </c>
      <c r="G3686">
        <v>1</v>
      </c>
      <c r="H3686" t="s">
        <v>16</v>
      </c>
      <c r="I3686" s="1">
        <v>-2427500</v>
      </c>
      <c r="J3686" s="1">
        <v>-4723300</v>
      </c>
      <c r="K3686">
        <v>45</v>
      </c>
      <c r="L3686">
        <v>671</v>
      </c>
      <c r="M3686" t="s">
        <v>16</v>
      </c>
    </row>
    <row r="3687" spans="1:13" x14ac:dyDescent="0.35">
      <c r="A3687">
        <v>353730</v>
      </c>
      <c r="B3687">
        <v>32131</v>
      </c>
      <c r="C3687" t="s">
        <v>3860</v>
      </c>
      <c r="D3687" t="s">
        <v>3421</v>
      </c>
      <c r="E3687" t="s">
        <v>3442</v>
      </c>
      <c r="F3687">
        <v>56681</v>
      </c>
      <c r="G3687">
        <v>2</v>
      </c>
      <c r="H3687" t="s">
        <v>16</v>
      </c>
      <c r="I3687" s="1">
        <v>-2142000</v>
      </c>
      <c r="J3687" s="1">
        <v>-5007800</v>
      </c>
      <c r="K3687">
        <v>416</v>
      </c>
      <c r="L3687">
        <v>708</v>
      </c>
      <c r="M3687" t="s">
        <v>16</v>
      </c>
    </row>
    <row r="3688" spans="1:13" x14ac:dyDescent="0.35">
      <c r="A3688">
        <v>353740</v>
      </c>
      <c r="B3688">
        <v>32140</v>
      </c>
      <c r="C3688" t="s">
        <v>3861</v>
      </c>
      <c r="D3688" t="s">
        <v>3421</v>
      </c>
      <c r="E3688" t="s">
        <v>3459</v>
      </c>
      <c r="F3688">
        <v>24220</v>
      </c>
      <c r="G3688">
        <v>1</v>
      </c>
      <c r="H3688" t="s">
        <v>16</v>
      </c>
      <c r="I3688" s="1">
        <v>-2063800</v>
      </c>
      <c r="J3688" s="1">
        <v>-5110900</v>
      </c>
      <c r="K3688">
        <v>347</v>
      </c>
      <c r="L3688">
        <v>979</v>
      </c>
      <c r="M3688" t="s">
        <v>16</v>
      </c>
    </row>
    <row r="3689" spans="1:13" x14ac:dyDescent="0.35">
      <c r="A3689">
        <v>353750</v>
      </c>
      <c r="B3689">
        <v>32158</v>
      </c>
      <c r="C3689" t="s">
        <v>3862</v>
      </c>
      <c r="D3689" t="s">
        <v>3421</v>
      </c>
      <c r="E3689" t="s">
        <v>3530</v>
      </c>
      <c r="F3689">
        <v>7347</v>
      </c>
      <c r="G3689">
        <v>1</v>
      </c>
      <c r="H3689" t="s">
        <v>16</v>
      </c>
      <c r="I3689" s="1">
        <v>-2307600</v>
      </c>
      <c r="J3689" s="1">
        <v>-4797600</v>
      </c>
      <c r="K3689">
        <v>490</v>
      </c>
      <c r="L3689">
        <v>222</v>
      </c>
      <c r="M3689" t="s">
        <v>16</v>
      </c>
    </row>
    <row r="3690" spans="1:13" x14ac:dyDescent="0.35">
      <c r="A3690">
        <v>353760</v>
      </c>
      <c r="B3690">
        <v>32166</v>
      </c>
      <c r="C3690" t="s">
        <v>3863</v>
      </c>
      <c r="D3690" t="s">
        <v>3421</v>
      </c>
      <c r="E3690" t="s">
        <v>3708</v>
      </c>
      <c r="F3690">
        <v>54457</v>
      </c>
      <c r="G3690">
        <v>4</v>
      </c>
      <c r="H3690" t="s">
        <v>3523</v>
      </c>
      <c r="I3690" s="1">
        <v>-2432000</v>
      </c>
      <c r="J3690" s="1">
        <v>-4699800</v>
      </c>
      <c r="K3690">
        <v>5</v>
      </c>
      <c r="L3690">
        <v>326</v>
      </c>
      <c r="M3690" t="s">
        <v>16</v>
      </c>
    </row>
    <row r="3691" spans="1:13" x14ac:dyDescent="0.35">
      <c r="A3691">
        <v>353770</v>
      </c>
      <c r="B3691">
        <v>32174</v>
      </c>
      <c r="C3691" t="s">
        <v>3864</v>
      </c>
      <c r="D3691" t="s">
        <v>3421</v>
      </c>
      <c r="E3691" t="s">
        <v>3442</v>
      </c>
      <c r="F3691">
        <v>5093</v>
      </c>
      <c r="G3691">
        <v>1</v>
      </c>
      <c r="H3691" t="s">
        <v>16</v>
      </c>
      <c r="I3691" s="1">
        <v>-2159200</v>
      </c>
      <c r="J3691" s="1">
        <v>-5059900</v>
      </c>
      <c r="K3691">
        <v>422</v>
      </c>
      <c r="L3691">
        <v>232</v>
      </c>
      <c r="M3691" t="s">
        <v>16</v>
      </c>
    </row>
    <row r="3692" spans="1:13" x14ac:dyDescent="0.35">
      <c r="A3692">
        <v>353780</v>
      </c>
      <c r="B3692">
        <v>32182</v>
      </c>
      <c r="C3692" t="s">
        <v>3680</v>
      </c>
      <c r="D3692" t="s">
        <v>3421</v>
      </c>
      <c r="E3692" t="s">
        <v>3680</v>
      </c>
      <c r="F3692">
        <v>48430</v>
      </c>
      <c r="G3692">
        <v>1</v>
      </c>
      <c r="H3692" t="s">
        <v>16</v>
      </c>
      <c r="I3692" s="1">
        <v>-2371200</v>
      </c>
      <c r="J3692" s="1">
        <v>-4742800</v>
      </c>
      <c r="K3692">
        <v>781</v>
      </c>
      <c r="L3692">
        <v>745</v>
      </c>
      <c r="M3692" t="s">
        <v>16</v>
      </c>
    </row>
    <row r="3693" spans="1:13" x14ac:dyDescent="0.35">
      <c r="A3693">
        <v>353790</v>
      </c>
      <c r="B3693">
        <v>32190</v>
      </c>
      <c r="C3693" t="s">
        <v>3865</v>
      </c>
      <c r="D3693" t="s">
        <v>3421</v>
      </c>
      <c r="E3693" t="s">
        <v>3680</v>
      </c>
      <c r="F3693">
        <v>26457</v>
      </c>
      <c r="G3693">
        <v>1</v>
      </c>
      <c r="H3693" t="s">
        <v>16</v>
      </c>
      <c r="I3693" s="1">
        <v>-2381300</v>
      </c>
      <c r="J3693" s="1">
        <v>-4771600</v>
      </c>
      <c r="K3693">
        <v>689</v>
      </c>
      <c r="L3693">
        <v>682</v>
      </c>
      <c r="M3693" t="s">
        <v>16</v>
      </c>
    </row>
    <row r="3694" spans="1:13" x14ac:dyDescent="0.35">
      <c r="A3694">
        <v>353800</v>
      </c>
      <c r="B3694">
        <v>32204</v>
      </c>
      <c r="C3694" t="s">
        <v>3866</v>
      </c>
      <c r="D3694" t="s">
        <v>3421</v>
      </c>
      <c r="E3694" t="s">
        <v>3546</v>
      </c>
      <c r="F3694">
        <v>135682</v>
      </c>
      <c r="G3694">
        <v>3</v>
      </c>
      <c r="H3694" t="s">
        <v>16</v>
      </c>
      <c r="I3694" s="1">
        <v>-2292400</v>
      </c>
      <c r="J3694" s="1">
        <v>-4546200</v>
      </c>
      <c r="K3694">
        <v>557</v>
      </c>
      <c r="L3694">
        <v>730</v>
      </c>
      <c r="M3694" t="s">
        <v>16</v>
      </c>
    </row>
    <row r="3695" spans="1:13" x14ac:dyDescent="0.35">
      <c r="A3695">
        <v>353810</v>
      </c>
      <c r="B3695">
        <v>32212</v>
      </c>
      <c r="C3695" t="s">
        <v>3867</v>
      </c>
      <c r="D3695" t="s">
        <v>3421</v>
      </c>
      <c r="E3695" t="s">
        <v>3485</v>
      </c>
      <c r="F3695">
        <v>14345</v>
      </c>
      <c r="G3695">
        <v>1</v>
      </c>
      <c r="H3695" t="s">
        <v>16</v>
      </c>
      <c r="I3695" s="1">
        <v>-2118600</v>
      </c>
      <c r="J3695" s="1">
        <v>-4890700</v>
      </c>
      <c r="K3695">
        <v>527</v>
      </c>
      <c r="L3695">
        <v>184</v>
      </c>
      <c r="M3695" t="s">
        <v>16</v>
      </c>
    </row>
    <row r="3696" spans="1:13" x14ac:dyDescent="0.35">
      <c r="A3696">
        <v>353820</v>
      </c>
      <c r="B3696">
        <v>32239</v>
      </c>
      <c r="C3696" t="s">
        <v>3868</v>
      </c>
      <c r="D3696" t="s">
        <v>3421</v>
      </c>
      <c r="E3696" t="s">
        <v>1406</v>
      </c>
      <c r="F3696">
        <v>11817</v>
      </c>
      <c r="G3696">
        <v>1</v>
      </c>
      <c r="H3696" t="s">
        <v>16</v>
      </c>
      <c r="I3696" s="1">
        <v>-2277900</v>
      </c>
      <c r="J3696" s="1">
        <v>-4659100</v>
      </c>
      <c r="K3696">
        <v>910</v>
      </c>
      <c r="L3696">
        <v>154</v>
      </c>
      <c r="M3696" t="s">
        <v>16</v>
      </c>
    </row>
    <row r="3697" spans="1:13" x14ac:dyDescent="0.35">
      <c r="A3697">
        <v>353830</v>
      </c>
      <c r="B3697">
        <v>32247</v>
      </c>
      <c r="C3697" t="s">
        <v>3869</v>
      </c>
      <c r="D3697" t="s">
        <v>3421</v>
      </c>
      <c r="E3697" t="s">
        <v>3438</v>
      </c>
      <c r="F3697">
        <v>3599</v>
      </c>
      <c r="G3697">
        <v>1</v>
      </c>
      <c r="H3697" t="s">
        <v>16</v>
      </c>
      <c r="I3697" s="1">
        <v>-2186800</v>
      </c>
      <c r="J3697" s="1">
        <v>-5172900</v>
      </c>
      <c r="K3697">
        <v>440</v>
      </c>
      <c r="L3697">
        <v>482</v>
      </c>
      <c r="M3697" t="s">
        <v>16</v>
      </c>
    </row>
    <row r="3698" spans="1:13" x14ac:dyDescent="0.35">
      <c r="A3698">
        <v>353850</v>
      </c>
      <c r="B3698">
        <v>32255</v>
      </c>
      <c r="C3698" t="s">
        <v>3870</v>
      </c>
      <c r="D3698" t="s">
        <v>3421</v>
      </c>
      <c r="E3698" t="s">
        <v>3464</v>
      </c>
      <c r="F3698">
        <v>14475</v>
      </c>
      <c r="G3698">
        <v>1</v>
      </c>
      <c r="H3698" t="s">
        <v>16</v>
      </c>
      <c r="I3698" s="1">
        <v>-2261400</v>
      </c>
      <c r="J3698" s="1">
        <v>-4517600</v>
      </c>
      <c r="K3698">
        <v>645</v>
      </c>
      <c r="L3698">
        <v>175</v>
      </c>
      <c r="M3698" t="s">
        <v>16</v>
      </c>
    </row>
    <row r="3699" spans="1:13" x14ac:dyDescent="0.35">
      <c r="A3699">
        <v>353860</v>
      </c>
      <c r="B3699">
        <v>32263</v>
      </c>
      <c r="C3699" t="s">
        <v>3871</v>
      </c>
      <c r="D3699" t="s">
        <v>3421</v>
      </c>
      <c r="E3699" t="s">
        <v>3494</v>
      </c>
      <c r="F3699">
        <v>22335</v>
      </c>
      <c r="G3699">
        <v>1</v>
      </c>
      <c r="H3699" t="s">
        <v>16</v>
      </c>
      <c r="I3699" s="1">
        <v>-2305400</v>
      </c>
      <c r="J3699" s="1">
        <v>-4635800</v>
      </c>
      <c r="K3699">
        <v>792</v>
      </c>
      <c r="L3699">
        <v>384</v>
      </c>
      <c r="M3699" t="s">
        <v>16</v>
      </c>
    </row>
    <row r="3700" spans="1:13" x14ac:dyDescent="0.35">
      <c r="A3700">
        <v>353870</v>
      </c>
      <c r="B3700">
        <v>32271</v>
      </c>
      <c r="C3700" t="s">
        <v>3432</v>
      </c>
      <c r="D3700" t="s">
        <v>3421</v>
      </c>
      <c r="E3700" t="s">
        <v>3432</v>
      </c>
      <c r="F3700">
        <v>358108</v>
      </c>
      <c r="G3700">
        <v>3</v>
      </c>
      <c r="H3700" t="s">
        <v>16</v>
      </c>
      <c r="I3700" s="1">
        <v>-2272500</v>
      </c>
      <c r="J3700" s="1">
        <v>-4764900</v>
      </c>
      <c r="K3700">
        <v>547</v>
      </c>
      <c r="L3700">
        <v>1369</v>
      </c>
      <c r="M3700" t="s">
        <v>16</v>
      </c>
    </row>
    <row r="3701" spans="1:13" x14ac:dyDescent="0.35">
      <c r="A3701">
        <v>353880</v>
      </c>
      <c r="B3701">
        <v>32280</v>
      </c>
      <c r="C3701" t="s">
        <v>3872</v>
      </c>
      <c r="D3701" t="s">
        <v>3421</v>
      </c>
      <c r="E3701" t="s">
        <v>3520</v>
      </c>
      <c r="F3701">
        <v>28228</v>
      </c>
      <c r="G3701">
        <v>1</v>
      </c>
      <c r="H3701" t="s">
        <v>16</v>
      </c>
      <c r="I3701" s="1">
        <v>-2319400</v>
      </c>
      <c r="J3701" s="1">
        <v>-4938400</v>
      </c>
      <c r="K3701">
        <v>646</v>
      </c>
      <c r="L3701">
        <v>505</v>
      </c>
      <c r="M3701" t="s">
        <v>16</v>
      </c>
    </row>
    <row r="3702" spans="1:13" x14ac:dyDescent="0.35">
      <c r="A3702">
        <v>353890</v>
      </c>
      <c r="B3702">
        <v>32298</v>
      </c>
      <c r="C3702" t="s">
        <v>3873</v>
      </c>
      <c r="D3702" t="s">
        <v>3421</v>
      </c>
      <c r="E3702" t="s">
        <v>3434</v>
      </c>
      <c r="F3702">
        <v>21035</v>
      </c>
      <c r="G3702">
        <v>1</v>
      </c>
      <c r="H3702" t="s">
        <v>16</v>
      </c>
      <c r="I3702" s="1">
        <v>-2199900</v>
      </c>
      <c r="J3702" s="1">
        <v>-4945700</v>
      </c>
      <c r="K3702">
        <v>468</v>
      </c>
      <c r="L3702">
        <v>819</v>
      </c>
      <c r="M3702" t="s">
        <v>16</v>
      </c>
    </row>
    <row r="3703" spans="1:13" x14ac:dyDescent="0.35">
      <c r="A3703">
        <v>353900</v>
      </c>
      <c r="B3703">
        <v>32301</v>
      </c>
      <c r="C3703" t="s">
        <v>3874</v>
      </c>
      <c r="D3703" t="s">
        <v>3421</v>
      </c>
      <c r="E3703" t="s">
        <v>3517</v>
      </c>
      <c r="F3703">
        <v>10315</v>
      </c>
      <c r="G3703">
        <v>1</v>
      </c>
      <c r="H3703" t="s">
        <v>16</v>
      </c>
      <c r="I3703" s="1">
        <v>-2109100</v>
      </c>
      <c r="J3703" s="1">
        <v>-4865800</v>
      </c>
      <c r="K3703">
        <v>538</v>
      </c>
      <c r="L3703">
        <v>215</v>
      </c>
      <c r="M3703" t="s">
        <v>16</v>
      </c>
    </row>
    <row r="3704" spans="1:13" x14ac:dyDescent="0.35">
      <c r="A3704">
        <v>353910</v>
      </c>
      <c r="B3704">
        <v>32310</v>
      </c>
      <c r="C3704" t="s">
        <v>3875</v>
      </c>
      <c r="D3704" t="s">
        <v>3421</v>
      </c>
      <c r="E3704" t="s">
        <v>3514</v>
      </c>
      <c r="F3704">
        <v>14370</v>
      </c>
      <c r="G3704">
        <v>4</v>
      </c>
      <c r="H3704" t="s">
        <v>3490</v>
      </c>
      <c r="I3704" s="1">
        <v>-2339700</v>
      </c>
      <c r="J3704" s="1">
        <v>-4700200</v>
      </c>
      <c r="K3704">
        <v>665</v>
      </c>
      <c r="L3704">
        <v>108</v>
      </c>
      <c r="M3704" t="s">
        <v>16</v>
      </c>
    </row>
    <row r="3705" spans="1:13" x14ac:dyDescent="0.35">
      <c r="A3705">
        <v>353920</v>
      </c>
      <c r="B3705">
        <v>32328</v>
      </c>
      <c r="C3705" t="s">
        <v>3876</v>
      </c>
      <c r="D3705" t="s">
        <v>3421</v>
      </c>
      <c r="E3705" t="s">
        <v>3438</v>
      </c>
      <c r="F3705">
        <v>23709</v>
      </c>
      <c r="G3705">
        <v>1</v>
      </c>
      <c r="H3705" t="s">
        <v>16</v>
      </c>
      <c r="I3705" s="1">
        <v>-2227500</v>
      </c>
      <c r="J3705" s="1">
        <v>-5150000</v>
      </c>
      <c r="K3705">
        <v>487</v>
      </c>
      <c r="L3705">
        <v>480</v>
      </c>
      <c r="M3705" t="s">
        <v>16</v>
      </c>
    </row>
    <row r="3706" spans="1:13" x14ac:dyDescent="0.35">
      <c r="A3706">
        <v>353930</v>
      </c>
      <c r="B3706">
        <v>32336</v>
      </c>
      <c r="C3706" t="s">
        <v>3425</v>
      </c>
      <c r="D3706" t="s">
        <v>3421</v>
      </c>
      <c r="E3706" t="s">
        <v>3425</v>
      </c>
      <c r="F3706">
        <v>67787</v>
      </c>
      <c r="G3706">
        <v>2</v>
      </c>
      <c r="H3706" t="s">
        <v>16</v>
      </c>
      <c r="I3706" s="1">
        <v>-2199600</v>
      </c>
      <c r="J3706" s="1">
        <v>-4742600</v>
      </c>
      <c r="K3706">
        <v>627</v>
      </c>
      <c r="L3706">
        <v>726</v>
      </c>
      <c r="M3706" t="s">
        <v>16</v>
      </c>
    </row>
    <row r="3707" spans="1:13" x14ac:dyDescent="0.35">
      <c r="A3707">
        <v>353940</v>
      </c>
      <c r="B3707">
        <v>32344</v>
      </c>
      <c r="C3707" t="s">
        <v>3877</v>
      </c>
      <c r="D3707" t="s">
        <v>3421</v>
      </c>
      <c r="E3707" t="s">
        <v>3434</v>
      </c>
      <c r="F3707">
        <v>11287</v>
      </c>
      <c r="G3707">
        <v>1</v>
      </c>
      <c r="H3707" t="s">
        <v>16</v>
      </c>
      <c r="I3707" s="1">
        <v>-2241300</v>
      </c>
      <c r="J3707" s="1">
        <v>-4913500</v>
      </c>
      <c r="K3707">
        <v>516</v>
      </c>
      <c r="L3707">
        <v>397</v>
      </c>
      <c r="M3707" t="s">
        <v>16</v>
      </c>
    </row>
    <row r="3708" spans="1:13" x14ac:dyDescent="0.35">
      <c r="A3708">
        <v>353950</v>
      </c>
      <c r="B3708">
        <v>32352</v>
      </c>
      <c r="C3708" t="s">
        <v>3878</v>
      </c>
      <c r="D3708" t="s">
        <v>3421</v>
      </c>
      <c r="E3708" t="s">
        <v>3517</v>
      </c>
      <c r="F3708">
        <v>33329</v>
      </c>
      <c r="G3708">
        <v>1</v>
      </c>
      <c r="H3708" t="s">
        <v>16</v>
      </c>
      <c r="I3708" s="1">
        <v>-2100900</v>
      </c>
      <c r="J3708" s="1">
        <v>-4822200</v>
      </c>
      <c r="K3708">
        <v>512</v>
      </c>
      <c r="L3708">
        <v>429</v>
      </c>
      <c r="M3708" t="s">
        <v>16</v>
      </c>
    </row>
    <row r="3709" spans="1:13" x14ac:dyDescent="0.35">
      <c r="A3709">
        <v>353960</v>
      </c>
      <c r="B3709">
        <v>32360</v>
      </c>
      <c r="C3709" t="s">
        <v>2283</v>
      </c>
      <c r="D3709" t="s">
        <v>3421</v>
      </c>
      <c r="E3709" t="s">
        <v>3423</v>
      </c>
      <c r="F3709">
        <v>4014</v>
      </c>
      <c r="G3709">
        <v>1</v>
      </c>
      <c r="H3709" t="s">
        <v>16</v>
      </c>
      <c r="I3709" s="1">
        <v>-2103400</v>
      </c>
      <c r="J3709" s="1">
        <v>-4992900</v>
      </c>
      <c r="K3709">
        <v>434</v>
      </c>
      <c r="L3709">
        <v>289</v>
      </c>
      <c r="M3709" t="s">
        <v>16</v>
      </c>
    </row>
    <row r="3710" spans="1:13" x14ac:dyDescent="0.35">
      <c r="A3710">
        <v>353970</v>
      </c>
      <c r="B3710">
        <v>32379</v>
      </c>
      <c r="C3710" t="s">
        <v>3879</v>
      </c>
      <c r="D3710" t="s">
        <v>3421</v>
      </c>
      <c r="E3710" t="s">
        <v>3492</v>
      </c>
      <c r="F3710">
        <v>3167</v>
      </c>
      <c r="G3710">
        <v>1</v>
      </c>
      <c r="H3710" t="s">
        <v>16</v>
      </c>
      <c r="I3710" s="1">
        <v>-2263800</v>
      </c>
      <c r="J3710" s="1">
        <v>-5020400</v>
      </c>
      <c r="K3710">
        <v>466</v>
      </c>
      <c r="L3710">
        <v>327</v>
      </c>
      <c r="M3710" t="s">
        <v>16</v>
      </c>
    </row>
    <row r="3711" spans="1:13" x14ac:dyDescent="0.35">
      <c r="A3711">
        <v>353980</v>
      </c>
      <c r="B3711">
        <v>32387</v>
      </c>
      <c r="C3711" t="s">
        <v>3880</v>
      </c>
      <c r="D3711" t="s">
        <v>3421</v>
      </c>
      <c r="E3711" t="s">
        <v>3526</v>
      </c>
      <c r="F3711">
        <v>104904</v>
      </c>
      <c r="G3711">
        <v>4</v>
      </c>
      <c r="H3711" t="s">
        <v>3490</v>
      </c>
      <c r="I3711" s="1">
        <v>-2352800</v>
      </c>
      <c r="J3711" s="1">
        <v>-4634500</v>
      </c>
      <c r="K3711">
        <v>760</v>
      </c>
      <c r="L3711">
        <v>17</v>
      </c>
      <c r="M3711" t="s">
        <v>16</v>
      </c>
    </row>
    <row r="3712" spans="1:13" x14ac:dyDescent="0.35">
      <c r="A3712">
        <v>353990</v>
      </c>
      <c r="B3712">
        <v>32395</v>
      </c>
      <c r="C3712" t="s">
        <v>3881</v>
      </c>
      <c r="D3712" t="s">
        <v>3421</v>
      </c>
      <c r="E3712" t="s">
        <v>3763</v>
      </c>
      <c r="F3712">
        <v>4878</v>
      </c>
      <c r="G3712">
        <v>1</v>
      </c>
      <c r="H3712" t="s">
        <v>16</v>
      </c>
      <c r="I3712" s="1">
        <v>-2078500</v>
      </c>
      <c r="J3712" s="1">
        <v>-4982400</v>
      </c>
      <c r="K3712">
        <v>548</v>
      </c>
      <c r="L3712">
        <v>134</v>
      </c>
      <c r="M3712" t="s">
        <v>16</v>
      </c>
    </row>
    <row r="3713" spans="1:13" x14ac:dyDescent="0.35">
      <c r="A3713">
        <v>354000</v>
      </c>
      <c r="B3713">
        <v>32409</v>
      </c>
      <c r="C3713" t="s">
        <v>3882</v>
      </c>
      <c r="D3713" t="s">
        <v>3421</v>
      </c>
      <c r="E3713" t="s">
        <v>3449</v>
      </c>
      <c r="F3713">
        <v>19091</v>
      </c>
      <c r="G3713">
        <v>1</v>
      </c>
      <c r="H3713" t="s">
        <v>16</v>
      </c>
      <c r="I3713" s="1">
        <v>-2210900</v>
      </c>
      <c r="J3713" s="1">
        <v>-5017200</v>
      </c>
      <c r="K3713">
        <v>597</v>
      </c>
      <c r="L3713">
        <v>786</v>
      </c>
      <c r="M3713" t="s">
        <v>16</v>
      </c>
    </row>
    <row r="3714" spans="1:13" x14ac:dyDescent="0.35">
      <c r="A3714">
        <v>354010</v>
      </c>
      <c r="B3714">
        <v>32417</v>
      </c>
      <c r="C3714" t="s">
        <v>3883</v>
      </c>
      <c r="D3714" t="s">
        <v>3421</v>
      </c>
      <c r="E3714" t="s">
        <v>3434</v>
      </c>
      <c r="F3714">
        <v>3473</v>
      </c>
      <c r="G3714">
        <v>1</v>
      </c>
      <c r="H3714" t="s">
        <v>16</v>
      </c>
      <c r="I3714" s="1">
        <v>-2173600</v>
      </c>
      <c r="J3714" s="1">
        <v>-4936700</v>
      </c>
      <c r="K3714">
        <v>422</v>
      </c>
      <c r="L3714">
        <v>183</v>
      </c>
      <c r="M3714" t="s">
        <v>16</v>
      </c>
    </row>
    <row r="3715" spans="1:13" x14ac:dyDescent="0.35">
      <c r="A3715">
        <v>354020</v>
      </c>
      <c r="B3715">
        <v>32425</v>
      </c>
      <c r="C3715" t="s">
        <v>3884</v>
      </c>
      <c r="D3715" t="s">
        <v>3421</v>
      </c>
      <c r="E3715" t="s">
        <v>3512</v>
      </c>
      <c r="F3715">
        <v>35560</v>
      </c>
      <c r="G3715">
        <v>1</v>
      </c>
      <c r="H3715" t="s">
        <v>16</v>
      </c>
      <c r="I3715" s="1">
        <v>-2102300</v>
      </c>
      <c r="J3715" s="1">
        <v>-4803700</v>
      </c>
      <c r="K3715">
        <v>515</v>
      </c>
      <c r="L3715">
        <v>355</v>
      </c>
      <c r="M3715" t="s">
        <v>16</v>
      </c>
    </row>
    <row r="3716" spans="1:13" x14ac:dyDescent="0.35">
      <c r="A3716">
        <v>354025</v>
      </c>
      <c r="B3716">
        <v>51403</v>
      </c>
      <c r="C3716" t="s">
        <v>3885</v>
      </c>
      <c r="D3716" t="s">
        <v>3421</v>
      </c>
      <c r="E3716" t="s">
        <v>3466</v>
      </c>
      <c r="F3716">
        <v>3906</v>
      </c>
      <c r="G3716">
        <v>1</v>
      </c>
      <c r="H3716" t="s">
        <v>16</v>
      </c>
      <c r="I3716" s="1">
        <v>-2044100</v>
      </c>
      <c r="J3716" s="1">
        <v>-5052300</v>
      </c>
      <c r="K3716">
        <v>435</v>
      </c>
      <c r="L3716">
        <v>210</v>
      </c>
      <c r="M3716" t="s">
        <v>16</v>
      </c>
    </row>
    <row r="3717" spans="1:13" x14ac:dyDescent="0.35">
      <c r="A3717">
        <v>354030</v>
      </c>
      <c r="B3717">
        <v>32433</v>
      </c>
      <c r="C3717" t="s">
        <v>3886</v>
      </c>
      <c r="D3717" t="s">
        <v>3421</v>
      </c>
      <c r="E3717" t="s">
        <v>3446</v>
      </c>
      <c r="F3717">
        <v>2487</v>
      </c>
      <c r="G3717">
        <v>1</v>
      </c>
      <c r="H3717" t="s">
        <v>16</v>
      </c>
      <c r="I3717" s="1">
        <v>-2016700</v>
      </c>
      <c r="J3717" s="1">
        <v>-4970300</v>
      </c>
      <c r="K3717">
        <v>449</v>
      </c>
      <c r="L3717">
        <v>217</v>
      </c>
      <c r="M3717" t="s">
        <v>16</v>
      </c>
    </row>
    <row r="3718" spans="1:13" x14ac:dyDescent="0.35">
      <c r="A3718">
        <v>354040</v>
      </c>
      <c r="B3718">
        <v>32441</v>
      </c>
      <c r="C3718" t="s">
        <v>3887</v>
      </c>
      <c r="D3718" t="s">
        <v>3421</v>
      </c>
      <c r="E3718" t="s">
        <v>3466</v>
      </c>
      <c r="F3718">
        <v>4201</v>
      </c>
      <c r="G3718">
        <v>1</v>
      </c>
      <c r="H3718" t="s">
        <v>16</v>
      </c>
      <c r="I3718" s="1">
        <v>-1995400</v>
      </c>
      <c r="J3718" s="1">
        <v>-5053800</v>
      </c>
      <c r="K3718">
        <v>443</v>
      </c>
      <c r="L3718">
        <v>315</v>
      </c>
      <c r="M3718" t="s">
        <v>16</v>
      </c>
    </row>
    <row r="3719" spans="1:13" x14ac:dyDescent="0.35">
      <c r="A3719">
        <v>354050</v>
      </c>
      <c r="B3719">
        <v>32450</v>
      </c>
      <c r="C3719" t="s">
        <v>3888</v>
      </c>
      <c r="D3719" t="s">
        <v>3421</v>
      </c>
      <c r="E3719" t="s">
        <v>3530</v>
      </c>
      <c r="F3719">
        <v>8069</v>
      </c>
      <c r="G3719">
        <v>1</v>
      </c>
      <c r="H3719" t="s">
        <v>16</v>
      </c>
      <c r="I3719" s="1">
        <v>-2317600</v>
      </c>
      <c r="J3719" s="1">
        <v>-4812500</v>
      </c>
      <c r="K3719">
        <v>525</v>
      </c>
      <c r="L3719">
        <v>266</v>
      </c>
      <c r="M3719" t="s">
        <v>16</v>
      </c>
    </row>
    <row r="3720" spans="1:13" x14ac:dyDescent="0.35">
      <c r="A3720">
        <v>354060</v>
      </c>
      <c r="B3720">
        <v>32468</v>
      </c>
      <c r="C3720" t="s">
        <v>3889</v>
      </c>
      <c r="D3720" t="s">
        <v>3421</v>
      </c>
      <c r="E3720" t="s">
        <v>3444</v>
      </c>
      <c r="F3720">
        <v>46054</v>
      </c>
      <c r="G3720">
        <v>1</v>
      </c>
      <c r="H3720" t="s">
        <v>16</v>
      </c>
      <c r="I3720" s="1">
        <v>-2321500</v>
      </c>
      <c r="J3720" s="1">
        <v>-4752400</v>
      </c>
      <c r="K3720">
        <v>523</v>
      </c>
      <c r="L3720">
        <v>556</v>
      </c>
      <c r="M3720" t="s">
        <v>16</v>
      </c>
    </row>
    <row r="3721" spans="1:13" x14ac:dyDescent="0.35">
      <c r="A3721">
        <v>354070</v>
      </c>
      <c r="B3721">
        <v>32476</v>
      </c>
      <c r="C3721" t="s">
        <v>3890</v>
      </c>
      <c r="D3721" t="s">
        <v>3421</v>
      </c>
      <c r="E3721" t="s">
        <v>3425</v>
      </c>
      <c r="F3721">
        <v>48760</v>
      </c>
      <c r="G3721">
        <v>1</v>
      </c>
      <c r="H3721" t="s">
        <v>16</v>
      </c>
      <c r="I3721" s="1">
        <v>-2185400</v>
      </c>
      <c r="J3721" s="1">
        <v>-4747900</v>
      </c>
      <c r="K3721">
        <v>558</v>
      </c>
      <c r="L3721">
        <v>243</v>
      </c>
      <c r="M3721" t="s">
        <v>16</v>
      </c>
    </row>
    <row r="3722" spans="1:13" x14ac:dyDescent="0.35">
      <c r="A3722">
        <v>354075</v>
      </c>
      <c r="B3722">
        <v>51411</v>
      </c>
      <c r="C3722" t="s">
        <v>3891</v>
      </c>
      <c r="D3722" t="s">
        <v>3421</v>
      </c>
      <c r="E3722" t="s">
        <v>3464</v>
      </c>
      <c r="F3722">
        <v>18143</v>
      </c>
      <c r="G3722">
        <v>1</v>
      </c>
      <c r="H3722" t="s">
        <v>16</v>
      </c>
      <c r="I3722" s="1">
        <v>-2284300</v>
      </c>
      <c r="J3722" s="1">
        <v>-4525100</v>
      </c>
      <c r="K3722">
        <v>535</v>
      </c>
      <c r="L3722">
        <v>44</v>
      </c>
      <c r="M3722" t="s">
        <v>16</v>
      </c>
    </row>
    <row r="3723" spans="1:13" x14ac:dyDescent="0.35">
      <c r="A3723">
        <v>354080</v>
      </c>
      <c r="B3723">
        <v>32484</v>
      </c>
      <c r="C3723" t="s">
        <v>3892</v>
      </c>
      <c r="D3723" t="s">
        <v>3421</v>
      </c>
      <c r="E3723" t="s">
        <v>3423</v>
      </c>
      <c r="F3723">
        <v>14327</v>
      </c>
      <c r="G3723">
        <v>1</v>
      </c>
      <c r="H3723" t="s">
        <v>16</v>
      </c>
      <c r="I3723" s="1">
        <v>-2104300</v>
      </c>
      <c r="J3723" s="1">
        <v>-4937700</v>
      </c>
      <c r="K3723">
        <v>469</v>
      </c>
      <c r="L3723">
        <v>342</v>
      </c>
      <c r="M3723" t="s">
        <v>16</v>
      </c>
    </row>
    <row r="3724" spans="1:13" x14ac:dyDescent="0.35">
      <c r="A3724">
        <v>354085</v>
      </c>
      <c r="B3724">
        <v>56472</v>
      </c>
      <c r="C3724" t="s">
        <v>3893</v>
      </c>
      <c r="D3724" t="s">
        <v>3421</v>
      </c>
      <c r="E3724" t="s">
        <v>3420</v>
      </c>
      <c r="F3724">
        <v>2667</v>
      </c>
      <c r="G3724">
        <v>1</v>
      </c>
      <c r="H3724" t="s">
        <v>16</v>
      </c>
      <c r="I3724" s="1">
        <v>-2185100</v>
      </c>
      <c r="J3724" s="1">
        <v>-5108700</v>
      </c>
      <c r="K3724">
        <v>402</v>
      </c>
      <c r="L3724">
        <v>63</v>
      </c>
      <c r="M3724" t="s">
        <v>16</v>
      </c>
    </row>
    <row r="3725" spans="1:13" x14ac:dyDescent="0.35">
      <c r="A3725">
        <v>354090</v>
      </c>
      <c r="B3725">
        <v>32492</v>
      </c>
      <c r="C3725" t="s">
        <v>3894</v>
      </c>
      <c r="D3725" t="s">
        <v>3421</v>
      </c>
      <c r="E3725" t="s">
        <v>3512</v>
      </c>
      <c r="F3725">
        <v>15148</v>
      </c>
      <c r="G3725">
        <v>1</v>
      </c>
      <c r="H3725" t="s">
        <v>16</v>
      </c>
      <c r="I3725" s="1">
        <v>-2135900</v>
      </c>
      <c r="J3725" s="1">
        <v>-4806600</v>
      </c>
      <c r="K3725">
        <v>538</v>
      </c>
      <c r="L3725">
        <v>167</v>
      </c>
      <c r="M3725" t="s">
        <v>16</v>
      </c>
    </row>
    <row r="3726" spans="1:13" x14ac:dyDescent="0.35">
      <c r="A3726">
        <v>354100</v>
      </c>
      <c r="B3726">
        <v>32506</v>
      </c>
      <c r="C3726" t="s">
        <v>3895</v>
      </c>
      <c r="D3726" t="s">
        <v>3421</v>
      </c>
      <c r="E3726" t="s">
        <v>3522</v>
      </c>
      <c r="F3726">
        <v>233806</v>
      </c>
      <c r="G3726">
        <v>4</v>
      </c>
      <c r="H3726" t="s">
        <v>3523</v>
      </c>
      <c r="I3726" s="1">
        <v>-2400600</v>
      </c>
      <c r="J3726" s="1">
        <v>-4640300</v>
      </c>
      <c r="K3726">
        <v>3</v>
      </c>
      <c r="L3726">
        <v>149</v>
      </c>
      <c r="M3726" t="s">
        <v>16</v>
      </c>
    </row>
    <row r="3727" spans="1:13" x14ac:dyDescent="0.35">
      <c r="A3727">
        <v>354105</v>
      </c>
      <c r="B3727">
        <v>56480</v>
      </c>
      <c r="C3727" t="s">
        <v>3896</v>
      </c>
      <c r="D3727" t="s">
        <v>3421</v>
      </c>
      <c r="E3727" t="s">
        <v>3462</v>
      </c>
      <c r="F3727">
        <v>4309</v>
      </c>
      <c r="G3727">
        <v>1</v>
      </c>
      <c r="H3727" t="s">
        <v>16</v>
      </c>
      <c r="I3727" s="1">
        <v>-2280800</v>
      </c>
      <c r="J3727" s="1">
        <v>-4866600</v>
      </c>
      <c r="K3727">
        <v>685</v>
      </c>
      <c r="L3727">
        <v>179</v>
      </c>
      <c r="M3727" t="s">
        <v>16</v>
      </c>
    </row>
    <row r="3728" spans="1:13" x14ac:dyDescent="0.35">
      <c r="A3728">
        <v>354110</v>
      </c>
      <c r="B3728">
        <v>32514</v>
      </c>
      <c r="C3728" t="s">
        <v>3897</v>
      </c>
      <c r="D3728" t="s">
        <v>3421</v>
      </c>
      <c r="E3728" t="s">
        <v>3434</v>
      </c>
      <c r="F3728">
        <v>4346</v>
      </c>
      <c r="G3728">
        <v>1</v>
      </c>
      <c r="H3728" t="s">
        <v>16</v>
      </c>
      <c r="I3728" s="1">
        <v>-2210000</v>
      </c>
      <c r="J3728" s="1">
        <v>-4943800</v>
      </c>
      <c r="K3728">
        <v>576</v>
      </c>
      <c r="L3728">
        <v>288</v>
      </c>
      <c r="M3728" t="s">
        <v>16</v>
      </c>
    </row>
    <row r="3729" spans="1:13" x14ac:dyDescent="0.35">
      <c r="A3729">
        <v>354120</v>
      </c>
      <c r="B3729">
        <v>32522</v>
      </c>
      <c r="C3729" t="s">
        <v>3016</v>
      </c>
      <c r="D3729" t="s">
        <v>3421</v>
      </c>
      <c r="E3729" t="s">
        <v>3438</v>
      </c>
      <c r="F3729">
        <v>14788</v>
      </c>
      <c r="G3729">
        <v>1</v>
      </c>
      <c r="H3729" t="s">
        <v>16</v>
      </c>
      <c r="I3729" s="1">
        <v>-2200600</v>
      </c>
      <c r="J3729" s="1">
        <v>-5155300</v>
      </c>
      <c r="K3729">
        <v>429</v>
      </c>
      <c r="L3729">
        <v>753</v>
      </c>
      <c r="M3729" t="s">
        <v>16</v>
      </c>
    </row>
    <row r="3730" spans="1:13" x14ac:dyDescent="0.35">
      <c r="A3730">
        <v>354130</v>
      </c>
      <c r="B3730">
        <v>32530</v>
      </c>
      <c r="C3730" t="s">
        <v>3898</v>
      </c>
      <c r="D3730" t="s">
        <v>3421</v>
      </c>
      <c r="E3730" t="s">
        <v>3438</v>
      </c>
      <c r="F3730">
        <v>39403</v>
      </c>
      <c r="G3730">
        <v>1</v>
      </c>
      <c r="H3730" t="s">
        <v>16</v>
      </c>
      <c r="I3730" s="1">
        <v>-2176300</v>
      </c>
      <c r="J3730" s="1">
        <v>-5211600</v>
      </c>
      <c r="K3730">
        <v>310</v>
      </c>
      <c r="L3730">
        <v>1281</v>
      </c>
      <c r="M3730" t="s">
        <v>16</v>
      </c>
    </row>
    <row r="3731" spans="1:13" x14ac:dyDescent="0.35">
      <c r="A3731">
        <v>354140</v>
      </c>
      <c r="B3731">
        <v>32549</v>
      </c>
      <c r="C3731" t="s">
        <v>3438</v>
      </c>
      <c r="D3731" t="s">
        <v>3421</v>
      </c>
      <c r="E3731" t="s">
        <v>3438</v>
      </c>
      <c r="F3731">
        <v>202789</v>
      </c>
      <c r="G3731">
        <v>3</v>
      </c>
      <c r="H3731" t="s">
        <v>16</v>
      </c>
      <c r="I3731" s="1">
        <v>-2212600</v>
      </c>
      <c r="J3731" s="1">
        <v>-5138900</v>
      </c>
      <c r="K3731">
        <v>475</v>
      </c>
      <c r="L3731">
        <v>562</v>
      </c>
      <c r="M3731" t="s">
        <v>16</v>
      </c>
    </row>
    <row r="3732" spans="1:13" x14ac:dyDescent="0.35">
      <c r="A3732">
        <v>354150</v>
      </c>
      <c r="B3732">
        <v>32557</v>
      </c>
      <c r="C3732" t="s">
        <v>3899</v>
      </c>
      <c r="D3732" t="s">
        <v>3421</v>
      </c>
      <c r="E3732" t="s">
        <v>3438</v>
      </c>
      <c r="F3732">
        <v>37155</v>
      </c>
      <c r="G3732">
        <v>1</v>
      </c>
      <c r="H3732" t="s">
        <v>16</v>
      </c>
      <c r="I3732" s="1">
        <v>-2187600</v>
      </c>
      <c r="J3732" s="1">
        <v>-5184400</v>
      </c>
      <c r="K3732">
        <v>422</v>
      </c>
      <c r="L3732">
        <v>755</v>
      </c>
      <c r="M3732" t="s">
        <v>16</v>
      </c>
    </row>
    <row r="3733" spans="1:13" x14ac:dyDescent="0.35">
      <c r="A3733">
        <v>354160</v>
      </c>
      <c r="B3733">
        <v>32565</v>
      </c>
      <c r="C3733" t="s">
        <v>3900</v>
      </c>
      <c r="D3733" t="s">
        <v>3421</v>
      </c>
      <c r="E3733" t="s">
        <v>3550</v>
      </c>
      <c r="F3733">
        <v>34786</v>
      </c>
      <c r="G3733">
        <v>1</v>
      </c>
      <c r="H3733" t="s">
        <v>16</v>
      </c>
      <c r="I3733" s="1">
        <v>-2153700</v>
      </c>
      <c r="J3733" s="1">
        <v>-4985800</v>
      </c>
      <c r="K3733">
        <v>426</v>
      </c>
      <c r="L3733">
        <v>782</v>
      </c>
      <c r="M3733" t="s">
        <v>16</v>
      </c>
    </row>
    <row r="3734" spans="1:13" x14ac:dyDescent="0.35">
      <c r="A3734">
        <v>354165</v>
      </c>
      <c r="B3734">
        <v>56499</v>
      </c>
      <c r="C3734" t="s">
        <v>3901</v>
      </c>
      <c r="D3734" t="s">
        <v>3421</v>
      </c>
      <c r="E3734" t="s">
        <v>3530</v>
      </c>
      <c r="F3734">
        <v>2679</v>
      </c>
      <c r="G3734">
        <v>1</v>
      </c>
      <c r="H3734" t="s">
        <v>16</v>
      </c>
      <c r="I3734" s="1">
        <v>-2329900</v>
      </c>
      <c r="J3734" s="1">
        <v>-4805500</v>
      </c>
      <c r="K3734">
        <v>638</v>
      </c>
      <c r="L3734">
        <v>205</v>
      </c>
      <c r="M3734" t="s">
        <v>16</v>
      </c>
    </row>
    <row r="3735" spans="1:13" x14ac:dyDescent="0.35">
      <c r="A3735">
        <v>354170</v>
      </c>
      <c r="B3735">
        <v>32573</v>
      </c>
      <c r="C3735" t="s">
        <v>3902</v>
      </c>
      <c r="D3735" t="s">
        <v>3421</v>
      </c>
      <c r="E3735" t="s">
        <v>3492</v>
      </c>
      <c r="F3735">
        <v>11971</v>
      </c>
      <c r="G3735">
        <v>1</v>
      </c>
      <c r="H3735" t="s">
        <v>16</v>
      </c>
      <c r="I3735" s="1">
        <v>-2224800</v>
      </c>
      <c r="J3735" s="1">
        <v>-5069800</v>
      </c>
      <c r="K3735">
        <v>550</v>
      </c>
      <c r="L3735">
        <v>652</v>
      </c>
      <c r="M3735" t="s">
        <v>16</v>
      </c>
    </row>
    <row r="3736" spans="1:13" x14ac:dyDescent="0.35">
      <c r="A3736">
        <v>354180</v>
      </c>
      <c r="B3736">
        <v>32581</v>
      </c>
      <c r="C3736" t="s">
        <v>3903</v>
      </c>
      <c r="D3736" t="s">
        <v>3421</v>
      </c>
      <c r="E3736" t="s">
        <v>3480</v>
      </c>
      <c r="F3736">
        <v>2603</v>
      </c>
      <c r="G3736">
        <v>1</v>
      </c>
      <c r="H3736" t="s">
        <v>16</v>
      </c>
      <c r="I3736" s="1">
        <v>-2179900</v>
      </c>
      <c r="J3736" s="1">
        <v>-5024000</v>
      </c>
      <c r="K3736">
        <v>431</v>
      </c>
      <c r="L3736">
        <v>235</v>
      </c>
      <c r="M3736" t="s">
        <v>16</v>
      </c>
    </row>
    <row r="3737" spans="1:13" x14ac:dyDescent="0.35">
      <c r="A3737">
        <v>354190</v>
      </c>
      <c r="B3737">
        <v>32590</v>
      </c>
      <c r="C3737" t="s">
        <v>3904</v>
      </c>
      <c r="D3737" t="s">
        <v>3421</v>
      </c>
      <c r="E3737" t="s">
        <v>3464</v>
      </c>
      <c r="F3737">
        <v>10323</v>
      </c>
      <c r="G3737">
        <v>1</v>
      </c>
      <c r="H3737" t="s">
        <v>16</v>
      </c>
      <c r="I3737" s="1">
        <v>-2253700</v>
      </c>
      <c r="J3737" s="1">
        <v>-4477400</v>
      </c>
      <c r="K3737">
        <v>497</v>
      </c>
      <c r="L3737">
        <v>249</v>
      </c>
      <c r="M3737" t="s">
        <v>16</v>
      </c>
    </row>
    <row r="3738" spans="1:13" x14ac:dyDescent="0.35">
      <c r="A3738">
        <v>354200</v>
      </c>
      <c r="B3738">
        <v>32603</v>
      </c>
      <c r="C3738" t="s">
        <v>3905</v>
      </c>
      <c r="D3738" t="s">
        <v>3421</v>
      </c>
      <c r="E3738" t="s">
        <v>3480</v>
      </c>
      <c r="F3738">
        <v>5654</v>
      </c>
      <c r="G3738">
        <v>1</v>
      </c>
      <c r="H3738" t="s">
        <v>16</v>
      </c>
      <c r="I3738" s="1">
        <v>-2207300</v>
      </c>
      <c r="J3738" s="1">
        <v>-5030800</v>
      </c>
      <c r="K3738">
        <v>595</v>
      </c>
      <c r="L3738">
        <v>319</v>
      </c>
      <c r="M3738" t="s">
        <v>16</v>
      </c>
    </row>
    <row r="3739" spans="1:13" x14ac:dyDescent="0.35">
      <c r="A3739">
        <v>354210</v>
      </c>
      <c r="B3739">
        <v>32611</v>
      </c>
      <c r="C3739" t="s">
        <v>3906</v>
      </c>
      <c r="D3739" t="s">
        <v>3421</v>
      </c>
      <c r="E3739" t="s">
        <v>3432</v>
      </c>
      <c r="F3739">
        <v>8151</v>
      </c>
      <c r="G3739">
        <v>1</v>
      </c>
      <c r="H3739" t="s">
        <v>16</v>
      </c>
      <c r="I3739" s="1">
        <v>-2301200</v>
      </c>
      <c r="J3739" s="1">
        <v>-4752700</v>
      </c>
      <c r="K3739">
        <v>515</v>
      </c>
      <c r="L3739">
        <v>132</v>
      </c>
      <c r="M3739" t="s">
        <v>16</v>
      </c>
    </row>
    <row r="3740" spans="1:13" x14ac:dyDescent="0.35">
      <c r="A3740">
        <v>354220</v>
      </c>
      <c r="B3740">
        <v>32620</v>
      </c>
      <c r="C3740" t="s">
        <v>3907</v>
      </c>
      <c r="D3740" t="s">
        <v>3421</v>
      </c>
      <c r="E3740" t="s">
        <v>3438</v>
      </c>
      <c r="F3740">
        <v>28303</v>
      </c>
      <c r="G3740">
        <v>1</v>
      </c>
      <c r="H3740" t="s">
        <v>16</v>
      </c>
      <c r="I3740" s="1">
        <v>-2222900</v>
      </c>
      <c r="J3740" s="1">
        <v>-5089300</v>
      </c>
      <c r="K3740">
        <v>519</v>
      </c>
      <c r="L3740">
        <v>1584</v>
      </c>
      <c r="M3740" t="s">
        <v>16</v>
      </c>
    </row>
    <row r="3741" spans="1:13" x14ac:dyDescent="0.35">
      <c r="A3741">
        <v>354230</v>
      </c>
      <c r="B3741">
        <v>32638</v>
      </c>
      <c r="C3741" t="s">
        <v>3908</v>
      </c>
      <c r="D3741" t="s">
        <v>3421</v>
      </c>
      <c r="E3741" t="s">
        <v>3604</v>
      </c>
      <c r="F3741">
        <v>4081</v>
      </c>
      <c r="G3741">
        <v>1</v>
      </c>
      <c r="H3741" t="s">
        <v>16</v>
      </c>
      <c r="I3741" s="1">
        <v>-2326700</v>
      </c>
      <c r="J3741" s="1">
        <v>-4553700</v>
      </c>
      <c r="K3741">
        <v>730</v>
      </c>
      <c r="L3741">
        <v>309</v>
      </c>
      <c r="M3741" t="s">
        <v>16</v>
      </c>
    </row>
    <row r="3742" spans="1:13" x14ac:dyDescent="0.35">
      <c r="A3742">
        <v>354240</v>
      </c>
      <c r="B3742">
        <v>32646</v>
      </c>
      <c r="C3742" t="s">
        <v>3909</v>
      </c>
      <c r="D3742" t="s">
        <v>3421</v>
      </c>
      <c r="E3742" t="s">
        <v>3438</v>
      </c>
      <c r="F3742">
        <v>17070</v>
      </c>
      <c r="G3742">
        <v>1</v>
      </c>
      <c r="H3742" t="s">
        <v>16</v>
      </c>
      <c r="I3742" s="1">
        <v>-2222100</v>
      </c>
      <c r="J3742" s="1">
        <v>-5130300</v>
      </c>
      <c r="K3742">
        <v>504</v>
      </c>
      <c r="L3742">
        <v>265</v>
      </c>
      <c r="M3742" t="s">
        <v>16</v>
      </c>
    </row>
    <row r="3743" spans="1:13" x14ac:dyDescent="0.35">
      <c r="A3743">
        <v>354250</v>
      </c>
      <c r="B3743">
        <v>32654</v>
      </c>
      <c r="C3743" t="s">
        <v>3910</v>
      </c>
      <c r="D3743" t="s">
        <v>3421</v>
      </c>
      <c r="E3743" t="s">
        <v>3434</v>
      </c>
      <c r="F3743">
        <v>6993</v>
      </c>
      <c r="G3743">
        <v>1</v>
      </c>
      <c r="H3743" t="s">
        <v>16</v>
      </c>
      <c r="I3743" s="1">
        <v>-2188800</v>
      </c>
      <c r="J3743" s="1">
        <v>-4922500</v>
      </c>
      <c r="K3743">
        <v>391</v>
      </c>
      <c r="L3743">
        <v>409</v>
      </c>
      <c r="M3743" t="s">
        <v>16</v>
      </c>
    </row>
    <row r="3744" spans="1:13" x14ac:dyDescent="0.35">
      <c r="A3744">
        <v>354260</v>
      </c>
      <c r="B3744">
        <v>32662</v>
      </c>
      <c r="C3744" t="s">
        <v>3509</v>
      </c>
      <c r="D3744" t="s">
        <v>3421</v>
      </c>
      <c r="E3744" t="s">
        <v>3509</v>
      </c>
      <c r="F3744">
        <v>53369</v>
      </c>
      <c r="G3744">
        <v>2</v>
      </c>
      <c r="H3744" t="s">
        <v>16</v>
      </c>
      <c r="I3744" s="1">
        <v>-2448800</v>
      </c>
      <c r="J3744" s="1">
        <v>-4784400</v>
      </c>
      <c r="K3744">
        <v>25</v>
      </c>
      <c r="L3744">
        <v>716</v>
      </c>
      <c r="M3744" t="s">
        <v>16</v>
      </c>
    </row>
    <row r="3745" spans="1:13" x14ac:dyDescent="0.35">
      <c r="A3745">
        <v>354270</v>
      </c>
      <c r="B3745">
        <v>32670</v>
      </c>
      <c r="C3745" t="s">
        <v>3911</v>
      </c>
      <c r="D3745" t="s">
        <v>3421</v>
      </c>
      <c r="E3745" t="s">
        <v>3599</v>
      </c>
      <c r="F3745">
        <v>6350</v>
      </c>
      <c r="G3745">
        <v>1</v>
      </c>
      <c r="H3745" t="s">
        <v>16</v>
      </c>
      <c r="I3745" s="1">
        <v>-2060300</v>
      </c>
      <c r="J3745" s="1">
        <v>-4748300</v>
      </c>
      <c r="K3745">
        <v>910</v>
      </c>
      <c r="L3745">
        <v>245</v>
      </c>
      <c r="M3745" t="s">
        <v>16</v>
      </c>
    </row>
    <row r="3746" spans="1:13" x14ac:dyDescent="0.35">
      <c r="A3746">
        <v>354280</v>
      </c>
      <c r="B3746">
        <v>32689</v>
      </c>
      <c r="C3746" t="s">
        <v>3912</v>
      </c>
      <c r="D3746" t="s">
        <v>3421</v>
      </c>
      <c r="E3746" t="s">
        <v>3468</v>
      </c>
      <c r="F3746">
        <v>3444</v>
      </c>
      <c r="G3746">
        <v>1</v>
      </c>
      <c r="H3746" t="s">
        <v>16</v>
      </c>
      <c r="I3746" s="1">
        <v>-2465700</v>
      </c>
      <c r="J3746" s="1">
        <v>-4900900</v>
      </c>
      <c r="K3746">
        <v>167</v>
      </c>
      <c r="L3746">
        <v>335</v>
      </c>
      <c r="M3746" t="s">
        <v>16</v>
      </c>
    </row>
    <row r="3747" spans="1:13" x14ac:dyDescent="0.35">
      <c r="A3747">
        <v>354290</v>
      </c>
      <c r="B3747">
        <v>32697</v>
      </c>
      <c r="C3747" t="s">
        <v>3913</v>
      </c>
      <c r="D3747" t="s">
        <v>3421</v>
      </c>
      <c r="E3747" t="s">
        <v>3458</v>
      </c>
      <c r="F3747">
        <v>11383</v>
      </c>
      <c r="G3747">
        <v>1</v>
      </c>
      <c r="H3747" t="s">
        <v>16</v>
      </c>
      <c r="I3747" s="1">
        <v>-2206700</v>
      </c>
      <c r="J3747" s="1">
        <v>-4817600</v>
      </c>
      <c r="K3747">
        <v>590</v>
      </c>
      <c r="L3747">
        <v>471</v>
      </c>
      <c r="M3747" t="s">
        <v>16</v>
      </c>
    </row>
    <row r="3748" spans="1:13" x14ac:dyDescent="0.35">
      <c r="A3748">
        <v>354300</v>
      </c>
      <c r="B3748">
        <v>32700</v>
      </c>
      <c r="C3748" t="s">
        <v>3914</v>
      </c>
      <c r="D3748" t="s">
        <v>3421</v>
      </c>
      <c r="E3748" t="s">
        <v>3468</v>
      </c>
      <c r="F3748">
        <v>18879</v>
      </c>
      <c r="G3748">
        <v>1</v>
      </c>
      <c r="H3748" t="s">
        <v>16</v>
      </c>
      <c r="I3748" s="1">
        <v>-2422100</v>
      </c>
      <c r="J3748" s="1">
        <v>-4876600</v>
      </c>
      <c r="K3748">
        <v>875</v>
      </c>
      <c r="L3748">
        <v>697</v>
      </c>
      <c r="M3748" t="s">
        <v>16</v>
      </c>
    </row>
    <row r="3749" spans="1:13" x14ac:dyDescent="0.35">
      <c r="A3749">
        <v>354310</v>
      </c>
      <c r="B3749">
        <v>32719</v>
      </c>
      <c r="C3749" t="s">
        <v>3915</v>
      </c>
      <c r="D3749" t="s">
        <v>3421</v>
      </c>
      <c r="E3749" t="s">
        <v>3599</v>
      </c>
      <c r="F3749">
        <v>4014</v>
      </c>
      <c r="G3749">
        <v>1</v>
      </c>
      <c r="H3749" t="s">
        <v>16</v>
      </c>
      <c r="I3749" s="1">
        <v>-2045700</v>
      </c>
      <c r="J3749" s="1">
        <v>-4759000</v>
      </c>
      <c r="K3749">
        <v>855</v>
      </c>
      <c r="L3749">
        <v>148</v>
      </c>
      <c r="M3749" t="s">
        <v>16</v>
      </c>
    </row>
    <row r="3750" spans="1:13" x14ac:dyDescent="0.35">
      <c r="A3750">
        <v>354320</v>
      </c>
      <c r="B3750">
        <v>32727</v>
      </c>
      <c r="C3750" t="s">
        <v>3916</v>
      </c>
      <c r="D3750" t="s">
        <v>3421</v>
      </c>
      <c r="E3750" t="s">
        <v>3520</v>
      </c>
      <c r="F3750">
        <v>4497</v>
      </c>
      <c r="G3750">
        <v>1</v>
      </c>
      <c r="H3750" t="s">
        <v>16</v>
      </c>
      <c r="I3750" s="1">
        <v>-2278400</v>
      </c>
      <c r="J3750" s="1">
        <v>-4993400</v>
      </c>
      <c r="K3750">
        <v>479</v>
      </c>
      <c r="L3750">
        <v>203</v>
      </c>
      <c r="M3750" t="s">
        <v>16</v>
      </c>
    </row>
    <row r="3751" spans="1:13" x14ac:dyDescent="0.35">
      <c r="A3751">
        <v>354323</v>
      </c>
      <c r="B3751">
        <v>56502</v>
      </c>
      <c r="C3751" t="s">
        <v>3917</v>
      </c>
      <c r="D3751" t="s">
        <v>3421</v>
      </c>
      <c r="E3751" t="s">
        <v>3438</v>
      </c>
      <c r="F3751">
        <v>2231</v>
      </c>
      <c r="G3751">
        <v>1</v>
      </c>
      <c r="H3751" t="s">
        <v>16</v>
      </c>
      <c r="I3751" s="1">
        <v>-2183700</v>
      </c>
      <c r="J3751" s="1">
        <v>-5160400</v>
      </c>
      <c r="K3751">
        <v>386</v>
      </c>
      <c r="L3751">
        <v>196</v>
      </c>
      <c r="M3751" t="s">
        <v>16</v>
      </c>
    </row>
    <row r="3752" spans="1:13" x14ac:dyDescent="0.35">
      <c r="A3752">
        <v>354325</v>
      </c>
      <c r="B3752">
        <v>51420</v>
      </c>
      <c r="C3752" t="s">
        <v>3918</v>
      </c>
      <c r="D3752" t="s">
        <v>3421</v>
      </c>
      <c r="E3752" t="s">
        <v>3468</v>
      </c>
      <c r="F3752">
        <v>6928</v>
      </c>
      <c r="G3752">
        <v>1</v>
      </c>
      <c r="H3752" t="s">
        <v>16</v>
      </c>
      <c r="I3752" s="1">
        <v>-2409900</v>
      </c>
      <c r="J3752" s="1">
        <v>-4836500</v>
      </c>
      <c r="K3752">
        <v>690</v>
      </c>
      <c r="L3752">
        <v>332</v>
      </c>
      <c r="M3752" t="s">
        <v>16</v>
      </c>
    </row>
    <row r="3753" spans="1:13" x14ac:dyDescent="0.35">
      <c r="A3753">
        <v>354330</v>
      </c>
      <c r="B3753">
        <v>32735</v>
      </c>
      <c r="C3753" t="s">
        <v>3919</v>
      </c>
      <c r="D3753" t="s">
        <v>3421</v>
      </c>
      <c r="E3753" t="s">
        <v>3607</v>
      </c>
      <c r="F3753">
        <v>107046</v>
      </c>
      <c r="G3753">
        <v>4</v>
      </c>
      <c r="H3753" t="s">
        <v>3490</v>
      </c>
      <c r="I3753" s="1">
        <v>-2371100</v>
      </c>
      <c r="J3753" s="1">
        <v>-4641300</v>
      </c>
      <c r="K3753">
        <v>763</v>
      </c>
      <c r="L3753">
        <v>99</v>
      </c>
      <c r="M3753" t="s">
        <v>16</v>
      </c>
    </row>
    <row r="3754" spans="1:13" x14ac:dyDescent="0.35">
      <c r="A3754">
        <v>354340</v>
      </c>
      <c r="B3754">
        <v>32743</v>
      </c>
      <c r="C3754" t="s">
        <v>3920</v>
      </c>
      <c r="D3754" t="s">
        <v>3421</v>
      </c>
      <c r="E3754" t="s">
        <v>3512</v>
      </c>
      <c r="F3754">
        <v>547417</v>
      </c>
      <c r="G3754">
        <v>3</v>
      </c>
      <c r="H3754" t="s">
        <v>16</v>
      </c>
      <c r="I3754" s="1">
        <v>-2117800</v>
      </c>
      <c r="J3754" s="1">
        <v>-4781000</v>
      </c>
      <c r="K3754">
        <v>546</v>
      </c>
      <c r="L3754">
        <v>650</v>
      </c>
      <c r="M3754" t="s">
        <v>16</v>
      </c>
    </row>
    <row r="3755" spans="1:13" x14ac:dyDescent="0.35">
      <c r="A3755">
        <v>354350</v>
      </c>
      <c r="B3755">
        <v>32751</v>
      </c>
      <c r="C3755" t="s">
        <v>3921</v>
      </c>
      <c r="D3755" t="s">
        <v>3421</v>
      </c>
      <c r="E3755" t="s">
        <v>2799</v>
      </c>
      <c r="F3755">
        <v>6545</v>
      </c>
      <c r="G3755">
        <v>1</v>
      </c>
      <c r="H3755" t="s">
        <v>16</v>
      </c>
      <c r="I3755" s="1">
        <v>-2382800</v>
      </c>
      <c r="J3755" s="1">
        <v>-4942900</v>
      </c>
      <c r="K3755">
        <v>587</v>
      </c>
      <c r="L3755">
        <v>386</v>
      </c>
      <c r="M3755" t="s">
        <v>16</v>
      </c>
    </row>
    <row r="3756" spans="1:13" x14ac:dyDescent="0.35">
      <c r="A3756">
        <v>354360</v>
      </c>
      <c r="B3756">
        <v>32760</v>
      </c>
      <c r="C3756" t="s">
        <v>3922</v>
      </c>
      <c r="D3756" t="s">
        <v>3421</v>
      </c>
      <c r="E3756" t="s">
        <v>3599</v>
      </c>
      <c r="F3756">
        <v>3587</v>
      </c>
      <c r="G3756">
        <v>1</v>
      </c>
      <c r="H3756" t="s">
        <v>16</v>
      </c>
      <c r="I3756" s="1">
        <v>-2008100</v>
      </c>
      <c r="J3756" s="1">
        <v>-4742100</v>
      </c>
      <c r="K3756">
        <v>575</v>
      </c>
      <c r="L3756">
        <v>171</v>
      </c>
      <c r="M3756" t="s">
        <v>16</v>
      </c>
    </row>
    <row r="3757" spans="1:13" x14ac:dyDescent="0.35">
      <c r="A3757">
        <v>354370</v>
      </c>
      <c r="B3757">
        <v>32778</v>
      </c>
      <c r="C3757" t="s">
        <v>3923</v>
      </c>
      <c r="D3757" t="s">
        <v>3421</v>
      </c>
      <c r="E3757" t="s">
        <v>3455</v>
      </c>
      <c r="F3757">
        <v>10425</v>
      </c>
      <c r="G3757">
        <v>1</v>
      </c>
      <c r="H3757" t="s">
        <v>16</v>
      </c>
      <c r="I3757" s="1">
        <v>-2158700</v>
      </c>
      <c r="J3757" s="1">
        <v>-4807100</v>
      </c>
      <c r="K3757">
        <v>530</v>
      </c>
      <c r="L3757">
        <v>313</v>
      </c>
      <c r="M3757" t="s">
        <v>16</v>
      </c>
    </row>
    <row r="3758" spans="1:13" x14ac:dyDescent="0.35">
      <c r="A3758">
        <v>354380</v>
      </c>
      <c r="B3758">
        <v>32786</v>
      </c>
      <c r="C3758" t="s">
        <v>3924</v>
      </c>
      <c r="D3758" t="s">
        <v>3421</v>
      </c>
      <c r="E3758" t="s">
        <v>3420</v>
      </c>
      <c r="F3758">
        <v>9393</v>
      </c>
      <c r="G3758">
        <v>1</v>
      </c>
      <c r="H3758" t="s">
        <v>16</v>
      </c>
      <c r="I3758" s="1">
        <v>-2172600</v>
      </c>
      <c r="J3758" s="1">
        <v>-5072200</v>
      </c>
      <c r="K3758">
        <v>425</v>
      </c>
      <c r="L3758">
        <v>358</v>
      </c>
      <c r="M3758" t="s">
        <v>16</v>
      </c>
    </row>
    <row r="3759" spans="1:13" x14ac:dyDescent="0.35">
      <c r="A3759">
        <v>354390</v>
      </c>
      <c r="B3759">
        <v>32794</v>
      </c>
      <c r="C3759" t="s">
        <v>3396</v>
      </c>
      <c r="D3759" t="s">
        <v>3421</v>
      </c>
      <c r="E3759" t="s">
        <v>3396</v>
      </c>
      <c r="F3759">
        <v>185421</v>
      </c>
      <c r="G3759">
        <v>3</v>
      </c>
      <c r="H3759" t="s">
        <v>16</v>
      </c>
      <c r="I3759" s="1">
        <v>-2241100</v>
      </c>
      <c r="J3759" s="1">
        <v>-4756100</v>
      </c>
      <c r="K3759">
        <v>625</v>
      </c>
      <c r="L3759">
        <v>498</v>
      </c>
      <c r="M3759" t="s">
        <v>16</v>
      </c>
    </row>
    <row r="3760" spans="1:13" x14ac:dyDescent="0.35">
      <c r="A3760">
        <v>354400</v>
      </c>
      <c r="B3760">
        <v>32808</v>
      </c>
      <c r="C3760" t="s">
        <v>3925</v>
      </c>
      <c r="D3760" t="s">
        <v>3421</v>
      </c>
      <c r="E3760" t="s">
        <v>3432</v>
      </c>
      <c r="F3760">
        <v>26344</v>
      </c>
      <c r="G3760">
        <v>1</v>
      </c>
      <c r="H3760" t="s">
        <v>16</v>
      </c>
      <c r="I3760" s="1">
        <v>-2284300</v>
      </c>
      <c r="J3760" s="1">
        <v>-4760600</v>
      </c>
      <c r="K3760">
        <v>625</v>
      </c>
      <c r="L3760">
        <v>226</v>
      </c>
      <c r="M3760" t="s">
        <v>16</v>
      </c>
    </row>
    <row r="3761" spans="1:13" x14ac:dyDescent="0.35">
      <c r="A3761">
        <v>354410</v>
      </c>
      <c r="B3761">
        <v>32816</v>
      </c>
      <c r="C3761" t="s">
        <v>3926</v>
      </c>
      <c r="D3761" t="s">
        <v>3421</v>
      </c>
      <c r="E3761" t="s">
        <v>3607</v>
      </c>
      <c r="F3761">
        <v>39270</v>
      </c>
      <c r="G3761">
        <v>4</v>
      </c>
      <c r="H3761" t="s">
        <v>3490</v>
      </c>
      <c r="I3761" s="1">
        <v>-2374400</v>
      </c>
      <c r="J3761" s="1">
        <v>-4639800</v>
      </c>
      <c r="K3761">
        <v>739</v>
      </c>
      <c r="L3761">
        <v>36</v>
      </c>
      <c r="M3761" t="s">
        <v>16</v>
      </c>
    </row>
    <row r="3762" spans="1:13" x14ac:dyDescent="0.35">
      <c r="A3762">
        <v>354420</v>
      </c>
      <c r="B3762">
        <v>32824</v>
      </c>
      <c r="C3762" t="s">
        <v>3927</v>
      </c>
      <c r="D3762" t="s">
        <v>3421</v>
      </c>
      <c r="E3762" t="s">
        <v>3446</v>
      </c>
      <c r="F3762">
        <v>9713</v>
      </c>
      <c r="G3762">
        <v>1</v>
      </c>
      <c r="H3762" t="s">
        <v>16</v>
      </c>
      <c r="I3762" s="1">
        <v>-1999000</v>
      </c>
      <c r="J3762" s="1">
        <v>-4968100</v>
      </c>
      <c r="K3762">
        <v>438</v>
      </c>
      <c r="L3762">
        <v>630</v>
      </c>
      <c r="M3762" t="s">
        <v>16</v>
      </c>
    </row>
    <row r="3763" spans="1:13" x14ac:dyDescent="0.35">
      <c r="A3763">
        <v>354425</v>
      </c>
      <c r="B3763">
        <v>51438</v>
      </c>
      <c r="C3763" t="s">
        <v>3928</v>
      </c>
      <c r="D3763" t="s">
        <v>3421</v>
      </c>
      <c r="E3763" t="s">
        <v>3438</v>
      </c>
      <c r="F3763">
        <v>19943</v>
      </c>
      <c r="G3763">
        <v>1</v>
      </c>
      <c r="H3763" t="s">
        <v>16</v>
      </c>
      <c r="I3763" s="1">
        <v>-2258000</v>
      </c>
      <c r="J3763" s="1">
        <v>-5305900</v>
      </c>
      <c r="K3763">
        <v>236</v>
      </c>
      <c r="L3763">
        <v>741</v>
      </c>
      <c r="M3763" t="s">
        <v>16</v>
      </c>
    </row>
    <row r="3764" spans="1:13" x14ac:dyDescent="0.35">
      <c r="A3764">
        <v>354430</v>
      </c>
      <c r="B3764">
        <v>32832</v>
      </c>
      <c r="C3764" t="s">
        <v>3929</v>
      </c>
      <c r="D3764" t="s">
        <v>3421</v>
      </c>
      <c r="E3764" t="s">
        <v>3464</v>
      </c>
      <c r="F3764">
        <v>9016</v>
      </c>
      <c r="G3764">
        <v>1</v>
      </c>
      <c r="H3764" t="s">
        <v>16</v>
      </c>
      <c r="I3764" s="1">
        <v>-2289800</v>
      </c>
      <c r="J3764" s="1">
        <v>-4530500</v>
      </c>
      <c r="K3764">
        <v>551</v>
      </c>
      <c r="L3764">
        <v>130</v>
      </c>
      <c r="M3764" t="s">
        <v>16</v>
      </c>
    </row>
    <row r="3765" spans="1:13" x14ac:dyDescent="0.35">
      <c r="A3765">
        <v>354440</v>
      </c>
      <c r="B3765">
        <v>32840</v>
      </c>
      <c r="C3765" t="s">
        <v>3930</v>
      </c>
      <c r="D3765" t="s">
        <v>3421</v>
      </c>
      <c r="E3765" t="s">
        <v>3470</v>
      </c>
      <c r="F3765">
        <v>2501</v>
      </c>
      <c r="G3765">
        <v>1</v>
      </c>
      <c r="H3765" t="s">
        <v>16</v>
      </c>
      <c r="I3765" s="1">
        <v>-2130100</v>
      </c>
      <c r="J3765" s="1">
        <v>-5072700</v>
      </c>
      <c r="K3765">
        <v>420</v>
      </c>
      <c r="L3765">
        <v>236</v>
      </c>
      <c r="M3765" t="s">
        <v>16</v>
      </c>
    </row>
    <row r="3766" spans="1:13" x14ac:dyDescent="0.35">
      <c r="A3766">
        <v>354450</v>
      </c>
      <c r="B3766">
        <v>32859</v>
      </c>
      <c r="C3766" t="s">
        <v>3931</v>
      </c>
      <c r="D3766" t="s">
        <v>3421</v>
      </c>
      <c r="E3766" t="s">
        <v>3466</v>
      </c>
      <c r="F3766">
        <v>2546</v>
      </c>
      <c r="G3766">
        <v>1</v>
      </c>
      <c r="H3766" t="s">
        <v>16</v>
      </c>
      <c r="I3766" s="1">
        <v>-2017900</v>
      </c>
      <c r="J3766" s="1">
        <v>-5100200</v>
      </c>
      <c r="K3766">
        <v>317</v>
      </c>
      <c r="L3766">
        <v>234</v>
      </c>
      <c r="M3766" t="s">
        <v>16</v>
      </c>
    </row>
    <row r="3767" spans="1:13" x14ac:dyDescent="0.35">
      <c r="A3767">
        <v>354460</v>
      </c>
      <c r="B3767">
        <v>32867</v>
      </c>
      <c r="C3767" t="s">
        <v>3932</v>
      </c>
      <c r="D3767" t="s">
        <v>3421</v>
      </c>
      <c r="E3767" t="s">
        <v>3550</v>
      </c>
      <c r="F3767">
        <v>5150</v>
      </c>
      <c r="G3767">
        <v>1</v>
      </c>
      <c r="H3767" t="s">
        <v>16</v>
      </c>
      <c r="I3767" s="1">
        <v>-2146000</v>
      </c>
      <c r="J3767" s="1">
        <v>-4957800</v>
      </c>
      <c r="K3767">
        <v>412</v>
      </c>
      <c r="L3767">
        <v>311</v>
      </c>
      <c r="M3767" t="s">
        <v>16</v>
      </c>
    </row>
    <row r="3768" spans="1:13" x14ac:dyDescent="0.35">
      <c r="A3768">
        <v>354470</v>
      </c>
      <c r="B3768">
        <v>32875</v>
      </c>
      <c r="C3768" t="s">
        <v>3933</v>
      </c>
      <c r="D3768" t="s">
        <v>3421</v>
      </c>
      <c r="E3768" t="s">
        <v>3420</v>
      </c>
      <c r="F3768">
        <v>2307</v>
      </c>
      <c r="G3768">
        <v>1</v>
      </c>
      <c r="H3768" t="s">
        <v>16</v>
      </c>
      <c r="I3768" s="1">
        <v>-2188400</v>
      </c>
      <c r="J3768" s="1">
        <v>-5095600</v>
      </c>
      <c r="K3768">
        <v>419</v>
      </c>
      <c r="L3768">
        <v>148</v>
      </c>
      <c r="M3768" t="s">
        <v>16</v>
      </c>
    </row>
    <row r="3769" spans="1:13" x14ac:dyDescent="0.35">
      <c r="A3769">
        <v>354480</v>
      </c>
      <c r="B3769">
        <v>32883</v>
      </c>
      <c r="C3769" t="s">
        <v>3934</v>
      </c>
      <c r="D3769" t="s">
        <v>3421</v>
      </c>
      <c r="E3769" t="s">
        <v>2259</v>
      </c>
      <c r="F3769">
        <v>5025</v>
      </c>
      <c r="G3769">
        <v>1</v>
      </c>
      <c r="H3769" t="s">
        <v>16</v>
      </c>
      <c r="I3769" s="1">
        <v>-2134100</v>
      </c>
      <c r="J3769" s="1">
        <v>-4948500</v>
      </c>
      <c r="K3769">
        <v>448</v>
      </c>
      <c r="L3769">
        <v>308</v>
      </c>
      <c r="M3769" t="s">
        <v>16</v>
      </c>
    </row>
    <row r="3770" spans="1:13" x14ac:dyDescent="0.35">
      <c r="A3770">
        <v>354490</v>
      </c>
      <c r="B3770">
        <v>32891</v>
      </c>
      <c r="C3770" t="s">
        <v>3935</v>
      </c>
      <c r="D3770" t="s">
        <v>3421</v>
      </c>
      <c r="E3770" t="s">
        <v>3653</v>
      </c>
      <c r="F3770">
        <v>8187</v>
      </c>
      <c r="G3770">
        <v>1</v>
      </c>
      <c r="H3770" t="s">
        <v>16</v>
      </c>
      <c r="I3770" s="1">
        <v>-2077200</v>
      </c>
      <c r="J3770" s="1">
        <v>-4783800</v>
      </c>
      <c r="K3770">
        <v>730</v>
      </c>
      <c r="L3770">
        <v>303</v>
      </c>
      <c r="M3770" t="s">
        <v>16</v>
      </c>
    </row>
    <row r="3771" spans="1:13" x14ac:dyDescent="0.35">
      <c r="A3771">
        <v>354500</v>
      </c>
      <c r="B3771">
        <v>32905</v>
      </c>
      <c r="C3771" t="s">
        <v>3936</v>
      </c>
      <c r="D3771" t="s">
        <v>3421</v>
      </c>
      <c r="E3771" t="s">
        <v>3526</v>
      </c>
      <c r="F3771">
        <v>15157</v>
      </c>
      <c r="G3771">
        <v>4</v>
      </c>
      <c r="H3771" t="s">
        <v>3490</v>
      </c>
      <c r="I3771" s="1">
        <v>-2353200</v>
      </c>
      <c r="J3771" s="1">
        <v>-4584600</v>
      </c>
      <c r="K3771">
        <v>806</v>
      </c>
      <c r="L3771">
        <v>425</v>
      </c>
      <c r="M3771" t="s">
        <v>16</v>
      </c>
    </row>
    <row r="3772" spans="1:13" x14ac:dyDescent="0.35">
      <c r="A3772">
        <v>354510</v>
      </c>
      <c r="B3772">
        <v>32913</v>
      </c>
      <c r="C3772" t="s">
        <v>3937</v>
      </c>
      <c r="D3772" t="s">
        <v>3421</v>
      </c>
      <c r="E3772" t="s">
        <v>3420</v>
      </c>
      <c r="F3772">
        <v>4551</v>
      </c>
      <c r="G3772">
        <v>1</v>
      </c>
      <c r="H3772" t="s">
        <v>16</v>
      </c>
      <c r="I3772" s="1">
        <v>-2162400</v>
      </c>
      <c r="J3772" s="1">
        <v>-5086100</v>
      </c>
      <c r="K3772">
        <v>461</v>
      </c>
      <c r="L3772">
        <v>172</v>
      </c>
      <c r="M3772" t="s">
        <v>16</v>
      </c>
    </row>
    <row r="3773" spans="1:13" x14ac:dyDescent="0.35">
      <c r="A3773">
        <v>354515</v>
      </c>
      <c r="B3773">
        <v>51519</v>
      </c>
      <c r="C3773" t="s">
        <v>3938</v>
      </c>
      <c r="D3773" t="s">
        <v>3421</v>
      </c>
      <c r="E3773" t="s">
        <v>3432</v>
      </c>
      <c r="F3773">
        <v>6586</v>
      </c>
      <c r="G3773">
        <v>1</v>
      </c>
      <c r="H3773" t="s">
        <v>16</v>
      </c>
      <c r="I3773" s="1">
        <v>-2284700</v>
      </c>
      <c r="J3773" s="1">
        <v>-4767700</v>
      </c>
      <c r="K3773">
        <v>595</v>
      </c>
      <c r="L3773">
        <v>101</v>
      </c>
      <c r="M3773" t="s">
        <v>16</v>
      </c>
    </row>
    <row r="3774" spans="1:13" x14ac:dyDescent="0.35">
      <c r="A3774">
        <v>354520</v>
      </c>
      <c r="B3774">
        <v>32921</v>
      </c>
      <c r="C3774" t="s">
        <v>3939</v>
      </c>
      <c r="D3774" t="s">
        <v>3421</v>
      </c>
      <c r="E3774" t="s">
        <v>3444</v>
      </c>
      <c r="F3774">
        <v>102405</v>
      </c>
      <c r="G3774">
        <v>3</v>
      </c>
      <c r="H3774" t="s">
        <v>16</v>
      </c>
      <c r="I3774" s="1">
        <v>-2320100</v>
      </c>
      <c r="J3774" s="1">
        <v>-4728700</v>
      </c>
      <c r="K3774">
        <v>555</v>
      </c>
      <c r="L3774">
        <v>134</v>
      </c>
      <c r="M3774" t="s">
        <v>16</v>
      </c>
    </row>
    <row r="3775" spans="1:13" x14ac:dyDescent="0.35">
      <c r="A3775">
        <v>354530</v>
      </c>
      <c r="B3775">
        <v>32930</v>
      </c>
      <c r="C3775" t="s">
        <v>3940</v>
      </c>
      <c r="D3775" t="s">
        <v>3421</v>
      </c>
      <c r="E3775" t="s">
        <v>3444</v>
      </c>
      <c r="F3775">
        <v>37324</v>
      </c>
      <c r="G3775">
        <v>1</v>
      </c>
      <c r="H3775" t="s">
        <v>16</v>
      </c>
      <c r="I3775" s="1">
        <v>-2364900</v>
      </c>
      <c r="J3775" s="1">
        <v>-4757300</v>
      </c>
      <c r="K3775">
        <v>630</v>
      </c>
      <c r="L3775">
        <v>280</v>
      </c>
      <c r="M3775" t="s">
        <v>16</v>
      </c>
    </row>
    <row r="3776" spans="1:13" x14ac:dyDescent="0.35">
      <c r="A3776">
        <v>354540</v>
      </c>
      <c r="B3776">
        <v>32948</v>
      </c>
      <c r="C3776" t="s">
        <v>3941</v>
      </c>
      <c r="D3776" t="s">
        <v>3421</v>
      </c>
      <c r="E3776" t="s">
        <v>3520</v>
      </c>
      <c r="F3776">
        <v>8592</v>
      </c>
      <c r="G3776">
        <v>1</v>
      </c>
      <c r="H3776" t="s">
        <v>16</v>
      </c>
      <c r="I3776" s="1">
        <v>-2289300</v>
      </c>
      <c r="J3776" s="1">
        <v>-4998600</v>
      </c>
      <c r="K3776">
        <v>396</v>
      </c>
      <c r="L3776">
        <v>189</v>
      </c>
      <c r="M3776" t="s">
        <v>16</v>
      </c>
    </row>
    <row r="3777" spans="1:13" x14ac:dyDescent="0.35">
      <c r="A3777">
        <v>354550</v>
      </c>
      <c r="B3777">
        <v>32956</v>
      </c>
      <c r="C3777" t="s">
        <v>3942</v>
      </c>
      <c r="D3777" t="s">
        <v>3421</v>
      </c>
      <c r="E3777" t="s">
        <v>3438</v>
      </c>
      <c r="F3777">
        <v>3217</v>
      </c>
      <c r="G3777">
        <v>1</v>
      </c>
      <c r="H3777" t="s">
        <v>16</v>
      </c>
      <c r="I3777" s="1">
        <v>-2245600</v>
      </c>
      <c r="J3777" s="1">
        <v>-5176300</v>
      </c>
      <c r="K3777">
        <v>424</v>
      </c>
      <c r="L3777">
        <v>455</v>
      </c>
      <c r="M3777" t="s">
        <v>16</v>
      </c>
    </row>
    <row r="3778" spans="1:13" x14ac:dyDescent="0.35">
      <c r="A3778">
        <v>354560</v>
      </c>
      <c r="B3778">
        <v>32964</v>
      </c>
      <c r="C3778" t="s">
        <v>3943</v>
      </c>
      <c r="D3778" t="s">
        <v>3421</v>
      </c>
      <c r="E3778" t="s">
        <v>3485</v>
      </c>
      <c r="F3778">
        <v>13861</v>
      </c>
      <c r="G3778">
        <v>1</v>
      </c>
      <c r="H3778" t="s">
        <v>16</v>
      </c>
      <c r="I3778" s="1">
        <v>-2124300</v>
      </c>
      <c r="J3778" s="1">
        <v>-4880400</v>
      </c>
      <c r="K3778">
        <v>618</v>
      </c>
      <c r="L3778">
        <v>331</v>
      </c>
      <c r="M3778" t="s">
        <v>16</v>
      </c>
    </row>
    <row r="3779" spans="1:13" x14ac:dyDescent="0.35">
      <c r="A3779">
        <v>354570</v>
      </c>
      <c r="B3779">
        <v>32972</v>
      </c>
      <c r="C3779" t="s">
        <v>3944</v>
      </c>
      <c r="D3779" t="s">
        <v>3421</v>
      </c>
      <c r="E3779" t="s">
        <v>3466</v>
      </c>
      <c r="F3779">
        <v>5034</v>
      </c>
      <c r="G3779">
        <v>1</v>
      </c>
      <c r="H3779" t="s">
        <v>16</v>
      </c>
      <c r="I3779" s="1">
        <v>-2003200</v>
      </c>
      <c r="J3779" s="1">
        <v>-5072800</v>
      </c>
      <c r="K3779">
        <v>420</v>
      </c>
      <c r="L3779">
        <v>274</v>
      </c>
      <c r="M3779" t="s">
        <v>16</v>
      </c>
    </row>
    <row r="3780" spans="1:13" x14ac:dyDescent="0.35">
      <c r="A3780">
        <v>354580</v>
      </c>
      <c r="B3780">
        <v>32980</v>
      </c>
      <c r="C3780" t="s">
        <v>3945</v>
      </c>
      <c r="D3780" t="s">
        <v>3421</v>
      </c>
      <c r="E3780" t="s">
        <v>3452</v>
      </c>
      <c r="F3780">
        <v>184318</v>
      </c>
      <c r="G3780">
        <v>4</v>
      </c>
      <c r="H3780" t="s">
        <v>3453</v>
      </c>
      <c r="I3780" s="1">
        <v>-2275400</v>
      </c>
      <c r="J3780" s="1">
        <v>-4741400</v>
      </c>
      <c r="K3780">
        <v>565</v>
      </c>
      <c r="L3780">
        <v>271</v>
      </c>
      <c r="M3780" t="s">
        <v>16</v>
      </c>
    </row>
    <row r="3781" spans="1:13" x14ac:dyDescent="0.35">
      <c r="A3781">
        <v>354600</v>
      </c>
      <c r="B3781">
        <v>33006</v>
      </c>
      <c r="C3781" t="s">
        <v>3946</v>
      </c>
      <c r="D3781" t="s">
        <v>3421</v>
      </c>
      <c r="E3781" t="s">
        <v>3546</v>
      </c>
      <c r="F3781">
        <v>13282</v>
      </c>
      <c r="G3781">
        <v>1</v>
      </c>
      <c r="H3781" t="s">
        <v>16</v>
      </c>
      <c r="I3781" s="1">
        <v>-2339700</v>
      </c>
      <c r="J3781" s="1">
        <v>-4588400</v>
      </c>
      <c r="K3781">
        <v>648</v>
      </c>
      <c r="L3781">
        <v>275</v>
      </c>
      <c r="M3781" t="s">
        <v>16</v>
      </c>
    </row>
    <row r="3782" spans="1:13" x14ac:dyDescent="0.35">
      <c r="A3782">
        <v>354610</v>
      </c>
      <c r="B3782">
        <v>33014</v>
      </c>
      <c r="C3782" t="s">
        <v>3947</v>
      </c>
      <c r="D3782" t="s">
        <v>3421</v>
      </c>
      <c r="E3782" t="s">
        <v>3466</v>
      </c>
      <c r="F3782">
        <v>2081</v>
      </c>
      <c r="G3782">
        <v>1</v>
      </c>
      <c r="H3782" t="s">
        <v>16</v>
      </c>
      <c r="I3782" s="1">
        <v>-2008900</v>
      </c>
      <c r="J3782" s="1">
        <v>-5095400</v>
      </c>
      <c r="K3782">
        <v>401</v>
      </c>
      <c r="L3782">
        <v>183</v>
      </c>
      <c r="M3782" t="s">
        <v>16</v>
      </c>
    </row>
    <row r="3783" spans="1:13" x14ac:dyDescent="0.35">
      <c r="A3783">
        <v>354620</v>
      </c>
      <c r="B3783">
        <v>33022</v>
      </c>
      <c r="C3783" t="s">
        <v>3948</v>
      </c>
      <c r="D3783" t="s">
        <v>3421</v>
      </c>
      <c r="E3783" t="s">
        <v>3478</v>
      </c>
      <c r="F3783">
        <v>3872</v>
      </c>
      <c r="G3783">
        <v>1</v>
      </c>
      <c r="H3783" t="s">
        <v>16</v>
      </c>
      <c r="I3783" s="1">
        <v>-2214000</v>
      </c>
      <c r="J3783" s="1">
        <v>-4745200</v>
      </c>
      <c r="K3783">
        <v>645</v>
      </c>
      <c r="L3783">
        <v>149</v>
      </c>
      <c r="M3783" t="s">
        <v>16</v>
      </c>
    </row>
    <row r="3784" spans="1:13" x14ac:dyDescent="0.35">
      <c r="A3784">
        <v>354625</v>
      </c>
      <c r="B3784">
        <v>56510</v>
      </c>
      <c r="C3784" t="s">
        <v>3949</v>
      </c>
      <c r="D3784" t="s">
        <v>3421</v>
      </c>
      <c r="E3784" t="s">
        <v>3441</v>
      </c>
      <c r="F3784">
        <v>1707</v>
      </c>
      <c r="G3784">
        <v>1</v>
      </c>
      <c r="H3784" t="s">
        <v>16</v>
      </c>
      <c r="I3784" s="1">
        <v>-2129100</v>
      </c>
      <c r="J3784" s="1">
        <v>-4743000</v>
      </c>
      <c r="K3784">
        <v>612</v>
      </c>
      <c r="L3784">
        <v>147</v>
      </c>
      <c r="M3784" t="s">
        <v>16</v>
      </c>
    </row>
    <row r="3785" spans="1:13" x14ac:dyDescent="0.35">
      <c r="A3785">
        <v>354630</v>
      </c>
      <c r="B3785">
        <v>33030</v>
      </c>
      <c r="C3785" t="s">
        <v>3950</v>
      </c>
      <c r="D3785" t="s">
        <v>3421</v>
      </c>
      <c r="E3785" t="s">
        <v>3425</v>
      </c>
      <c r="F3785">
        <v>30458</v>
      </c>
      <c r="G3785">
        <v>1</v>
      </c>
      <c r="H3785" t="s">
        <v>16</v>
      </c>
      <c r="I3785" s="1">
        <v>-2182700</v>
      </c>
      <c r="J3785" s="1">
        <v>-4724900</v>
      </c>
      <c r="K3785">
        <v>635</v>
      </c>
      <c r="L3785">
        <v>295</v>
      </c>
      <c r="M3785" t="s">
        <v>16</v>
      </c>
    </row>
    <row r="3786" spans="1:13" x14ac:dyDescent="0.35">
      <c r="A3786">
        <v>354640</v>
      </c>
      <c r="B3786">
        <v>33049</v>
      </c>
      <c r="C3786" t="s">
        <v>3951</v>
      </c>
      <c r="D3786" t="s">
        <v>3421</v>
      </c>
      <c r="E3786" t="s">
        <v>3520</v>
      </c>
      <c r="F3786">
        <v>41655</v>
      </c>
      <c r="G3786">
        <v>1</v>
      </c>
      <c r="H3786" t="s">
        <v>16</v>
      </c>
      <c r="I3786" s="1">
        <v>-2289900</v>
      </c>
      <c r="J3786" s="1">
        <v>-4963300</v>
      </c>
      <c r="K3786">
        <v>467</v>
      </c>
      <c r="L3786">
        <v>1116</v>
      </c>
      <c r="M3786" t="s">
        <v>16</v>
      </c>
    </row>
    <row r="3787" spans="1:13" x14ac:dyDescent="0.35">
      <c r="A3787">
        <v>354650</v>
      </c>
      <c r="B3787">
        <v>33057</v>
      </c>
      <c r="C3787" t="s">
        <v>3952</v>
      </c>
      <c r="D3787" t="s">
        <v>3421</v>
      </c>
      <c r="E3787" t="s">
        <v>3517</v>
      </c>
      <c r="F3787">
        <v>5510</v>
      </c>
      <c r="G3787">
        <v>1</v>
      </c>
      <c r="H3787" t="s">
        <v>16</v>
      </c>
      <c r="I3787" s="1">
        <v>-2146300</v>
      </c>
      <c r="J3787" s="1">
        <v>-4839100</v>
      </c>
      <c r="K3787">
        <v>570</v>
      </c>
      <c r="L3787">
        <v>134</v>
      </c>
      <c r="M3787" t="s">
        <v>16</v>
      </c>
    </row>
    <row r="3788" spans="1:13" x14ac:dyDescent="0.35">
      <c r="A3788">
        <v>354660</v>
      </c>
      <c r="B3788">
        <v>33065</v>
      </c>
      <c r="C3788" t="s">
        <v>3953</v>
      </c>
      <c r="D3788" t="s">
        <v>3421</v>
      </c>
      <c r="E3788" t="s">
        <v>3466</v>
      </c>
      <c r="F3788">
        <v>27693</v>
      </c>
      <c r="G3788">
        <v>1</v>
      </c>
      <c r="H3788" t="s">
        <v>16</v>
      </c>
      <c r="I3788" s="1">
        <v>-2021100</v>
      </c>
      <c r="J3788" s="1">
        <v>-5092600</v>
      </c>
      <c r="K3788">
        <v>370</v>
      </c>
      <c r="L3788">
        <v>208</v>
      </c>
      <c r="M3788" t="s">
        <v>16</v>
      </c>
    </row>
    <row r="3789" spans="1:13" x14ac:dyDescent="0.35">
      <c r="A3789">
        <v>354670</v>
      </c>
      <c r="B3789">
        <v>33073</v>
      </c>
      <c r="C3789" t="s">
        <v>3954</v>
      </c>
      <c r="D3789" t="s">
        <v>3421</v>
      </c>
      <c r="E3789" t="s">
        <v>3478</v>
      </c>
      <c r="F3789">
        <v>19044</v>
      </c>
      <c r="G3789">
        <v>1</v>
      </c>
      <c r="H3789" t="s">
        <v>16</v>
      </c>
      <c r="I3789" s="1">
        <v>-2245700</v>
      </c>
      <c r="J3789" s="1">
        <v>-4753000</v>
      </c>
      <c r="K3789">
        <v>595</v>
      </c>
      <c r="L3789">
        <v>97</v>
      </c>
      <c r="M3789" t="s">
        <v>16</v>
      </c>
    </row>
    <row r="3790" spans="1:13" x14ac:dyDescent="0.35">
      <c r="A3790">
        <v>354680</v>
      </c>
      <c r="B3790">
        <v>33081</v>
      </c>
      <c r="C3790" t="s">
        <v>3955</v>
      </c>
      <c r="D3790" t="s">
        <v>3421</v>
      </c>
      <c r="E3790" t="s">
        <v>3489</v>
      </c>
      <c r="F3790">
        <v>44817</v>
      </c>
      <c r="G3790">
        <v>4</v>
      </c>
      <c r="H3790" t="s">
        <v>3490</v>
      </c>
      <c r="I3790" s="1">
        <v>-2331600</v>
      </c>
      <c r="J3790" s="1">
        <v>-4622100</v>
      </c>
      <c r="K3790">
        <v>655</v>
      </c>
      <c r="L3790">
        <v>361</v>
      </c>
      <c r="M3790" t="s">
        <v>16</v>
      </c>
    </row>
    <row r="3791" spans="1:13" x14ac:dyDescent="0.35">
      <c r="A3791">
        <v>354690</v>
      </c>
      <c r="B3791">
        <v>33090</v>
      </c>
      <c r="C3791" t="s">
        <v>3956</v>
      </c>
      <c r="D3791" t="s">
        <v>3421</v>
      </c>
      <c r="E3791" t="s">
        <v>3455</v>
      </c>
      <c r="F3791">
        <v>7862</v>
      </c>
      <c r="G3791">
        <v>1</v>
      </c>
      <c r="H3791" t="s">
        <v>16</v>
      </c>
      <c r="I3791" s="1">
        <v>-2168500</v>
      </c>
      <c r="J3791" s="1">
        <v>-4808400</v>
      </c>
      <c r="K3791">
        <v>705</v>
      </c>
      <c r="L3791">
        <v>152</v>
      </c>
      <c r="M3791" t="s">
        <v>16</v>
      </c>
    </row>
    <row r="3792" spans="1:13" x14ac:dyDescent="0.35">
      <c r="A3792">
        <v>354700</v>
      </c>
      <c r="B3792">
        <v>33103</v>
      </c>
      <c r="C3792" t="s">
        <v>3957</v>
      </c>
      <c r="D3792" t="s">
        <v>3421</v>
      </c>
      <c r="E3792" t="s">
        <v>3432</v>
      </c>
      <c r="F3792">
        <v>5417</v>
      </c>
      <c r="G3792">
        <v>1</v>
      </c>
      <c r="H3792" t="s">
        <v>16</v>
      </c>
      <c r="I3792" s="1">
        <v>-2256700</v>
      </c>
      <c r="J3792" s="1">
        <v>-4816100</v>
      </c>
      <c r="K3792">
        <v>495</v>
      </c>
      <c r="L3792">
        <v>256</v>
      </c>
      <c r="M3792" t="s">
        <v>16</v>
      </c>
    </row>
    <row r="3793" spans="1:13" x14ac:dyDescent="0.35">
      <c r="A3793">
        <v>354710</v>
      </c>
      <c r="B3793">
        <v>33111</v>
      </c>
      <c r="C3793" t="s">
        <v>3958</v>
      </c>
      <c r="D3793" t="s">
        <v>3421</v>
      </c>
      <c r="E3793" t="s">
        <v>3614</v>
      </c>
      <c r="F3793">
        <v>2589</v>
      </c>
      <c r="G3793">
        <v>1</v>
      </c>
      <c r="H3793" t="s">
        <v>16</v>
      </c>
      <c r="I3793" s="1">
        <v>-2135100</v>
      </c>
      <c r="J3793" s="1">
        <v>-5175500</v>
      </c>
      <c r="K3793">
        <v>351</v>
      </c>
      <c r="L3793">
        <v>166</v>
      </c>
      <c r="M3793" t="s">
        <v>16</v>
      </c>
    </row>
    <row r="3794" spans="1:13" x14ac:dyDescent="0.35">
      <c r="A3794">
        <v>354720</v>
      </c>
      <c r="B3794">
        <v>33120</v>
      </c>
      <c r="C3794" t="s">
        <v>3959</v>
      </c>
      <c r="D3794" t="s">
        <v>3421</v>
      </c>
      <c r="E3794" t="s">
        <v>3466</v>
      </c>
      <c r="F3794">
        <v>1654</v>
      </c>
      <c r="G3794">
        <v>1</v>
      </c>
      <c r="H3794" t="s">
        <v>16</v>
      </c>
      <c r="I3794" s="1">
        <v>-2025300</v>
      </c>
      <c r="J3794" s="1">
        <v>-5079700</v>
      </c>
      <c r="K3794">
        <v>426</v>
      </c>
      <c r="L3794">
        <v>129</v>
      </c>
      <c r="M3794" t="s">
        <v>16</v>
      </c>
    </row>
    <row r="3795" spans="1:13" x14ac:dyDescent="0.35">
      <c r="A3795">
        <v>354730</v>
      </c>
      <c r="B3795">
        <v>33138</v>
      </c>
      <c r="C3795" t="s">
        <v>3960</v>
      </c>
      <c r="D3795" t="s">
        <v>3421</v>
      </c>
      <c r="E3795" t="s">
        <v>3514</v>
      </c>
      <c r="F3795">
        <v>100236</v>
      </c>
      <c r="G3795">
        <v>4</v>
      </c>
      <c r="H3795" t="s">
        <v>3490</v>
      </c>
      <c r="I3795" s="1">
        <v>-2344400</v>
      </c>
      <c r="J3795" s="1">
        <v>-4691800</v>
      </c>
      <c r="K3795">
        <v>719</v>
      </c>
      <c r="L3795">
        <v>183</v>
      </c>
      <c r="M3795" t="s">
        <v>16</v>
      </c>
    </row>
    <row r="3796" spans="1:13" x14ac:dyDescent="0.35">
      <c r="A3796">
        <v>354740</v>
      </c>
      <c r="B3796">
        <v>33146</v>
      </c>
      <c r="C3796" t="s">
        <v>3961</v>
      </c>
      <c r="D3796" t="s">
        <v>3421</v>
      </c>
      <c r="E3796" t="s">
        <v>3466</v>
      </c>
      <c r="F3796">
        <v>2493</v>
      </c>
      <c r="G3796">
        <v>1</v>
      </c>
      <c r="H3796" t="s">
        <v>16</v>
      </c>
      <c r="I3796" s="1">
        <v>-2014300</v>
      </c>
      <c r="J3796" s="1">
        <v>-5083300</v>
      </c>
      <c r="K3796">
        <v>400</v>
      </c>
      <c r="L3796">
        <v>210</v>
      </c>
      <c r="M3796" t="s">
        <v>16</v>
      </c>
    </row>
    <row r="3797" spans="1:13" x14ac:dyDescent="0.35">
      <c r="A3797">
        <v>354750</v>
      </c>
      <c r="B3797">
        <v>33154</v>
      </c>
      <c r="C3797" t="s">
        <v>3962</v>
      </c>
      <c r="D3797" t="s">
        <v>3421</v>
      </c>
      <c r="E3797" t="s">
        <v>3512</v>
      </c>
      <c r="F3797">
        <v>26456</v>
      </c>
      <c r="G3797">
        <v>1</v>
      </c>
      <c r="H3797" t="s">
        <v>16</v>
      </c>
      <c r="I3797" s="1">
        <v>-2171000</v>
      </c>
      <c r="J3797" s="1">
        <v>-4747800</v>
      </c>
      <c r="K3797">
        <v>748</v>
      </c>
      <c r="L3797">
        <v>752</v>
      </c>
      <c r="M3797" t="s">
        <v>16</v>
      </c>
    </row>
    <row r="3798" spans="1:13" x14ac:dyDescent="0.35">
      <c r="A3798">
        <v>354760</v>
      </c>
      <c r="B3798">
        <v>33162</v>
      </c>
      <c r="C3798" t="s">
        <v>3963</v>
      </c>
      <c r="D3798" t="s">
        <v>3421</v>
      </c>
      <c r="E3798" t="s">
        <v>3512</v>
      </c>
      <c r="F3798">
        <v>22699</v>
      </c>
      <c r="G3798">
        <v>1</v>
      </c>
      <c r="H3798" t="s">
        <v>16</v>
      </c>
      <c r="I3798" s="1">
        <v>-2147300</v>
      </c>
      <c r="J3798" s="1">
        <v>-4736300</v>
      </c>
      <c r="K3798">
        <v>675</v>
      </c>
      <c r="L3798">
        <v>289</v>
      </c>
      <c r="M3798" t="s">
        <v>16</v>
      </c>
    </row>
    <row r="3799" spans="1:13" x14ac:dyDescent="0.35">
      <c r="A3799">
        <v>354765</v>
      </c>
      <c r="B3799">
        <v>56529</v>
      </c>
      <c r="C3799" t="s">
        <v>3964</v>
      </c>
      <c r="D3799" t="s">
        <v>3421</v>
      </c>
      <c r="E3799" t="s">
        <v>3466</v>
      </c>
      <c r="F3799">
        <v>1390</v>
      </c>
      <c r="G3799">
        <v>1</v>
      </c>
      <c r="H3799" t="s">
        <v>16</v>
      </c>
      <c r="I3799" s="1">
        <v>-2024500</v>
      </c>
      <c r="J3799" s="1">
        <v>-5068800</v>
      </c>
      <c r="K3799">
        <v>460</v>
      </c>
      <c r="L3799">
        <v>79</v>
      </c>
      <c r="M3799" t="s">
        <v>16</v>
      </c>
    </row>
    <row r="3800" spans="1:13" x14ac:dyDescent="0.35">
      <c r="A3800">
        <v>354770</v>
      </c>
      <c r="B3800">
        <v>33170</v>
      </c>
      <c r="C3800" t="s">
        <v>3965</v>
      </c>
      <c r="D3800" t="s">
        <v>3421</v>
      </c>
      <c r="E3800" t="s">
        <v>3438</v>
      </c>
      <c r="F3800">
        <v>20550</v>
      </c>
      <c r="G3800">
        <v>1</v>
      </c>
      <c r="H3800" t="s">
        <v>16</v>
      </c>
      <c r="I3800" s="1">
        <v>-2197700</v>
      </c>
      <c r="J3800" s="1">
        <v>-5165200</v>
      </c>
      <c r="K3800">
        <v>436</v>
      </c>
      <c r="L3800">
        <v>552</v>
      </c>
      <c r="M3800" t="s">
        <v>16</v>
      </c>
    </row>
    <row r="3801" spans="1:13" x14ac:dyDescent="0.35">
      <c r="A3801">
        <v>354780</v>
      </c>
      <c r="B3801">
        <v>33189</v>
      </c>
      <c r="C3801" t="s">
        <v>1565</v>
      </c>
      <c r="D3801" t="s">
        <v>3421</v>
      </c>
      <c r="E3801" t="s">
        <v>3607</v>
      </c>
      <c r="F3801">
        <v>667891</v>
      </c>
      <c r="G3801">
        <v>4</v>
      </c>
      <c r="H3801" t="s">
        <v>3490</v>
      </c>
      <c r="I3801" s="1">
        <v>-2366400</v>
      </c>
      <c r="J3801" s="1">
        <v>-4653800</v>
      </c>
      <c r="K3801">
        <v>755</v>
      </c>
      <c r="L3801">
        <v>174</v>
      </c>
      <c r="M3801" t="s">
        <v>16</v>
      </c>
    </row>
    <row r="3802" spans="1:13" x14ac:dyDescent="0.35">
      <c r="A3802">
        <v>354790</v>
      </c>
      <c r="B3802">
        <v>33197</v>
      </c>
      <c r="C3802" t="s">
        <v>3966</v>
      </c>
      <c r="D3802" t="s">
        <v>3421</v>
      </c>
      <c r="E3802" t="s">
        <v>3441</v>
      </c>
      <c r="F3802">
        <v>6020</v>
      </c>
      <c r="G3802">
        <v>1</v>
      </c>
      <c r="H3802" t="s">
        <v>16</v>
      </c>
      <c r="I3802" s="1">
        <v>-2108700</v>
      </c>
      <c r="J3802" s="1">
        <v>-4715100</v>
      </c>
      <c r="K3802">
        <v>791</v>
      </c>
      <c r="L3802">
        <v>309</v>
      </c>
      <c r="M3802" t="s">
        <v>16</v>
      </c>
    </row>
    <row r="3803" spans="1:13" x14ac:dyDescent="0.35">
      <c r="A3803">
        <v>354800</v>
      </c>
      <c r="B3803">
        <v>33200</v>
      </c>
      <c r="C3803" t="s">
        <v>3967</v>
      </c>
      <c r="D3803" t="s">
        <v>3421</v>
      </c>
      <c r="E3803" t="s">
        <v>3487</v>
      </c>
      <c r="F3803">
        <v>19824</v>
      </c>
      <c r="G3803">
        <v>4</v>
      </c>
      <c r="H3803" t="s">
        <v>3453</v>
      </c>
      <c r="I3803" s="1">
        <v>-2260600</v>
      </c>
      <c r="J3803" s="1">
        <v>-4691900</v>
      </c>
      <c r="K3803">
        <v>695</v>
      </c>
      <c r="L3803">
        <v>154</v>
      </c>
      <c r="M3803" t="s">
        <v>16</v>
      </c>
    </row>
    <row r="3804" spans="1:13" x14ac:dyDescent="0.35">
      <c r="A3804">
        <v>354805</v>
      </c>
      <c r="B3804">
        <v>51446</v>
      </c>
      <c r="C3804" t="s">
        <v>3968</v>
      </c>
      <c r="D3804" t="s">
        <v>3421</v>
      </c>
      <c r="E3804" t="s">
        <v>3470</v>
      </c>
      <c r="F3804">
        <v>7034</v>
      </c>
      <c r="G3804">
        <v>1</v>
      </c>
      <c r="H3804" t="s">
        <v>16</v>
      </c>
      <c r="I3804" s="1">
        <v>-2093700</v>
      </c>
      <c r="J3804" s="1">
        <v>-5049600</v>
      </c>
      <c r="K3804">
        <v>385</v>
      </c>
      <c r="L3804">
        <v>1306</v>
      </c>
      <c r="M3804" t="s">
        <v>16</v>
      </c>
    </row>
    <row r="3805" spans="1:13" x14ac:dyDescent="0.35">
      <c r="A3805">
        <v>354810</v>
      </c>
      <c r="B3805">
        <v>33219</v>
      </c>
      <c r="C3805" t="s">
        <v>3969</v>
      </c>
      <c r="D3805" t="s">
        <v>3421</v>
      </c>
      <c r="E3805" t="s">
        <v>3427</v>
      </c>
      <c r="F3805">
        <v>5743</v>
      </c>
      <c r="G3805">
        <v>1</v>
      </c>
      <c r="H3805" t="s">
        <v>16</v>
      </c>
      <c r="I3805" s="1">
        <v>-2211600</v>
      </c>
      <c r="J3805" s="1">
        <v>-4668000</v>
      </c>
      <c r="K3805">
        <v>850</v>
      </c>
      <c r="L3805">
        <v>109</v>
      </c>
      <c r="M3805" t="s">
        <v>16</v>
      </c>
    </row>
    <row r="3806" spans="1:13" x14ac:dyDescent="0.35">
      <c r="A3806">
        <v>354820</v>
      </c>
      <c r="B3806">
        <v>33227</v>
      </c>
      <c r="C3806" t="s">
        <v>3970</v>
      </c>
      <c r="D3806" t="s">
        <v>3421</v>
      </c>
      <c r="E3806" t="s">
        <v>3563</v>
      </c>
      <c r="F3806">
        <v>6560</v>
      </c>
      <c r="G3806">
        <v>1</v>
      </c>
      <c r="H3806" t="s">
        <v>16</v>
      </c>
      <c r="I3806" s="1">
        <v>-2282700</v>
      </c>
      <c r="J3806" s="1">
        <v>-4566300</v>
      </c>
      <c r="K3806">
        <v>1080</v>
      </c>
      <c r="L3806">
        <v>132</v>
      </c>
      <c r="M3806" t="s">
        <v>16</v>
      </c>
    </row>
    <row r="3807" spans="1:13" x14ac:dyDescent="0.35">
      <c r="A3807">
        <v>354830</v>
      </c>
      <c r="B3807">
        <v>33235</v>
      </c>
      <c r="C3807" t="s">
        <v>3971</v>
      </c>
      <c r="D3807" t="s">
        <v>3421</v>
      </c>
      <c r="E3807" t="s">
        <v>3438</v>
      </c>
      <c r="F3807">
        <v>2759</v>
      </c>
      <c r="G3807">
        <v>1</v>
      </c>
      <c r="H3807" t="s">
        <v>16</v>
      </c>
      <c r="I3807" s="1">
        <v>-2185100</v>
      </c>
      <c r="J3807" s="1">
        <v>-5139200</v>
      </c>
      <c r="K3807">
        <v>416</v>
      </c>
      <c r="L3807">
        <v>93</v>
      </c>
      <c r="M3807" t="s">
        <v>16</v>
      </c>
    </row>
    <row r="3808" spans="1:13" x14ac:dyDescent="0.35">
      <c r="A3808">
        <v>354840</v>
      </c>
      <c r="B3808">
        <v>33243</v>
      </c>
      <c r="C3808" t="s">
        <v>3972</v>
      </c>
      <c r="D3808" t="s">
        <v>3421</v>
      </c>
      <c r="E3808" t="s">
        <v>3442</v>
      </c>
      <c r="F3808">
        <v>4008</v>
      </c>
      <c r="G3808">
        <v>1</v>
      </c>
      <c r="H3808" t="s">
        <v>16</v>
      </c>
      <c r="I3808" s="1">
        <v>-2163800</v>
      </c>
      <c r="J3808" s="1">
        <v>-5050000</v>
      </c>
      <c r="K3808">
        <v>429</v>
      </c>
      <c r="L3808">
        <v>127</v>
      </c>
      <c r="M3808" t="s">
        <v>16</v>
      </c>
    </row>
    <row r="3809" spans="1:13" x14ac:dyDescent="0.35">
      <c r="A3809">
        <v>354850</v>
      </c>
      <c r="B3809">
        <v>33251</v>
      </c>
      <c r="C3809" t="s">
        <v>3522</v>
      </c>
      <c r="D3809" t="s">
        <v>3421</v>
      </c>
      <c r="E3809" t="s">
        <v>3522</v>
      </c>
      <c r="F3809">
        <v>418288</v>
      </c>
      <c r="G3809">
        <v>4</v>
      </c>
      <c r="H3809" t="s">
        <v>3523</v>
      </c>
      <c r="I3809" s="1">
        <v>-2396100</v>
      </c>
      <c r="J3809" s="1">
        <v>-4633400</v>
      </c>
      <c r="K3809">
        <v>2</v>
      </c>
      <c r="L3809">
        <v>280</v>
      </c>
      <c r="M3809" t="s">
        <v>16</v>
      </c>
    </row>
    <row r="3810" spans="1:13" x14ac:dyDescent="0.35">
      <c r="A3810">
        <v>354860</v>
      </c>
      <c r="B3810">
        <v>33260</v>
      </c>
      <c r="C3810" t="s">
        <v>3973</v>
      </c>
      <c r="D3810" t="s">
        <v>3421</v>
      </c>
      <c r="E3810" t="s">
        <v>3563</v>
      </c>
      <c r="F3810">
        <v>10515</v>
      </c>
      <c r="G3810">
        <v>1</v>
      </c>
      <c r="H3810" t="s">
        <v>16</v>
      </c>
      <c r="I3810" s="1">
        <v>-2268900</v>
      </c>
      <c r="J3810" s="1">
        <v>-4573100</v>
      </c>
      <c r="K3810">
        <v>886</v>
      </c>
      <c r="L3810">
        <v>252</v>
      </c>
      <c r="M3810" t="s">
        <v>16</v>
      </c>
    </row>
    <row r="3811" spans="1:13" x14ac:dyDescent="0.35">
      <c r="A3811">
        <v>354870</v>
      </c>
      <c r="B3811">
        <v>33278</v>
      </c>
      <c r="C3811" t="s">
        <v>3974</v>
      </c>
      <c r="D3811" t="s">
        <v>3421</v>
      </c>
      <c r="E3811" t="s">
        <v>3607</v>
      </c>
      <c r="F3811">
        <v>781390</v>
      </c>
      <c r="G3811">
        <v>4</v>
      </c>
      <c r="H3811" t="s">
        <v>3490</v>
      </c>
      <c r="I3811" s="1">
        <v>-2369400</v>
      </c>
      <c r="J3811" s="1">
        <v>-4656500</v>
      </c>
      <c r="K3811">
        <v>762</v>
      </c>
      <c r="L3811">
        <v>406</v>
      </c>
      <c r="M3811" t="s">
        <v>16</v>
      </c>
    </row>
    <row r="3812" spans="1:13" x14ac:dyDescent="0.35">
      <c r="A3812">
        <v>354880</v>
      </c>
      <c r="B3812">
        <v>33286</v>
      </c>
      <c r="C3812" t="s">
        <v>3975</v>
      </c>
      <c r="D3812" t="s">
        <v>3421</v>
      </c>
      <c r="E3812" t="s">
        <v>3607</v>
      </c>
      <c r="F3812">
        <v>144857</v>
      </c>
      <c r="G3812">
        <v>4</v>
      </c>
      <c r="H3812" t="s">
        <v>3490</v>
      </c>
      <c r="I3812" s="1">
        <v>-2362300</v>
      </c>
      <c r="J3812" s="1">
        <v>-4655100</v>
      </c>
      <c r="K3812">
        <v>744</v>
      </c>
      <c r="L3812">
        <v>15</v>
      </c>
      <c r="M3812" t="s">
        <v>16</v>
      </c>
    </row>
    <row r="3813" spans="1:13" x14ac:dyDescent="0.35">
      <c r="A3813">
        <v>354890</v>
      </c>
      <c r="B3813">
        <v>33294</v>
      </c>
      <c r="C3813" t="s">
        <v>3976</v>
      </c>
      <c r="D3813" t="s">
        <v>3421</v>
      </c>
      <c r="E3813" t="s">
        <v>3458</v>
      </c>
      <c r="F3813">
        <v>212956</v>
      </c>
      <c r="G3813">
        <v>3</v>
      </c>
      <c r="H3813" t="s">
        <v>16</v>
      </c>
      <c r="I3813" s="1">
        <v>-2201800</v>
      </c>
      <c r="J3813" s="1">
        <v>-4789100</v>
      </c>
      <c r="K3813">
        <v>854</v>
      </c>
      <c r="L3813">
        <v>1140</v>
      </c>
      <c r="M3813" t="s">
        <v>16</v>
      </c>
    </row>
    <row r="3814" spans="1:13" x14ac:dyDescent="0.35">
      <c r="A3814">
        <v>354900</v>
      </c>
      <c r="B3814">
        <v>33308</v>
      </c>
      <c r="C3814" t="s">
        <v>1569</v>
      </c>
      <c r="D3814" t="s">
        <v>3421</v>
      </c>
      <c r="E3814" t="s">
        <v>3466</v>
      </c>
      <c r="F3814">
        <v>2812</v>
      </c>
      <c r="G3814">
        <v>1</v>
      </c>
      <c r="H3814" t="s">
        <v>16</v>
      </c>
      <c r="I3814" s="1">
        <v>-2035900</v>
      </c>
      <c r="J3814" s="1">
        <v>-5069700</v>
      </c>
      <c r="K3814">
        <v>402</v>
      </c>
      <c r="L3814">
        <v>75</v>
      </c>
      <c r="M3814" t="s">
        <v>16</v>
      </c>
    </row>
    <row r="3815" spans="1:13" x14ac:dyDescent="0.35">
      <c r="A3815">
        <v>354910</v>
      </c>
      <c r="B3815">
        <v>33316</v>
      </c>
      <c r="C3815" t="s">
        <v>3977</v>
      </c>
      <c r="D3815" t="s">
        <v>3421</v>
      </c>
      <c r="E3815" t="s">
        <v>3427</v>
      </c>
      <c r="F3815">
        <v>79935</v>
      </c>
      <c r="G3815">
        <v>2</v>
      </c>
      <c r="H3815" t="s">
        <v>16</v>
      </c>
      <c r="I3815" s="1">
        <v>-2196900</v>
      </c>
      <c r="J3815" s="1">
        <v>-4679800</v>
      </c>
      <c r="K3815">
        <v>767</v>
      </c>
      <c r="L3815">
        <v>516</v>
      </c>
      <c r="M3815" t="s">
        <v>16</v>
      </c>
    </row>
    <row r="3816" spans="1:13" x14ac:dyDescent="0.35">
      <c r="A3816">
        <v>354920</v>
      </c>
      <c r="B3816">
        <v>33324</v>
      </c>
      <c r="C3816" t="s">
        <v>3978</v>
      </c>
      <c r="D3816" t="s">
        <v>3421</v>
      </c>
      <c r="E3816" t="s">
        <v>3629</v>
      </c>
      <c r="F3816">
        <v>2571</v>
      </c>
      <c r="G3816">
        <v>1</v>
      </c>
      <c r="H3816" t="s">
        <v>16</v>
      </c>
      <c r="I3816" s="1">
        <v>-2038900</v>
      </c>
      <c r="J3816" s="1">
        <v>-5037800</v>
      </c>
      <c r="K3816">
        <v>427</v>
      </c>
      <c r="L3816">
        <v>129</v>
      </c>
      <c r="M3816" t="s">
        <v>16</v>
      </c>
    </row>
    <row r="3817" spans="1:13" x14ac:dyDescent="0.35">
      <c r="A3817">
        <v>354925</v>
      </c>
      <c r="B3817">
        <v>51454</v>
      </c>
      <c r="C3817" t="s">
        <v>3979</v>
      </c>
      <c r="D3817" t="s">
        <v>3421</v>
      </c>
      <c r="E3817" t="s">
        <v>3495</v>
      </c>
      <c r="F3817">
        <v>1725</v>
      </c>
      <c r="G3817">
        <v>1</v>
      </c>
      <c r="H3817" t="s">
        <v>16</v>
      </c>
      <c r="I3817" s="1">
        <v>-2051300</v>
      </c>
      <c r="J3817" s="1">
        <v>-5035200</v>
      </c>
      <c r="K3817">
        <v>508</v>
      </c>
      <c r="L3817">
        <v>177</v>
      </c>
      <c r="M3817" t="s">
        <v>16</v>
      </c>
    </row>
    <row r="3818" spans="1:13" x14ac:dyDescent="0.35">
      <c r="A3818">
        <v>354930</v>
      </c>
      <c r="B3818">
        <v>33332</v>
      </c>
      <c r="C3818" t="s">
        <v>3980</v>
      </c>
      <c r="D3818" t="s">
        <v>3421</v>
      </c>
      <c r="E3818" t="s">
        <v>3614</v>
      </c>
      <c r="F3818">
        <v>2132</v>
      </c>
      <c r="G3818">
        <v>1</v>
      </c>
      <c r="H3818" t="s">
        <v>16</v>
      </c>
      <c r="I3818" s="1">
        <v>-2126800</v>
      </c>
      <c r="J3818" s="1">
        <v>-5166600</v>
      </c>
      <c r="K3818">
        <v>354</v>
      </c>
      <c r="L3818">
        <v>117</v>
      </c>
      <c r="M3818" t="s">
        <v>16</v>
      </c>
    </row>
    <row r="3819" spans="1:13" x14ac:dyDescent="0.35">
      <c r="A3819">
        <v>354940</v>
      </c>
      <c r="B3819">
        <v>33340</v>
      </c>
      <c r="C3819" t="s">
        <v>3981</v>
      </c>
      <c r="D3819" t="s">
        <v>3421</v>
      </c>
      <c r="E3819" t="s">
        <v>3653</v>
      </c>
      <c r="F3819">
        <v>43703</v>
      </c>
      <c r="G3819">
        <v>1</v>
      </c>
      <c r="H3819" t="s">
        <v>16</v>
      </c>
      <c r="I3819" s="1">
        <v>-2058100</v>
      </c>
      <c r="J3819" s="1">
        <v>-4785500</v>
      </c>
      <c r="K3819">
        <v>625</v>
      </c>
      <c r="L3819">
        <v>412</v>
      </c>
      <c r="M3819" t="s">
        <v>16</v>
      </c>
    </row>
    <row r="3820" spans="1:13" x14ac:dyDescent="0.35">
      <c r="A3820">
        <v>354950</v>
      </c>
      <c r="B3820">
        <v>33359</v>
      </c>
      <c r="C3820" t="s">
        <v>3982</v>
      </c>
      <c r="D3820" t="s">
        <v>3421</v>
      </c>
      <c r="E3820" t="s">
        <v>3599</v>
      </c>
      <c r="F3820">
        <v>8173</v>
      </c>
      <c r="G3820">
        <v>1</v>
      </c>
      <c r="H3820" t="s">
        <v>16</v>
      </c>
      <c r="I3820" s="1">
        <v>-2059300</v>
      </c>
      <c r="J3820" s="1">
        <v>-4764000</v>
      </c>
      <c r="K3820">
        <v>730</v>
      </c>
      <c r="L3820">
        <v>276</v>
      </c>
      <c r="M3820" t="s">
        <v>16</v>
      </c>
    </row>
    <row r="3821" spans="1:13" x14ac:dyDescent="0.35">
      <c r="A3821">
        <v>354960</v>
      </c>
      <c r="B3821">
        <v>33367</v>
      </c>
      <c r="C3821" t="s">
        <v>3983</v>
      </c>
      <c r="D3821" t="s">
        <v>3421</v>
      </c>
      <c r="E3821" t="s">
        <v>3476</v>
      </c>
      <c r="F3821">
        <v>4278</v>
      </c>
      <c r="G3821">
        <v>1</v>
      </c>
      <c r="H3821" t="s">
        <v>16</v>
      </c>
      <c r="I3821" s="1">
        <v>-2264500</v>
      </c>
      <c r="J3821" s="1">
        <v>-4457800</v>
      </c>
      <c r="K3821">
        <v>510</v>
      </c>
      <c r="L3821">
        <v>570</v>
      </c>
      <c r="M3821" t="s">
        <v>16</v>
      </c>
    </row>
    <row r="3822" spans="1:13" x14ac:dyDescent="0.35">
      <c r="A3822">
        <v>354970</v>
      </c>
      <c r="B3822">
        <v>33375</v>
      </c>
      <c r="C3822" t="s">
        <v>3984</v>
      </c>
      <c r="D3822" t="s">
        <v>3421</v>
      </c>
      <c r="E3822" t="s">
        <v>3427</v>
      </c>
      <c r="F3822">
        <v>51023</v>
      </c>
      <c r="G3822">
        <v>2</v>
      </c>
      <c r="H3822" t="s">
        <v>16</v>
      </c>
      <c r="I3822" s="1">
        <v>-2159600</v>
      </c>
      <c r="J3822" s="1">
        <v>-4688900</v>
      </c>
      <c r="K3822">
        <v>705</v>
      </c>
      <c r="L3822">
        <v>419</v>
      </c>
      <c r="M3822" t="s">
        <v>16</v>
      </c>
    </row>
    <row r="3823" spans="1:13" x14ac:dyDescent="0.35">
      <c r="A3823">
        <v>354980</v>
      </c>
      <c r="B3823">
        <v>33383</v>
      </c>
      <c r="C3823" t="s">
        <v>3985</v>
      </c>
      <c r="D3823" t="s">
        <v>3421</v>
      </c>
      <c r="E3823" t="s">
        <v>3423</v>
      </c>
      <c r="F3823">
        <v>402770</v>
      </c>
      <c r="G3823">
        <v>3</v>
      </c>
      <c r="H3823" t="s">
        <v>16</v>
      </c>
      <c r="I3823" s="1">
        <v>-2082000</v>
      </c>
      <c r="J3823" s="1">
        <v>-4937900</v>
      </c>
      <c r="K3823">
        <v>489</v>
      </c>
      <c r="L3823">
        <v>431</v>
      </c>
      <c r="M3823" t="s">
        <v>16</v>
      </c>
    </row>
    <row r="3824" spans="1:13" x14ac:dyDescent="0.35">
      <c r="A3824">
        <v>354990</v>
      </c>
      <c r="B3824">
        <v>33391</v>
      </c>
      <c r="C3824" t="s">
        <v>3986</v>
      </c>
      <c r="D3824" t="s">
        <v>3421</v>
      </c>
      <c r="E3824" t="s">
        <v>3546</v>
      </c>
      <c r="F3824">
        <v>594948</v>
      </c>
      <c r="G3824">
        <v>3</v>
      </c>
      <c r="H3824" t="s">
        <v>16</v>
      </c>
      <c r="I3824" s="1">
        <v>-2317900</v>
      </c>
      <c r="J3824" s="1">
        <v>-4588700</v>
      </c>
      <c r="K3824">
        <v>600</v>
      </c>
      <c r="L3824">
        <v>1099</v>
      </c>
      <c r="M3824" t="s">
        <v>16</v>
      </c>
    </row>
    <row r="3825" spans="1:13" x14ac:dyDescent="0.35">
      <c r="A3825">
        <v>354995</v>
      </c>
      <c r="B3825">
        <v>51462</v>
      </c>
      <c r="C3825" t="s">
        <v>3987</v>
      </c>
      <c r="D3825" t="s">
        <v>3421</v>
      </c>
      <c r="E3825" t="s">
        <v>3596</v>
      </c>
      <c r="F3825">
        <v>16121</v>
      </c>
      <c r="G3825">
        <v>4</v>
      </c>
      <c r="H3825" t="s">
        <v>3490</v>
      </c>
      <c r="I3825" s="1">
        <v>-2385300</v>
      </c>
      <c r="J3825" s="1">
        <v>-4694300</v>
      </c>
      <c r="K3825">
        <v>690</v>
      </c>
      <c r="L3825">
        <v>186</v>
      </c>
      <c r="M3825" t="s">
        <v>16</v>
      </c>
    </row>
    <row r="3826" spans="1:13" x14ac:dyDescent="0.35">
      <c r="A3826">
        <v>355000</v>
      </c>
      <c r="B3826">
        <v>33405</v>
      </c>
      <c r="C3826" t="s">
        <v>3988</v>
      </c>
      <c r="D3826" t="s">
        <v>3421</v>
      </c>
      <c r="E3826" t="s">
        <v>3604</v>
      </c>
      <c r="F3826">
        <v>10496</v>
      </c>
      <c r="G3826">
        <v>1</v>
      </c>
      <c r="H3826" t="s">
        <v>16</v>
      </c>
      <c r="I3826" s="1">
        <v>-2322200</v>
      </c>
      <c r="J3826" s="1">
        <v>-4531000</v>
      </c>
      <c r="K3826">
        <v>741</v>
      </c>
      <c r="L3826">
        <v>617</v>
      </c>
      <c r="M3826" t="s">
        <v>16</v>
      </c>
    </row>
    <row r="3827" spans="1:13" x14ac:dyDescent="0.35">
      <c r="A3827">
        <v>355010</v>
      </c>
      <c r="B3827">
        <v>33413</v>
      </c>
      <c r="C3827" t="s">
        <v>3989</v>
      </c>
      <c r="D3827" t="s">
        <v>3421</v>
      </c>
      <c r="E3827" t="s">
        <v>3462</v>
      </c>
      <c r="F3827">
        <v>37797</v>
      </c>
      <c r="G3827">
        <v>1</v>
      </c>
      <c r="H3827" t="s">
        <v>16</v>
      </c>
      <c r="I3827" s="1">
        <v>-2273100</v>
      </c>
      <c r="J3827" s="1">
        <v>-4857100</v>
      </c>
      <c r="K3827">
        <v>709</v>
      </c>
      <c r="L3827">
        <v>651</v>
      </c>
      <c r="M3827" t="s">
        <v>16</v>
      </c>
    </row>
    <row r="3828" spans="1:13" x14ac:dyDescent="0.35">
      <c r="A3828">
        <v>355020</v>
      </c>
      <c r="B3828">
        <v>33421</v>
      </c>
      <c r="C3828" t="s">
        <v>3990</v>
      </c>
      <c r="D3828" t="s">
        <v>3421</v>
      </c>
      <c r="E3828" t="s">
        <v>3680</v>
      </c>
      <c r="F3828">
        <v>30384</v>
      </c>
      <c r="G3828">
        <v>1</v>
      </c>
      <c r="H3828" t="s">
        <v>16</v>
      </c>
      <c r="I3828" s="1">
        <v>-2387800</v>
      </c>
      <c r="J3828" s="1">
        <v>-4799700</v>
      </c>
      <c r="K3828">
        <v>659</v>
      </c>
      <c r="L3828">
        <v>930</v>
      </c>
      <c r="M3828" t="s">
        <v>16</v>
      </c>
    </row>
    <row r="3829" spans="1:13" x14ac:dyDescent="0.35">
      <c r="A3829">
        <v>355030</v>
      </c>
      <c r="B3829">
        <v>28401</v>
      </c>
      <c r="C3829" t="s">
        <v>3991</v>
      </c>
      <c r="D3829" t="s">
        <v>3421</v>
      </c>
      <c r="E3829" t="s">
        <v>3607</v>
      </c>
      <c r="F3829">
        <v>10886518</v>
      </c>
      <c r="G3829">
        <v>5</v>
      </c>
      <c r="H3829" t="s">
        <v>3490</v>
      </c>
      <c r="I3829" s="1">
        <v>-2354800</v>
      </c>
      <c r="J3829" s="1">
        <v>-4663600</v>
      </c>
      <c r="K3829">
        <v>760</v>
      </c>
      <c r="L3829">
        <v>1522</v>
      </c>
      <c r="M3829" t="s">
        <v>16</v>
      </c>
    </row>
    <row r="3830" spans="1:13" x14ac:dyDescent="0.35">
      <c r="A3830">
        <v>355040</v>
      </c>
      <c r="B3830">
        <v>33430</v>
      </c>
      <c r="C3830" t="s">
        <v>1363</v>
      </c>
      <c r="D3830" t="s">
        <v>3421</v>
      </c>
      <c r="E3830" t="s">
        <v>3432</v>
      </c>
      <c r="F3830">
        <v>29733</v>
      </c>
      <c r="G3830">
        <v>1</v>
      </c>
      <c r="H3830" t="s">
        <v>16</v>
      </c>
      <c r="I3830" s="1">
        <v>-2254900</v>
      </c>
      <c r="J3830" s="1">
        <v>-4791400</v>
      </c>
      <c r="K3830">
        <v>550</v>
      </c>
      <c r="L3830">
        <v>618</v>
      </c>
      <c r="M3830" t="s">
        <v>16</v>
      </c>
    </row>
    <row r="3831" spans="1:13" x14ac:dyDescent="0.35">
      <c r="A3831">
        <v>355050</v>
      </c>
      <c r="B3831">
        <v>33448</v>
      </c>
      <c r="C3831" t="s">
        <v>3992</v>
      </c>
      <c r="D3831" t="s">
        <v>3421</v>
      </c>
      <c r="E3831" t="s">
        <v>3520</v>
      </c>
      <c r="F3831">
        <v>7094</v>
      </c>
      <c r="G3831">
        <v>1</v>
      </c>
      <c r="H3831" t="s">
        <v>16</v>
      </c>
      <c r="I3831" s="1">
        <v>-2274700</v>
      </c>
      <c r="J3831" s="1">
        <v>-4974000</v>
      </c>
      <c r="K3831">
        <v>457</v>
      </c>
      <c r="L3831">
        <v>731</v>
      </c>
      <c r="M3831" t="s">
        <v>16</v>
      </c>
    </row>
    <row r="3832" spans="1:13" x14ac:dyDescent="0.35">
      <c r="A3832">
        <v>355060</v>
      </c>
      <c r="B3832">
        <v>33456</v>
      </c>
      <c r="C3832" t="s">
        <v>3993</v>
      </c>
      <c r="D3832" t="s">
        <v>3421</v>
      </c>
      <c r="E3832" t="s">
        <v>3444</v>
      </c>
      <c r="F3832">
        <v>65693</v>
      </c>
      <c r="G3832">
        <v>2</v>
      </c>
      <c r="H3832" t="s">
        <v>16</v>
      </c>
      <c r="I3832" s="1">
        <v>-2352900</v>
      </c>
      <c r="J3832" s="1">
        <v>-4713500</v>
      </c>
      <c r="K3832">
        <v>771</v>
      </c>
      <c r="L3832">
        <v>307</v>
      </c>
      <c r="M3832" t="s">
        <v>16</v>
      </c>
    </row>
    <row r="3833" spans="1:13" x14ac:dyDescent="0.35">
      <c r="A3833">
        <v>355070</v>
      </c>
      <c r="B3833">
        <v>33464</v>
      </c>
      <c r="C3833" t="s">
        <v>1888</v>
      </c>
      <c r="D3833" t="s">
        <v>3421</v>
      </c>
      <c r="E3833" t="s">
        <v>3573</v>
      </c>
      <c r="F3833">
        <v>67348</v>
      </c>
      <c r="G3833">
        <v>2</v>
      </c>
      <c r="H3833" t="s">
        <v>16</v>
      </c>
      <c r="I3833" s="1">
        <v>-2376000</v>
      </c>
      <c r="J3833" s="1">
        <v>-4541000</v>
      </c>
      <c r="K3833">
        <v>1</v>
      </c>
      <c r="L3833">
        <v>403</v>
      </c>
      <c r="M3833" t="s">
        <v>16</v>
      </c>
    </row>
    <row r="3834" spans="1:13" x14ac:dyDescent="0.35">
      <c r="A3834">
        <v>355080</v>
      </c>
      <c r="B3834">
        <v>33472</v>
      </c>
      <c r="C3834" t="s">
        <v>3994</v>
      </c>
      <c r="D3834" t="s">
        <v>3421</v>
      </c>
      <c r="E3834" t="s">
        <v>3427</v>
      </c>
      <c r="F3834">
        <v>12509</v>
      </c>
      <c r="G3834">
        <v>1</v>
      </c>
      <c r="H3834" t="s">
        <v>16</v>
      </c>
      <c r="I3834" s="1">
        <v>-2171100</v>
      </c>
      <c r="J3834" s="1">
        <v>-4682100</v>
      </c>
      <c r="K3834">
        <v>945</v>
      </c>
      <c r="L3834">
        <v>252</v>
      </c>
      <c r="M3834" t="s">
        <v>16</v>
      </c>
    </row>
    <row r="3835" spans="1:13" x14ac:dyDescent="0.35">
      <c r="A3835">
        <v>355090</v>
      </c>
      <c r="B3835">
        <v>33480</v>
      </c>
      <c r="C3835" t="s">
        <v>3995</v>
      </c>
      <c r="D3835" t="s">
        <v>3421</v>
      </c>
      <c r="E3835" t="s">
        <v>3512</v>
      </c>
      <c r="F3835">
        <v>13781</v>
      </c>
      <c r="G3835">
        <v>1</v>
      </c>
      <c r="H3835" t="s">
        <v>16</v>
      </c>
      <c r="I3835" s="1">
        <v>-2147900</v>
      </c>
      <c r="J3835" s="1">
        <v>-4755100</v>
      </c>
      <c r="K3835">
        <v>665</v>
      </c>
      <c r="L3835">
        <v>617</v>
      </c>
      <c r="M3835" t="s">
        <v>16</v>
      </c>
    </row>
    <row r="3836" spans="1:13" x14ac:dyDescent="0.35">
      <c r="A3836">
        <v>355100</v>
      </c>
      <c r="B3836">
        <v>33499</v>
      </c>
      <c r="C3836" t="s">
        <v>1366</v>
      </c>
      <c r="D3836" t="s">
        <v>3421</v>
      </c>
      <c r="E3836" t="s">
        <v>3522</v>
      </c>
      <c r="F3836">
        <v>323599</v>
      </c>
      <c r="G3836">
        <v>4</v>
      </c>
      <c r="H3836" t="s">
        <v>3523</v>
      </c>
      <c r="I3836" s="1">
        <v>-2396300</v>
      </c>
      <c r="J3836" s="1">
        <v>-4639200</v>
      </c>
      <c r="K3836">
        <v>6</v>
      </c>
      <c r="L3836">
        <v>148</v>
      </c>
      <c r="M3836" t="s">
        <v>16</v>
      </c>
    </row>
    <row r="3837" spans="1:13" x14ac:dyDescent="0.35">
      <c r="A3837">
        <v>355110</v>
      </c>
      <c r="B3837">
        <v>33502</v>
      </c>
      <c r="C3837" t="s">
        <v>3996</v>
      </c>
      <c r="D3837" t="s">
        <v>3421</v>
      </c>
      <c r="E3837" t="s">
        <v>3444</v>
      </c>
      <c r="F3837">
        <v>8158</v>
      </c>
      <c r="G3837">
        <v>1</v>
      </c>
      <c r="H3837" t="s">
        <v>16</v>
      </c>
      <c r="I3837" s="1">
        <v>-2364100</v>
      </c>
      <c r="J3837" s="1">
        <v>-4782500</v>
      </c>
      <c r="K3837">
        <v>590</v>
      </c>
      <c r="L3837">
        <v>354</v>
      </c>
      <c r="M3837" t="s">
        <v>16</v>
      </c>
    </row>
    <row r="3838" spans="1:13" x14ac:dyDescent="0.35">
      <c r="A3838">
        <v>355120</v>
      </c>
      <c r="B3838">
        <v>33510</v>
      </c>
      <c r="C3838" t="s">
        <v>3997</v>
      </c>
      <c r="D3838" t="s">
        <v>3421</v>
      </c>
      <c r="E3838" t="s">
        <v>3520</v>
      </c>
      <c r="F3838">
        <v>3680</v>
      </c>
      <c r="G3838">
        <v>1</v>
      </c>
      <c r="H3838" t="s">
        <v>16</v>
      </c>
      <c r="I3838" s="1">
        <v>-2327300</v>
      </c>
      <c r="J3838" s="1">
        <v>-4948000</v>
      </c>
      <c r="K3838">
        <v>756</v>
      </c>
      <c r="L3838">
        <v>141</v>
      </c>
      <c r="M3838" t="s">
        <v>16</v>
      </c>
    </row>
    <row r="3839" spans="1:13" x14ac:dyDescent="0.35">
      <c r="A3839">
        <v>355130</v>
      </c>
      <c r="B3839">
        <v>33529</v>
      </c>
      <c r="C3839" t="s">
        <v>3998</v>
      </c>
      <c r="D3839" t="s">
        <v>3421</v>
      </c>
      <c r="E3839" t="s">
        <v>3763</v>
      </c>
      <c r="F3839">
        <v>2871</v>
      </c>
      <c r="G3839">
        <v>1</v>
      </c>
      <c r="H3839" t="s">
        <v>16</v>
      </c>
      <c r="I3839" s="1">
        <v>-2065500</v>
      </c>
      <c r="J3839" s="1">
        <v>-4992100</v>
      </c>
      <c r="K3839">
        <v>468</v>
      </c>
      <c r="L3839">
        <v>168</v>
      </c>
      <c r="M3839" t="s">
        <v>16</v>
      </c>
    </row>
    <row r="3840" spans="1:13" x14ac:dyDescent="0.35">
      <c r="A3840">
        <v>355140</v>
      </c>
      <c r="B3840">
        <v>33537</v>
      </c>
      <c r="C3840" t="s">
        <v>3999</v>
      </c>
      <c r="D3840" t="s">
        <v>3421</v>
      </c>
      <c r="E3840" t="s">
        <v>3512</v>
      </c>
      <c r="F3840">
        <v>9107</v>
      </c>
      <c r="G3840">
        <v>1</v>
      </c>
      <c r="H3840" t="s">
        <v>16</v>
      </c>
      <c r="I3840" s="1">
        <v>-2131100</v>
      </c>
      <c r="J3840" s="1">
        <v>-4756600</v>
      </c>
      <c r="K3840">
        <v>610</v>
      </c>
      <c r="L3840">
        <v>282</v>
      </c>
      <c r="M3840" t="s">
        <v>16</v>
      </c>
    </row>
    <row r="3841" spans="1:13" x14ac:dyDescent="0.35">
      <c r="A3841">
        <v>355150</v>
      </c>
      <c r="B3841">
        <v>33545</v>
      </c>
      <c r="C3841" t="s">
        <v>3386</v>
      </c>
      <c r="D3841" t="s">
        <v>3421</v>
      </c>
      <c r="E3841" t="s">
        <v>3512</v>
      </c>
      <c r="F3841">
        <v>36596</v>
      </c>
      <c r="G3841">
        <v>1</v>
      </c>
      <c r="H3841" t="s">
        <v>16</v>
      </c>
      <c r="I3841" s="1">
        <v>-2121100</v>
      </c>
      <c r="J3841" s="1">
        <v>-4759600</v>
      </c>
      <c r="K3841">
        <v>427</v>
      </c>
      <c r="L3841">
        <v>125</v>
      </c>
      <c r="M3841" t="s">
        <v>16</v>
      </c>
    </row>
    <row r="3842" spans="1:13" x14ac:dyDescent="0.35">
      <c r="A3842">
        <v>355160</v>
      </c>
      <c r="B3842">
        <v>33553</v>
      </c>
      <c r="C3842" t="s">
        <v>4000</v>
      </c>
      <c r="D3842" t="s">
        <v>3421</v>
      </c>
      <c r="E3842" t="s">
        <v>1406</v>
      </c>
      <c r="F3842">
        <v>24671</v>
      </c>
      <c r="G3842">
        <v>1</v>
      </c>
      <c r="H3842" t="s">
        <v>16</v>
      </c>
      <c r="I3842" s="1">
        <v>-2261200</v>
      </c>
      <c r="J3842" s="1">
        <v>-4670100</v>
      </c>
      <c r="K3842">
        <v>925</v>
      </c>
      <c r="L3842">
        <v>203</v>
      </c>
      <c r="M3842" t="s">
        <v>16</v>
      </c>
    </row>
    <row r="3843" spans="1:13" x14ac:dyDescent="0.35">
      <c r="A3843">
        <v>355170</v>
      </c>
      <c r="B3843">
        <v>33561</v>
      </c>
      <c r="C3843" t="s">
        <v>1593</v>
      </c>
      <c r="D3843" t="s">
        <v>3421</v>
      </c>
      <c r="E3843" t="s">
        <v>3512</v>
      </c>
      <c r="F3843">
        <v>103558</v>
      </c>
      <c r="G3843">
        <v>3</v>
      </c>
      <c r="H3843" t="s">
        <v>16</v>
      </c>
      <c r="I3843" s="1">
        <v>-2113800</v>
      </c>
      <c r="J3843" s="1">
        <v>-4799000</v>
      </c>
      <c r="K3843">
        <v>579</v>
      </c>
      <c r="L3843">
        <v>402</v>
      </c>
      <c r="M3843" t="s">
        <v>16</v>
      </c>
    </row>
    <row r="3844" spans="1:13" x14ac:dyDescent="0.35">
      <c r="A3844">
        <v>355180</v>
      </c>
      <c r="B3844">
        <v>33570</v>
      </c>
      <c r="C3844" t="s">
        <v>4001</v>
      </c>
      <c r="D3844" t="s">
        <v>3421</v>
      </c>
      <c r="E3844" t="s">
        <v>3509</v>
      </c>
      <c r="F3844">
        <v>12975</v>
      </c>
      <c r="G3844">
        <v>1</v>
      </c>
      <c r="H3844" t="s">
        <v>16</v>
      </c>
      <c r="I3844" s="1">
        <v>-2438800</v>
      </c>
      <c r="J3844" s="1">
        <v>-4792600</v>
      </c>
      <c r="K3844">
        <v>30</v>
      </c>
      <c r="L3844">
        <v>1052</v>
      </c>
      <c r="M3844" t="s">
        <v>16</v>
      </c>
    </row>
    <row r="3845" spans="1:13" x14ac:dyDescent="0.35">
      <c r="A3845">
        <v>355190</v>
      </c>
      <c r="B3845">
        <v>33588</v>
      </c>
      <c r="C3845" t="s">
        <v>4002</v>
      </c>
      <c r="D3845" t="s">
        <v>3421</v>
      </c>
      <c r="E3845" t="s">
        <v>3485</v>
      </c>
      <c r="F3845">
        <v>14713</v>
      </c>
      <c r="G3845">
        <v>1</v>
      </c>
      <c r="H3845" t="s">
        <v>16</v>
      </c>
      <c r="I3845" s="1">
        <v>-2080900</v>
      </c>
      <c r="J3845" s="1">
        <v>-4880300</v>
      </c>
      <c r="K3845">
        <v>605</v>
      </c>
      <c r="L3845">
        <v>140</v>
      </c>
      <c r="M3845" t="s">
        <v>16</v>
      </c>
    </row>
    <row r="3846" spans="1:13" x14ac:dyDescent="0.35">
      <c r="A3846">
        <v>355200</v>
      </c>
      <c r="B3846">
        <v>33596</v>
      </c>
      <c r="C3846" t="s">
        <v>4003</v>
      </c>
      <c r="D3846" t="s">
        <v>3421</v>
      </c>
      <c r="E3846" t="s">
        <v>3476</v>
      </c>
      <c r="F3846">
        <v>5562</v>
      </c>
      <c r="G3846">
        <v>1</v>
      </c>
      <c r="H3846" t="s">
        <v>16</v>
      </c>
      <c r="I3846" s="1">
        <v>-2266400</v>
      </c>
      <c r="J3846" s="1">
        <v>-4485300</v>
      </c>
      <c r="K3846">
        <v>615</v>
      </c>
      <c r="L3846">
        <v>414</v>
      </c>
      <c r="M3846" t="s">
        <v>16</v>
      </c>
    </row>
    <row r="3847" spans="1:13" x14ac:dyDescent="0.35">
      <c r="A3847">
        <v>355210</v>
      </c>
      <c r="B3847">
        <v>33600</v>
      </c>
      <c r="C3847" t="s">
        <v>4004</v>
      </c>
      <c r="D3847" t="s">
        <v>3421</v>
      </c>
      <c r="E3847" t="s">
        <v>1406</v>
      </c>
      <c r="F3847">
        <v>33080</v>
      </c>
      <c r="G3847">
        <v>1</v>
      </c>
      <c r="H3847" t="s">
        <v>16</v>
      </c>
      <c r="I3847" s="1">
        <v>-2259100</v>
      </c>
      <c r="J3847" s="1">
        <v>-4652900</v>
      </c>
      <c r="K3847">
        <v>752</v>
      </c>
      <c r="L3847">
        <v>448</v>
      </c>
      <c r="M3847" t="s">
        <v>16</v>
      </c>
    </row>
    <row r="3848" spans="1:13" x14ac:dyDescent="0.35">
      <c r="A3848">
        <v>355220</v>
      </c>
      <c r="B3848">
        <v>33618</v>
      </c>
      <c r="C3848" t="s">
        <v>3444</v>
      </c>
      <c r="D3848" t="s">
        <v>3421</v>
      </c>
      <c r="E3848" t="s">
        <v>3444</v>
      </c>
      <c r="F3848">
        <v>559157</v>
      </c>
      <c r="G3848">
        <v>3</v>
      </c>
      <c r="H3848" t="s">
        <v>16</v>
      </c>
      <c r="I3848" s="1">
        <v>-2350200</v>
      </c>
      <c r="J3848" s="1">
        <v>-4745800</v>
      </c>
      <c r="K3848">
        <v>601</v>
      </c>
      <c r="L3848">
        <v>449</v>
      </c>
      <c r="M3848" t="s">
        <v>16</v>
      </c>
    </row>
    <row r="3849" spans="1:13" x14ac:dyDescent="0.35">
      <c r="A3849">
        <v>355230</v>
      </c>
      <c r="B3849">
        <v>33626</v>
      </c>
      <c r="C3849" t="s">
        <v>4005</v>
      </c>
      <c r="D3849" t="s">
        <v>3421</v>
      </c>
      <c r="E3849" t="s">
        <v>3459</v>
      </c>
      <c r="F3849">
        <v>7714</v>
      </c>
      <c r="G3849">
        <v>1</v>
      </c>
      <c r="H3849" t="s">
        <v>16</v>
      </c>
      <c r="I3849" s="1">
        <v>-2069100</v>
      </c>
      <c r="J3849" s="1">
        <v>-5092400</v>
      </c>
      <c r="K3849">
        <v>386</v>
      </c>
      <c r="L3849">
        <v>590</v>
      </c>
      <c r="M3849" t="s">
        <v>16</v>
      </c>
    </row>
    <row r="3850" spans="1:13" x14ac:dyDescent="0.35">
      <c r="A3850">
        <v>355240</v>
      </c>
      <c r="B3850">
        <v>33634</v>
      </c>
      <c r="C3850" t="s">
        <v>4006</v>
      </c>
      <c r="D3850" t="s">
        <v>3421</v>
      </c>
      <c r="E3850" t="s">
        <v>3452</v>
      </c>
      <c r="F3850">
        <v>228696</v>
      </c>
      <c r="G3850">
        <v>4</v>
      </c>
      <c r="H3850" t="s">
        <v>3453</v>
      </c>
      <c r="I3850" s="1">
        <v>-2282200</v>
      </c>
      <c r="J3850" s="1">
        <v>-4726700</v>
      </c>
      <c r="K3850">
        <v>583</v>
      </c>
      <c r="L3850">
        <v>153</v>
      </c>
      <c r="M3850" t="s">
        <v>16</v>
      </c>
    </row>
    <row r="3851" spans="1:13" x14ac:dyDescent="0.35">
      <c r="A3851">
        <v>355250</v>
      </c>
      <c r="B3851">
        <v>33642</v>
      </c>
      <c r="C3851" t="s">
        <v>4007</v>
      </c>
      <c r="D3851" t="s">
        <v>3421</v>
      </c>
      <c r="E3851" t="s">
        <v>3526</v>
      </c>
      <c r="F3851">
        <v>268777</v>
      </c>
      <c r="G3851">
        <v>4</v>
      </c>
      <c r="H3851" t="s">
        <v>3490</v>
      </c>
      <c r="I3851" s="1">
        <v>-2354300</v>
      </c>
      <c r="J3851" s="1">
        <v>-4631100</v>
      </c>
      <c r="K3851">
        <v>738</v>
      </c>
      <c r="L3851">
        <v>205</v>
      </c>
      <c r="M3851" t="s">
        <v>16</v>
      </c>
    </row>
    <row r="3852" spans="1:13" x14ac:dyDescent="0.35">
      <c r="A3852">
        <v>355255</v>
      </c>
      <c r="B3852">
        <v>51470</v>
      </c>
      <c r="C3852" t="s">
        <v>4008</v>
      </c>
      <c r="D3852" t="s">
        <v>3421</v>
      </c>
      <c r="E3852" t="s">
        <v>3459</v>
      </c>
      <c r="F3852">
        <v>3421</v>
      </c>
      <c r="G3852">
        <v>1</v>
      </c>
      <c r="H3852" t="s">
        <v>16</v>
      </c>
      <c r="I3852" s="1">
        <v>-2050100</v>
      </c>
      <c r="J3852" s="1">
        <v>-5102500</v>
      </c>
      <c r="K3852">
        <v>350</v>
      </c>
      <c r="L3852">
        <v>327</v>
      </c>
      <c r="M3852" t="s">
        <v>16</v>
      </c>
    </row>
    <row r="3853" spans="1:13" x14ac:dyDescent="0.35">
      <c r="A3853">
        <v>355260</v>
      </c>
      <c r="B3853">
        <v>33650</v>
      </c>
      <c r="C3853" t="s">
        <v>4009</v>
      </c>
      <c r="D3853" t="s">
        <v>3421</v>
      </c>
      <c r="E3853" t="s">
        <v>3485</v>
      </c>
      <c r="F3853">
        <v>11255</v>
      </c>
      <c r="G3853">
        <v>1</v>
      </c>
      <c r="H3853" t="s">
        <v>16</v>
      </c>
      <c r="I3853" s="1">
        <v>-2096400</v>
      </c>
      <c r="J3853" s="1">
        <v>-4903200</v>
      </c>
      <c r="K3853">
        <v>516</v>
      </c>
      <c r="L3853">
        <v>345</v>
      </c>
      <c r="M3853" t="s">
        <v>16</v>
      </c>
    </row>
    <row r="3854" spans="1:13" x14ac:dyDescent="0.35">
      <c r="A3854">
        <v>355270</v>
      </c>
      <c r="B3854">
        <v>33669</v>
      </c>
      <c r="C3854" t="s">
        <v>161</v>
      </c>
      <c r="D3854" t="s">
        <v>3421</v>
      </c>
      <c r="E3854" t="s">
        <v>3455</v>
      </c>
      <c r="F3854">
        <v>13965</v>
      </c>
      <c r="G3854">
        <v>1</v>
      </c>
      <c r="H3854" t="s">
        <v>16</v>
      </c>
      <c r="I3854" s="1">
        <v>-2171700</v>
      </c>
      <c r="J3854" s="1">
        <v>-4868800</v>
      </c>
      <c r="K3854">
        <v>490</v>
      </c>
      <c r="L3854">
        <v>366</v>
      </c>
      <c r="M3854" t="s">
        <v>16</v>
      </c>
    </row>
    <row r="3855" spans="1:13" x14ac:dyDescent="0.35">
      <c r="A3855">
        <v>355280</v>
      </c>
      <c r="B3855">
        <v>33677</v>
      </c>
      <c r="C3855" t="s">
        <v>4010</v>
      </c>
      <c r="D3855" t="s">
        <v>3421</v>
      </c>
      <c r="E3855" t="s">
        <v>3596</v>
      </c>
      <c r="F3855">
        <v>219200</v>
      </c>
      <c r="G3855">
        <v>4</v>
      </c>
      <c r="H3855" t="s">
        <v>3490</v>
      </c>
      <c r="I3855" s="1">
        <v>-2360200</v>
      </c>
      <c r="J3855" s="1">
        <v>-4675300</v>
      </c>
      <c r="K3855">
        <v>747</v>
      </c>
      <c r="L3855">
        <v>20</v>
      </c>
      <c r="M3855" t="s">
        <v>16</v>
      </c>
    </row>
    <row r="3856" spans="1:13" x14ac:dyDescent="0.35">
      <c r="A3856">
        <v>355290</v>
      </c>
      <c r="B3856">
        <v>33685</v>
      </c>
      <c r="C3856" t="s">
        <v>4011</v>
      </c>
      <c r="D3856" t="s">
        <v>3421</v>
      </c>
      <c r="E3856" t="s">
        <v>3438</v>
      </c>
      <c r="F3856">
        <v>5402</v>
      </c>
      <c r="G3856">
        <v>1</v>
      </c>
      <c r="H3856" t="s">
        <v>16</v>
      </c>
      <c r="I3856" s="1">
        <v>-2239000</v>
      </c>
      <c r="J3856" s="1">
        <v>-5128500</v>
      </c>
      <c r="K3856">
        <v>416</v>
      </c>
      <c r="L3856">
        <v>608</v>
      </c>
      <c r="M3856" t="s">
        <v>16</v>
      </c>
    </row>
    <row r="3857" spans="1:13" x14ac:dyDescent="0.35">
      <c r="A3857">
        <v>355300</v>
      </c>
      <c r="B3857">
        <v>33693</v>
      </c>
      <c r="C3857" t="s">
        <v>4012</v>
      </c>
      <c r="D3857" t="s">
        <v>3421</v>
      </c>
      <c r="E3857" t="s">
        <v>3520</v>
      </c>
      <c r="F3857">
        <v>9616</v>
      </c>
      <c r="G3857">
        <v>1</v>
      </c>
      <c r="H3857" t="s">
        <v>16</v>
      </c>
      <c r="I3857" s="1">
        <v>-2345200</v>
      </c>
      <c r="J3857" s="1">
        <v>-4940900</v>
      </c>
      <c r="K3857">
        <v>575</v>
      </c>
      <c r="L3857">
        <v>145</v>
      </c>
      <c r="M3857" t="s">
        <v>16</v>
      </c>
    </row>
    <row r="3858" spans="1:13" x14ac:dyDescent="0.35">
      <c r="A3858">
        <v>355310</v>
      </c>
      <c r="B3858">
        <v>33707</v>
      </c>
      <c r="C3858" t="s">
        <v>4013</v>
      </c>
      <c r="D3858" t="s">
        <v>3421</v>
      </c>
      <c r="E3858" t="s">
        <v>3517</v>
      </c>
      <c r="F3858">
        <v>5804</v>
      </c>
      <c r="G3858">
        <v>1</v>
      </c>
      <c r="H3858" t="s">
        <v>16</v>
      </c>
      <c r="I3858" s="1">
        <v>-2114400</v>
      </c>
      <c r="J3858" s="1">
        <v>-4851300</v>
      </c>
      <c r="K3858">
        <v>565</v>
      </c>
      <c r="L3858">
        <v>106</v>
      </c>
      <c r="M3858" t="s">
        <v>16</v>
      </c>
    </row>
    <row r="3859" spans="1:13" x14ac:dyDescent="0.35">
      <c r="A3859">
        <v>355320</v>
      </c>
      <c r="B3859">
        <v>33715</v>
      </c>
      <c r="C3859" t="s">
        <v>4014</v>
      </c>
      <c r="D3859" t="s">
        <v>3421</v>
      </c>
      <c r="E3859" t="s">
        <v>3517</v>
      </c>
      <c r="F3859">
        <v>5366</v>
      </c>
      <c r="G3859">
        <v>1</v>
      </c>
      <c r="H3859" t="s">
        <v>16</v>
      </c>
      <c r="I3859" s="1">
        <v>-2112400</v>
      </c>
      <c r="J3859" s="1">
        <v>-4845200</v>
      </c>
      <c r="K3859">
        <v>630</v>
      </c>
      <c r="L3859">
        <v>132</v>
      </c>
      <c r="M3859" t="s">
        <v>16</v>
      </c>
    </row>
    <row r="3860" spans="1:13" x14ac:dyDescent="0.35">
      <c r="A3860">
        <v>355330</v>
      </c>
      <c r="B3860">
        <v>33723</v>
      </c>
      <c r="C3860" t="s">
        <v>4015</v>
      </c>
      <c r="D3860" t="s">
        <v>3421</v>
      </c>
      <c r="E3860" t="s">
        <v>3427</v>
      </c>
      <c r="F3860">
        <v>21913</v>
      </c>
      <c r="G3860">
        <v>1</v>
      </c>
      <c r="H3860" t="s">
        <v>16</v>
      </c>
      <c r="I3860" s="1">
        <v>-2170500</v>
      </c>
      <c r="J3860" s="1">
        <v>-4727400</v>
      </c>
      <c r="K3860">
        <v>698</v>
      </c>
      <c r="L3860">
        <v>561</v>
      </c>
      <c r="M3860" t="s">
        <v>16</v>
      </c>
    </row>
    <row r="3861" spans="1:13" x14ac:dyDescent="0.35">
      <c r="A3861">
        <v>355340</v>
      </c>
      <c r="B3861">
        <v>33731</v>
      </c>
      <c r="C3861" t="s">
        <v>4016</v>
      </c>
      <c r="D3861" t="s">
        <v>3421</v>
      </c>
      <c r="E3861" t="s">
        <v>3423</v>
      </c>
      <c r="F3861">
        <v>23400</v>
      </c>
      <c r="G3861">
        <v>1</v>
      </c>
      <c r="H3861" t="s">
        <v>16</v>
      </c>
      <c r="I3861" s="1">
        <v>-2062600</v>
      </c>
      <c r="J3861" s="1">
        <v>-4964900</v>
      </c>
      <c r="K3861">
        <v>518</v>
      </c>
      <c r="L3861">
        <v>745</v>
      </c>
      <c r="M3861" t="s">
        <v>16</v>
      </c>
    </row>
    <row r="3862" spans="1:13" x14ac:dyDescent="0.35">
      <c r="A3862">
        <v>355350</v>
      </c>
      <c r="B3862">
        <v>33740</v>
      </c>
      <c r="C3862" t="s">
        <v>3188</v>
      </c>
      <c r="D3862" t="s">
        <v>3421</v>
      </c>
      <c r="E3862" t="s">
        <v>3680</v>
      </c>
      <c r="F3862">
        <v>7953</v>
      </c>
      <c r="G3862">
        <v>1</v>
      </c>
      <c r="H3862" t="s">
        <v>16</v>
      </c>
      <c r="I3862" s="1">
        <v>-2396400</v>
      </c>
      <c r="J3862" s="1">
        <v>-4750700</v>
      </c>
      <c r="K3862">
        <v>875</v>
      </c>
      <c r="L3862">
        <v>755</v>
      </c>
      <c r="M3862" t="s">
        <v>16</v>
      </c>
    </row>
    <row r="3863" spans="1:13" x14ac:dyDescent="0.35">
      <c r="A3863">
        <v>355360</v>
      </c>
      <c r="B3863">
        <v>33758</v>
      </c>
      <c r="C3863" t="s">
        <v>4017</v>
      </c>
      <c r="D3863" t="s">
        <v>3421</v>
      </c>
      <c r="E3863" t="s">
        <v>3427</v>
      </c>
      <c r="F3863">
        <v>12246</v>
      </c>
      <c r="G3863">
        <v>1</v>
      </c>
      <c r="H3863" t="s">
        <v>16</v>
      </c>
      <c r="I3863" s="1">
        <v>-2146800</v>
      </c>
      <c r="J3863" s="1">
        <v>-4674900</v>
      </c>
      <c r="K3863">
        <v>760</v>
      </c>
      <c r="L3863">
        <v>220</v>
      </c>
      <c r="M3863" t="s">
        <v>16</v>
      </c>
    </row>
    <row r="3864" spans="1:13" x14ac:dyDescent="0.35">
      <c r="A3864">
        <v>355365</v>
      </c>
      <c r="B3864">
        <v>56537</v>
      </c>
      <c r="C3864" t="s">
        <v>4018</v>
      </c>
      <c r="D3864" t="s">
        <v>3421</v>
      </c>
      <c r="E3864" t="s">
        <v>3517</v>
      </c>
      <c r="F3864">
        <v>2827</v>
      </c>
      <c r="G3864">
        <v>1</v>
      </c>
      <c r="H3864" t="s">
        <v>16</v>
      </c>
      <c r="I3864" s="1">
        <v>-2107200</v>
      </c>
      <c r="J3864" s="1">
        <v>-4841000</v>
      </c>
      <c r="K3864">
        <v>639</v>
      </c>
      <c r="L3864">
        <v>54</v>
      </c>
      <c r="M3864" t="s">
        <v>16</v>
      </c>
    </row>
    <row r="3865" spans="1:13" x14ac:dyDescent="0.35">
      <c r="A3865">
        <v>355370</v>
      </c>
      <c r="B3865">
        <v>33766</v>
      </c>
      <c r="C3865" t="s">
        <v>4019</v>
      </c>
      <c r="D3865" t="s">
        <v>3421</v>
      </c>
      <c r="E3865" t="s">
        <v>3517</v>
      </c>
      <c r="F3865">
        <v>53232</v>
      </c>
      <c r="G3865">
        <v>2</v>
      </c>
      <c r="H3865" t="s">
        <v>16</v>
      </c>
      <c r="I3865" s="1">
        <v>-2140600</v>
      </c>
      <c r="J3865" s="1">
        <v>-4850500</v>
      </c>
      <c r="K3865">
        <v>565</v>
      </c>
      <c r="L3865">
        <v>594</v>
      </c>
      <c r="M3865" t="s">
        <v>16</v>
      </c>
    </row>
    <row r="3866" spans="1:13" x14ac:dyDescent="0.35">
      <c r="A3866">
        <v>355380</v>
      </c>
      <c r="B3866">
        <v>33774</v>
      </c>
      <c r="C3866" t="s">
        <v>4020</v>
      </c>
      <c r="D3866" t="s">
        <v>3421</v>
      </c>
      <c r="E3866" t="s">
        <v>2799</v>
      </c>
      <c r="F3866">
        <v>22170</v>
      </c>
      <c r="G3866">
        <v>1</v>
      </c>
      <c r="H3866" t="s">
        <v>16</v>
      </c>
      <c r="I3866" s="1">
        <v>-2353300</v>
      </c>
      <c r="J3866" s="1">
        <v>-4924400</v>
      </c>
      <c r="K3866">
        <v>618</v>
      </c>
      <c r="L3866">
        <v>447</v>
      </c>
      <c r="M3866" t="s">
        <v>16</v>
      </c>
    </row>
    <row r="3867" spans="1:13" x14ac:dyDescent="0.35">
      <c r="A3867">
        <v>355385</v>
      </c>
      <c r="B3867">
        <v>51489</v>
      </c>
      <c r="C3867" t="s">
        <v>4021</v>
      </c>
      <c r="D3867" t="s">
        <v>3421</v>
      </c>
      <c r="E3867" t="s">
        <v>2799</v>
      </c>
      <c r="F3867">
        <v>5098</v>
      </c>
      <c r="G3867">
        <v>1</v>
      </c>
      <c r="H3867" t="s">
        <v>16</v>
      </c>
      <c r="I3867" s="1">
        <v>-2392400</v>
      </c>
      <c r="J3867" s="1">
        <v>-4869300</v>
      </c>
      <c r="K3867">
        <v>555</v>
      </c>
      <c r="L3867">
        <v>232</v>
      </c>
      <c r="M3867" t="s">
        <v>16</v>
      </c>
    </row>
    <row r="3868" spans="1:13" x14ac:dyDescent="0.35">
      <c r="A3868">
        <v>355390</v>
      </c>
      <c r="B3868">
        <v>33782</v>
      </c>
      <c r="C3868" t="s">
        <v>4022</v>
      </c>
      <c r="D3868" t="s">
        <v>3421</v>
      </c>
      <c r="E3868" t="s">
        <v>3438</v>
      </c>
      <c r="F3868">
        <v>6108</v>
      </c>
      <c r="G3868">
        <v>1</v>
      </c>
      <c r="H3868" t="s">
        <v>16</v>
      </c>
      <c r="I3868" s="1">
        <v>-2230300</v>
      </c>
      <c r="J3868" s="1">
        <v>-5155900</v>
      </c>
      <c r="K3868">
        <v>445</v>
      </c>
      <c r="L3868">
        <v>197</v>
      </c>
      <c r="M3868" t="s">
        <v>16</v>
      </c>
    </row>
    <row r="3869" spans="1:13" x14ac:dyDescent="0.35">
      <c r="A3869">
        <v>355395</v>
      </c>
      <c r="B3869">
        <v>51497</v>
      </c>
      <c r="C3869" t="s">
        <v>4023</v>
      </c>
      <c r="D3869" t="s">
        <v>3421</v>
      </c>
      <c r="E3869" t="s">
        <v>3492</v>
      </c>
      <c r="F3869">
        <v>12298</v>
      </c>
      <c r="G3869">
        <v>1</v>
      </c>
      <c r="H3869" t="s">
        <v>16</v>
      </c>
      <c r="I3869" s="1">
        <v>-2274700</v>
      </c>
      <c r="J3869" s="1">
        <v>-5057700</v>
      </c>
      <c r="K3869">
        <v>441</v>
      </c>
      <c r="L3869">
        <v>303</v>
      </c>
      <c r="M3869" t="s">
        <v>16</v>
      </c>
    </row>
    <row r="3870" spans="1:13" x14ac:dyDescent="0.35">
      <c r="A3870">
        <v>355400</v>
      </c>
      <c r="B3870">
        <v>33790</v>
      </c>
      <c r="C3870" t="s">
        <v>4024</v>
      </c>
      <c r="D3870" t="s">
        <v>3421</v>
      </c>
      <c r="E3870" t="s">
        <v>3530</v>
      </c>
      <c r="F3870">
        <v>101838</v>
      </c>
      <c r="G3870">
        <v>3</v>
      </c>
      <c r="H3870" t="s">
        <v>16</v>
      </c>
      <c r="I3870" s="1">
        <v>-2335600</v>
      </c>
      <c r="J3870" s="1">
        <v>-4785700</v>
      </c>
      <c r="K3870">
        <v>645</v>
      </c>
      <c r="L3870">
        <v>524</v>
      </c>
      <c r="M3870" t="s">
        <v>16</v>
      </c>
    </row>
    <row r="3871" spans="1:13" x14ac:dyDescent="0.35">
      <c r="A3871">
        <v>355410</v>
      </c>
      <c r="B3871">
        <v>33804</v>
      </c>
      <c r="C3871" t="s">
        <v>4025</v>
      </c>
      <c r="D3871" t="s">
        <v>3421</v>
      </c>
      <c r="E3871" t="s">
        <v>3546</v>
      </c>
      <c r="F3871">
        <v>265514</v>
      </c>
      <c r="G3871">
        <v>3</v>
      </c>
      <c r="H3871" t="s">
        <v>16</v>
      </c>
      <c r="I3871" s="1">
        <v>-2302600</v>
      </c>
      <c r="J3871" s="1">
        <v>-4555500</v>
      </c>
      <c r="K3871">
        <v>580</v>
      </c>
      <c r="L3871">
        <v>625</v>
      </c>
      <c r="M3871" t="s">
        <v>16</v>
      </c>
    </row>
    <row r="3872" spans="1:13" x14ac:dyDescent="0.35">
      <c r="A3872">
        <v>355420</v>
      </c>
      <c r="B3872">
        <v>33812</v>
      </c>
      <c r="C3872" t="s">
        <v>4026</v>
      </c>
      <c r="D3872" t="s">
        <v>3421</v>
      </c>
      <c r="E3872" t="s">
        <v>3520</v>
      </c>
      <c r="F3872">
        <v>5015</v>
      </c>
      <c r="G3872">
        <v>1</v>
      </c>
      <c r="H3872" t="s">
        <v>16</v>
      </c>
      <c r="I3872" s="1">
        <v>-2334300</v>
      </c>
      <c r="J3872" s="1">
        <v>-4937600</v>
      </c>
      <c r="K3872">
        <v>765</v>
      </c>
      <c r="L3872">
        <v>296</v>
      </c>
      <c r="M3872" t="s">
        <v>16</v>
      </c>
    </row>
    <row r="3873" spans="1:13" x14ac:dyDescent="0.35">
      <c r="A3873">
        <v>355430</v>
      </c>
      <c r="B3873">
        <v>33820</v>
      </c>
      <c r="C3873" t="s">
        <v>2349</v>
      </c>
      <c r="D3873" t="s">
        <v>3421</v>
      </c>
      <c r="E3873" t="s">
        <v>3438</v>
      </c>
      <c r="F3873">
        <v>20325</v>
      </c>
      <c r="G3873">
        <v>1</v>
      </c>
      <c r="H3873" t="s">
        <v>16</v>
      </c>
      <c r="I3873" s="1">
        <v>-2253300</v>
      </c>
      <c r="J3873" s="1">
        <v>-5216800</v>
      </c>
      <c r="K3873">
        <v>321</v>
      </c>
      <c r="L3873">
        <v>1556</v>
      </c>
      <c r="M3873" t="s">
        <v>16</v>
      </c>
    </row>
    <row r="3874" spans="1:13" x14ac:dyDescent="0.35">
      <c r="A3874">
        <v>355440</v>
      </c>
      <c r="B3874">
        <v>33839</v>
      </c>
      <c r="C3874" t="s">
        <v>4027</v>
      </c>
      <c r="D3874" t="s">
        <v>3421</v>
      </c>
      <c r="E3874" t="s">
        <v>3517</v>
      </c>
      <c r="F3874">
        <v>8155</v>
      </c>
      <c r="G3874">
        <v>1</v>
      </c>
      <c r="H3874" t="s">
        <v>16</v>
      </c>
      <c r="I3874" s="1">
        <v>-2078900</v>
      </c>
      <c r="J3874" s="1">
        <v>-4833000</v>
      </c>
      <c r="K3874">
        <v>494</v>
      </c>
      <c r="L3874">
        <v>219</v>
      </c>
      <c r="M3874" t="s">
        <v>16</v>
      </c>
    </row>
    <row r="3875" spans="1:13" x14ac:dyDescent="0.35">
      <c r="A3875">
        <v>355450</v>
      </c>
      <c r="B3875">
        <v>33847</v>
      </c>
      <c r="C3875" t="s">
        <v>4028</v>
      </c>
      <c r="D3875" t="s">
        <v>3421</v>
      </c>
      <c r="E3875" t="s">
        <v>3432</v>
      </c>
      <c r="F3875">
        <v>34018</v>
      </c>
      <c r="G3875">
        <v>1</v>
      </c>
      <c r="H3875" t="s">
        <v>16</v>
      </c>
      <c r="I3875" s="1">
        <v>-2310200</v>
      </c>
      <c r="J3875" s="1">
        <v>-4771500</v>
      </c>
      <c r="K3875">
        <v>508</v>
      </c>
      <c r="L3875">
        <v>392</v>
      </c>
      <c r="M3875" t="s">
        <v>16</v>
      </c>
    </row>
    <row r="3876" spans="1:13" x14ac:dyDescent="0.35">
      <c r="A3876">
        <v>355460</v>
      </c>
      <c r="B3876">
        <v>33855</v>
      </c>
      <c r="C3876" t="s">
        <v>4029</v>
      </c>
      <c r="D3876" t="s">
        <v>3421</v>
      </c>
      <c r="E3876" t="s">
        <v>3520</v>
      </c>
      <c r="F3876">
        <v>2535</v>
      </c>
      <c r="G3876">
        <v>1</v>
      </c>
      <c r="H3876" t="s">
        <v>16</v>
      </c>
      <c r="I3876" s="1">
        <v>-2320500</v>
      </c>
      <c r="J3876" s="1">
        <v>-4960700</v>
      </c>
      <c r="K3876">
        <v>838</v>
      </c>
      <c r="L3876">
        <v>197</v>
      </c>
      <c r="M3876" t="s">
        <v>16</v>
      </c>
    </row>
    <row r="3877" spans="1:13" x14ac:dyDescent="0.35">
      <c r="A3877">
        <v>355465</v>
      </c>
      <c r="B3877">
        <v>51527</v>
      </c>
      <c r="C3877" t="s">
        <v>4030</v>
      </c>
      <c r="D3877" t="s">
        <v>3421</v>
      </c>
      <c r="E3877" t="s">
        <v>3530</v>
      </c>
      <c r="F3877">
        <v>2784</v>
      </c>
      <c r="G3877">
        <v>1</v>
      </c>
      <c r="H3877" t="s">
        <v>16</v>
      </c>
      <c r="I3877" s="1">
        <v>-2324400</v>
      </c>
      <c r="J3877" s="1">
        <v>-4819500</v>
      </c>
      <c r="K3877">
        <v>560</v>
      </c>
      <c r="L3877">
        <v>71</v>
      </c>
      <c r="M3877" t="s">
        <v>16</v>
      </c>
    </row>
    <row r="3878" spans="1:13" x14ac:dyDescent="0.35">
      <c r="A3878">
        <v>355470</v>
      </c>
      <c r="B3878">
        <v>33863</v>
      </c>
      <c r="C3878" t="s">
        <v>4031</v>
      </c>
      <c r="D3878" t="s">
        <v>3421</v>
      </c>
      <c r="E3878" t="s">
        <v>3396</v>
      </c>
      <c r="F3878">
        <v>8918</v>
      </c>
      <c r="G3878">
        <v>1</v>
      </c>
      <c r="H3878" t="s">
        <v>16</v>
      </c>
      <c r="I3878" s="1">
        <v>-2242600</v>
      </c>
      <c r="J3878" s="1">
        <v>-4816900</v>
      </c>
      <c r="K3878">
        <v>802</v>
      </c>
      <c r="L3878">
        <v>311</v>
      </c>
      <c r="M3878" t="s">
        <v>16</v>
      </c>
    </row>
    <row r="3879" spans="1:13" x14ac:dyDescent="0.35">
      <c r="A3879">
        <v>355475</v>
      </c>
      <c r="B3879">
        <v>56545</v>
      </c>
      <c r="C3879" t="s">
        <v>4032</v>
      </c>
      <c r="D3879" t="s">
        <v>3421</v>
      </c>
      <c r="E3879" t="s">
        <v>3455</v>
      </c>
      <c r="F3879">
        <v>1441</v>
      </c>
      <c r="G3879">
        <v>1</v>
      </c>
      <c r="H3879" t="s">
        <v>16</v>
      </c>
      <c r="I3879" s="1">
        <v>-2204200</v>
      </c>
      <c r="J3879" s="1">
        <v>-4833600</v>
      </c>
      <c r="K3879">
        <v>548</v>
      </c>
      <c r="L3879">
        <v>63</v>
      </c>
      <c r="M3879" t="s">
        <v>16</v>
      </c>
    </row>
    <row r="3880" spans="1:13" x14ac:dyDescent="0.35">
      <c r="A3880">
        <v>355480</v>
      </c>
      <c r="B3880">
        <v>33871</v>
      </c>
      <c r="C3880" t="s">
        <v>4033</v>
      </c>
      <c r="D3880" t="s">
        <v>3421</v>
      </c>
      <c r="E3880" t="s">
        <v>3546</v>
      </c>
      <c r="F3880">
        <v>38321</v>
      </c>
      <c r="G3880">
        <v>1</v>
      </c>
      <c r="H3880" t="s">
        <v>16</v>
      </c>
      <c r="I3880" s="1">
        <v>-2295800</v>
      </c>
      <c r="J3880" s="1">
        <v>-4554900</v>
      </c>
      <c r="K3880">
        <v>560</v>
      </c>
      <c r="L3880">
        <v>192</v>
      </c>
      <c r="M3880" t="s">
        <v>16</v>
      </c>
    </row>
    <row r="3881" spans="1:13" x14ac:dyDescent="0.35">
      <c r="A3881">
        <v>355490</v>
      </c>
      <c r="B3881">
        <v>33880</v>
      </c>
      <c r="C3881" t="s">
        <v>4034</v>
      </c>
      <c r="D3881" t="s">
        <v>3421</v>
      </c>
      <c r="E3881" t="s">
        <v>3466</v>
      </c>
      <c r="F3881">
        <v>5031</v>
      </c>
      <c r="G3881">
        <v>1</v>
      </c>
      <c r="H3881" t="s">
        <v>16</v>
      </c>
      <c r="I3881" s="1">
        <v>-2023500</v>
      </c>
      <c r="J3881" s="1">
        <v>-5089000</v>
      </c>
      <c r="K3881">
        <v>395</v>
      </c>
      <c r="L3881">
        <v>152</v>
      </c>
      <c r="M3881" t="s">
        <v>16</v>
      </c>
    </row>
    <row r="3882" spans="1:13" x14ac:dyDescent="0.35">
      <c r="A3882">
        <v>355495</v>
      </c>
      <c r="B3882">
        <v>51535</v>
      </c>
      <c r="C3882" t="s">
        <v>4035</v>
      </c>
      <c r="D3882" t="s">
        <v>3421</v>
      </c>
      <c r="E3882" t="s">
        <v>3494</v>
      </c>
      <c r="F3882">
        <v>5749</v>
      </c>
      <c r="G3882">
        <v>1</v>
      </c>
      <c r="H3882" t="s">
        <v>16</v>
      </c>
      <c r="I3882" s="1">
        <v>-2281600</v>
      </c>
      <c r="J3882" s="1">
        <v>-4669400</v>
      </c>
      <c r="K3882">
        <v>790</v>
      </c>
      <c r="L3882">
        <v>126</v>
      </c>
      <c r="M3882" t="s">
        <v>16</v>
      </c>
    </row>
    <row r="3883" spans="1:13" x14ac:dyDescent="0.35">
      <c r="A3883">
        <v>355500</v>
      </c>
      <c r="B3883">
        <v>33898</v>
      </c>
      <c r="C3883" t="s">
        <v>4036</v>
      </c>
      <c r="D3883" t="s">
        <v>3421</v>
      </c>
      <c r="E3883" t="s">
        <v>3480</v>
      </c>
      <c r="F3883">
        <v>62256</v>
      </c>
      <c r="G3883">
        <v>2</v>
      </c>
      <c r="H3883" t="s">
        <v>16</v>
      </c>
      <c r="I3883" s="1">
        <v>-2193500</v>
      </c>
      <c r="J3883" s="1">
        <v>-5051400</v>
      </c>
      <c r="K3883">
        <v>524</v>
      </c>
      <c r="L3883">
        <v>629</v>
      </c>
      <c r="M3883" t="s">
        <v>16</v>
      </c>
    </row>
    <row r="3884" spans="1:13" x14ac:dyDescent="0.35">
      <c r="A3884">
        <v>355510</v>
      </c>
      <c r="B3884">
        <v>33901</v>
      </c>
      <c r="C3884" t="s">
        <v>4037</v>
      </c>
      <c r="D3884" t="s">
        <v>3421</v>
      </c>
      <c r="E3884" t="s">
        <v>3614</v>
      </c>
      <c r="F3884">
        <v>13712</v>
      </c>
      <c r="G3884">
        <v>1</v>
      </c>
      <c r="H3884" t="s">
        <v>16</v>
      </c>
      <c r="I3884" s="1">
        <v>-2138100</v>
      </c>
      <c r="J3884" s="1">
        <v>-5157100</v>
      </c>
      <c r="K3884">
        <v>400</v>
      </c>
      <c r="L3884">
        <v>244</v>
      </c>
      <c r="M3884" t="s">
        <v>16</v>
      </c>
    </row>
    <row r="3885" spans="1:13" x14ac:dyDescent="0.35">
      <c r="A3885">
        <v>355520</v>
      </c>
      <c r="B3885">
        <v>33910</v>
      </c>
      <c r="C3885" t="s">
        <v>4038</v>
      </c>
      <c r="D3885" t="s">
        <v>3421</v>
      </c>
      <c r="E3885" t="s">
        <v>3442</v>
      </c>
      <c r="F3885">
        <v>1947</v>
      </c>
      <c r="G3885">
        <v>1</v>
      </c>
      <c r="H3885" t="s">
        <v>16</v>
      </c>
      <c r="I3885" s="1">
        <v>-2093300</v>
      </c>
      <c r="J3885" s="1">
        <v>-5010800</v>
      </c>
      <c r="K3885">
        <v>439</v>
      </c>
      <c r="L3885">
        <v>153</v>
      </c>
      <c r="M3885" t="s">
        <v>16</v>
      </c>
    </row>
    <row r="3886" spans="1:13" x14ac:dyDescent="0.35">
      <c r="A3886">
        <v>355530</v>
      </c>
      <c r="B3886">
        <v>33928</v>
      </c>
      <c r="C3886" t="s">
        <v>3205</v>
      </c>
      <c r="D3886" t="s">
        <v>3421</v>
      </c>
      <c r="E3886" t="s">
        <v>3629</v>
      </c>
      <c r="F3886">
        <v>2024</v>
      </c>
      <c r="G3886">
        <v>1</v>
      </c>
      <c r="H3886" t="s">
        <v>16</v>
      </c>
      <c r="I3886" s="1">
        <v>-2005200</v>
      </c>
      <c r="J3886" s="1">
        <v>-5047600</v>
      </c>
      <c r="K3886">
        <v>467</v>
      </c>
      <c r="L3886">
        <v>147</v>
      </c>
      <c r="M3886" t="s">
        <v>16</v>
      </c>
    </row>
    <row r="3887" spans="1:13" x14ac:dyDescent="0.35">
      <c r="A3887">
        <v>355535</v>
      </c>
      <c r="B3887">
        <v>51543</v>
      </c>
      <c r="C3887" t="s">
        <v>4039</v>
      </c>
      <c r="D3887" t="s">
        <v>3421</v>
      </c>
      <c r="E3887" t="s">
        <v>3423</v>
      </c>
      <c r="F3887">
        <v>4552</v>
      </c>
      <c r="G3887">
        <v>1</v>
      </c>
      <c r="H3887" t="s">
        <v>16</v>
      </c>
      <c r="I3887" s="1">
        <v>-2116600</v>
      </c>
      <c r="J3887" s="1">
        <v>-4971800</v>
      </c>
      <c r="K3887">
        <v>458</v>
      </c>
      <c r="L3887">
        <v>210</v>
      </c>
      <c r="M3887" t="s">
        <v>16</v>
      </c>
    </row>
    <row r="3888" spans="1:13" x14ac:dyDescent="0.35">
      <c r="A3888">
        <v>355540</v>
      </c>
      <c r="B3888">
        <v>33936</v>
      </c>
      <c r="C3888" t="s">
        <v>4040</v>
      </c>
      <c r="D3888" t="s">
        <v>3421</v>
      </c>
      <c r="E3888" t="s">
        <v>3573</v>
      </c>
      <c r="F3888">
        <v>75008</v>
      </c>
      <c r="G3888">
        <v>2</v>
      </c>
      <c r="H3888" t="s">
        <v>16</v>
      </c>
      <c r="I3888" s="1">
        <v>-2343400</v>
      </c>
      <c r="J3888" s="1">
        <v>-4507100</v>
      </c>
      <c r="K3888">
        <v>3</v>
      </c>
      <c r="L3888">
        <v>712</v>
      </c>
      <c r="M3888" t="s">
        <v>16</v>
      </c>
    </row>
    <row r="3889" spans="1:13" x14ac:dyDescent="0.35">
      <c r="A3889">
        <v>355550</v>
      </c>
      <c r="B3889">
        <v>33944</v>
      </c>
      <c r="C3889" t="s">
        <v>4041</v>
      </c>
      <c r="D3889" t="s">
        <v>3421</v>
      </c>
      <c r="E3889" t="s">
        <v>3434</v>
      </c>
      <c r="F3889">
        <v>4269</v>
      </c>
      <c r="G3889">
        <v>1</v>
      </c>
      <c r="H3889" t="s">
        <v>16</v>
      </c>
      <c r="I3889" s="1">
        <v>-2252700</v>
      </c>
      <c r="J3889" s="1">
        <v>-4966300</v>
      </c>
      <c r="K3889">
        <v>499</v>
      </c>
      <c r="L3889">
        <v>283</v>
      </c>
      <c r="M3889" t="s">
        <v>16</v>
      </c>
    </row>
    <row r="3890" spans="1:13" x14ac:dyDescent="0.35">
      <c r="A3890">
        <v>355560</v>
      </c>
      <c r="B3890">
        <v>33952</v>
      </c>
      <c r="C3890" t="s">
        <v>4042</v>
      </c>
      <c r="D3890" t="s">
        <v>3421</v>
      </c>
      <c r="E3890" t="s">
        <v>3423</v>
      </c>
      <c r="F3890">
        <v>9348</v>
      </c>
      <c r="G3890">
        <v>1</v>
      </c>
      <c r="H3890" t="s">
        <v>16</v>
      </c>
      <c r="I3890" s="1">
        <v>-2095300</v>
      </c>
      <c r="J3890" s="1">
        <v>-4917500</v>
      </c>
      <c r="K3890">
        <v>485</v>
      </c>
      <c r="L3890">
        <v>252</v>
      </c>
      <c r="M3890" t="s">
        <v>16</v>
      </c>
    </row>
    <row r="3891" spans="1:13" x14ac:dyDescent="0.35">
      <c r="A3891">
        <v>355570</v>
      </c>
      <c r="B3891">
        <v>33960</v>
      </c>
      <c r="C3891" t="s">
        <v>4043</v>
      </c>
      <c r="D3891" t="s">
        <v>3421</v>
      </c>
      <c r="E3891" t="s">
        <v>3763</v>
      </c>
      <c r="F3891">
        <v>1436</v>
      </c>
      <c r="G3891">
        <v>1</v>
      </c>
      <c r="H3891" t="s">
        <v>16</v>
      </c>
      <c r="I3891" s="1">
        <v>-2088700</v>
      </c>
      <c r="J3891" s="1">
        <v>-4989700</v>
      </c>
      <c r="K3891">
        <v>480</v>
      </c>
      <c r="L3891">
        <v>79</v>
      </c>
      <c r="M3891" t="s">
        <v>16</v>
      </c>
    </row>
    <row r="3892" spans="1:13" x14ac:dyDescent="0.35">
      <c r="A3892">
        <v>355580</v>
      </c>
      <c r="B3892">
        <v>33979</v>
      </c>
      <c r="C3892" t="s">
        <v>4044</v>
      </c>
      <c r="D3892" t="s">
        <v>3421</v>
      </c>
      <c r="E3892" t="s">
        <v>3466</v>
      </c>
      <c r="F3892">
        <v>8727</v>
      </c>
      <c r="G3892">
        <v>1</v>
      </c>
      <c r="H3892" t="s">
        <v>16</v>
      </c>
      <c r="I3892" s="1">
        <v>-2024600</v>
      </c>
      <c r="J3892" s="1">
        <v>-5064300</v>
      </c>
      <c r="K3892">
        <v>458</v>
      </c>
      <c r="L3892">
        <v>209</v>
      </c>
      <c r="M3892" t="s">
        <v>16</v>
      </c>
    </row>
    <row r="3893" spans="1:13" x14ac:dyDescent="0.35">
      <c r="A3893">
        <v>355590</v>
      </c>
      <c r="B3893">
        <v>33987</v>
      </c>
      <c r="C3893" t="s">
        <v>4045</v>
      </c>
      <c r="D3893" t="s">
        <v>3421</v>
      </c>
      <c r="E3893" t="s">
        <v>3434</v>
      </c>
      <c r="F3893">
        <v>1362</v>
      </c>
      <c r="G3893">
        <v>1</v>
      </c>
      <c r="H3893" t="s">
        <v>16</v>
      </c>
      <c r="I3893" s="1">
        <v>-2178400</v>
      </c>
      <c r="J3893" s="1">
        <v>-4928100</v>
      </c>
      <c r="K3893">
        <v>427</v>
      </c>
      <c r="L3893">
        <v>147</v>
      </c>
      <c r="M3893" t="s">
        <v>16</v>
      </c>
    </row>
    <row r="3894" spans="1:13" x14ac:dyDescent="0.35">
      <c r="A3894">
        <v>355600</v>
      </c>
      <c r="B3894">
        <v>33995</v>
      </c>
      <c r="C3894" t="s">
        <v>4046</v>
      </c>
      <c r="D3894" t="s">
        <v>3421</v>
      </c>
      <c r="E3894" t="s">
        <v>2259</v>
      </c>
      <c r="F3894">
        <v>11917</v>
      </c>
      <c r="G3894">
        <v>1</v>
      </c>
      <c r="H3894" t="s">
        <v>16</v>
      </c>
      <c r="I3894" s="1">
        <v>-2120200</v>
      </c>
      <c r="J3894" s="1">
        <v>-4929000</v>
      </c>
      <c r="K3894">
        <v>436</v>
      </c>
      <c r="L3894">
        <v>324</v>
      </c>
      <c r="M3894" t="s">
        <v>16</v>
      </c>
    </row>
    <row r="3895" spans="1:13" x14ac:dyDescent="0.35">
      <c r="A3895">
        <v>355610</v>
      </c>
      <c r="B3895">
        <v>34002</v>
      </c>
      <c r="C3895" t="s">
        <v>4047</v>
      </c>
      <c r="D3895" t="s">
        <v>3421</v>
      </c>
      <c r="E3895" t="s">
        <v>3446</v>
      </c>
      <c r="F3895">
        <v>9408</v>
      </c>
      <c r="G3895">
        <v>1</v>
      </c>
      <c r="H3895" t="s">
        <v>16</v>
      </c>
      <c r="I3895" s="1">
        <v>-2042200</v>
      </c>
      <c r="J3895" s="1">
        <v>-5008800</v>
      </c>
      <c r="K3895">
        <v>510</v>
      </c>
      <c r="L3895">
        <v>149</v>
      </c>
      <c r="M3895" t="s">
        <v>16</v>
      </c>
    </row>
    <row r="3896" spans="1:13" x14ac:dyDescent="0.35">
      <c r="A3896">
        <v>355620</v>
      </c>
      <c r="B3896">
        <v>34010</v>
      </c>
      <c r="C3896" t="s">
        <v>4048</v>
      </c>
      <c r="D3896" t="s">
        <v>3421</v>
      </c>
      <c r="E3896" t="s">
        <v>3452</v>
      </c>
      <c r="F3896">
        <v>97814</v>
      </c>
      <c r="G3896">
        <v>4</v>
      </c>
      <c r="H3896" t="s">
        <v>3453</v>
      </c>
      <c r="I3896" s="1">
        <v>-2297100</v>
      </c>
      <c r="J3896" s="1">
        <v>-4699600</v>
      </c>
      <c r="K3896">
        <v>660</v>
      </c>
      <c r="L3896">
        <v>148</v>
      </c>
      <c r="M3896" t="s">
        <v>16</v>
      </c>
    </row>
    <row r="3897" spans="1:13" x14ac:dyDescent="0.35">
      <c r="A3897">
        <v>355630</v>
      </c>
      <c r="B3897">
        <v>34029</v>
      </c>
      <c r="C3897" t="s">
        <v>4049</v>
      </c>
      <c r="D3897" t="s">
        <v>3421</v>
      </c>
      <c r="E3897" t="s">
        <v>3470</v>
      </c>
      <c r="F3897">
        <v>20827</v>
      </c>
      <c r="G3897">
        <v>1</v>
      </c>
      <c r="H3897" t="s">
        <v>16</v>
      </c>
      <c r="I3897" s="1">
        <v>-2122800</v>
      </c>
      <c r="J3897" s="1">
        <v>-5086800</v>
      </c>
      <c r="K3897">
        <v>449</v>
      </c>
      <c r="L3897">
        <v>858</v>
      </c>
      <c r="M3897" t="s">
        <v>16</v>
      </c>
    </row>
    <row r="3898" spans="1:13" x14ac:dyDescent="0.35">
      <c r="A3898">
        <v>355635</v>
      </c>
      <c r="B3898">
        <v>51551</v>
      </c>
      <c r="C3898" t="s">
        <v>4050</v>
      </c>
      <c r="D3898" t="s">
        <v>3421</v>
      </c>
      <c r="E3898" t="s">
        <v>3494</v>
      </c>
      <c r="F3898">
        <v>6883</v>
      </c>
      <c r="G3898">
        <v>1</v>
      </c>
      <c r="H3898" t="s">
        <v>16</v>
      </c>
      <c r="I3898" s="1">
        <v>-2288900</v>
      </c>
      <c r="J3898" s="1">
        <v>-4641400</v>
      </c>
      <c r="K3898">
        <v>845</v>
      </c>
      <c r="L3898">
        <v>142</v>
      </c>
      <c r="M3898" t="s">
        <v>16</v>
      </c>
    </row>
    <row r="3899" spans="1:13" x14ac:dyDescent="0.35">
      <c r="A3899">
        <v>355640</v>
      </c>
      <c r="B3899">
        <v>34045</v>
      </c>
      <c r="C3899" t="s">
        <v>4051</v>
      </c>
      <c r="D3899" t="s">
        <v>3421</v>
      </c>
      <c r="E3899" t="s">
        <v>3427</v>
      </c>
      <c r="F3899">
        <v>37357</v>
      </c>
      <c r="G3899">
        <v>1</v>
      </c>
      <c r="H3899" t="s">
        <v>16</v>
      </c>
      <c r="I3899" s="1">
        <v>-2183200</v>
      </c>
      <c r="J3899" s="1">
        <v>-4689400</v>
      </c>
      <c r="K3899">
        <v>721</v>
      </c>
      <c r="L3899">
        <v>266</v>
      </c>
      <c r="M3899" t="s">
        <v>16</v>
      </c>
    </row>
    <row r="3900" spans="1:13" x14ac:dyDescent="0.35">
      <c r="A3900">
        <v>355645</v>
      </c>
      <c r="B3900">
        <v>34126</v>
      </c>
      <c r="C3900" t="s">
        <v>4052</v>
      </c>
      <c r="D3900" t="s">
        <v>3421</v>
      </c>
      <c r="E3900" t="s">
        <v>3596</v>
      </c>
      <c r="F3900">
        <v>40200</v>
      </c>
      <c r="G3900">
        <v>4</v>
      </c>
      <c r="H3900" t="s">
        <v>3490</v>
      </c>
      <c r="I3900" s="1">
        <v>-2360300</v>
      </c>
      <c r="J3900" s="1">
        <v>-4702600</v>
      </c>
      <c r="K3900">
        <v>875</v>
      </c>
      <c r="L3900">
        <v>33</v>
      </c>
      <c r="M3900" t="s">
        <v>16</v>
      </c>
    </row>
    <row r="3901" spans="1:13" x14ac:dyDescent="0.35">
      <c r="A3901">
        <v>355650</v>
      </c>
      <c r="B3901">
        <v>34053</v>
      </c>
      <c r="C3901" t="s">
        <v>4053</v>
      </c>
      <c r="D3901" t="s">
        <v>3421</v>
      </c>
      <c r="E3901" t="s">
        <v>3561</v>
      </c>
      <c r="F3901">
        <v>100411</v>
      </c>
      <c r="G3901">
        <v>3</v>
      </c>
      <c r="H3901" t="s">
        <v>16</v>
      </c>
      <c r="I3901" s="1">
        <v>-2321100</v>
      </c>
      <c r="J3901" s="1">
        <v>-4682800</v>
      </c>
      <c r="K3901">
        <v>745</v>
      </c>
      <c r="L3901">
        <v>34</v>
      </c>
      <c r="M3901" t="s">
        <v>16</v>
      </c>
    </row>
    <row r="3902" spans="1:13" x14ac:dyDescent="0.35">
      <c r="A3902">
        <v>355660</v>
      </c>
      <c r="B3902">
        <v>34061</v>
      </c>
      <c r="C3902" t="s">
        <v>1387</v>
      </c>
      <c r="D3902" t="s">
        <v>3421</v>
      </c>
      <c r="E3902" t="s">
        <v>3449</v>
      </c>
      <c r="F3902">
        <v>10020</v>
      </c>
      <c r="G3902">
        <v>1</v>
      </c>
      <c r="H3902" t="s">
        <v>16</v>
      </c>
      <c r="I3902" s="1">
        <v>-2222000</v>
      </c>
      <c r="J3902" s="1">
        <v>-4981900</v>
      </c>
      <c r="K3902">
        <v>628</v>
      </c>
      <c r="L3902">
        <v>247</v>
      </c>
      <c r="M3902" t="s">
        <v>16</v>
      </c>
    </row>
    <row r="3903" spans="1:13" x14ac:dyDescent="0.35">
      <c r="A3903">
        <v>355670</v>
      </c>
      <c r="B3903">
        <v>34070</v>
      </c>
      <c r="C3903" t="s">
        <v>4054</v>
      </c>
      <c r="D3903" t="s">
        <v>3421</v>
      </c>
      <c r="E3903" t="s">
        <v>3452</v>
      </c>
      <c r="F3903">
        <v>57435</v>
      </c>
      <c r="G3903">
        <v>4</v>
      </c>
      <c r="H3903" t="s">
        <v>3453</v>
      </c>
      <c r="I3903" s="1">
        <v>-2303000</v>
      </c>
      <c r="J3903" s="1">
        <v>-4697500</v>
      </c>
      <c r="K3903">
        <v>725</v>
      </c>
      <c r="L3903">
        <v>81</v>
      </c>
      <c r="M3903" t="s">
        <v>16</v>
      </c>
    </row>
    <row r="3904" spans="1:13" x14ac:dyDescent="0.35">
      <c r="A3904">
        <v>355680</v>
      </c>
      <c r="B3904">
        <v>34088</v>
      </c>
      <c r="C3904" t="s">
        <v>4055</v>
      </c>
      <c r="D3904" t="s">
        <v>3421</v>
      </c>
      <c r="E3904" t="s">
        <v>3517</v>
      </c>
      <c r="F3904">
        <v>17043</v>
      </c>
      <c r="G3904">
        <v>1</v>
      </c>
      <c r="H3904" t="s">
        <v>16</v>
      </c>
      <c r="I3904" s="1">
        <v>-2087300</v>
      </c>
      <c r="J3904" s="1">
        <v>-4829700</v>
      </c>
      <c r="K3904">
        <v>528</v>
      </c>
      <c r="L3904">
        <v>219</v>
      </c>
      <c r="M3904" t="s">
        <v>16</v>
      </c>
    </row>
    <row r="3905" spans="1:13" x14ac:dyDescent="0.35">
      <c r="A3905">
        <v>355690</v>
      </c>
      <c r="B3905">
        <v>34096</v>
      </c>
      <c r="C3905" t="s">
        <v>4056</v>
      </c>
      <c r="D3905" t="s">
        <v>3421</v>
      </c>
      <c r="E3905" t="s">
        <v>3517</v>
      </c>
      <c r="F3905">
        <v>6100</v>
      </c>
      <c r="G3905">
        <v>1</v>
      </c>
      <c r="H3905" t="s">
        <v>16</v>
      </c>
      <c r="I3905" s="1">
        <v>-2117100</v>
      </c>
      <c r="J3905" s="1">
        <v>-4862900</v>
      </c>
      <c r="K3905">
        <v>619</v>
      </c>
      <c r="L3905">
        <v>95</v>
      </c>
      <c r="M3905" t="s">
        <v>16</v>
      </c>
    </row>
    <row r="3906" spans="1:13" x14ac:dyDescent="0.35">
      <c r="A3906">
        <v>355695</v>
      </c>
      <c r="B3906">
        <v>56553</v>
      </c>
      <c r="C3906" t="s">
        <v>4057</v>
      </c>
      <c r="D3906" t="s">
        <v>3421</v>
      </c>
      <c r="E3906" t="s">
        <v>3466</v>
      </c>
      <c r="F3906">
        <v>1624</v>
      </c>
      <c r="G3906">
        <v>1</v>
      </c>
      <c r="H3906" t="s">
        <v>16</v>
      </c>
      <c r="I3906" s="1">
        <v>-2019700</v>
      </c>
      <c r="J3906" s="1">
        <v>-5048400</v>
      </c>
      <c r="K3906">
        <v>505</v>
      </c>
      <c r="L3906">
        <v>49</v>
      </c>
      <c r="M3906" t="s">
        <v>16</v>
      </c>
    </row>
    <row r="3907" spans="1:13" x14ac:dyDescent="0.35">
      <c r="A3907">
        <v>355700</v>
      </c>
      <c r="B3907">
        <v>34100</v>
      </c>
      <c r="C3907" t="s">
        <v>4058</v>
      </c>
      <c r="D3907" t="s">
        <v>3421</v>
      </c>
      <c r="E3907" t="s">
        <v>3444</v>
      </c>
      <c r="F3907">
        <v>99901</v>
      </c>
      <c r="G3907">
        <v>2</v>
      </c>
      <c r="H3907" t="s">
        <v>16</v>
      </c>
      <c r="I3907" s="1">
        <v>-2354700</v>
      </c>
      <c r="J3907" s="1">
        <v>-4743800</v>
      </c>
      <c r="K3907">
        <v>570</v>
      </c>
      <c r="L3907">
        <v>183</v>
      </c>
      <c r="M3907" t="s">
        <v>16</v>
      </c>
    </row>
    <row r="3908" spans="1:13" x14ac:dyDescent="0.35">
      <c r="A3908">
        <v>355710</v>
      </c>
      <c r="B3908">
        <v>34118</v>
      </c>
      <c r="C3908" t="s">
        <v>3446</v>
      </c>
      <c r="D3908" t="s">
        <v>3421</v>
      </c>
      <c r="E3908" t="s">
        <v>3446</v>
      </c>
      <c r="F3908">
        <v>77622</v>
      </c>
      <c r="G3908">
        <v>2</v>
      </c>
      <c r="H3908" t="s">
        <v>16</v>
      </c>
      <c r="I3908" s="1">
        <v>-2042300</v>
      </c>
      <c r="J3908" s="1">
        <v>-4997300</v>
      </c>
      <c r="K3908">
        <v>525</v>
      </c>
      <c r="L3908">
        <v>421</v>
      </c>
      <c r="M3908" t="s">
        <v>16</v>
      </c>
    </row>
    <row r="3909" spans="1:13" x14ac:dyDescent="0.35">
      <c r="A3909">
        <v>355715</v>
      </c>
      <c r="B3909">
        <v>51560</v>
      </c>
      <c r="C3909" t="s">
        <v>4059</v>
      </c>
      <c r="D3909" t="s">
        <v>3421</v>
      </c>
      <c r="E3909" t="s">
        <v>3423</v>
      </c>
      <c r="F3909">
        <v>2229</v>
      </c>
      <c r="G3909">
        <v>1</v>
      </c>
      <c r="H3909" t="s">
        <v>16</v>
      </c>
      <c r="I3909" s="1">
        <v>-2105200</v>
      </c>
      <c r="J3909" s="1">
        <v>-5005100</v>
      </c>
      <c r="K3909">
        <v>405</v>
      </c>
      <c r="L3909">
        <v>318</v>
      </c>
      <c r="M3909" t="s">
        <v>16</v>
      </c>
    </row>
    <row r="3910" spans="1:13" x14ac:dyDescent="0.35">
      <c r="A3910">
        <v>355720</v>
      </c>
      <c r="B3910">
        <v>29580</v>
      </c>
      <c r="C3910" t="s">
        <v>4060</v>
      </c>
      <c r="D3910" t="s">
        <v>3421</v>
      </c>
      <c r="E3910" t="s">
        <v>3520</v>
      </c>
      <c r="F3910">
        <v>12226</v>
      </c>
      <c r="G3910">
        <v>1</v>
      </c>
      <c r="H3910" t="s">
        <v>16</v>
      </c>
      <c r="I3910" s="1">
        <v>-2303900</v>
      </c>
      <c r="J3910" s="1">
        <v>-4970900</v>
      </c>
      <c r="K3910">
        <v>563</v>
      </c>
      <c r="L3910">
        <v>188</v>
      </c>
      <c r="M3910" t="s">
        <v>16</v>
      </c>
    </row>
    <row r="3911" spans="1:13" x14ac:dyDescent="0.35">
      <c r="A3911">
        <v>355730</v>
      </c>
      <c r="B3911">
        <v>51578</v>
      </c>
      <c r="C3911" t="s">
        <v>4061</v>
      </c>
      <c r="D3911" t="s">
        <v>3421</v>
      </c>
      <c r="E3911" t="s">
        <v>3487</v>
      </c>
      <c r="F3911">
        <v>9185</v>
      </c>
      <c r="G3911">
        <v>1</v>
      </c>
      <c r="H3911" t="s">
        <v>16</v>
      </c>
      <c r="I3911" s="1">
        <v>-2227100</v>
      </c>
      <c r="J3911" s="1">
        <v>-4694500</v>
      </c>
      <c r="K3911">
        <v>590</v>
      </c>
      <c r="L3911">
        <v>73</v>
      </c>
      <c r="M3911" t="s">
        <v>16</v>
      </c>
    </row>
    <row r="3912" spans="1:13" x14ac:dyDescent="0.35">
      <c r="A3912">
        <v>410010</v>
      </c>
      <c r="B3912">
        <v>34215</v>
      </c>
      <c r="C3912" t="s">
        <v>4062</v>
      </c>
      <c r="D3912" t="s">
        <v>4063</v>
      </c>
      <c r="E3912" t="s">
        <v>4064</v>
      </c>
      <c r="F3912">
        <v>7791</v>
      </c>
      <c r="G3912">
        <v>1</v>
      </c>
      <c r="H3912" t="s">
        <v>16</v>
      </c>
      <c r="I3912" s="1">
        <v>-2330400</v>
      </c>
      <c r="J3912" s="1">
        <v>-5031300</v>
      </c>
      <c r="K3912">
        <v>620</v>
      </c>
      <c r="L3912">
        <v>229</v>
      </c>
      <c r="M3912" t="s">
        <v>16</v>
      </c>
    </row>
    <row r="3913" spans="1:13" x14ac:dyDescent="0.35">
      <c r="A3913">
        <v>410020</v>
      </c>
      <c r="B3913">
        <v>34223</v>
      </c>
      <c r="C3913" t="s">
        <v>4065</v>
      </c>
      <c r="D3913" t="s">
        <v>4063</v>
      </c>
      <c r="E3913" t="s">
        <v>4066</v>
      </c>
      <c r="F3913">
        <v>6709</v>
      </c>
      <c r="G3913">
        <v>4</v>
      </c>
      <c r="H3913" t="s">
        <v>4067</v>
      </c>
      <c r="I3913" s="1">
        <v>-2465700</v>
      </c>
      <c r="J3913" s="1">
        <v>-4899100</v>
      </c>
      <c r="K3913">
        <v>250</v>
      </c>
      <c r="L3913">
        <v>1349</v>
      </c>
      <c r="M3913" t="s">
        <v>16</v>
      </c>
    </row>
    <row r="3914" spans="1:13" x14ac:dyDescent="0.35">
      <c r="A3914">
        <v>410030</v>
      </c>
      <c r="B3914">
        <v>34231</v>
      </c>
      <c r="C3914" t="s">
        <v>4068</v>
      </c>
      <c r="D3914" t="s">
        <v>4063</v>
      </c>
      <c r="E3914" t="s">
        <v>109</v>
      </c>
      <c r="F3914">
        <v>8192</v>
      </c>
      <c r="G3914">
        <v>4</v>
      </c>
      <c r="H3914" t="s">
        <v>4067</v>
      </c>
      <c r="I3914" s="1">
        <v>-2599300</v>
      </c>
      <c r="J3914" s="1">
        <v>-4933500</v>
      </c>
      <c r="K3914">
        <v>850</v>
      </c>
      <c r="L3914">
        <v>192</v>
      </c>
      <c r="M3914" t="s">
        <v>16</v>
      </c>
    </row>
    <row r="3915" spans="1:13" x14ac:dyDescent="0.35">
      <c r="A3915">
        <v>410040</v>
      </c>
      <c r="B3915">
        <v>34240</v>
      </c>
      <c r="C3915" t="s">
        <v>4069</v>
      </c>
      <c r="D3915" t="s">
        <v>4063</v>
      </c>
      <c r="E3915" t="s">
        <v>4070</v>
      </c>
      <c r="F3915">
        <v>93055</v>
      </c>
      <c r="G3915">
        <v>4</v>
      </c>
      <c r="H3915" t="s">
        <v>4067</v>
      </c>
      <c r="I3915" s="1">
        <v>-2532500</v>
      </c>
      <c r="J3915" s="1">
        <v>-4931000</v>
      </c>
      <c r="K3915">
        <v>945</v>
      </c>
      <c r="L3915">
        <v>195</v>
      </c>
      <c r="M3915" t="s">
        <v>16</v>
      </c>
    </row>
    <row r="3916" spans="1:13" x14ac:dyDescent="0.35">
      <c r="A3916">
        <v>410045</v>
      </c>
      <c r="B3916">
        <v>10650</v>
      </c>
      <c r="C3916" t="s">
        <v>4071</v>
      </c>
      <c r="D3916" t="s">
        <v>4063</v>
      </c>
      <c r="E3916" t="s">
        <v>4072</v>
      </c>
      <c r="F3916">
        <v>4369</v>
      </c>
      <c r="G3916">
        <v>1</v>
      </c>
      <c r="H3916" t="s">
        <v>16</v>
      </c>
      <c r="I3916" s="1">
        <v>-2479800</v>
      </c>
      <c r="J3916" s="1">
        <v>-5271300</v>
      </c>
      <c r="K3916">
        <v>560</v>
      </c>
      <c r="L3916">
        <v>388</v>
      </c>
      <c r="M3916" t="s">
        <v>16</v>
      </c>
    </row>
    <row r="3917" spans="1:13" x14ac:dyDescent="0.35">
      <c r="A3917">
        <v>410050</v>
      </c>
      <c r="B3917">
        <v>34258</v>
      </c>
      <c r="C3917" t="s">
        <v>4073</v>
      </c>
      <c r="D3917" t="s">
        <v>4063</v>
      </c>
      <c r="E3917" t="s">
        <v>4074</v>
      </c>
      <c r="F3917">
        <v>19904</v>
      </c>
      <c r="G3917">
        <v>1</v>
      </c>
      <c r="H3917" t="s">
        <v>16</v>
      </c>
      <c r="I3917" s="1">
        <v>-2387400</v>
      </c>
      <c r="J3917" s="1">
        <v>-5390200</v>
      </c>
      <c r="K3917">
        <v>380</v>
      </c>
      <c r="L3917">
        <v>661</v>
      </c>
      <c r="M3917" t="s">
        <v>16</v>
      </c>
    </row>
    <row r="3918" spans="1:13" x14ac:dyDescent="0.35">
      <c r="A3918">
        <v>410060</v>
      </c>
      <c r="B3918">
        <v>34266</v>
      </c>
      <c r="C3918" t="s">
        <v>4075</v>
      </c>
      <c r="D3918" t="s">
        <v>4063</v>
      </c>
      <c r="E3918" t="s">
        <v>4076</v>
      </c>
      <c r="F3918">
        <v>12936</v>
      </c>
      <c r="G3918">
        <v>1</v>
      </c>
      <c r="H3918" t="s">
        <v>16</v>
      </c>
      <c r="I3918" s="1">
        <v>-2312900</v>
      </c>
      <c r="J3918" s="1">
        <v>-5231900</v>
      </c>
      <c r="K3918">
        <v>525</v>
      </c>
      <c r="L3918">
        <v>407</v>
      </c>
      <c r="M3918" t="s">
        <v>16</v>
      </c>
    </row>
    <row r="3919" spans="1:13" x14ac:dyDescent="0.35">
      <c r="A3919">
        <v>410070</v>
      </c>
      <c r="B3919">
        <v>34274</v>
      </c>
      <c r="C3919" t="s">
        <v>4077</v>
      </c>
      <c r="D3919" t="s">
        <v>4063</v>
      </c>
      <c r="E3919" t="s">
        <v>4074</v>
      </c>
      <c r="F3919">
        <v>10210</v>
      </c>
      <c r="G3919">
        <v>1</v>
      </c>
      <c r="H3919" t="s">
        <v>16</v>
      </c>
      <c r="I3919" s="1">
        <v>-2402800</v>
      </c>
      <c r="J3919" s="1">
        <v>-5344100</v>
      </c>
      <c r="K3919">
        <v>436</v>
      </c>
      <c r="L3919">
        <v>447</v>
      </c>
      <c r="M3919" t="s">
        <v>16</v>
      </c>
    </row>
    <row r="3920" spans="1:13" x14ac:dyDescent="0.35">
      <c r="A3920">
        <v>410080</v>
      </c>
      <c r="B3920">
        <v>34282</v>
      </c>
      <c r="C3920" t="s">
        <v>4078</v>
      </c>
      <c r="D3920" t="s">
        <v>4063</v>
      </c>
      <c r="E3920" t="s">
        <v>4079</v>
      </c>
      <c r="F3920">
        <v>9014</v>
      </c>
      <c r="G3920">
        <v>1</v>
      </c>
      <c r="H3920" t="s">
        <v>16</v>
      </c>
      <c r="I3920" s="1">
        <v>-2278000</v>
      </c>
      <c r="J3920" s="1">
        <v>-5123100</v>
      </c>
      <c r="K3920">
        <v>320</v>
      </c>
      <c r="L3920">
        <v>424</v>
      </c>
      <c r="M3920" t="s">
        <v>16</v>
      </c>
    </row>
    <row r="3921" spans="1:13" x14ac:dyDescent="0.35">
      <c r="A3921">
        <v>410090</v>
      </c>
      <c r="B3921">
        <v>34290</v>
      </c>
      <c r="C3921" t="s">
        <v>4080</v>
      </c>
      <c r="D3921" t="s">
        <v>4063</v>
      </c>
      <c r="E3921" t="s">
        <v>4076</v>
      </c>
      <c r="F3921">
        <v>5140</v>
      </c>
      <c r="G3921">
        <v>1</v>
      </c>
      <c r="H3921" t="s">
        <v>16</v>
      </c>
      <c r="I3921" s="1">
        <v>-2309600</v>
      </c>
      <c r="J3921" s="1">
        <v>-5278800</v>
      </c>
      <c r="K3921">
        <v>430</v>
      </c>
      <c r="L3921">
        <v>384</v>
      </c>
      <c r="M3921" t="s">
        <v>16</v>
      </c>
    </row>
    <row r="3922" spans="1:13" x14ac:dyDescent="0.35">
      <c r="A3922">
        <v>410100</v>
      </c>
      <c r="B3922">
        <v>34304</v>
      </c>
      <c r="C3922" t="s">
        <v>4081</v>
      </c>
      <c r="D3922" t="s">
        <v>4063</v>
      </c>
      <c r="E3922" t="s">
        <v>243</v>
      </c>
      <c r="F3922">
        <v>17067</v>
      </c>
      <c r="G3922">
        <v>1</v>
      </c>
      <c r="H3922" t="s">
        <v>16</v>
      </c>
      <c r="I3922" s="1">
        <v>-2591500</v>
      </c>
      <c r="J3922" s="1">
        <v>-5347300</v>
      </c>
      <c r="K3922">
        <v>521</v>
      </c>
      <c r="L3922">
        <v>298</v>
      </c>
      <c r="M3922" t="s">
        <v>16</v>
      </c>
    </row>
    <row r="3923" spans="1:13" x14ac:dyDescent="0.35">
      <c r="A3923">
        <v>410105</v>
      </c>
      <c r="B3923">
        <v>48372</v>
      </c>
      <c r="C3923" t="s">
        <v>4082</v>
      </c>
      <c r="D3923" t="s">
        <v>4063</v>
      </c>
      <c r="E3923" t="s">
        <v>1059</v>
      </c>
      <c r="F3923">
        <v>2868</v>
      </c>
      <c r="G3923">
        <v>1</v>
      </c>
      <c r="H3923" t="s">
        <v>16</v>
      </c>
      <c r="I3923" s="1">
        <v>-2464400</v>
      </c>
      <c r="J3923" s="1">
        <v>-5313500</v>
      </c>
      <c r="K3923">
        <v>651</v>
      </c>
      <c r="L3923">
        <v>102</v>
      </c>
      <c r="M3923" t="s">
        <v>16</v>
      </c>
    </row>
    <row r="3924" spans="1:13" x14ac:dyDescent="0.35">
      <c r="A3924">
        <v>410110</v>
      </c>
      <c r="B3924">
        <v>34312</v>
      </c>
      <c r="C3924" t="s">
        <v>4083</v>
      </c>
      <c r="D3924" t="s">
        <v>4063</v>
      </c>
      <c r="E3924" t="s">
        <v>4064</v>
      </c>
      <c r="F3924">
        <v>21330</v>
      </c>
      <c r="G3924">
        <v>1</v>
      </c>
      <c r="H3924" t="s">
        <v>16</v>
      </c>
      <c r="I3924" s="1">
        <v>-2305100</v>
      </c>
      <c r="J3924" s="1">
        <v>-5022900</v>
      </c>
      <c r="K3924">
        <v>470</v>
      </c>
      <c r="L3924">
        <v>234</v>
      </c>
      <c r="M3924" t="s">
        <v>16</v>
      </c>
    </row>
    <row r="3925" spans="1:13" x14ac:dyDescent="0.35">
      <c r="A3925">
        <v>410115</v>
      </c>
      <c r="B3925">
        <v>48380</v>
      </c>
      <c r="C3925" t="s">
        <v>4084</v>
      </c>
      <c r="D3925" t="s">
        <v>4063</v>
      </c>
      <c r="E3925" t="s">
        <v>4085</v>
      </c>
      <c r="F3925">
        <v>2807</v>
      </c>
      <c r="G3925">
        <v>4</v>
      </c>
      <c r="H3925" t="s">
        <v>4086</v>
      </c>
      <c r="I3925" s="1">
        <v>-2319500</v>
      </c>
      <c r="J3925" s="1">
        <v>-5191500</v>
      </c>
      <c r="K3925">
        <v>300</v>
      </c>
      <c r="L3925">
        <v>106</v>
      </c>
      <c r="M3925" t="s">
        <v>16</v>
      </c>
    </row>
    <row r="3926" spans="1:13" x14ac:dyDescent="0.35">
      <c r="A3926">
        <v>410120</v>
      </c>
      <c r="B3926">
        <v>34320</v>
      </c>
      <c r="C3926" t="s">
        <v>4087</v>
      </c>
      <c r="D3926" t="s">
        <v>4063</v>
      </c>
      <c r="E3926" t="s">
        <v>4088</v>
      </c>
      <c r="F3926">
        <v>17581</v>
      </c>
      <c r="G3926">
        <v>1</v>
      </c>
      <c r="H3926" t="s">
        <v>16</v>
      </c>
      <c r="I3926" s="1">
        <v>-2542900</v>
      </c>
      <c r="J3926" s="1">
        <v>-4871200</v>
      </c>
      <c r="K3926">
        <v>20</v>
      </c>
      <c r="L3926">
        <v>882</v>
      </c>
      <c r="M3926" t="s">
        <v>16</v>
      </c>
    </row>
    <row r="3927" spans="1:13" x14ac:dyDescent="0.35">
      <c r="A3927">
        <v>410130</v>
      </c>
      <c r="B3927">
        <v>34339</v>
      </c>
      <c r="C3927" t="s">
        <v>4089</v>
      </c>
      <c r="D3927" t="s">
        <v>4063</v>
      </c>
      <c r="E3927" t="s">
        <v>4090</v>
      </c>
      <c r="F3927">
        <v>7477</v>
      </c>
      <c r="G3927">
        <v>1</v>
      </c>
      <c r="H3927" t="s">
        <v>16</v>
      </c>
      <c r="I3927" s="1">
        <v>-2598600</v>
      </c>
      <c r="J3927" s="1">
        <v>-5019700</v>
      </c>
      <c r="K3927">
        <v>802</v>
      </c>
      <c r="L3927">
        <v>469</v>
      </c>
      <c r="M3927" t="s">
        <v>16</v>
      </c>
    </row>
    <row r="3928" spans="1:13" x14ac:dyDescent="0.35">
      <c r="A3928">
        <v>410140</v>
      </c>
      <c r="B3928">
        <v>34347</v>
      </c>
      <c r="C3928" t="s">
        <v>4091</v>
      </c>
      <c r="D3928" t="s">
        <v>4063</v>
      </c>
      <c r="E3928" t="s">
        <v>4091</v>
      </c>
      <c r="F3928">
        <v>115323</v>
      </c>
      <c r="G3928">
        <v>3</v>
      </c>
      <c r="H3928" t="s">
        <v>16</v>
      </c>
      <c r="I3928" s="1">
        <v>-2355100</v>
      </c>
      <c r="J3928" s="1">
        <v>-5146100</v>
      </c>
      <c r="K3928">
        <v>820</v>
      </c>
      <c r="L3928">
        <v>558</v>
      </c>
      <c r="M3928" t="s">
        <v>16</v>
      </c>
    </row>
    <row r="3929" spans="1:13" x14ac:dyDescent="0.35">
      <c r="A3929">
        <v>410150</v>
      </c>
      <c r="B3929">
        <v>34355</v>
      </c>
      <c r="C3929" t="s">
        <v>4092</v>
      </c>
      <c r="D3929" t="s">
        <v>4063</v>
      </c>
      <c r="E3929" t="s">
        <v>4091</v>
      </c>
      <c r="F3929">
        <v>96669</v>
      </c>
      <c r="G3929">
        <v>2</v>
      </c>
      <c r="H3929" t="s">
        <v>16</v>
      </c>
      <c r="I3929" s="1">
        <v>-2341900</v>
      </c>
      <c r="J3929" s="1">
        <v>-5142400</v>
      </c>
      <c r="K3929">
        <v>729</v>
      </c>
      <c r="L3929">
        <v>381</v>
      </c>
      <c r="M3929" t="s">
        <v>16</v>
      </c>
    </row>
    <row r="3930" spans="1:13" x14ac:dyDescent="0.35">
      <c r="A3930">
        <v>410160</v>
      </c>
      <c r="B3930">
        <v>34363</v>
      </c>
      <c r="C3930" t="s">
        <v>4093</v>
      </c>
      <c r="D3930" t="s">
        <v>4063</v>
      </c>
      <c r="E3930" t="s">
        <v>4094</v>
      </c>
      <c r="F3930">
        <v>25645</v>
      </c>
      <c r="G3930">
        <v>1</v>
      </c>
      <c r="H3930" t="s">
        <v>16</v>
      </c>
      <c r="I3930" s="1">
        <v>-2415800</v>
      </c>
      <c r="J3930" s="1">
        <v>-4982700</v>
      </c>
      <c r="K3930">
        <v>860</v>
      </c>
      <c r="L3930">
        <v>1360</v>
      </c>
      <c r="M3930" t="s">
        <v>16</v>
      </c>
    </row>
    <row r="3931" spans="1:13" x14ac:dyDescent="0.35">
      <c r="A3931">
        <v>410165</v>
      </c>
      <c r="B3931">
        <v>53945</v>
      </c>
      <c r="C3931" t="s">
        <v>4095</v>
      </c>
      <c r="D3931" t="s">
        <v>4063</v>
      </c>
      <c r="E3931" t="s">
        <v>4096</v>
      </c>
      <c r="F3931">
        <v>3945</v>
      </c>
      <c r="G3931">
        <v>1</v>
      </c>
      <c r="H3931" t="s">
        <v>16</v>
      </c>
      <c r="I3931" s="1">
        <v>-2431600</v>
      </c>
      <c r="J3931" s="1">
        <v>-5178700</v>
      </c>
      <c r="K3931">
        <v>680</v>
      </c>
      <c r="L3931">
        <v>218</v>
      </c>
      <c r="M3931" t="s">
        <v>16</v>
      </c>
    </row>
    <row r="3932" spans="1:13" x14ac:dyDescent="0.35">
      <c r="A3932">
        <v>410170</v>
      </c>
      <c r="B3932">
        <v>34371</v>
      </c>
      <c r="C3932" t="s">
        <v>1412</v>
      </c>
      <c r="D3932" t="s">
        <v>4063</v>
      </c>
      <c r="E3932" t="s">
        <v>4097</v>
      </c>
      <c r="F3932">
        <v>12650</v>
      </c>
      <c r="G3932">
        <v>1</v>
      </c>
      <c r="H3932" t="s">
        <v>16</v>
      </c>
      <c r="I3932" s="1">
        <v>-2393200</v>
      </c>
      <c r="J3932" s="1">
        <v>-5249600</v>
      </c>
      <c r="K3932">
        <v>610</v>
      </c>
      <c r="L3932">
        <v>493</v>
      </c>
      <c r="M3932" t="s">
        <v>16</v>
      </c>
    </row>
    <row r="3933" spans="1:13" x14ac:dyDescent="0.35">
      <c r="A3933">
        <v>410180</v>
      </c>
      <c r="B3933">
        <v>34380</v>
      </c>
      <c r="C3933" t="s">
        <v>4098</v>
      </c>
      <c r="D3933" t="s">
        <v>4063</v>
      </c>
      <c r="E3933" t="s">
        <v>4070</v>
      </c>
      <c r="F3933">
        <v>109943</v>
      </c>
      <c r="G3933">
        <v>4</v>
      </c>
      <c r="H3933" t="s">
        <v>4067</v>
      </c>
      <c r="I3933" s="1">
        <v>-2559300</v>
      </c>
      <c r="J3933" s="1">
        <v>-4941000</v>
      </c>
      <c r="K3933">
        <v>897</v>
      </c>
      <c r="L3933">
        <v>469</v>
      </c>
      <c r="M3933" t="s">
        <v>16</v>
      </c>
    </row>
    <row r="3934" spans="1:13" x14ac:dyDescent="0.35">
      <c r="A3934">
        <v>410185</v>
      </c>
      <c r="B3934">
        <v>53953</v>
      </c>
      <c r="C3934" t="s">
        <v>4099</v>
      </c>
      <c r="D3934" t="s">
        <v>4063</v>
      </c>
      <c r="E3934" t="s">
        <v>4096</v>
      </c>
      <c r="F3934">
        <v>2540</v>
      </c>
      <c r="G3934">
        <v>1</v>
      </c>
      <c r="H3934" t="s">
        <v>16</v>
      </c>
      <c r="I3934" s="1">
        <v>-2438600</v>
      </c>
      <c r="J3934" s="1">
        <v>-5158500</v>
      </c>
      <c r="K3934">
        <v>700</v>
      </c>
      <c r="L3934">
        <v>240</v>
      </c>
      <c r="M3934" t="s">
        <v>16</v>
      </c>
    </row>
    <row r="3935" spans="1:13" x14ac:dyDescent="0.35">
      <c r="A3935">
        <v>410190</v>
      </c>
      <c r="B3935">
        <v>34398</v>
      </c>
      <c r="C3935" t="s">
        <v>4100</v>
      </c>
      <c r="D3935" t="s">
        <v>4063</v>
      </c>
      <c r="E3935" t="s">
        <v>4101</v>
      </c>
      <c r="F3935">
        <v>16098</v>
      </c>
      <c r="G3935">
        <v>1</v>
      </c>
      <c r="H3935" t="s">
        <v>16</v>
      </c>
      <c r="I3935" s="1">
        <v>-2337300</v>
      </c>
      <c r="J3935" s="1">
        <v>-5084100</v>
      </c>
      <c r="K3935">
        <v>605</v>
      </c>
      <c r="L3935">
        <v>440</v>
      </c>
      <c r="M3935" t="s">
        <v>16</v>
      </c>
    </row>
    <row r="3936" spans="1:13" x14ac:dyDescent="0.35">
      <c r="A3936">
        <v>410200</v>
      </c>
      <c r="B3936">
        <v>34401</v>
      </c>
      <c r="C3936" t="s">
        <v>4102</v>
      </c>
      <c r="D3936" t="s">
        <v>4063</v>
      </c>
      <c r="E3936" t="s">
        <v>3198</v>
      </c>
      <c r="F3936">
        <v>32226</v>
      </c>
      <c r="G3936">
        <v>1</v>
      </c>
      <c r="H3936" t="s">
        <v>16</v>
      </c>
      <c r="I3936" s="1">
        <v>-2442000</v>
      </c>
      <c r="J3936" s="1">
        <v>-5352100</v>
      </c>
      <c r="K3936">
        <v>406</v>
      </c>
      <c r="L3936">
        <v>969</v>
      </c>
      <c r="M3936" t="s">
        <v>16</v>
      </c>
    </row>
    <row r="3937" spans="1:13" x14ac:dyDescent="0.35">
      <c r="A3937">
        <v>410210</v>
      </c>
      <c r="B3937">
        <v>34410</v>
      </c>
      <c r="C3937" t="s">
        <v>4085</v>
      </c>
      <c r="D3937" t="s">
        <v>4063</v>
      </c>
      <c r="E3937" t="s">
        <v>4085</v>
      </c>
      <c r="F3937">
        <v>24191</v>
      </c>
      <c r="G3937">
        <v>4</v>
      </c>
      <c r="H3937" t="s">
        <v>4086</v>
      </c>
      <c r="I3937" s="1">
        <v>-2323300</v>
      </c>
      <c r="J3937" s="1">
        <v>-5166600</v>
      </c>
      <c r="K3937">
        <v>675</v>
      </c>
      <c r="L3937">
        <v>434</v>
      </c>
      <c r="M3937" t="s">
        <v>16</v>
      </c>
    </row>
    <row r="3938" spans="1:13" x14ac:dyDescent="0.35">
      <c r="A3938">
        <v>410220</v>
      </c>
      <c r="B3938">
        <v>34428</v>
      </c>
      <c r="C3938" t="s">
        <v>1796</v>
      </c>
      <c r="D3938" t="s">
        <v>4063</v>
      </c>
      <c r="E3938" t="s">
        <v>4085</v>
      </c>
      <c r="F3938">
        <v>3627</v>
      </c>
      <c r="G3938">
        <v>1</v>
      </c>
      <c r="H3938" t="s">
        <v>16</v>
      </c>
      <c r="I3938" s="1">
        <v>-2315100</v>
      </c>
      <c r="J3938" s="1">
        <v>-5205400</v>
      </c>
      <c r="K3938">
        <v>502</v>
      </c>
      <c r="L3938">
        <v>137</v>
      </c>
      <c r="M3938" t="s">
        <v>16</v>
      </c>
    </row>
    <row r="3939" spans="1:13" x14ac:dyDescent="0.35">
      <c r="A3939">
        <v>410230</v>
      </c>
      <c r="B3939">
        <v>34436</v>
      </c>
      <c r="C3939" t="s">
        <v>4103</v>
      </c>
      <c r="D3939" t="s">
        <v>4063</v>
      </c>
      <c r="E3939" t="s">
        <v>4070</v>
      </c>
      <c r="F3939">
        <v>10639</v>
      </c>
      <c r="G3939">
        <v>4</v>
      </c>
      <c r="H3939" t="s">
        <v>4067</v>
      </c>
      <c r="I3939" s="1">
        <v>-2558400</v>
      </c>
      <c r="J3939" s="1">
        <v>-4963600</v>
      </c>
      <c r="K3939">
        <v>871</v>
      </c>
      <c r="L3939">
        <v>396</v>
      </c>
      <c r="M3939" t="s">
        <v>16</v>
      </c>
    </row>
    <row r="3940" spans="1:13" x14ac:dyDescent="0.35">
      <c r="A3940">
        <v>410240</v>
      </c>
      <c r="B3940">
        <v>34444</v>
      </c>
      <c r="C3940" t="s">
        <v>4104</v>
      </c>
      <c r="D3940" t="s">
        <v>4063</v>
      </c>
      <c r="E3940" t="s">
        <v>4064</v>
      </c>
      <c r="F3940">
        <v>32290</v>
      </c>
      <c r="G3940">
        <v>1</v>
      </c>
      <c r="H3940" t="s">
        <v>16</v>
      </c>
      <c r="I3940" s="1">
        <v>-2311000</v>
      </c>
      <c r="J3940" s="1">
        <v>-5036800</v>
      </c>
      <c r="K3940">
        <v>420</v>
      </c>
      <c r="L3940">
        <v>447</v>
      </c>
      <c r="M3940" t="s">
        <v>16</v>
      </c>
    </row>
    <row r="3941" spans="1:13" x14ac:dyDescent="0.35">
      <c r="A3941">
        <v>410250</v>
      </c>
      <c r="B3941">
        <v>34452</v>
      </c>
      <c r="C3941" t="s">
        <v>4105</v>
      </c>
      <c r="D3941" t="s">
        <v>4063</v>
      </c>
      <c r="E3941" t="s">
        <v>4097</v>
      </c>
      <c r="F3941">
        <v>13655</v>
      </c>
      <c r="G3941">
        <v>1</v>
      </c>
      <c r="H3941" t="s">
        <v>16</v>
      </c>
      <c r="I3941" s="1">
        <v>-2403000</v>
      </c>
      <c r="J3941" s="1">
        <v>-5201200</v>
      </c>
      <c r="K3941">
        <v>374</v>
      </c>
      <c r="L3941">
        <v>538</v>
      </c>
      <c r="M3941" t="s">
        <v>16</v>
      </c>
    </row>
    <row r="3942" spans="1:13" x14ac:dyDescent="0.35">
      <c r="A3942">
        <v>410260</v>
      </c>
      <c r="B3942">
        <v>34460</v>
      </c>
      <c r="C3942" t="s">
        <v>4106</v>
      </c>
      <c r="D3942" t="s">
        <v>4063</v>
      </c>
      <c r="E3942" t="s">
        <v>4107</v>
      </c>
      <c r="F3942">
        <v>9027</v>
      </c>
      <c r="G3942">
        <v>1</v>
      </c>
      <c r="H3942" t="s">
        <v>16</v>
      </c>
      <c r="I3942" s="1">
        <v>-2625400</v>
      </c>
      <c r="J3942" s="1">
        <v>-5363300</v>
      </c>
      <c r="K3942">
        <v>828</v>
      </c>
      <c r="L3942">
        <v>163</v>
      </c>
      <c r="M3942" t="s">
        <v>16</v>
      </c>
    </row>
    <row r="3943" spans="1:13" x14ac:dyDescent="0.35">
      <c r="A3943">
        <v>410270</v>
      </c>
      <c r="B3943">
        <v>34479</v>
      </c>
      <c r="C3943" t="s">
        <v>4108</v>
      </c>
      <c r="D3943" t="s">
        <v>4063</v>
      </c>
      <c r="E3943" t="s">
        <v>4109</v>
      </c>
      <c r="F3943">
        <v>2757</v>
      </c>
      <c r="G3943">
        <v>1</v>
      </c>
      <c r="H3943" t="s">
        <v>16</v>
      </c>
      <c r="I3943" s="1">
        <v>-2311500</v>
      </c>
      <c r="J3943" s="1">
        <v>-5018100</v>
      </c>
      <c r="K3943">
        <v>560</v>
      </c>
      <c r="L3943">
        <v>115</v>
      </c>
      <c r="M3943" t="s">
        <v>16</v>
      </c>
    </row>
    <row r="3944" spans="1:13" x14ac:dyDescent="0.35">
      <c r="A3944">
        <v>410275</v>
      </c>
      <c r="B3944">
        <v>53961</v>
      </c>
      <c r="C3944" t="s">
        <v>4110</v>
      </c>
      <c r="D3944" t="s">
        <v>4063</v>
      </c>
      <c r="E3944" t="s">
        <v>243</v>
      </c>
      <c r="F3944">
        <v>4136</v>
      </c>
      <c r="G3944">
        <v>1</v>
      </c>
      <c r="H3944" t="s">
        <v>16</v>
      </c>
      <c r="I3944" s="1">
        <v>-2588100</v>
      </c>
      <c r="J3944" s="1">
        <v>-5366500</v>
      </c>
      <c r="K3944">
        <v>558</v>
      </c>
      <c r="L3944">
        <v>148</v>
      </c>
      <c r="M3944" t="s">
        <v>16</v>
      </c>
    </row>
    <row r="3945" spans="1:13" x14ac:dyDescent="0.35">
      <c r="A3945">
        <v>410280</v>
      </c>
      <c r="B3945">
        <v>34487</v>
      </c>
      <c r="C3945" t="s">
        <v>4111</v>
      </c>
      <c r="D3945" t="s">
        <v>4063</v>
      </c>
      <c r="E3945" t="s">
        <v>4079</v>
      </c>
      <c r="F3945">
        <v>14996</v>
      </c>
      <c r="G3945">
        <v>4</v>
      </c>
      <c r="H3945" t="s">
        <v>4112</v>
      </c>
      <c r="I3945" s="1">
        <v>-2299700</v>
      </c>
      <c r="J3945" s="1">
        <v>-5119100</v>
      </c>
      <c r="K3945">
        <v>590</v>
      </c>
      <c r="L3945">
        <v>242</v>
      </c>
      <c r="M3945" t="s">
        <v>16</v>
      </c>
    </row>
    <row r="3946" spans="1:13" x14ac:dyDescent="0.35">
      <c r="A3946">
        <v>410290</v>
      </c>
      <c r="B3946">
        <v>34495</v>
      </c>
      <c r="C3946" t="s">
        <v>4113</v>
      </c>
      <c r="D3946" t="s">
        <v>4063</v>
      </c>
      <c r="E3946" t="s">
        <v>4114</v>
      </c>
      <c r="F3946">
        <v>16142</v>
      </c>
      <c r="G3946">
        <v>1</v>
      </c>
      <c r="H3946" t="s">
        <v>16</v>
      </c>
      <c r="I3946" s="1">
        <v>-2616100</v>
      </c>
      <c r="J3946" s="1">
        <v>-5155300</v>
      </c>
      <c r="K3946">
        <v>987</v>
      </c>
      <c r="L3946">
        <v>1214</v>
      </c>
      <c r="M3946" t="s">
        <v>16</v>
      </c>
    </row>
    <row r="3947" spans="1:13" x14ac:dyDescent="0.35">
      <c r="A3947">
        <v>410300</v>
      </c>
      <c r="B3947">
        <v>34509</v>
      </c>
      <c r="C3947" t="s">
        <v>2490</v>
      </c>
      <c r="D3947" t="s">
        <v>4063</v>
      </c>
      <c r="E3947" t="s">
        <v>4072</v>
      </c>
      <c r="F3947">
        <v>4706</v>
      </c>
      <c r="G3947">
        <v>1</v>
      </c>
      <c r="H3947" t="s">
        <v>16</v>
      </c>
      <c r="I3947" s="1">
        <v>-2424200</v>
      </c>
      <c r="J3947" s="1">
        <v>-5278900</v>
      </c>
      <c r="K3947">
        <v>500</v>
      </c>
      <c r="L3947">
        <v>307</v>
      </c>
      <c r="M3947" t="s">
        <v>16</v>
      </c>
    </row>
    <row r="3948" spans="1:13" x14ac:dyDescent="0.35">
      <c r="A3948">
        <v>410302</v>
      </c>
      <c r="B3948">
        <v>48402</v>
      </c>
      <c r="C3948" t="s">
        <v>4115</v>
      </c>
      <c r="D3948" t="s">
        <v>4063</v>
      </c>
      <c r="E3948" t="s">
        <v>4107</v>
      </c>
      <c r="F3948">
        <v>2866</v>
      </c>
      <c r="G3948">
        <v>1</v>
      </c>
      <c r="H3948" t="s">
        <v>16</v>
      </c>
      <c r="I3948" s="1">
        <v>-2563600</v>
      </c>
      <c r="J3948" s="1">
        <v>-5321200</v>
      </c>
      <c r="K3948">
        <v>521</v>
      </c>
      <c r="L3948">
        <v>151</v>
      </c>
      <c r="M3948" t="s">
        <v>16</v>
      </c>
    </row>
    <row r="3949" spans="1:13" x14ac:dyDescent="0.35">
      <c r="A3949">
        <v>410304</v>
      </c>
      <c r="B3949">
        <v>53970</v>
      </c>
      <c r="C3949" t="s">
        <v>4116</v>
      </c>
      <c r="D3949" t="s">
        <v>4063</v>
      </c>
      <c r="E3949" t="s">
        <v>4117</v>
      </c>
      <c r="F3949">
        <v>6744</v>
      </c>
      <c r="G3949">
        <v>1</v>
      </c>
      <c r="H3949" t="s">
        <v>16</v>
      </c>
      <c r="I3949" s="1">
        <v>-2486900</v>
      </c>
      <c r="J3949" s="1">
        <v>-5162800</v>
      </c>
      <c r="K3949">
        <v>950</v>
      </c>
      <c r="L3949">
        <v>622</v>
      </c>
      <c r="M3949" t="s">
        <v>16</v>
      </c>
    </row>
    <row r="3950" spans="1:13" x14ac:dyDescent="0.35">
      <c r="A3950">
        <v>410305</v>
      </c>
      <c r="B3950">
        <v>45330</v>
      </c>
      <c r="C3950" t="s">
        <v>4118</v>
      </c>
      <c r="D3950" t="s">
        <v>4063</v>
      </c>
      <c r="E3950" t="s">
        <v>1059</v>
      </c>
      <c r="F3950">
        <v>7818</v>
      </c>
      <c r="G3950">
        <v>1</v>
      </c>
      <c r="H3950" t="s">
        <v>16</v>
      </c>
      <c r="I3950" s="1">
        <v>-2543600</v>
      </c>
      <c r="J3950" s="1">
        <v>-5340800</v>
      </c>
      <c r="K3950">
        <v>445</v>
      </c>
      <c r="L3950">
        <v>256</v>
      </c>
      <c r="M3950" t="s">
        <v>16</v>
      </c>
    </row>
    <row r="3951" spans="1:13" x14ac:dyDescent="0.35">
      <c r="A3951">
        <v>410310</v>
      </c>
      <c r="B3951">
        <v>34517</v>
      </c>
      <c r="C3951" t="s">
        <v>4119</v>
      </c>
      <c r="D3951" t="s">
        <v>4063</v>
      </c>
      <c r="E3951" t="s">
        <v>4070</v>
      </c>
      <c r="F3951">
        <v>9533</v>
      </c>
      <c r="G3951">
        <v>4</v>
      </c>
      <c r="H3951" t="s">
        <v>4067</v>
      </c>
      <c r="I3951" s="1">
        <v>-2520600</v>
      </c>
      <c r="J3951" s="1">
        <v>-4911500</v>
      </c>
      <c r="K3951">
        <v>980</v>
      </c>
      <c r="L3951">
        <v>826</v>
      </c>
      <c r="M3951" t="s">
        <v>16</v>
      </c>
    </row>
    <row r="3952" spans="1:13" x14ac:dyDescent="0.35">
      <c r="A3952">
        <v>410315</v>
      </c>
      <c r="B3952">
        <v>53988</v>
      </c>
      <c r="C3952" t="s">
        <v>4120</v>
      </c>
      <c r="D3952" t="s">
        <v>4063</v>
      </c>
      <c r="E3952" t="s">
        <v>4107</v>
      </c>
      <c r="F3952">
        <v>3835</v>
      </c>
      <c r="G3952">
        <v>1</v>
      </c>
      <c r="H3952" t="s">
        <v>16</v>
      </c>
      <c r="I3952" s="1">
        <v>-2619300</v>
      </c>
      <c r="J3952" s="1">
        <v>-5359700</v>
      </c>
      <c r="K3952">
        <v>660</v>
      </c>
      <c r="L3952">
        <v>173</v>
      </c>
      <c r="M3952" t="s">
        <v>16</v>
      </c>
    </row>
    <row r="3953" spans="1:13" x14ac:dyDescent="0.35">
      <c r="A3953">
        <v>410320</v>
      </c>
      <c r="B3953">
        <v>34525</v>
      </c>
      <c r="C3953" t="s">
        <v>1438</v>
      </c>
      <c r="D3953" t="s">
        <v>4063</v>
      </c>
      <c r="E3953" t="s">
        <v>4121</v>
      </c>
      <c r="F3953">
        <v>6397</v>
      </c>
      <c r="G3953">
        <v>1</v>
      </c>
      <c r="H3953" t="s">
        <v>16</v>
      </c>
      <c r="I3953" s="1">
        <v>-2371000</v>
      </c>
      <c r="J3953" s="1">
        <v>-5176400</v>
      </c>
      <c r="K3953">
        <v>580</v>
      </c>
      <c r="L3953">
        <v>322</v>
      </c>
      <c r="M3953" t="s">
        <v>16</v>
      </c>
    </row>
    <row r="3954" spans="1:13" x14ac:dyDescent="0.35">
      <c r="A3954">
        <v>410322</v>
      </c>
      <c r="B3954">
        <v>51586</v>
      </c>
      <c r="C3954" t="s">
        <v>4122</v>
      </c>
      <c r="D3954" t="s">
        <v>4063</v>
      </c>
      <c r="E3954" t="s">
        <v>4123</v>
      </c>
      <c r="F3954">
        <v>3061</v>
      </c>
      <c r="G3954">
        <v>1</v>
      </c>
      <c r="H3954" t="s">
        <v>16</v>
      </c>
      <c r="I3954" s="1">
        <v>-2607600</v>
      </c>
      <c r="J3954" s="1">
        <v>-5283400</v>
      </c>
      <c r="K3954">
        <v>640</v>
      </c>
      <c r="L3954">
        <v>195</v>
      </c>
      <c r="M3954" t="s">
        <v>16</v>
      </c>
    </row>
    <row r="3955" spans="1:13" x14ac:dyDescent="0.35">
      <c r="A3955">
        <v>410330</v>
      </c>
      <c r="B3955">
        <v>34533</v>
      </c>
      <c r="C3955" t="s">
        <v>4124</v>
      </c>
      <c r="D3955" t="s">
        <v>4063</v>
      </c>
      <c r="E3955" t="s">
        <v>4121</v>
      </c>
      <c r="F3955">
        <v>8275</v>
      </c>
      <c r="G3955">
        <v>1</v>
      </c>
      <c r="H3955" t="s">
        <v>16</v>
      </c>
      <c r="I3955" s="1">
        <v>-2394100</v>
      </c>
      <c r="J3955" s="1">
        <v>-5158800</v>
      </c>
      <c r="K3955">
        <v>635</v>
      </c>
      <c r="L3955">
        <v>334</v>
      </c>
      <c r="M3955" t="s">
        <v>16</v>
      </c>
    </row>
    <row r="3956" spans="1:13" x14ac:dyDescent="0.35">
      <c r="A3956">
        <v>410335</v>
      </c>
      <c r="B3956">
        <v>6343</v>
      </c>
      <c r="C3956" t="s">
        <v>4125</v>
      </c>
      <c r="D3956" t="s">
        <v>4063</v>
      </c>
      <c r="E3956" t="s">
        <v>1059</v>
      </c>
      <c r="F3956">
        <v>6044</v>
      </c>
      <c r="G3956">
        <v>1</v>
      </c>
      <c r="H3956" t="s">
        <v>16</v>
      </c>
      <c r="I3956" s="1">
        <v>-2481600</v>
      </c>
      <c r="J3956" s="1">
        <v>-5312200</v>
      </c>
      <c r="K3956">
        <v>654</v>
      </c>
      <c r="L3956">
        <v>343</v>
      </c>
      <c r="M3956" t="s">
        <v>16</v>
      </c>
    </row>
    <row r="3957" spans="1:13" x14ac:dyDescent="0.35">
      <c r="A3957">
        <v>410337</v>
      </c>
      <c r="B3957">
        <v>48399</v>
      </c>
      <c r="C3957" t="s">
        <v>4126</v>
      </c>
      <c r="D3957" t="s">
        <v>4063</v>
      </c>
      <c r="E3957" t="s">
        <v>4074</v>
      </c>
      <c r="F3957">
        <v>3306</v>
      </c>
      <c r="G3957">
        <v>1</v>
      </c>
      <c r="H3957" t="s">
        <v>16</v>
      </c>
      <c r="I3957" s="1">
        <v>-2419700</v>
      </c>
      <c r="J3957" s="1">
        <v>-5352500</v>
      </c>
      <c r="K3957">
        <v>378</v>
      </c>
      <c r="L3957">
        <v>291</v>
      </c>
      <c r="M3957" t="s">
        <v>16</v>
      </c>
    </row>
    <row r="3958" spans="1:13" x14ac:dyDescent="0.35">
      <c r="A3958">
        <v>410340</v>
      </c>
      <c r="B3958">
        <v>34541</v>
      </c>
      <c r="C3958" t="s">
        <v>4127</v>
      </c>
      <c r="D3958" t="s">
        <v>4063</v>
      </c>
      <c r="E3958" t="s">
        <v>4085</v>
      </c>
      <c r="F3958">
        <v>2702</v>
      </c>
      <c r="G3958">
        <v>1</v>
      </c>
      <c r="H3958" t="s">
        <v>16</v>
      </c>
      <c r="I3958" s="1">
        <v>-2279300</v>
      </c>
      <c r="J3958" s="1">
        <v>-5171600</v>
      </c>
      <c r="K3958">
        <v>420</v>
      </c>
      <c r="L3958">
        <v>185</v>
      </c>
      <c r="M3958" t="s">
        <v>16</v>
      </c>
    </row>
    <row r="3959" spans="1:13" x14ac:dyDescent="0.35">
      <c r="A3959">
        <v>410345</v>
      </c>
      <c r="B3959">
        <v>45020</v>
      </c>
      <c r="C3959" t="s">
        <v>3549</v>
      </c>
      <c r="D3959" t="s">
        <v>4063</v>
      </c>
      <c r="E3959" t="s">
        <v>1059</v>
      </c>
      <c r="F3959">
        <v>13065</v>
      </c>
      <c r="G3959">
        <v>1</v>
      </c>
      <c r="H3959" t="s">
        <v>16</v>
      </c>
      <c r="I3959" s="1">
        <v>-2461800</v>
      </c>
      <c r="J3959" s="1">
        <v>-5332000</v>
      </c>
      <c r="K3959">
        <v>521</v>
      </c>
      <c r="L3959">
        <v>271</v>
      </c>
      <c r="M3959" t="s">
        <v>16</v>
      </c>
    </row>
    <row r="3960" spans="1:13" x14ac:dyDescent="0.35">
      <c r="A3960">
        <v>410347</v>
      </c>
      <c r="B3960">
        <v>53589</v>
      </c>
      <c r="C3960" t="s">
        <v>4128</v>
      </c>
      <c r="D3960" t="s">
        <v>4063</v>
      </c>
      <c r="E3960" t="s">
        <v>4074</v>
      </c>
      <c r="F3960">
        <v>4271</v>
      </c>
      <c r="G3960">
        <v>1</v>
      </c>
      <c r="H3960" t="s">
        <v>16</v>
      </c>
      <c r="I3960" s="1">
        <v>-2390200</v>
      </c>
      <c r="J3960" s="1">
        <v>-5351300</v>
      </c>
      <c r="K3960">
        <v>425</v>
      </c>
      <c r="L3960">
        <v>336</v>
      </c>
      <c r="M3960" t="s">
        <v>16</v>
      </c>
    </row>
    <row r="3961" spans="1:13" x14ac:dyDescent="0.35">
      <c r="A3961">
        <v>410350</v>
      </c>
      <c r="B3961">
        <v>34550</v>
      </c>
      <c r="C3961" t="s">
        <v>4129</v>
      </c>
      <c r="D3961" t="s">
        <v>4063</v>
      </c>
      <c r="E3961" t="s">
        <v>4091</v>
      </c>
      <c r="F3961">
        <v>7546</v>
      </c>
      <c r="G3961">
        <v>1</v>
      </c>
      <c r="H3961" t="s">
        <v>16</v>
      </c>
      <c r="I3961" s="1">
        <v>-2365000</v>
      </c>
      <c r="J3961" s="1">
        <v>-5135500</v>
      </c>
      <c r="K3961">
        <v>800</v>
      </c>
      <c r="L3961">
        <v>141</v>
      </c>
      <c r="M3961" t="s">
        <v>16</v>
      </c>
    </row>
    <row r="3962" spans="1:13" x14ac:dyDescent="0.35">
      <c r="A3962">
        <v>410360</v>
      </c>
      <c r="B3962">
        <v>34568</v>
      </c>
      <c r="C3962" t="s">
        <v>4130</v>
      </c>
      <c r="D3962" t="s">
        <v>4063</v>
      </c>
      <c r="E3962" t="s">
        <v>4109</v>
      </c>
      <c r="F3962">
        <v>23956</v>
      </c>
      <c r="G3962">
        <v>1</v>
      </c>
      <c r="H3962" t="s">
        <v>16</v>
      </c>
      <c r="I3962" s="1">
        <v>-2304600</v>
      </c>
      <c r="J3962" s="1">
        <v>-5007400</v>
      </c>
      <c r="K3962">
        <v>545</v>
      </c>
      <c r="L3962">
        <v>366</v>
      </c>
      <c r="M3962" t="s">
        <v>16</v>
      </c>
    </row>
    <row r="3963" spans="1:13" x14ac:dyDescent="0.35">
      <c r="A3963">
        <v>410370</v>
      </c>
      <c r="B3963">
        <v>34576</v>
      </c>
      <c r="C3963" t="s">
        <v>4131</v>
      </c>
      <c r="D3963" t="s">
        <v>4063</v>
      </c>
      <c r="E3963" t="s">
        <v>4132</v>
      </c>
      <c r="F3963">
        <v>92888</v>
      </c>
      <c r="G3963">
        <v>4</v>
      </c>
      <c r="H3963" t="s">
        <v>4112</v>
      </c>
      <c r="I3963" s="1">
        <v>-2327600</v>
      </c>
      <c r="J3963" s="1">
        <v>-5127800</v>
      </c>
      <c r="K3963">
        <v>650</v>
      </c>
      <c r="L3963">
        <v>494</v>
      </c>
      <c r="M3963" t="s">
        <v>16</v>
      </c>
    </row>
    <row r="3964" spans="1:13" x14ac:dyDescent="0.35">
      <c r="A3964">
        <v>410380</v>
      </c>
      <c r="B3964">
        <v>34584</v>
      </c>
      <c r="C3964" t="s">
        <v>4133</v>
      </c>
      <c r="D3964" t="s">
        <v>4063</v>
      </c>
      <c r="E3964" t="s">
        <v>4091</v>
      </c>
      <c r="F3964">
        <v>6862</v>
      </c>
      <c r="G3964">
        <v>1</v>
      </c>
      <c r="H3964" t="s">
        <v>16</v>
      </c>
      <c r="I3964" s="1">
        <v>-2358300</v>
      </c>
      <c r="J3964" s="1">
        <v>-5157800</v>
      </c>
      <c r="K3964">
        <v>805</v>
      </c>
      <c r="L3964">
        <v>162</v>
      </c>
      <c r="M3964" t="s">
        <v>16</v>
      </c>
    </row>
    <row r="3965" spans="1:13" x14ac:dyDescent="0.35">
      <c r="A3965">
        <v>410390</v>
      </c>
      <c r="B3965">
        <v>34592</v>
      </c>
      <c r="C3965" t="s">
        <v>4134</v>
      </c>
      <c r="D3965" t="s">
        <v>4063</v>
      </c>
      <c r="E3965" t="s">
        <v>4072</v>
      </c>
      <c r="F3965">
        <v>15983</v>
      </c>
      <c r="G3965">
        <v>1</v>
      </c>
      <c r="H3965" t="s">
        <v>16</v>
      </c>
      <c r="I3965" s="1">
        <v>-2459200</v>
      </c>
      <c r="J3965" s="1">
        <v>-5279900</v>
      </c>
      <c r="K3965">
        <v>610</v>
      </c>
      <c r="L3965">
        <v>808</v>
      </c>
      <c r="M3965" t="s">
        <v>16</v>
      </c>
    </row>
    <row r="3966" spans="1:13" x14ac:dyDescent="0.35">
      <c r="A3966">
        <v>410395</v>
      </c>
      <c r="B3966">
        <v>53996</v>
      </c>
      <c r="C3966" t="s">
        <v>4135</v>
      </c>
      <c r="D3966" t="s">
        <v>4063</v>
      </c>
      <c r="E3966" t="s">
        <v>4136</v>
      </c>
      <c r="F3966">
        <v>4180</v>
      </c>
      <c r="G3966">
        <v>1</v>
      </c>
      <c r="H3966" t="s">
        <v>16</v>
      </c>
      <c r="I3966" s="1">
        <v>-2507900</v>
      </c>
      <c r="J3966" s="1">
        <v>-5182700</v>
      </c>
      <c r="K3966">
        <v>994</v>
      </c>
      <c r="L3966">
        <v>449</v>
      </c>
      <c r="M3966" t="s">
        <v>16</v>
      </c>
    </row>
    <row r="3967" spans="1:13" x14ac:dyDescent="0.35">
      <c r="A3967">
        <v>410400</v>
      </c>
      <c r="B3967">
        <v>34606</v>
      </c>
      <c r="C3967" t="s">
        <v>4137</v>
      </c>
      <c r="D3967" t="s">
        <v>4063</v>
      </c>
      <c r="E3967" t="s">
        <v>4070</v>
      </c>
      <c r="F3967">
        <v>35396</v>
      </c>
      <c r="G3967">
        <v>4</v>
      </c>
      <c r="H3967" t="s">
        <v>4067</v>
      </c>
      <c r="I3967" s="1">
        <v>-2530600</v>
      </c>
      <c r="J3967" s="1">
        <v>-4905500</v>
      </c>
      <c r="K3967">
        <v>903</v>
      </c>
      <c r="L3967">
        <v>539</v>
      </c>
      <c r="M3967" t="s">
        <v>16</v>
      </c>
    </row>
    <row r="3968" spans="1:13" x14ac:dyDescent="0.35">
      <c r="A3968">
        <v>410405</v>
      </c>
      <c r="B3968">
        <v>45535</v>
      </c>
      <c r="C3968" t="s">
        <v>4138</v>
      </c>
      <c r="D3968" t="s">
        <v>4063</v>
      </c>
      <c r="E3968" t="s">
        <v>1059</v>
      </c>
      <c r="F3968">
        <v>4426</v>
      </c>
      <c r="G3968">
        <v>1</v>
      </c>
      <c r="H3968" t="s">
        <v>16</v>
      </c>
      <c r="I3968" s="1">
        <v>-2503100</v>
      </c>
      <c r="J3968" s="1">
        <v>-5299300</v>
      </c>
      <c r="K3968">
        <v>720</v>
      </c>
      <c r="L3968">
        <v>433</v>
      </c>
      <c r="M3968" t="s">
        <v>16</v>
      </c>
    </row>
    <row r="3969" spans="1:13" x14ac:dyDescent="0.35">
      <c r="A3969">
        <v>410410</v>
      </c>
      <c r="B3969">
        <v>34614</v>
      </c>
      <c r="C3969" t="s">
        <v>4139</v>
      </c>
      <c r="D3969" t="s">
        <v>4063</v>
      </c>
      <c r="E3969" t="s">
        <v>109</v>
      </c>
      <c r="F3969">
        <v>50000</v>
      </c>
      <c r="G3969">
        <v>2</v>
      </c>
      <c r="H3969" t="s">
        <v>16</v>
      </c>
      <c r="I3969" s="1">
        <v>-2597800</v>
      </c>
      <c r="J3969" s="1">
        <v>-4968300</v>
      </c>
      <c r="K3969">
        <v>798</v>
      </c>
      <c r="L3969">
        <v>304</v>
      </c>
      <c r="M3969" t="s">
        <v>16</v>
      </c>
    </row>
    <row r="3970" spans="1:13" x14ac:dyDescent="0.35">
      <c r="A3970">
        <v>410420</v>
      </c>
      <c r="B3970">
        <v>34622</v>
      </c>
      <c r="C3970" t="s">
        <v>4140</v>
      </c>
      <c r="D3970" t="s">
        <v>4063</v>
      </c>
      <c r="E3970" t="s">
        <v>4070</v>
      </c>
      <c r="F3970">
        <v>105492</v>
      </c>
      <c r="G3970">
        <v>4</v>
      </c>
      <c r="H3970" t="s">
        <v>4067</v>
      </c>
      <c r="I3970" s="1">
        <v>-2545900</v>
      </c>
      <c r="J3970" s="1">
        <v>-4952800</v>
      </c>
      <c r="K3970">
        <v>956</v>
      </c>
      <c r="L3970">
        <v>1249</v>
      </c>
      <c r="M3970" t="s">
        <v>16</v>
      </c>
    </row>
    <row r="3971" spans="1:13" x14ac:dyDescent="0.35">
      <c r="A3971">
        <v>410425</v>
      </c>
      <c r="B3971">
        <v>54003</v>
      </c>
      <c r="C3971" t="s">
        <v>4141</v>
      </c>
      <c r="D3971" t="s">
        <v>4063</v>
      </c>
      <c r="E3971" t="s">
        <v>4070</v>
      </c>
      <c r="F3971">
        <v>22325</v>
      </c>
      <c r="G3971">
        <v>4</v>
      </c>
      <c r="H3971" t="s">
        <v>4067</v>
      </c>
      <c r="I3971" s="1">
        <v>-2536900</v>
      </c>
      <c r="J3971" s="1">
        <v>-4945100</v>
      </c>
      <c r="K3971">
        <v>931</v>
      </c>
      <c r="L3971">
        <v>275</v>
      </c>
      <c r="M3971" t="s">
        <v>16</v>
      </c>
    </row>
    <row r="3972" spans="1:13" x14ac:dyDescent="0.35">
      <c r="A3972">
        <v>410430</v>
      </c>
      <c r="B3972">
        <v>34630</v>
      </c>
      <c r="C3972" t="s">
        <v>4142</v>
      </c>
      <c r="D3972" t="s">
        <v>4063</v>
      </c>
      <c r="E3972" t="s">
        <v>4097</v>
      </c>
      <c r="F3972">
        <v>82530</v>
      </c>
      <c r="G3972">
        <v>2</v>
      </c>
      <c r="H3972" t="s">
        <v>16</v>
      </c>
      <c r="I3972" s="1">
        <v>-2404600</v>
      </c>
      <c r="J3972" s="1">
        <v>-5238300</v>
      </c>
      <c r="K3972">
        <v>585</v>
      </c>
      <c r="L3972">
        <v>757</v>
      </c>
      <c r="M3972" t="s">
        <v>16</v>
      </c>
    </row>
    <row r="3973" spans="1:13" x14ac:dyDescent="0.35">
      <c r="A3973">
        <v>410440</v>
      </c>
      <c r="B3973">
        <v>34657</v>
      </c>
      <c r="C3973" t="s">
        <v>4143</v>
      </c>
      <c r="D3973" t="s">
        <v>4063</v>
      </c>
      <c r="E3973" t="s">
        <v>4096</v>
      </c>
      <c r="F3973">
        <v>17775</v>
      </c>
      <c r="G3973">
        <v>1</v>
      </c>
      <c r="H3973" t="s">
        <v>16</v>
      </c>
      <c r="I3973" s="1">
        <v>-2456700</v>
      </c>
      <c r="J3973" s="1">
        <v>-5133300</v>
      </c>
      <c r="K3973">
        <v>540</v>
      </c>
      <c r="L3973">
        <v>1510</v>
      </c>
      <c r="M3973" t="s">
        <v>16</v>
      </c>
    </row>
    <row r="3974" spans="1:13" x14ac:dyDescent="0.35">
      <c r="A3974">
        <v>410442</v>
      </c>
      <c r="B3974">
        <v>48437</v>
      </c>
      <c r="C3974" t="s">
        <v>4144</v>
      </c>
      <c r="D3974" t="s">
        <v>4063</v>
      </c>
      <c r="E3974" t="s">
        <v>4136</v>
      </c>
      <c r="F3974">
        <v>15412</v>
      </c>
      <c r="G3974">
        <v>1</v>
      </c>
      <c r="H3974" t="s">
        <v>16</v>
      </c>
      <c r="I3974" s="1">
        <v>-2566300</v>
      </c>
      <c r="J3974" s="1">
        <v>-5212600</v>
      </c>
      <c r="K3974">
        <v>950</v>
      </c>
      <c r="L3974">
        <v>1512</v>
      </c>
      <c r="M3974" t="s">
        <v>16</v>
      </c>
    </row>
    <row r="3975" spans="1:13" x14ac:dyDescent="0.35">
      <c r="A3975">
        <v>410445</v>
      </c>
      <c r="B3975">
        <v>6351</v>
      </c>
      <c r="C3975" t="s">
        <v>2553</v>
      </c>
      <c r="D3975" t="s">
        <v>4063</v>
      </c>
      <c r="E3975" t="s">
        <v>4136</v>
      </c>
      <c r="F3975">
        <v>12418</v>
      </c>
      <c r="G3975">
        <v>1</v>
      </c>
      <c r="H3975" t="s">
        <v>16</v>
      </c>
      <c r="I3975" s="1">
        <v>-2537400</v>
      </c>
      <c r="J3975" s="1">
        <v>-5212600</v>
      </c>
      <c r="K3975">
        <v>840</v>
      </c>
      <c r="L3975">
        <v>583</v>
      </c>
      <c r="M3975" t="s">
        <v>16</v>
      </c>
    </row>
    <row r="3976" spans="1:13" x14ac:dyDescent="0.35">
      <c r="A3976">
        <v>410450</v>
      </c>
      <c r="B3976">
        <v>34665</v>
      </c>
      <c r="C3976" t="s">
        <v>243</v>
      </c>
      <c r="D3976" t="s">
        <v>4063</v>
      </c>
      <c r="E3976" t="s">
        <v>243</v>
      </c>
      <c r="F3976">
        <v>18103</v>
      </c>
      <c r="G3976">
        <v>1</v>
      </c>
      <c r="H3976" t="s">
        <v>16</v>
      </c>
      <c r="I3976" s="1">
        <v>-2567200</v>
      </c>
      <c r="J3976" s="1">
        <v>-5380900</v>
      </c>
      <c r="K3976">
        <v>368</v>
      </c>
      <c r="L3976">
        <v>418</v>
      </c>
      <c r="M3976" t="s">
        <v>16</v>
      </c>
    </row>
    <row r="3977" spans="1:13" x14ac:dyDescent="0.35">
      <c r="A3977">
        <v>410460</v>
      </c>
      <c r="B3977">
        <v>34673</v>
      </c>
      <c r="C3977" t="s">
        <v>4145</v>
      </c>
      <c r="D3977" t="s">
        <v>4063</v>
      </c>
      <c r="E3977" t="s">
        <v>1059</v>
      </c>
      <c r="F3977">
        <v>13616</v>
      </c>
      <c r="G3977">
        <v>1</v>
      </c>
      <c r="H3977" t="s">
        <v>16</v>
      </c>
      <c r="I3977" s="1">
        <v>-2547900</v>
      </c>
      <c r="J3977" s="1">
        <v>-5361400</v>
      </c>
      <c r="K3977">
        <v>250</v>
      </c>
      <c r="L3977">
        <v>275</v>
      </c>
      <c r="M3977" t="s">
        <v>16</v>
      </c>
    </row>
    <row r="3978" spans="1:13" x14ac:dyDescent="0.35">
      <c r="A3978">
        <v>410465</v>
      </c>
      <c r="B3978">
        <v>54011</v>
      </c>
      <c r="C3978" t="s">
        <v>4146</v>
      </c>
      <c r="D3978" t="s">
        <v>4063</v>
      </c>
      <c r="E3978" t="s">
        <v>4147</v>
      </c>
      <c r="F3978">
        <v>16521</v>
      </c>
      <c r="G3978">
        <v>1</v>
      </c>
      <c r="H3978" t="s">
        <v>16</v>
      </c>
      <c r="I3978" s="1">
        <v>-2491800</v>
      </c>
      <c r="J3978" s="1">
        <v>-5009700</v>
      </c>
      <c r="K3978">
        <v>120</v>
      </c>
      <c r="L3978">
        <v>649</v>
      </c>
      <c r="M3978" t="s">
        <v>16</v>
      </c>
    </row>
    <row r="3979" spans="1:13" x14ac:dyDescent="0.35">
      <c r="A3979">
        <v>410470</v>
      </c>
      <c r="B3979">
        <v>34681</v>
      </c>
      <c r="C3979" t="s">
        <v>4148</v>
      </c>
      <c r="D3979" t="s">
        <v>4063</v>
      </c>
      <c r="E3979" t="s">
        <v>3237</v>
      </c>
      <c r="F3979">
        <v>13170</v>
      </c>
      <c r="G3979">
        <v>1</v>
      </c>
      <c r="H3979" t="s">
        <v>16</v>
      </c>
      <c r="I3979" s="1">
        <v>-2342500</v>
      </c>
      <c r="J3979" s="1">
        <v>-4972100</v>
      </c>
      <c r="K3979">
        <v>521</v>
      </c>
      <c r="L3979">
        <v>447</v>
      </c>
      <c r="M3979" t="s">
        <v>16</v>
      </c>
    </row>
    <row r="3980" spans="1:13" x14ac:dyDescent="0.35">
      <c r="A3980">
        <v>410480</v>
      </c>
      <c r="B3980">
        <v>34690</v>
      </c>
      <c r="C3980" t="s">
        <v>1059</v>
      </c>
      <c r="D3980" t="s">
        <v>4063</v>
      </c>
      <c r="E3980" t="s">
        <v>1059</v>
      </c>
      <c r="F3980">
        <v>285784</v>
      </c>
      <c r="G3980">
        <v>3</v>
      </c>
      <c r="H3980" t="s">
        <v>16</v>
      </c>
      <c r="I3980" s="1">
        <v>-2495600</v>
      </c>
      <c r="J3980" s="1">
        <v>-5345500</v>
      </c>
      <c r="K3980">
        <v>781</v>
      </c>
      <c r="L3980">
        <v>2100</v>
      </c>
      <c r="M3980" t="s">
        <v>16</v>
      </c>
    </row>
    <row r="3981" spans="1:13" x14ac:dyDescent="0.35">
      <c r="A3981">
        <v>410490</v>
      </c>
      <c r="B3981">
        <v>34703</v>
      </c>
      <c r="C3981" t="s">
        <v>4149</v>
      </c>
      <c r="D3981" t="s">
        <v>4063</v>
      </c>
      <c r="E3981" t="s">
        <v>4147</v>
      </c>
      <c r="F3981">
        <v>65363</v>
      </c>
      <c r="G3981">
        <v>2</v>
      </c>
      <c r="H3981" t="s">
        <v>16</v>
      </c>
      <c r="I3981" s="1">
        <v>-2479100</v>
      </c>
      <c r="J3981" s="1">
        <v>-5001200</v>
      </c>
      <c r="K3981">
        <v>999</v>
      </c>
      <c r="L3981">
        <v>2531</v>
      </c>
      <c r="M3981" t="s">
        <v>16</v>
      </c>
    </row>
    <row r="3982" spans="1:13" x14ac:dyDescent="0.35">
      <c r="A3982">
        <v>410500</v>
      </c>
      <c r="B3982">
        <v>34711</v>
      </c>
      <c r="C3982" t="s">
        <v>4150</v>
      </c>
      <c r="D3982" t="s">
        <v>4063</v>
      </c>
      <c r="E3982" t="s">
        <v>1059</v>
      </c>
      <c r="F3982">
        <v>9578</v>
      </c>
      <c r="G3982">
        <v>1</v>
      </c>
      <c r="H3982" t="s">
        <v>16</v>
      </c>
      <c r="I3982" s="1">
        <v>-2520300</v>
      </c>
      <c r="J3982" s="1">
        <v>-5315700</v>
      </c>
      <c r="K3982">
        <v>762</v>
      </c>
      <c r="L3982">
        <v>581</v>
      </c>
      <c r="M3982" t="s">
        <v>16</v>
      </c>
    </row>
    <row r="3983" spans="1:13" x14ac:dyDescent="0.35">
      <c r="A3983">
        <v>410510</v>
      </c>
      <c r="B3983">
        <v>34720</v>
      </c>
      <c r="C3983" t="s">
        <v>4151</v>
      </c>
      <c r="D3983" t="s">
        <v>4063</v>
      </c>
      <c r="E3983" t="s">
        <v>4085</v>
      </c>
      <c r="F3983">
        <v>11247</v>
      </c>
      <c r="G3983">
        <v>1</v>
      </c>
      <c r="H3983" t="s">
        <v>16</v>
      </c>
      <c r="I3983" s="1">
        <v>-2282100</v>
      </c>
      <c r="J3983" s="1">
        <v>-5159500</v>
      </c>
      <c r="K3983">
        <v>560</v>
      </c>
      <c r="L3983">
        <v>371</v>
      </c>
      <c r="M3983" t="s">
        <v>16</v>
      </c>
    </row>
    <row r="3984" spans="1:13" x14ac:dyDescent="0.35">
      <c r="A3984">
        <v>410520</v>
      </c>
      <c r="B3984">
        <v>34738</v>
      </c>
      <c r="C3984" t="s">
        <v>4066</v>
      </c>
      <c r="D3984" t="s">
        <v>4063</v>
      </c>
      <c r="E3984" t="s">
        <v>4066</v>
      </c>
      <c r="F3984">
        <v>17693</v>
      </c>
      <c r="G3984">
        <v>4</v>
      </c>
      <c r="H3984" t="s">
        <v>4067</v>
      </c>
      <c r="I3984" s="1">
        <v>-2482400</v>
      </c>
      <c r="J3984" s="1">
        <v>-4926100</v>
      </c>
      <c r="K3984">
        <v>318</v>
      </c>
      <c r="L3984">
        <v>1341</v>
      </c>
      <c r="M3984" t="s">
        <v>16</v>
      </c>
    </row>
    <row r="3985" spans="1:13" x14ac:dyDescent="0.35">
      <c r="A3985">
        <v>410530</v>
      </c>
      <c r="B3985">
        <v>34746</v>
      </c>
      <c r="C3985" t="s">
        <v>4152</v>
      </c>
      <c r="D3985" t="s">
        <v>4063</v>
      </c>
      <c r="E3985" t="s">
        <v>4153</v>
      </c>
      <c r="F3985">
        <v>10914</v>
      </c>
      <c r="G3985">
        <v>1</v>
      </c>
      <c r="H3985" t="s">
        <v>16</v>
      </c>
      <c r="I3985" s="1">
        <v>-2514700</v>
      </c>
      <c r="J3985" s="1">
        <v>-5384900</v>
      </c>
      <c r="K3985">
        <v>620</v>
      </c>
      <c r="L3985">
        <v>1179</v>
      </c>
      <c r="M3985" t="s">
        <v>16</v>
      </c>
    </row>
    <row r="3986" spans="1:13" x14ac:dyDescent="0.35">
      <c r="A3986">
        <v>410540</v>
      </c>
      <c r="B3986">
        <v>34754</v>
      </c>
      <c r="C3986" t="s">
        <v>4154</v>
      </c>
      <c r="D3986" t="s">
        <v>4063</v>
      </c>
      <c r="E3986" t="s">
        <v>4123</v>
      </c>
      <c r="F3986">
        <v>19224</v>
      </c>
      <c r="G3986">
        <v>1</v>
      </c>
      <c r="H3986" t="s">
        <v>16</v>
      </c>
      <c r="I3986" s="1">
        <v>-2585600</v>
      </c>
      <c r="J3986" s="1">
        <v>-5252300</v>
      </c>
      <c r="K3986">
        <v>720</v>
      </c>
      <c r="L3986">
        <v>959</v>
      </c>
      <c r="M3986" t="s">
        <v>16</v>
      </c>
    </row>
    <row r="3987" spans="1:13" x14ac:dyDescent="0.35">
      <c r="A3987">
        <v>410550</v>
      </c>
      <c r="B3987">
        <v>34762</v>
      </c>
      <c r="C3987" t="s">
        <v>4155</v>
      </c>
      <c r="D3987" t="s">
        <v>4063</v>
      </c>
      <c r="E3987" t="s">
        <v>4155</v>
      </c>
      <c r="F3987">
        <v>64498</v>
      </c>
      <c r="G3987">
        <v>2</v>
      </c>
      <c r="H3987" t="s">
        <v>16</v>
      </c>
      <c r="I3987" s="1">
        <v>-2366300</v>
      </c>
      <c r="J3987" s="1">
        <v>-5260500</v>
      </c>
      <c r="K3987">
        <v>543</v>
      </c>
      <c r="L3987">
        <v>811</v>
      </c>
      <c r="M3987" t="s">
        <v>16</v>
      </c>
    </row>
    <row r="3988" spans="1:13" x14ac:dyDescent="0.35">
      <c r="A3988">
        <v>410560</v>
      </c>
      <c r="B3988">
        <v>34770</v>
      </c>
      <c r="C3988" t="s">
        <v>4156</v>
      </c>
      <c r="D3988" t="s">
        <v>4063</v>
      </c>
      <c r="E3988" t="s">
        <v>4155</v>
      </c>
      <c r="F3988">
        <v>10468</v>
      </c>
      <c r="G3988">
        <v>1</v>
      </c>
      <c r="H3988" t="s">
        <v>16</v>
      </c>
      <c r="I3988" s="1">
        <v>-2338000</v>
      </c>
      <c r="J3988" s="1">
        <v>-5294500</v>
      </c>
      <c r="K3988">
        <v>404</v>
      </c>
      <c r="L3988">
        <v>403</v>
      </c>
      <c r="M3988" t="s">
        <v>16</v>
      </c>
    </row>
    <row r="3989" spans="1:13" x14ac:dyDescent="0.35">
      <c r="A3989">
        <v>410570</v>
      </c>
      <c r="B3989">
        <v>34789</v>
      </c>
      <c r="C3989" t="s">
        <v>4157</v>
      </c>
      <c r="D3989" t="s">
        <v>4063</v>
      </c>
      <c r="E3989" t="s">
        <v>537</v>
      </c>
      <c r="F3989">
        <v>17599</v>
      </c>
      <c r="G3989">
        <v>1</v>
      </c>
      <c r="H3989" t="s">
        <v>16</v>
      </c>
      <c r="I3989" s="1">
        <v>-2639600</v>
      </c>
      <c r="J3989" s="1">
        <v>-5247100</v>
      </c>
      <c r="K3989">
        <v>967</v>
      </c>
      <c r="L3989">
        <v>704</v>
      </c>
      <c r="M3989" t="s">
        <v>16</v>
      </c>
    </row>
    <row r="3990" spans="1:13" x14ac:dyDescent="0.35">
      <c r="A3990">
        <v>410580</v>
      </c>
      <c r="B3990">
        <v>34797</v>
      </c>
      <c r="C3990" t="s">
        <v>4158</v>
      </c>
      <c r="D3990" t="s">
        <v>4063</v>
      </c>
      <c r="E3990" t="s">
        <v>4070</v>
      </c>
      <c r="F3990">
        <v>233916</v>
      </c>
      <c r="G3990">
        <v>4</v>
      </c>
      <c r="H3990" t="s">
        <v>4067</v>
      </c>
      <c r="I3990" s="1">
        <v>-2529200</v>
      </c>
      <c r="J3990" s="1">
        <v>-4922400</v>
      </c>
      <c r="K3990">
        <v>1027</v>
      </c>
      <c r="L3990">
        <v>198</v>
      </c>
      <c r="M3990" t="s">
        <v>16</v>
      </c>
    </row>
    <row r="3991" spans="1:13" x14ac:dyDescent="0.35">
      <c r="A3991">
        <v>410590</v>
      </c>
      <c r="B3991">
        <v>34800</v>
      </c>
      <c r="C3991" t="s">
        <v>4159</v>
      </c>
      <c r="D3991" t="s">
        <v>4063</v>
      </c>
      <c r="E3991" t="s">
        <v>4085</v>
      </c>
      <c r="F3991">
        <v>21049</v>
      </c>
      <c r="G3991">
        <v>1</v>
      </c>
      <c r="H3991" t="s">
        <v>16</v>
      </c>
      <c r="I3991" s="1">
        <v>-2283800</v>
      </c>
      <c r="J3991" s="1">
        <v>-5197300</v>
      </c>
      <c r="K3991">
        <v>400</v>
      </c>
      <c r="L3991">
        <v>403</v>
      </c>
      <c r="M3991" t="s">
        <v>16</v>
      </c>
    </row>
    <row r="3992" spans="1:13" x14ac:dyDescent="0.35">
      <c r="A3992">
        <v>410600</v>
      </c>
      <c r="B3992">
        <v>34819</v>
      </c>
      <c r="C3992" t="s">
        <v>4160</v>
      </c>
      <c r="D3992" t="s">
        <v>4063</v>
      </c>
      <c r="E3992" t="s">
        <v>4064</v>
      </c>
      <c r="F3992">
        <v>8552</v>
      </c>
      <c r="G3992">
        <v>1</v>
      </c>
      <c r="H3992" t="s">
        <v>16</v>
      </c>
      <c r="I3992" s="1">
        <v>-2355100</v>
      </c>
      <c r="J3992" s="1">
        <v>-5055400</v>
      </c>
      <c r="K3992">
        <v>753</v>
      </c>
      <c r="L3992">
        <v>535</v>
      </c>
      <c r="M3992" t="s">
        <v>16</v>
      </c>
    </row>
    <row r="3993" spans="1:13" x14ac:dyDescent="0.35">
      <c r="A3993">
        <v>410610</v>
      </c>
      <c r="B3993">
        <v>34827</v>
      </c>
      <c r="C3993" t="s">
        <v>4161</v>
      </c>
      <c r="D3993" t="s">
        <v>4063</v>
      </c>
      <c r="E3993" t="s">
        <v>4162</v>
      </c>
      <c r="F3993">
        <v>3554</v>
      </c>
      <c r="G3993">
        <v>1</v>
      </c>
      <c r="H3993" t="s">
        <v>16</v>
      </c>
      <c r="I3993" s="1">
        <v>-2363000</v>
      </c>
      <c r="J3993" s="1">
        <v>-5016900</v>
      </c>
      <c r="K3993">
        <v>520</v>
      </c>
      <c r="L3993">
        <v>204</v>
      </c>
      <c r="M3993" t="s">
        <v>16</v>
      </c>
    </row>
    <row r="3994" spans="1:13" x14ac:dyDescent="0.35">
      <c r="A3994">
        <v>410620</v>
      </c>
      <c r="B3994">
        <v>34835</v>
      </c>
      <c r="C3994" t="s">
        <v>4163</v>
      </c>
      <c r="D3994" t="s">
        <v>4063</v>
      </c>
      <c r="E3994" t="s">
        <v>4070</v>
      </c>
      <c r="F3994">
        <v>14800</v>
      </c>
      <c r="G3994">
        <v>4</v>
      </c>
      <c r="H3994" t="s">
        <v>4067</v>
      </c>
      <c r="I3994" s="1">
        <v>-2567600</v>
      </c>
      <c r="J3994" s="1">
        <v>-4953500</v>
      </c>
      <c r="K3994">
        <v>883</v>
      </c>
      <c r="L3994">
        <v>299</v>
      </c>
      <c r="M3994" t="s">
        <v>16</v>
      </c>
    </row>
    <row r="3995" spans="1:13" x14ac:dyDescent="0.35">
      <c r="A3995">
        <v>410630</v>
      </c>
      <c r="B3995">
        <v>34843</v>
      </c>
      <c r="C3995" t="s">
        <v>4164</v>
      </c>
      <c r="D3995" t="s">
        <v>4063</v>
      </c>
      <c r="E3995" t="s">
        <v>1059</v>
      </c>
      <c r="F3995">
        <v>15428</v>
      </c>
      <c r="G3995">
        <v>1</v>
      </c>
      <c r="H3995" t="s">
        <v>16</v>
      </c>
      <c r="I3995" s="1">
        <v>-2479900</v>
      </c>
      <c r="J3995" s="1">
        <v>-5330700</v>
      </c>
      <c r="K3995">
        <v>895</v>
      </c>
      <c r="L3995">
        <v>529</v>
      </c>
      <c r="M3995" t="s">
        <v>16</v>
      </c>
    </row>
    <row r="3996" spans="1:13" x14ac:dyDescent="0.35">
      <c r="A3996">
        <v>410640</v>
      </c>
      <c r="B3996">
        <v>34851</v>
      </c>
      <c r="C3996" t="s">
        <v>4165</v>
      </c>
      <c r="D3996" t="s">
        <v>4063</v>
      </c>
      <c r="E3996" t="s">
        <v>4064</v>
      </c>
      <c r="F3996">
        <v>46931</v>
      </c>
      <c r="G3996">
        <v>1</v>
      </c>
      <c r="H3996" t="s">
        <v>16</v>
      </c>
      <c r="I3996" s="1">
        <v>-2318100</v>
      </c>
      <c r="J3996" s="1">
        <v>-5064700</v>
      </c>
      <c r="K3996">
        <v>676</v>
      </c>
      <c r="L3996">
        <v>637</v>
      </c>
      <c r="M3996" t="s">
        <v>16</v>
      </c>
    </row>
    <row r="3997" spans="1:13" x14ac:dyDescent="0.35">
      <c r="A3997">
        <v>410645</v>
      </c>
      <c r="B3997">
        <v>54020</v>
      </c>
      <c r="C3997" t="s">
        <v>4166</v>
      </c>
      <c r="D3997" t="s">
        <v>4063</v>
      </c>
      <c r="E3997" t="s">
        <v>537</v>
      </c>
      <c r="F3997">
        <v>7480</v>
      </c>
      <c r="G3997">
        <v>1</v>
      </c>
      <c r="H3997" t="s">
        <v>16</v>
      </c>
      <c r="I3997" s="1">
        <v>-2622800</v>
      </c>
      <c r="J3997" s="1">
        <v>-5203200</v>
      </c>
      <c r="K3997">
        <v>1113</v>
      </c>
      <c r="L3997">
        <v>1557</v>
      </c>
      <c r="M3997" t="s">
        <v>16</v>
      </c>
    </row>
    <row r="3998" spans="1:13" x14ac:dyDescent="0.35">
      <c r="A3998">
        <v>410650</v>
      </c>
      <c r="B3998">
        <v>34860</v>
      </c>
      <c r="C3998" t="s">
        <v>4167</v>
      </c>
      <c r="D3998" t="s">
        <v>4063</v>
      </c>
      <c r="E3998" t="s">
        <v>4123</v>
      </c>
      <c r="F3998">
        <v>21571</v>
      </c>
      <c r="G3998">
        <v>1</v>
      </c>
      <c r="H3998" t="s">
        <v>16</v>
      </c>
      <c r="I3998" s="1">
        <v>-2598000</v>
      </c>
      <c r="J3998" s="1">
        <v>-5256800</v>
      </c>
      <c r="K3998">
        <v>700</v>
      </c>
      <c r="L3998">
        <v>684</v>
      </c>
      <c r="M3998" t="s">
        <v>16</v>
      </c>
    </row>
    <row r="3999" spans="1:13" x14ac:dyDescent="0.35">
      <c r="A3999">
        <v>410655</v>
      </c>
      <c r="B3999">
        <v>45853</v>
      </c>
      <c r="C3999" t="s">
        <v>4168</v>
      </c>
      <c r="D3999" t="s">
        <v>4063</v>
      </c>
      <c r="E3999" t="s">
        <v>4097</v>
      </c>
      <c r="F3999">
        <v>4262</v>
      </c>
      <c r="G3999">
        <v>1</v>
      </c>
      <c r="H3999" t="s">
        <v>16</v>
      </c>
      <c r="I3999" s="1">
        <v>-2410100</v>
      </c>
      <c r="J3999" s="1">
        <v>-5212000</v>
      </c>
      <c r="K3999">
        <v>601</v>
      </c>
      <c r="L3999">
        <v>164</v>
      </c>
      <c r="M3999" t="s">
        <v>16</v>
      </c>
    </row>
    <row r="4000" spans="1:13" x14ac:dyDescent="0.35">
      <c r="A4000">
        <v>410657</v>
      </c>
      <c r="B4000">
        <v>48429</v>
      </c>
      <c r="C4000" t="s">
        <v>4169</v>
      </c>
      <c r="D4000" t="s">
        <v>4063</v>
      </c>
      <c r="E4000" t="s">
        <v>4107</v>
      </c>
      <c r="F4000">
        <v>4150</v>
      </c>
      <c r="G4000">
        <v>1</v>
      </c>
      <c r="H4000" t="s">
        <v>16</v>
      </c>
      <c r="I4000" s="1">
        <v>-2561600</v>
      </c>
      <c r="J4000" s="1">
        <v>-5312800</v>
      </c>
      <c r="K4000">
        <v>535</v>
      </c>
      <c r="L4000">
        <v>161</v>
      </c>
      <c r="M4000" t="s">
        <v>16</v>
      </c>
    </row>
    <row r="4001" spans="1:13" x14ac:dyDescent="0.35">
      <c r="A4001">
        <v>410660</v>
      </c>
      <c r="B4001">
        <v>34878</v>
      </c>
      <c r="C4001" t="s">
        <v>4170</v>
      </c>
      <c r="D4001" t="s">
        <v>4063</v>
      </c>
      <c r="E4001" t="s">
        <v>4074</v>
      </c>
      <c r="F4001">
        <v>20182</v>
      </c>
      <c r="G4001">
        <v>1</v>
      </c>
      <c r="H4001" t="s">
        <v>16</v>
      </c>
      <c r="I4001" s="1">
        <v>-2378500</v>
      </c>
      <c r="J4001" s="1">
        <v>-5307300</v>
      </c>
      <c r="K4001">
        <v>438</v>
      </c>
      <c r="L4001">
        <v>779</v>
      </c>
      <c r="M4001" t="s">
        <v>16</v>
      </c>
    </row>
    <row r="4002" spans="1:13" x14ac:dyDescent="0.35">
      <c r="A4002">
        <v>410670</v>
      </c>
      <c r="B4002">
        <v>34886</v>
      </c>
      <c r="C4002" t="s">
        <v>77</v>
      </c>
      <c r="D4002" t="s">
        <v>4063</v>
      </c>
      <c r="E4002" t="s">
        <v>4076</v>
      </c>
      <c r="F4002">
        <v>4493</v>
      </c>
      <c r="G4002">
        <v>1</v>
      </c>
      <c r="H4002" t="s">
        <v>16</v>
      </c>
      <c r="I4002" s="1">
        <v>-2296200</v>
      </c>
      <c r="J4002" s="1">
        <v>-5216100</v>
      </c>
      <c r="K4002">
        <v>358</v>
      </c>
      <c r="L4002">
        <v>258</v>
      </c>
      <c r="M4002" t="s">
        <v>16</v>
      </c>
    </row>
    <row r="4003" spans="1:13" x14ac:dyDescent="0.35">
      <c r="A4003">
        <v>410680</v>
      </c>
      <c r="B4003">
        <v>34894</v>
      </c>
      <c r="C4003" t="s">
        <v>4171</v>
      </c>
      <c r="D4003" t="s">
        <v>4063</v>
      </c>
      <c r="E4003" t="s">
        <v>4114</v>
      </c>
      <c r="F4003">
        <v>18329</v>
      </c>
      <c r="G4003">
        <v>1</v>
      </c>
      <c r="H4003" t="s">
        <v>16</v>
      </c>
      <c r="I4003" s="1">
        <v>-2601700</v>
      </c>
      <c r="J4003" s="1">
        <v>-5134700</v>
      </c>
      <c r="K4003">
        <v>940</v>
      </c>
      <c r="L4003">
        <v>1478</v>
      </c>
      <c r="M4003" t="s">
        <v>16</v>
      </c>
    </row>
    <row r="4004" spans="1:13" x14ac:dyDescent="0.35">
      <c r="A4004">
        <v>410685</v>
      </c>
      <c r="B4004">
        <v>54038</v>
      </c>
      <c r="C4004" t="s">
        <v>4172</v>
      </c>
      <c r="D4004" t="s">
        <v>4063</v>
      </c>
      <c r="E4004" t="s">
        <v>4121</v>
      </c>
      <c r="F4004">
        <v>3116</v>
      </c>
      <c r="G4004">
        <v>1</v>
      </c>
      <c r="H4004" t="s">
        <v>16</v>
      </c>
      <c r="I4004" s="1">
        <v>-2401300</v>
      </c>
      <c r="J4004" s="1">
        <v>-5145900</v>
      </c>
      <c r="K4004">
        <v>690</v>
      </c>
      <c r="L4004">
        <v>312</v>
      </c>
      <c r="M4004" t="s">
        <v>16</v>
      </c>
    </row>
    <row r="4005" spans="1:13" x14ac:dyDescent="0.35">
      <c r="A4005">
        <v>410690</v>
      </c>
      <c r="B4005">
        <v>34207</v>
      </c>
      <c r="C4005" t="s">
        <v>4070</v>
      </c>
      <c r="D4005" t="s">
        <v>4063</v>
      </c>
      <c r="E4005" t="s">
        <v>4070</v>
      </c>
      <c r="F4005">
        <v>1797408</v>
      </c>
      <c r="G4005">
        <v>5</v>
      </c>
      <c r="H4005" t="s">
        <v>4067</v>
      </c>
      <c r="I4005" s="1">
        <v>-2542800</v>
      </c>
      <c r="J4005" s="1">
        <v>-4927300</v>
      </c>
      <c r="K4005">
        <v>934</v>
      </c>
      <c r="L4005">
        <v>434</v>
      </c>
      <c r="M4005" t="s">
        <v>16</v>
      </c>
    </row>
    <row r="4006" spans="1:13" x14ac:dyDescent="0.35">
      <c r="A4006">
        <v>410700</v>
      </c>
      <c r="B4006">
        <v>34908</v>
      </c>
      <c r="C4006" t="s">
        <v>4173</v>
      </c>
      <c r="D4006" t="s">
        <v>4063</v>
      </c>
      <c r="E4006" t="s">
        <v>4162</v>
      </c>
      <c r="F4006">
        <v>14338</v>
      </c>
      <c r="G4006">
        <v>1</v>
      </c>
      <c r="H4006" t="s">
        <v>16</v>
      </c>
      <c r="I4006" s="1">
        <v>-2403300</v>
      </c>
      <c r="J4006" s="1">
        <v>-5045800</v>
      </c>
      <c r="K4006">
        <v>776</v>
      </c>
      <c r="L4006">
        <v>576</v>
      </c>
      <c r="M4006" t="s">
        <v>16</v>
      </c>
    </row>
    <row r="4007" spans="1:13" x14ac:dyDescent="0.35">
      <c r="A4007">
        <v>410710</v>
      </c>
      <c r="B4007">
        <v>34916</v>
      </c>
      <c r="C4007" t="s">
        <v>4174</v>
      </c>
      <c r="D4007" t="s">
        <v>4063</v>
      </c>
      <c r="E4007" t="s">
        <v>4076</v>
      </c>
      <c r="F4007">
        <v>5611</v>
      </c>
      <c r="G4007">
        <v>1</v>
      </c>
      <c r="H4007" t="s">
        <v>16</v>
      </c>
      <c r="I4007" s="1">
        <v>-2265600</v>
      </c>
      <c r="J4007" s="1">
        <v>-5286000</v>
      </c>
      <c r="K4007">
        <v>378</v>
      </c>
      <c r="L4007">
        <v>242</v>
      </c>
      <c r="M4007" t="s">
        <v>16</v>
      </c>
    </row>
    <row r="4008" spans="1:13" x14ac:dyDescent="0.35">
      <c r="A4008">
        <v>410712</v>
      </c>
      <c r="B4008">
        <v>48453</v>
      </c>
      <c r="C4008" t="s">
        <v>4175</v>
      </c>
      <c r="D4008" t="s">
        <v>4063</v>
      </c>
      <c r="E4008" t="s">
        <v>1059</v>
      </c>
      <c r="F4008">
        <v>3665</v>
      </c>
      <c r="G4008">
        <v>1</v>
      </c>
      <c r="H4008" t="s">
        <v>16</v>
      </c>
      <c r="I4008" s="1">
        <v>-2504300</v>
      </c>
      <c r="J4008" s="1">
        <v>-5268000</v>
      </c>
      <c r="K4008">
        <v>620</v>
      </c>
      <c r="L4008">
        <v>359</v>
      </c>
      <c r="M4008" t="s">
        <v>16</v>
      </c>
    </row>
    <row r="4009" spans="1:13" x14ac:dyDescent="0.35">
      <c r="A4009">
        <v>410715</v>
      </c>
      <c r="B4009">
        <v>45861</v>
      </c>
      <c r="C4009" t="s">
        <v>4176</v>
      </c>
      <c r="D4009" t="s">
        <v>4063</v>
      </c>
      <c r="E4009" t="s">
        <v>3198</v>
      </c>
      <c r="F4009">
        <v>4944</v>
      </c>
      <c r="G4009">
        <v>1</v>
      </c>
      <c r="H4009" t="s">
        <v>16</v>
      </c>
      <c r="I4009" s="1">
        <v>-2494300</v>
      </c>
      <c r="J4009" s="1">
        <v>-5410300</v>
      </c>
      <c r="K4009">
        <v>521</v>
      </c>
      <c r="L4009">
        <v>309</v>
      </c>
      <c r="M4009" t="s">
        <v>16</v>
      </c>
    </row>
    <row r="4010" spans="1:13" x14ac:dyDescent="0.35">
      <c r="A4010">
        <v>410720</v>
      </c>
      <c r="B4010">
        <v>34924</v>
      </c>
      <c r="C4010" t="s">
        <v>4177</v>
      </c>
      <c r="D4010" t="s">
        <v>4063</v>
      </c>
      <c r="E4010" t="s">
        <v>4107</v>
      </c>
      <c r="F4010">
        <v>34001</v>
      </c>
      <c r="G4010">
        <v>1</v>
      </c>
      <c r="H4010" t="s">
        <v>16</v>
      </c>
      <c r="I4010" s="1">
        <v>-2573400</v>
      </c>
      <c r="J4010" s="1">
        <v>-5305700</v>
      </c>
      <c r="K4010">
        <v>509</v>
      </c>
      <c r="L4010">
        <v>418</v>
      </c>
      <c r="M4010" t="s">
        <v>16</v>
      </c>
    </row>
    <row r="4011" spans="1:13" x14ac:dyDescent="0.35">
      <c r="A4011">
        <v>410725</v>
      </c>
      <c r="B4011">
        <v>45012</v>
      </c>
      <c r="C4011" t="s">
        <v>4178</v>
      </c>
      <c r="D4011" t="s">
        <v>4063</v>
      </c>
      <c r="E4011" t="s">
        <v>4074</v>
      </c>
      <c r="F4011">
        <v>6530</v>
      </c>
      <c r="G4011">
        <v>1</v>
      </c>
      <c r="H4011" t="s">
        <v>16</v>
      </c>
      <c r="I4011" s="1">
        <v>-2338100</v>
      </c>
      <c r="J4011" s="1">
        <v>-5329200</v>
      </c>
      <c r="K4011">
        <v>406</v>
      </c>
      <c r="L4011">
        <v>419</v>
      </c>
      <c r="M4011" t="s">
        <v>16</v>
      </c>
    </row>
    <row r="4012" spans="1:13" x14ac:dyDescent="0.35">
      <c r="A4012">
        <v>410730</v>
      </c>
      <c r="B4012">
        <v>34932</v>
      </c>
      <c r="C4012" t="s">
        <v>4179</v>
      </c>
      <c r="D4012" t="s">
        <v>4063</v>
      </c>
      <c r="E4012" t="s">
        <v>4180</v>
      </c>
      <c r="F4012">
        <v>5609</v>
      </c>
      <c r="G4012">
        <v>4</v>
      </c>
      <c r="H4012" t="s">
        <v>4086</v>
      </c>
      <c r="I4012" s="1">
        <v>-2355600</v>
      </c>
      <c r="J4012" s="1">
        <v>-5221800</v>
      </c>
      <c r="K4012">
        <v>381</v>
      </c>
      <c r="L4012">
        <v>118</v>
      </c>
      <c r="M4012" t="s">
        <v>16</v>
      </c>
    </row>
    <row r="4013" spans="1:13" x14ac:dyDescent="0.35">
      <c r="A4013">
        <v>410740</v>
      </c>
      <c r="B4013">
        <v>34940</v>
      </c>
      <c r="C4013" t="s">
        <v>4181</v>
      </c>
      <c r="D4013" t="s">
        <v>4063</v>
      </c>
      <c r="E4013" t="s">
        <v>4107</v>
      </c>
      <c r="F4013">
        <v>5974</v>
      </c>
      <c r="G4013">
        <v>1</v>
      </c>
      <c r="H4013" t="s">
        <v>16</v>
      </c>
      <c r="I4013" s="1">
        <v>-2594200</v>
      </c>
      <c r="J4013" s="1">
        <v>-5316400</v>
      </c>
      <c r="K4013">
        <v>758</v>
      </c>
      <c r="L4013">
        <v>191</v>
      </c>
      <c r="M4013" t="s">
        <v>16</v>
      </c>
    </row>
    <row r="4014" spans="1:13" x14ac:dyDescent="0.35">
      <c r="A4014">
        <v>410750</v>
      </c>
      <c r="B4014">
        <v>34959</v>
      </c>
      <c r="C4014" t="s">
        <v>4182</v>
      </c>
      <c r="D4014" t="s">
        <v>4063</v>
      </c>
      <c r="E4014" t="s">
        <v>4097</v>
      </c>
      <c r="F4014">
        <v>13867</v>
      </c>
      <c r="G4014">
        <v>1</v>
      </c>
      <c r="H4014" t="s">
        <v>16</v>
      </c>
      <c r="I4014" s="1">
        <v>-2379700</v>
      </c>
      <c r="J4014" s="1">
        <v>-5226900</v>
      </c>
      <c r="K4014">
        <v>470</v>
      </c>
      <c r="L4014">
        <v>467</v>
      </c>
      <c r="M4014" t="s">
        <v>16</v>
      </c>
    </row>
    <row r="4015" spans="1:13" x14ac:dyDescent="0.35">
      <c r="A4015">
        <v>410752</v>
      </c>
      <c r="B4015">
        <v>54046</v>
      </c>
      <c r="C4015" t="s">
        <v>4183</v>
      </c>
      <c r="D4015" t="s">
        <v>4063</v>
      </c>
      <c r="E4015" t="s">
        <v>4074</v>
      </c>
      <c r="F4015">
        <v>1887</v>
      </c>
      <c r="G4015">
        <v>1</v>
      </c>
      <c r="H4015" t="s">
        <v>16</v>
      </c>
      <c r="I4015" s="1">
        <v>-2372400</v>
      </c>
      <c r="J4015" s="1">
        <v>-5381100</v>
      </c>
      <c r="K4015">
        <v>377</v>
      </c>
      <c r="L4015">
        <v>138</v>
      </c>
      <c r="M4015" t="s">
        <v>16</v>
      </c>
    </row>
    <row r="4016" spans="1:13" x14ac:dyDescent="0.35">
      <c r="A4016">
        <v>410753</v>
      </c>
      <c r="B4016">
        <v>48445</v>
      </c>
      <c r="C4016" t="s">
        <v>4184</v>
      </c>
      <c r="D4016" t="s">
        <v>4063</v>
      </c>
      <c r="E4016" t="s">
        <v>3198</v>
      </c>
      <c r="F4016">
        <v>3842</v>
      </c>
      <c r="G4016">
        <v>1</v>
      </c>
      <c r="H4016" t="s">
        <v>16</v>
      </c>
      <c r="I4016" s="1">
        <v>-2470400</v>
      </c>
      <c r="J4016" s="1">
        <v>-5423400</v>
      </c>
      <c r="K4016">
        <v>230</v>
      </c>
      <c r="L4016">
        <v>122</v>
      </c>
      <c r="M4016" t="s">
        <v>16</v>
      </c>
    </row>
    <row r="4017" spans="1:13" x14ac:dyDescent="0.35">
      <c r="A4017">
        <v>410754</v>
      </c>
      <c r="B4017">
        <v>54054</v>
      </c>
      <c r="C4017" t="s">
        <v>4185</v>
      </c>
      <c r="D4017" t="s">
        <v>4063</v>
      </c>
      <c r="E4017" t="s">
        <v>4136</v>
      </c>
      <c r="F4017">
        <v>5104</v>
      </c>
      <c r="G4017">
        <v>1</v>
      </c>
      <c r="H4017" t="s">
        <v>16</v>
      </c>
      <c r="I4017" s="1">
        <v>-2542400</v>
      </c>
      <c r="J4017" s="1">
        <v>-5283600</v>
      </c>
      <c r="K4017">
        <v>618</v>
      </c>
      <c r="L4017">
        <v>326</v>
      </c>
      <c r="M4017" t="s">
        <v>16</v>
      </c>
    </row>
    <row r="4018" spans="1:13" x14ac:dyDescent="0.35">
      <c r="A4018">
        <v>410755</v>
      </c>
      <c r="B4018">
        <v>48470</v>
      </c>
      <c r="C4018" t="s">
        <v>4186</v>
      </c>
      <c r="D4018" t="s">
        <v>4063</v>
      </c>
      <c r="E4018" t="s">
        <v>4097</v>
      </c>
      <c r="F4018">
        <v>3394</v>
      </c>
      <c r="G4018">
        <v>1</v>
      </c>
      <c r="H4018" t="s">
        <v>16</v>
      </c>
      <c r="I4018" s="1">
        <v>-2410000</v>
      </c>
      <c r="J4018" s="1">
        <v>-5262300</v>
      </c>
      <c r="K4018">
        <v>600</v>
      </c>
      <c r="L4018">
        <v>289</v>
      </c>
      <c r="M4018" t="s">
        <v>16</v>
      </c>
    </row>
    <row r="4019" spans="1:13" x14ac:dyDescent="0.35">
      <c r="A4019">
        <v>410760</v>
      </c>
      <c r="B4019">
        <v>34967</v>
      </c>
      <c r="C4019" t="s">
        <v>4121</v>
      </c>
      <c r="D4019" t="s">
        <v>4063</v>
      </c>
      <c r="E4019" t="s">
        <v>4121</v>
      </c>
      <c r="F4019">
        <v>15527</v>
      </c>
      <c r="G4019">
        <v>1</v>
      </c>
      <c r="H4019" t="s">
        <v>16</v>
      </c>
      <c r="I4019" s="1">
        <v>-2400100</v>
      </c>
      <c r="J4019" s="1">
        <v>-5132000</v>
      </c>
      <c r="K4019">
        <v>840</v>
      </c>
      <c r="L4019">
        <v>715</v>
      </c>
      <c r="M4019" t="s">
        <v>16</v>
      </c>
    </row>
    <row r="4020" spans="1:13" x14ac:dyDescent="0.35">
      <c r="A4020">
        <v>410765</v>
      </c>
      <c r="B4020">
        <v>48461</v>
      </c>
      <c r="C4020" t="s">
        <v>4187</v>
      </c>
      <c r="D4020" t="s">
        <v>4063</v>
      </c>
      <c r="E4020" t="s">
        <v>4070</v>
      </c>
      <c r="F4020">
        <v>75006</v>
      </c>
      <c r="G4020">
        <v>4</v>
      </c>
      <c r="H4020" t="s">
        <v>4067</v>
      </c>
      <c r="I4020" s="1">
        <v>-2565800</v>
      </c>
      <c r="J4020" s="1">
        <v>-4930800</v>
      </c>
      <c r="K4020">
        <v>910</v>
      </c>
      <c r="L4020">
        <v>116</v>
      </c>
      <c r="M4020" t="s">
        <v>16</v>
      </c>
    </row>
    <row r="4021" spans="1:13" x14ac:dyDescent="0.35">
      <c r="A4021">
        <v>410770</v>
      </c>
      <c r="B4021">
        <v>34975</v>
      </c>
      <c r="C4021" t="s">
        <v>4188</v>
      </c>
      <c r="D4021" t="s">
        <v>4063</v>
      </c>
      <c r="E4021" t="s">
        <v>4097</v>
      </c>
      <c r="F4021">
        <v>4871</v>
      </c>
      <c r="G4021">
        <v>1</v>
      </c>
      <c r="H4021" t="s">
        <v>16</v>
      </c>
      <c r="I4021" s="1">
        <v>-2391600</v>
      </c>
      <c r="J4021" s="1">
        <v>-5197900</v>
      </c>
      <c r="K4021">
        <v>365</v>
      </c>
      <c r="L4021">
        <v>234</v>
      </c>
      <c r="M4021" t="s">
        <v>16</v>
      </c>
    </row>
    <row r="4022" spans="1:13" x14ac:dyDescent="0.35">
      <c r="A4022">
        <v>410773</v>
      </c>
      <c r="B4022">
        <v>54062</v>
      </c>
      <c r="C4022" t="s">
        <v>4189</v>
      </c>
      <c r="D4022" t="s">
        <v>4063</v>
      </c>
      <c r="E4022" t="s">
        <v>4190</v>
      </c>
      <c r="F4022">
        <v>5688</v>
      </c>
      <c r="G4022">
        <v>1</v>
      </c>
      <c r="H4022" t="s">
        <v>16</v>
      </c>
      <c r="I4022" s="1">
        <v>-2541300</v>
      </c>
      <c r="J4022" s="1">
        <v>-5054800</v>
      </c>
      <c r="K4022">
        <v>824</v>
      </c>
      <c r="L4022">
        <v>406</v>
      </c>
      <c r="M4022" t="s">
        <v>16</v>
      </c>
    </row>
    <row r="4023" spans="1:13" x14ac:dyDescent="0.35">
      <c r="A4023">
        <v>410775</v>
      </c>
      <c r="B4023">
        <v>6360</v>
      </c>
      <c r="C4023" t="s">
        <v>4191</v>
      </c>
      <c r="D4023" t="s">
        <v>4063</v>
      </c>
      <c r="E4023" t="s">
        <v>4162</v>
      </c>
      <c r="F4023">
        <v>8380</v>
      </c>
      <c r="G4023">
        <v>1</v>
      </c>
      <c r="H4023" t="s">
        <v>16</v>
      </c>
      <c r="I4023" s="1">
        <v>-2384900</v>
      </c>
      <c r="J4023" s="1">
        <v>-5040300</v>
      </c>
      <c r="K4023">
        <v>620</v>
      </c>
      <c r="L4023">
        <v>129</v>
      </c>
      <c r="M4023" t="s">
        <v>16</v>
      </c>
    </row>
    <row r="4024" spans="1:13" x14ac:dyDescent="0.35">
      <c r="A4024">
        <v>410780</v>
      </c>
      <c r="B4024">
        <v>34983</v>
      </c>
      <c r="C4024" t="s">
        <v>4192</v>
      </c>
      <c r="D4024" t="s">
        <v>4063</v>
      </c>
      <c r="E4024" t="s">
        <v>4180</v>
      </c>
      <c r="F4024">
        <v>5051</v>
      </c>
      <c r="G4024">
        <v>1</v>
      </c>
      <c r="H4024" t="s">
        <v>16</v>
      </c>
      <c r="I4024" s="1">
        <v>-2331700</v>
      </c>
      <c r="J4024" s="1">
        <v>-5230400</v>
      </c>
      <c r="K4024">
        <v>482</v>
      </c>
      <c r="L4024">
        <v>191</v>
      </c>
      <c r="M4024" t="s">
        <v>16</v>
      </c>
    </row>
    <row r="4025" spans="1:13" x14ac:dyDescent="0.35">
      <c r="A4025">
        <v>410785</v>
      </c>
      <c r="B4025">
        <v>48488</v>
      </c>
      <c r="C4025" t="s">
        <v>4193</v>
      </c>
      <c r="D4025" t="s">
        <v>4063</v>
      </c>
      <c r="E4025" t="s">
        <v>4107</v>
      </c>
      <c r="F4025">
        <v>4685</v>
      </c>
      <c r="G4025">
        <v>1</v>
      </c>
      <c r="H4025" t="s">
        <v>16</v>
      </c>
      <c r="I4025" s="1">
        <v>-2625700</v>
      </c>
      <c r="J4025" s="1">
        <v>-5330700</v>
      </c>
      <c r="K4025">
        <v>905</v>
      </c>
      <c r="L4025">
        <v>254</v>
      </c>
      <c r="M4025" t="s">
        <v>16</v>
      </c>
    </row>
    <row r="4026" spans="1:13" x14ac:dyDescent="0.35">
      <c r="A4026">
        <v>410790</v>
      </c>
      <c r="B4026">
        <v>34991</v>
      </c>
      <c r="C4026" t="s">
        <v>1683</v>
      </c>
      <c r="D4026" t="s">
        <v>4063</v>
      </c>
      <c r="E4026" t="s">
        <v>4180</v>
      </c>
      <c r="F4026">
        <v>5215</v>
      </c>
      <c r="G4026">
        <v>4</v>
      </c>
      <c r="H4026" t="s">
        <v>4086</v>
      </c>
      <c r="I4026" s="1">
        <v>-2359900</v>
      </c>
      <c r="J4026" s="1">
        <v>-5208100</v>
      </c>
      <c r="K4026">
        <v>392</v>
      </c>
      <c r="L4026">
        <v>158</v>
      </c>
      <c r="M4026" t="s">
        <v>16</v>
      </c>
    </row>
    <row r="4027" spans="1:13" x14ac:dyDescent="0.35">
      <c r="A4027">
        <v>410800</v>
      </c>
      <c r="B4027">
        <v>35009</v>
      </c>
      <c r="C4027" t="s">
        <v>4194</v>
      </c>
      <c r="D4027" t="s">
        <v>4063</v>
      </c>
      <c r="E4027" t="s">
        <v>4079</v>
      </c>
      <c r="F4027">
        <v>11571</v>
      </c>
      <c r="G4027">
        <v>1</v>
      </c>
      <c r="H4027" t="s">
        <v>16</v>
      </c>
      <c r="I4027" s="1">
        <v>-2286300</v>
      </c>
      <c r="J4027" s="1">
        <v>-5138700</v>
      </c>
      <c r="K4027">
        <v>515</v>
      </c>
      <c r="L4027">
        <v>246</v>
      </c>
      <c r="M4027" t="s">
        <v>16</v>
      </c>
    </row>
    <row r="4028" spans="1:13" x14ac:dyDescent="0.35">
      <c r="A4028">
        <v>410810</v>
      </c>
      <c r="B4028">
        <v>35017</v>
      </c>
      <c r="C4028" t="s">
        <v>4195</v>
      </c>
      <c r="D4028" t="s">
        <v>4063</v>
      </c>
      <c r="E4028" t="s">
        <v>4085</v>
      </c>
      <c r="F4028">
        <v>2448</v>
      </c>
      <c r="G4028">
        <v>1</v>
      </c>
      <c r="H4028" t="s">
        <v>16</v>
      </c>
      <c r="I4028" s="1">
        <v>-2308700</v>
      </c>
      <c r="J4028" s="1">
        <v>-5195400</v>
      </c>
      <c r="K4028">
        <v>460</v>
      </c>
      <c r="L4028">
        <v>83</v>
      </c>
      <c r="M4028" t="s">
        <v>16</v>
      </c>
    </row>
    <row r="4029" spans="1:13" x14ac:dyDescent="0.35">
      <c r="A4029">
        <v>410820</v>
      </c>
      <c r="B4029">
        <v>35025</v>
      </c>
      <c r="C4029" t="s">
        <v>4196</v>
      </c>
      <c r="D4029" t="s">
        <v>4063</v>
      </c>
      <c r="E4029" t="s">
        <v>3198</v>
      </c>
      <c r="F4029">
        <v>7532</v>
      </c>
      <c r="G4029">
        <v>1</v>
      </c>
      <c r="H4029" t="s">
        <v>16</v>
      </c>
      <c r="I4029" s="1">
        <v>-2429300</v>
      </c>
      <c r="J4029" s="1">
        <v>-5331300</v>
      </c>
      <c r="K4029">
        <v>422</v>
      </c>
      <c r="L4029">
        <v>275</v>
      </c>
      <c r="M4029" t="s">
        <v>16</v>
      </c>
    </row>
    <row r="4030" spans="1:13" x14ac:dyDescent="0.35">
      <c r="A4030">
        <v>410830</v>
      </c>
      <c r="B4030">
        <v>35033</v>
      </c>
      <c r="C4030" t="s">
        <v>4153</v>
      </c>
      <c r="D4030" t="s">
        <v>4063</v>
      </c>
      <c r="E4030" t="s">
        <v>4153</v>
      </c>
      <c r="F4030">
        <v>311336</v>
      </c>
      <c r="G4030">
        <v>3</v>
      </c>
      <c r="H4030" t="s">
        <v>16</v>
      </c>
      <c r="I4030" s="1">
        <v>-2554800</v>
      </c>
      <c r="J4030" s="1">
        <v>-5458800</v>
      </c>
      <c r="K4030">
        <v>164</v>
      </c>
      <c r="L4030">
        <v>617</v>
      </c>
      <c r="M4030" t="s">
        <v>16</v>
      </c>
    </row>
    <row r="4031" spans="1:13" x14ac:dyDescent="0.35">
      <c r="A4031">
        <v>410832</v>
      </c>
      <c r="B4031">
        <v>37087</v>
      </c>
      <c r="C4031" t="s">
        <v>4197</v>
      </c>
      <c r="D4031" t="s">
        <v>4063</v>
      </c>
      <c r="E4031" t="s">
        <v>4074</v>
      </c>
      <c r="F4031">
        <v>6342</v>
      </c>
      <c r="G4031">
        <v>1</v>
      </c>
      <c r="H4031" t="s">
        <v>16</v>
      </c>
      <c r="I4031" s="1">
        <v>-2406600</v>
      </c>
      <c r="J4031" s="1">
        <v>-5384800</v>
      </c>
      <c r="K4031">
        <v>331</v>
      </c>
      <c r="L4031">
        <v>321</v>
      </c>
      <c r="M4031" t="s">
        <v>16</v>
      </c>
    </row>
    <row r="4032" spans="1:13" x14ac:dyDescent="0.35">
      <c r="A4032">
        <v>410840</v>
      </c>
      <c r="B4032">
        <v>35041</v>
      </c>
      <c r="C4032" t="s">
        <v>4198</v>
      </c>
      <c r="D4032" t="s">
        <v>4063</v>
      </c>
      <c r="E4032" t="s">
        <v>4107</v>
      </c>
      <c r="F4032">
        <v>72409</v>
      </c>
      <c r="G4032">
        <v>2</v>
      </c>
      <c r="H4032" t="s">
        <v>16</v>
      </c>
      <c r="I4032" s="1">
        <v>-2608100</v>
      </c>
      <c r="J4032" s="1">
        <v>-5305500</v>
      </c>
      <c r="K4032">
        <v>570</v>
      </c>
      <c r="L4032">
        <v>734</v>
      </c>
      <c r="M4032" t="s">
        <v>16</v>
      </c>
    </row>
    <row r="4033" spans="1:13" x14ac:dyDescent="0.35">
      <c r="A4033">
        <v>410845</v>
      </c>
      <c r="B4033">
        <v>54070</v>
      </c>
      <c r="C4033" t="s">
        <v>4199</v>
      </c>
      <c r="D4033" t="s">
        <v>4063</v>
      </c>
      <c r="E4033" t="s">
        <v>4136</v>
      </c>
      <c r="F4033">
        <v>5832</v>
      </c>
      <c r="G4033">
        <v>1</v>
      </c>
      <c r="H4033" t="s">
        <v>16</v>
      </c>
      <c r="I4033" s="1">
        <v>-2573700</v>
      </c>
      <c r="J4033" s="1">
        <v>-5211900</v>
      </c>
      <c r="K4033">
        <v>820</v>
      </c>
      <c r="L4033">
        <v>235</v>
      </c>
      <c r="M4033" t="s">
        <v>16</v>
      </c>
    </row>
    <row r="4034" spans="1:13" x14ac:dyDescent="0.35">
      <c r="A4034">
        <v>410850</v>
      </c>
      <c r="B4034">
        <v>35050</v>
      </c>
      <c r="C4034" t="s">
        <v>4200</v>
      </c>
      <c r="D4034" t="s">
        <v>4063</v>
      </c>
      <c r="E4034" t="s">
        <v>4114</v>
      </c>
      <c r="F4034">
        <v>14591</v>
      </c>
      <c r="G4034">
        <v>1</v>
      </c>
      <c r="H4034" t="s">
        <v>16</v>
      </c>
      <c r="I4034" s="1">
        <v>-2642800</v>
      </c>
      <c r="J4034" s="1">
        <v>-5131600</v>
      </c>
      <c r="K4034">
        <v>983</v>
      </c>
      <c r="L4034">
        <v>1070</v>
      </c>
      <c r="M4034" t="s">
        <v>16</v>
      </c>
    </row>
    <row r="4035" spans="1:13" x14ac:dyDescent="0.35">
      <c r="A4035">
        <v>410855</v>
      </c>
      <c r="B4035">
        <v>48496</v>
      </c>
      <c r="C4035" t="s">
        <v>4201</v>
      </c>
      <c r="D4035" t="s">
        <v>4063</v>
      </c>
      <c r="E4035" t="s">
        <v>4096</v>
      </c>
      <c r="F4035">
        <v>3568</v>
      </c>
      <c r="G4035">
        <v>1</v>
      </c>
      <c r="H4035" t="s">
        <v>16</v>
      </c>
      <c r="I4035" s="1">
        <v>-2417700</v>
      </c>
      <c r="J4035" s="1">
        <v>-5192400</v>
      </c>
      <c r="K4035">
        <v>512</v>
      </c>
      <c r="L4035">
        <v>131</v>
      </c>
      <c r="M4035" t="s">
        <v>16</v>
      </c>
    </row>
    <row r="4036" spans="1:13" x14ac:dyDescent="0.35">
      <c r="A4036">
        <v>410860</v>
      </c>
      <c r="B4036">
        <v>35068</v>
      </c>
      <c r="C4036" t="s">
        <v>4202</v>
      </c>
      <c r="D4036" t="s">
        <v>4063</v>
      </c>
      <c r="E4036" t="s">
        <v>4072</v>
      </c>
      <c r="F4036">
        <v>28941</v>
      </c>
      <c r="G4036">
        <v>1</v>
      </c>
      <c r="H4036" t="s">
        <v>16</v>
      </c>
      <c r="I4036" s="1">
        <v>-2418500</v>
      </c>
      <c r="J4036" s="1">
        <v>-5302800</v>
      </c>
      <c r="K4036">
        <v>505</v>
      </c>
      <c r="L4036">
        <v>564</v>
      </c>
      <c r="M4036" t="s">
        <v>16</v>
      </c>
    </row>
    <row r="4037" spans="1:13" x14ac:dyDescent="0.35">
      <c r="A4037">
        <v>410865</v>
      </c>
      <c r="B4037">
        <v>54089</v>
      </c>
      <c r="C4037" t="s">
        <v>4203</v>
      </c>
      <c r="D4037" t="s">
        <v>4063</v>
      </c>
      <c r="E4037" t="s">
        <v>4136</v>
      </c>
      <c r="F4037">
        <v>7993</v>
      </c>
      <c r="G4037">
        <v>1</v>
      </c>
      <c r="H4037" t="s">
        <v>16</v>
      </c>
      <c r="I4037" s="1">
        <v>-2519500</v>
      </c>
      <c r="J4037" s="1">
        <v>-5199300</v>
      </c>
      <c r="K4037">
        <v>973</v>
      </c>
      <c r="L4037">
        <v>702</v>
      </c>
      <c r="M4037" t="s">
        <v>16</v>
      </c>
    </row>
    <row r="4038" spans="1:13" x14ac:dyDescent="0.35">
      <c r="A4038">
        <v>410870</v>
      </c>
      <c r="B4038">
        <v>35076</v>
      </c>
      <c r="C4038" t="s">
        <v>4204</v>
      </c>
      <c r="D4038" t="s">
        <v>4063</v>
      </c>
      <c r="E4038" t="s">
        <v>4096</v>
      </c>
      <c r="F4038">
        <v>7641</v>
      </c>
      <c r="G4038">
        <v>1</v>
      </c>
      <c r="H4038" t="s">
        <v>16</v>
      </c>
      <c r="I4038" s="1">
        <v>-2414600</v>
      </c>
      <c r="J4038" s="1">
        <v>-5150600</v>
      </c>
      <c r="K4038">
        <v>610</v>
      </c>
      <c r="L4038">
        <v>309</v>
      </c>
      <c r="M4038" t="s">
        <v>16</v>
      </c>
    </row>
    <row r="4039" spans="1:13" x14ac:dyDescent="0.35">
      <c r="A4039">
        <v>410880</v>
      </c>
      <c r="B4039">
        <v>35084</v>
      </c>
      <c r="C4039" t="s">
        <v>3652</v>
      </c>
      <c r="D4039" t="s">
        <v>4063</v>
      </c>
      <c r="E4039" t="s">
        <v>3198</v>
      </c>
      <c r="F4039">
        <v>28683</v>
      </c>
      <c r="G4039">
        <v>1</v>
      </c>
      <c r="H4039" t="s">
        <v>16</v>
      </c>
      <c r="I4039" s="1">
        <v>-2408000</v>
      </c>
      <c r="J4039" s="1">
        <v>-5425600</v>
      </c>
      <c r="K4039">
        <v>220</v>
      </c>
      <c r="L4039">
        <v>560</v>
      </c>
      <c r="M4039" t="s">
        <v>16</v>
      </c>
    </row>
    <row r="4040" spans="1:13" x14ac:dyDescent="0.35">
      <c r="A4040">
        <v>410890</v>
      </c>
      <c r="B4040">
        <v>35092</v>
      </c>
      <c r="C4040" t="s">
        <v>4205</v>
      </c>
      <c r="D4040" t="s">
        <v>4063</v>
      </c>
      <c r="E4040" t="s">
        <v>4076</v>
      </c>
      <c r="F4040">
        <v>5721</v>
      </c>
      <c r="G4040">
        <v>1</v>
      </c>
      <c r="H4040" t="s">
        <v>16</v>
      </c>
      <c r="I4040" s="1">
        <v>-2293400</v>
      </c>
      <c r="J4040" s="1">
        <v>-5268600</v>
      </c>
      <c r="K4040">
        <v>470</v>
      </c>
      <c r="L4040">
        <v>493</v>
      </c>
      <c r="M4040" t="s">
        <v>16</v>
      </c>
    </row>
    <row r="4041" spans="1:13" x14ac:dyDescent="0.35">
      <c r="A4041">
        <v>410895</v>
      </c>
      <c r="B4041">
        <v>54097</v>
      </c>
      <c r="C4041" t="s">
        <v>4206</v>
      </c>
      <c r="D4041" t="s">
        <v>4063</v>
      </c>
      <c r="E4041" t="s">
        <v>4190</v>
      </c>
      <c r="F4041">
        <v>7548</v>
      </c>
      <c r="G4041">
        <v>1</v>
      </c>
      <c r="H4041" t="s">
        <v>16</v>
      </c>
      <c r="I4041" s="1">
        <v>-2519100</v>
      </c>
      <c r="J4041" s="1">
        <v>-5080500</v>
      </c>
      <c r="K4041">
        <v>801</v>
      </c>
      <c r="L4041">
        <v>259</v>
      </c>
      <c r="M4041" t="s">
        <v>16</v>
      </c>
    </row>
    <row r="4042" spans="1:13" x14ac:dyDescent="0.35">
      <c r="A4042">
        <v>410900</v>
      </c>
      <c r="B4042">
        <v>35106</v>
      </c>
      <c r="C4042" t="s">
        <v>4207</v>
      </c>
      <c r="D4042" t="s">
        <v>4063</v>
      </c>
      <c r="E4042" t="s">
        <v>3237</v>
      </c>
      <c r="F4042">
        <v>3639</v>
      </c>
      <c r="G4042">
        <v>1</v>
      </c>
      <c r="H4042" t="s">
        <v>16</v>
      </c>
      <c r="I4042" s="1">
        <v>-2351600</v>
      </c>
      <c r="J4042" s="1">
        <v>-5004000</v>
      </c>
      <c r="K4042">
        <v>520</v>
      </c>
      <c r="L4042">
        <v>189</v>
      </c>
      <c r="M4042" t="s">
        <v>16</v>
      </c>
    </row>
    <row r="4043" spans="1:13" x14ac:dyDescent="0.35">
      <c r="A4043">
        <v>410910</v>
      </c>
      <c r="B4043">
        <v>35114</v>
      </c>
      <c r="C4043" t="s">
        <v>4208</v>
      </c>
      <c r="D4043" t="s">
        <v>4063</v>
      </c>
      <c r="E4043" t="s">
        <v>4155</v>
      </c>
      <c r="F4043">
        <v>2190</v>
      </c>
      <c r="G4043">
        <v>1</v>
      </c>
      <c r="H4043" t="s">
        <v>16</v>
      </c>
      <c r="I4043" s="1">
        <v>-2334300</v>
      </c>
      <c r="J4043" s="1">
        <v>-5277900</v>
      </c>
      <c r="K4043">
        <v>405</v>
      </c>
      <c r="L4043">
        <v>200</v>
      </c>
      <c r="M4043" t="s">
        <v>16</v>
      </c>
    </row>
    <row r="4044" spans="1:13" x14ac:dyDescent="0.35">
      <c r="A4044">
        <v>410920</v>
      </c>
      <c r="B4044">
        <v>35122</v>
      </c>
      <c r="C4044" t="s">
        <v>3658</v>
      </c>
      <c r="D4044" t="s">
        <v>4063</v>
      </c>
      <c r="E4044" t="s">
        <v>4085</v>
      </c>
      <c r="F4044">
        <v>4993</v>
      </c>
      <c r="G4044">
        <v>1</v>
      </c>
      <c r="H4044" t="s">
        <v>16</v>
      </c>
      <c r="I4044" s="1">
        <v>-2297300</v>
      </c>
      <c r="J4044" s="1">
        <v>-5165000</v>
      </c>
      <c r="K4044">
        <v>540</v>
      </c>
      <c r="L4044">
        <v>211</v>
      </c>
      <c r="M4044" t="s">
        <v>16</v>
      </c>
    </row>
    <row r="4045" spans="1:13" x14ac:dyDescent="0.35">
      <c r="A4045">
        <v>410930</v>
      </c>
      <c r="B4045">
        <v>35130</v>
      </c>
      <c r="C4045" t="s">
        <v>4209</v>
      </c>
      <c r="D4045" t="s">
        <v>4063</v>
      </c>
      <c r="E4045" t="s">
        <v>1059</v>
      </c>
      <c r="F4045">
        <v>15959</v>
      </c>
      <c r="G4045">
        <v>1</v>
      </c>
      <c r="H4045" t="s">
        <v>16</v>
      </c>
      <c r="I4045" s="1">
        <v>-2510100</v>
      </c>
      <c r="J4045" s="1">
        <v>-5287800</v>
      </c>
      <c r="K4045">
        <v>923</v>
      </c>
      <c r="L4045">
        <v>1225</v>
      </c>
      <c r="M4045" t="s">
        <v>16</v>
      </c>
    </row>
    <row r="4046" spans="1:13" x14ac:dyDescent="0.35">
      <c r="A4046">
        <v>410940</v>
      </c>
      <c r="B4046">
        <v>35149</v>
      </c>
      <c r="C4046" t="s">
        <v>4136</v>
      </c>
      <c r="D4046" t="s">
        <v>4063</v>
      </c>
      <c r="E4046" t="s">
        <v>4136</v>
      </c>
      <c r="F4046">
        <v>164567</v>
      </c>
      <c r="G4046">
        <v>3</v>
      </c>
      <c r="H4046" t="s">
        <v>16</v>
      </c>
      <c r="I4046" s="1">
        <v>-2539500</v>
      </c>
      <c r="J4046" s="1">
        <v>-5145800</v>
      </c>
      <c r="K4046">
        <v>1098</v>
      </c>
      <c r="L4046">
        <v>3115</v>
      </c>
      <c r="M4046" t="s">
        <v>16</v>
      </c>
    </row>
    <row r="4047" spans="1:13" x14ac:dyDescent="0.35">
      <c r="A4047">
        <v>410950</v>
      </c>
      <c r="B4047">
        <v>35157</v>
      </c>
      <c r="C4047" t="s">
        <v>4210</v>
      </c>
      <c r="D4047" t="s">
        <v>4063</v>
      </c>
      <c r="E4047" t="s">
        <v>4088</v>
      </c>
      <c r="F4047">
        <v>7732</v>
      </c>
      <c r="G4047">
        <v>1</v>
      </c>
      <c r="H4047" t="s">
        <v>16</v>
      </c>
      <c r="I4047" s="1">
        <v>-2530700</v>
      </c>
      <c r="J4047" s="1">
        <v>-4832900</v>
      </c>
      <c r="K4047">
        <v>20</v>
      </c>
      <c r="L4047">
        <v>2018</v>
      </c>
      <c r="M4047" t="s">
        <v>16</v>
      </c>
    </row>
    <row r="4048" spans="1:13" x14ac:dyDescent="0.35">
      <c r="A4048">
        <v>410960</v>
      </c>
      <c r="B4048">
        <v>35165</v>
      </c>
      <c r="C4048" t="s">
        <v>4211</v>
      </c>
      <c r="D4048" t="s">
        <v>4063</v>
      </c>
      <c r="E4048" t="s">
        <v>4088</v>
      </c>
      <c r="F4048">
        <v>30793</v>
      </c>
      <c r="G4048">
        <v>1</v>
      </c>
      <c r="H4048" t="s">
        <v>16</v>
      </c>
      <c r="I4048" s="1">
        <v>-2588300</v>
      </c>
      <c r="J4048" s="1">
        <v>-4857500</v>
      </c>
      <c r="K4048">
        <v>15</v>
      </c>
      <c r="L4048">
        <v>1325</v>
      </c>
      <c r="M4048" t="s">
        <v>16</v>
      </c>
    </row>
    <row r="4049" spans="1:13" x14ac:dyDescent="0.35">
      <c r="A4049">
        <v>410965</v>
      </c>
      <c r="B4049">
        <v>48550</v>
      </c>
      <c r="C4049" t="s">
        <v>4212</v>
      </c>
      <c r="D4049" t="s">
        <v>4063</v>
      </c>
      <c r="E4049" t="s">
        <v>537</v>
      </c>
      <c r="F4049">
        <v>6169</v>
      </c>
      <c r="G4049">
        <v>1</v>
      </c>
      <c r="H4049" t="s">
        <v>16</v>
      </c>
      <c r="I4049" s="1">
        <v>-2614100</v>
      </c>
      <c r="J4049" s="1">
        <v>-5238700</v>
      </c>
      <c r="K4049">
        <v>816</v>
      </c>
      <c r="L4049">
        <v>502</v>
      </c>
      <c r="M4049" t="s">
        <v>16</v>
      </c>
    </row>
    <row r="4050" spans="1:13" x14ac:dyDescent="0.35">
      <c r="A4050">
        <v>410970</v>
      </c>
      <c r="B4050">
        <v>35173</v>
      </c>
      <c r="C4050" t="s">
        <v>4162</v>
      </c>
      <c r="D4050" t="s">
        <v>4063</v>
      </c>
      <c r="E4050" t="s">
        <v>4162</v>
      </c>
      <c r="F4050">
        <v>28050</v>
      </c>
      <c r="G4050">
        <v>1</v>
      </c>
      <c r="H4050" t="s">
        <v>16</v>
      </c>
      <c r="I4050" s="1">
        <v>-2384900</v>
      </c>
      <c r="J4050" s="1">
        <v>-5018800</v>
      </c>
      <c r="K4050">
        <v>760</v>
      </c>
      <c r="L4050">
        <v>896</v>
      </c>
      <c r="M4050" t="s">
        <v>16</v>
      </c>
    </row>
    <row r="4051" spans="1:13" x14ac:dyDescent="0.35">
      <c r="A4051">
        <v>410975</v>
      </c>
      <c r="B4051">
        <v>48534</v>
      </c>
      <c r="C4051" t="s">
        <v>4213</v>
      </c>
      <c r="D4051" t="s">
        <v>4063</v>
      </c>
      <c r="E4051" t="s">
        <v>1059</v>
      </c>
      <c r="F4051">
        <v>5927</v>
      </c>
      <c r="G4051">
        <v>1</v>
      </c>
      <c r="H4051" t="s">
        <v>16</v>
      </c>
      <c r="I4051" s="1">
        <v>-2510600</v>
      </c>
      <c r="J4051" s="1">
        <v>-5301200</v>
      </c>
      <c r="K4051">
        <v>910</v>
      </c>
      <c r="L4051">
        <v>145</v>
      </c>
      <c r="M4051" t="s">
        <v>16</v>
      </c>
    </row>
    <row r="4052" spans="1:13" x14ac:dyDescent="0.35">
      <c r="A4052">
        <v>410980</v>
      </c>
      <c r="B4052">
        <v>35181</v>
      </c>
      <c r="C4052" t="s">
        <v>4214</v>
      </c>
      <c r="D4052" t="s">
        <v>4063</v>
      </c>
      <c r="E4052" t="s">
        <v>4132</v>
      </c>
      <c r="F4052">
        <v>45158</v>
      </c>
      <c r="G4052">
        <v>4</v>
      </c>
      <c r="H4052" t="s">
        <v>4112</v>
      </c>
      <c r="I4052" s="1">
        <v>-2326900</v>
      </c>
      <c r="J4052" s="1">
        <v>-5104800</v>
      </c>
      <c r="K4052">
        <v>497</v>
      </c>
      <c r="L4052">
        <v>300</v>
      </c>
      <c r="M4052" t="s">
        <v>16</v>
      </c>
    </row>
    <row r="4053" spans="1:13" x14ac:dyDescent="0.35">
      <c r="A4053">
        <v>410990</v>
      </c>
      <c r="B4053">
        <v>35190</v>
      </c>
      <c r="C4053" t="s">
        <v>4215</v>
      </c>
      <c r="D4053" t="s">
        <v>4063</v>
      </c>
      <c r="E4053" t="s">
        <v>4074</v>
      </c>
      <c r="F4053">
        <v>9212</v>
      </c>
      <c r="G4053">
        <v>1</v>
      </c>
      <c r="H4053" t="s">
        <v>16</v>
      </c>
      <c r="I4053" s="1">
        <v>-2339600</v>
      </c>
      <c r="J4053" s="1">
        <v>-5361400</v>
      </c>
      <c r="K4053">
        <v>305</v>
      </c>
      <c r="L4053">
        <v>675</v>
      </c>
      <c r="M4053" t="s">
        <v>16</v>
      </c>
    </row>
    <row r="4054" spans="1:13" x14ac:dyDescent="0.35">
      <c r="A4054">
        <v>411000</v>
      </c>
      <c r="B4054">
        <v>35203</v>
      </c>
      <c r="C4054" t="s">
        <v>4216</v>
      </c>
      <c r="D4054" t="s">
        <v>4063</v>
      </c>
      <c r="E4054" t="s">
        <v>4085</v>
      </c>
      <c r="F4054">
        <v>3741</v>
      </c>
      <c r="G4054">
        <v>4</v>
      </c>
      <c r="H4054" t="s">
        <v>4086</v>
      </c>
      <c r="I4054" s="1">
        <v>-2319700</v>
      </c>
      <c r="J4054" s="1">
        <v>-5182800</v>
      </c>
      <c r="K4054">
        <v>558</v>
      </c>
      <c r="L4054">
        <v>164</v>
      </c>
      <c r="M4054" t="s">
        <v>16</v>
      </c>
    </row>
    <row r="4055" spans="1:13" x14ac:dyDescent="0.35">
      <c r="A4055">
        <v>411005</v>
      </c>
      <c r="B4055">
        <v>48526</v>
      </c>
      <c r="C4055" t="s">
        <v>1078</v>
      </c>
      <c r="D4055" t="s">
        <v>4063</v>
      </c>
      <c r="E4055" t="s">
        <v>1059</v>
      </c>
      <c r="F4055">
        <v>2286</v>
      </c>
      <c r="G4055">
        <v>1</v>
      </c>
      <c r="H4055" t="s">
        <v>16</v>
      </c>
      <c r="I4055" s="1">
        <v>-2471700</v>
      </c>
      <c r="J4055" s="1">
        <v>-5308400</v>
      </c>
      <c r="K4055">
        <v>420</v>
      </c>
      <c r="L4055">
        <v>106</v>
      </c>
      <c r="M4055" t="s">
        <v>16</v>
      </c>
    </row>
    <row r="4056" spans="1:13" x14ac:dyDescent="0.35">
      <c r="A4056">
        <v>411007</v>
      </c>
      <c r="B4056">
        <v>54100</v>
      </c>
      <c r="C4056" t="s">
        <v>4217</v>
      </c>
      <c r="D4056" t="s">
        <v>4063</v>
      </c>
      <c r="E4056" t="s">
        <v>4218</v>
      </c>
      <c r="F4056">
        <v>11191</v>
      </c>
      <c r="G4056">
        <v>1</v>
      </c>
      <c r="H4056" t="s">
        <v>16</v>
      </c>
      <c r="I4056" s="1">
        <v>-2444500</v>
      </c>
      <c r="J4056" s="1">
        <v>-5076100</v>
      </c>
      <c r="K4056">
        <v>940</v>
      </c>
      <c r="L4056">
        <v>331</v>
      </c>
      <c r="M4056" t="s">
        <v>16</v>
      </c>
    </row>
    <row r="4057" spans="1:13" x14ac:dyDescent="0.35">
      <c r="A4057">
        <v>411010</v>
      </c>
      <c r="B4057">
        <v>35211</v>
      </c>
      <c r="C4057" t="s">
        <v>4219</v>
      </c>
      <c r="D4057" t="s">
        <v>4063</v>
      </c>
      <c r="E4057" t="s">
        <v>4190</v>
      </c>
      <c r="F4057">
        <v>27044</v>
      </c>
      <c r="G4057">
        <v>1</v>
      </c>
      <c r="H4057" t="s">
        <v>16</v>
      </c>
      <c r="I4057" s="1">
        <v>-2523000</v>
      </c>
      <c r="J4057" s="1">
        <v>-5060400</v>
      </c>
      <c r="K4057">
        <v>900</v>
      </c>
      <c r="L4057">
        <v>756</v>
      </c>
      <c r="M4057" t="s">
        <v>16</v>
      </c>
    </row>
    <row r="4058" spans="1:13" x14ac:dyDescent="0.35">
      <c r="A4058">
        <v>411020</v>
      </c>
      <c r="B4058">
        <v>35220</v>
      </c>
      <c r="C4058" t="s">
        <v>4220</v>
      </c>
      <c r="D4058" t="s">
        <v>4063</v>
      </c>
      <c r="E4058" t="s">
        <v>4136</v>
      </c>
      <c r="F4058">
        <v>11036</v>
      </c>
      <c r="G4058">
        <v>1</v>
      </c>
      <c r="H4058" t="s">
        <v>16</v>
      </c>
      <c r="I4058" s="1">
        <v>-2557100</v>
      </c>
      <c r="J4058" s="1">
        <v>-5107900</v>
      </c>
      <c r="K4058">
        <v>1202</v>
      </c>
      <c r="L4058">
        <v>936</v>
      </c>
      <c r="M4058" t="s">
        <v>16</v>
      </c>
    </row>
    <row r="4059" spans="1:13" x14ac:dyDescent="0.35">
      <c r="A4059">
        <v>411030</v>
      </c>
      <c r="B4059">
        <v>35238</v>
      </c>
      <c r="C4059" t="s">
        <v>1695</v>
      </c>
      <c r="D4059" t="s">
        <v>4063</v>
      </c>
      <c r="E4059" t="s">
        <v>4076</v>
      </c>
      <c r="F4059">
        <v>2810</v>
      </c>
      <c r="G4059">
        <v>1</v>
      </c>
      <c r="H4059" t="s">
        <v>16</v>
      </c>
      <c r="I4059" s="1">
        <v>-2274900</v>
      </c>
      <c r="J4059" s="1">
        <v>-5219800</v>
      </c>
      <c r="K4059">
        <v>408</v>
      </c>
      <c r="L4059">
        <v>194</v>
      </c>
      <c r="M4059" t="s">
        <v>16</v>
      </c>
    </row>
    <row r="4060" spans="1:13" x14ac:dyDescent="0.35">
      <c r="A4060">
        <v>411040</v>
      </c>
      <c r="B4060">
        <v>35246</v>
      </c>
      <c r="C4060" t="s">
        <v>2772</v>
      </c>
      <c r="D4060" t="s">
        <v>4063</v>
      </c>
      <c r="E4060" t="s">
        <v>4155</v>
      </c>
      <c r="F4060">
        <v>4138</v>
      </c>
      <c r="G4060">
        <v>1</v>
      </c>
      <c r="H4060" t="s">
        <v>16</v>
      </c>
      <c r="I4060" s="1">
        <v>-2347600</v>
      </c>
      <c r="J4060" s="1">
        <v>-5269600</v>
      </c>
      <c r="K4060">
        <v>469</v>
      </c>
      <c r="L4060">
        <v>122</v>
      </c>
      <c r="M4060" t="s">
        <v>16</v>
      </c>
    </row>
    <row r="4061" spans="1:13" x14ac:dyDescent="0.35">
      <c r="A4061">
        <v>411050</v>
      </c>
      <c r="B4061">
        <v>35254</v>
      </c>
      <c r="C4061" t="s">
        <v>4221</v>
      </c>
      <c r="D4061" t="s">
        <v>4063</v>
      </c>
      <c r="E4061" t="s">
        <v>4190</v>
      </c>
      <c r="F4061">
        <v>13993</v>
      </c>
      <c r="G4061">
        <v>1</v>
      </c>
      <c r="H4061" t="s">
        <v>16</v>
      </c>
      <c r="I4061" s="1">
        <v>-2502400</v>
      </c>
      <c r="J4061" s="1">
        <v>-5058400</v>
      </c>
      <c r="K4061">
        <v>800</v>
      </c>
      <c r="L4061">
        <v>927</v>
      </c>
      <c r="M4061" t="s">
        <v>16</v>
      </c>
    </row>
    <row r="4062" spans="1:13" x14ac:dyDescent="0.35">
      <c r="A4062">
        <v>411060</v>
      </c>
      <c r="B4062">
        <v>35262</v>
      </c>
      <c r="C4062" t="s">
        <v>4222</v>
      </c>
      <c r="D4062" t="s">
        <v>4063</v>
      </c>
      <c r="E4062" t="s">
        <v>4074</v>
      </c>
      <c r="F4062">
        <v>15086</v>
      </c>
      <c r="G4062">
        <v>1</v>
      </c>
      <c r="H4062" t="s">
        <v>16</v>
      </c>
      <c r="I4062" s="1">
        <v>-2400300</v>
      </c>
      <c r="J4062" s="1">
        <v>-5370400</v>
      </c>
      <c r="K4062">
        <v>341</v>
      </c>
      <c r="L4062">
        <v>647</v>
      </c>
      <c r="M4062" t="s">
        <v>16</v>
      </c>
    </row>
    <row r="4063" spans="1:13" x14ac:dyDescent="0.35">
      <c r="A4063">
        <v>411065</v>
      </c>
      <c r="B4063">
        <v>48542</v>
      </c>
      <c r="C4063" t="s">
        <v>4223</v>
      </c>
      <c r="D4063" t="s">
        <v>4063</v>
      </c>
      <c r="E4063" t="s">
        <v>3198</v>
      </c>
      <c r="F4063">
        <v>2580</v>
      </c>
      <c r="G4063">
        <v>1</v>
      </c>
      <c r="H4063" t="s">
        <v>16</v>
      </c>
      <c r="I4063" s="1">
        <v>-2442800</v>
      </c>
      <c r="J4063" s="1">
        <v>-5335500</v>
      </c>
      <c r="K4063">
        <v>498</v>
      </c>
      <c r="L4063">
        <v>81</v>
      </c>
      <c r="M4063" t="s">
        <v>16</v>
      </c>
    </row>
    <row r="4064" spans="1:13" x14ac:dyDescent="0.35">
      <c r="A4064">
        <v>411070</v>
      </c>
      <c r="B4064">
        <v>35270</v>
      </c>
      <c r="C4064" t="s">
        <v>4224</v>
      </c>
      <c r="D4064" t="s">
        <v>4063</v>
      </c>
      <c r="E4064" t="s">
        <v>4224</v>
      </c>
      <c r="F4064">
        <v>54151</v>
      </c>
      <c r="G4064">
        <v>2</v>
      </c>
      <c r="H4064" t="s">
        <v>16</v>
      </c>
      <c r="I4064" s="1">
        <v>-2546700</v>
      </c>
      <c r="J4064" s="1">
        <v>-5065100</v>
      </c>
      <c r="K4064">
        <v>820</v>
      </c>
      <c r="L4064">
        <v>999</v>
      </c>
      <c r="M4064" t="s">
        <v>16</v>
      </c>
    </row>
    <row r="4065" spans="1:13" x14ac:dyDescent="0.35">
      <c r="A4065">
        <v>411080</v>
      </c>
      <c r="B4065">
        <v>35289</v>
      </c>
      <c r="C4065" t="s">
        <v>4225</v>
      </c>
      <c r="D4065" t="s">
        <v>4063</v>
      </c>
      <c r="E4065" t="s">
        <v>4097</v>
      </c>
      <c r="F4065">
        <v>11174</v>
      </c>
      <c r="G4065">
        <v>1</v>
      </c>
      <c r="H4065" t="s">
        <v>16</v>
      </c>
      <c r="I4065" s="1">
        <v>-2442400</v>
      </c>
      <c r="J4065" s="1">
        <v>-5210600</v>
      </c>
      <c r="K4065">
        <v>595</v>
      </c>
      <c r="L4065">
        <v>570</v>
      </c>
      <c r="M4065" t="s">
        <v>16</v>
      </c>
    </row>
    <row r="4066" spans="1:13" x14ac:dyDescent="0.35">
      <c r="A4066">
        <v>411090</v>
      </c>
      <c r="B4066">
        <v>35297</v>
      </c>
      <c r="C4066" t="s">
        <v>4226</v>
      </c>
      <c r="D4066" t="s">
        <v>4063</v>
      </c>
      <c r="E4066" t="s">
        <v>4085</v>
      </c>
      <c r="F4066">
        <v>4508</v>
      </c>
      <c r="G4066">
        <v>1</v>
      </c>
      <c r="H4066" t="s">
        <v>16</v>
      </c>
      <c r="I4066" s="1">
        <v>-2261800</v>
      </c>
      <c r="J4066" s="1">
        <v>-5196600</v>
      </c>
      <c r="K4066">
        <v>349</v>
      </c>
      <c r="L4066">
        <v>190</v>
      </c>
      <c r="M4066" t="s">
        <v>16</v>
      </c>
    </row>
    <row r="4067" spans="1:13" x14ac:dyDescent="0.35">
      <c r="A4067">
        <v>411095</v>
      </c>
      <c r="B4067">
        <v>48518</v>
      </c>
      <c r="C4067" t="s">
        <v>4227</v>
      </c>
      <c r="D4067" t="s">
        <v>4063</v>
      </c>
      <c r="E4067" t="s">
        <v>4153</v>
      </c>
      <c r="F4067">
        <v>8581</v>
      </c>
      <c r="G4067">
        <v>1</v>
      </c>
      <c r="H4067" t="s">
        <v>16</v>
      </c>
      <c r="I4067" s="1">
        <v>-2513700</v>
      </c>
      <c r="J4067" s="1">
        <v>-5430200</v>
      </c>
      <c r="K4067">
        <v>258</v>
      </c>
      <c r="L4067">
        <v>336</v>
      </c>
      <c r="M4067" t="s">
        <v>16</v>
      </c>
    </row>
    <row r="4068" spans="1:13" x14ac:dyDescent="0.35">
      <c r="A4068">
        <v>411100</v>
      </c>
      <c r="B4068">
        <v>35300</v>
      </c>
      <c r="C4068" t="s">
        <v>4228</v>
      </c>
      <c r="D4068" t="s">
        <v>4063</v>
      </c>
      <c r="E4068" t="s">
        <v>4064</v>
      </c>
      <c r="F4068">
        <v>6935</v>
      </c>
      <c r="G4068">
        <v>1</v>
      </c>
      <c r="H4068" t="s">
        <v>16</v>
      </c>
      <c r="I4068" s="1">
        <v>-2301800</v>
      </c>
      <c r="J4068" s="1">
        <v>-5040600</v>
      </c>
      <c r="K4068">
        <v>402</v>
      </c>
      <c r="L4068">
        <v>207</v>
      </c>
      <c r="M4068" t="s">
        <v>16</v>
      </c>
    </row>
    <row r="4069" spans="1:13" x14ac:dyDescent="0.35">
      <c r="A4069">
        <v>411110</v>
      </c>
      <c r="B4069">
        <v>35319</v>
      </c>
      <c r="C4069" t="s">
        <v>1702</v>
      </c>
      <c r="D4069" t="s">
        <v>4063</v>
      </c>
      <c r="E4069" t="s">
        <v>4180</v>
      </c>
      <c r="F4069">
        <v>5897</v>
      </c>
      <c r="G4069">
        <v>4</v>
      </c>
      <c r="H4069" t="s">
        <v>4086</v>
      </c>
      <c r="I4069" s="1">
        <v>-2366100</v>
      </c>
      <c r="J4069" s="1">
        <v>-5199000</v>
      </c>
      <c r="K4069">
        <v>428</v>
      </c>
      <c r="L4069">
        <v>243</v>
      </c>
      <c r="M4069" t="s">
        <v>16</v>
      </c>
    </row>
    <row r="4070" spans="1:13" x14ac:dyDescent="0.35">
      <c r="A4070">
        <v>411120</v>
      </c>
      <c r="B4070">
        <v>35327</v>
      </c>
      <c r="C4070" t="s">
        <v>4229</v>
      </c>
      <c r="D4070" t="s">
        <v>4063</v>
      </c>
      <c r="E4070" t="s">
        <v>4123</v>
      </c>
      <c r="F4070">
        <v>10537</v>
      </c>
      <c r="G4070">
        <v>1</v>
      </c>
      <c r="H4070" t="s">
        <v>16</v>
      </c>
      <c r="I4070" s="1">
        <v>-2596500</v>
      </c>
      <c r="J4070" s="1">
        <v>-5281600</v>
      </c>
      <c r="K4070">
        <v>670</v>
      </c>
      <c r="L4070">
        <v>254</v>
      </c>
      <c r="M4070" t="s">
        <v>16</v>
      </c>
    </row>
    <row r="4071" spans="1:13" x14ac:dyDescent="0.35">
      <c r="A4071">
        <v>411125</v>
      </c>
      <c r="B4071">
        <v>53597</v>
      </c>
      <c r="C4071" t="s">
        <v>4230</v>
      </c>
      <c r="D4071" t="s">
        <v>4063</v>
      </c>
      <c r="E4071" t="s">
        <v>4070</v>
      </c>
      <c r="F4071">
        <v>22021</v>
      </c>
      <c r="G4071">
        <v>4</v>
      </c>
      <c r="H4071" t="s">
        <v>4067</v>
      </c>
      <c r="I4071" s="1">
        <v>-2522000</v>
      </c>
      <c r="J4071" s="1">
        <v>-4934800</v>
      </c>
      <c r="K4071">
        <v>995</v>
      </c>
      <c r="L4071">
        <v>312</v>
      </c>
      <c r="M4071" t="s">
        <v>16</v>
      </c>
    </row>
    <row r="4072" spans="1:13" x14ac:dyDescent="0.35">
      <c r="A4072">
        <v>411130</v>
      </c>
      <c r="B4072">
        <v>35335</v>
      </c>
      <c r="C4072" t="s">
        <v>4231</v>
      </c>
      <c r="D4072" t="s">
        <v>4063</v>
      </c>
      <c r="E4072" t="s">
        <v>4076</v>
      </c>
      <c r="F4072">
        <v>3699</v>
      </c>
      <c r="G4072">
        <v>1</v>
      </c>
      <c r="H4072" t="s">
        <v>16</v>
      </c>
      <c r="I4072" s="1">
        <v>-2273100</v>
      </c>
      <c r="J4072" s="1">
        <v>-5288700</v>
      </c>
      <c r="K4072">
        <v>482</v>
      </c>
      <c r="L4072">
        <v>128</v>
      </c>
      <c r="M4072" t="s">
        <v>16</v>
      </c>
    </row>
    <row r="4073" spans="1:13" x14ac:dyDescent="0.35">
      <c r="A4073">
        <v>411140</v>
      </c>
      <c r="B4073">
        <v>35343</v>
      </c>
      <c r="C4073" t="s">
        <v>4232</v>
      </c>
      <c r="D4073" t="s">
        <v>4063</v>
      </c>
      <c r="E4073" t="s">
        <v>4190</v>
      </c>
      <c r="F4073">
        <v>12840</v>
      </c>
      <c r="G4073">
        <v>1</v>
      </c>
      <c r="H4073" t="s">
        <v>16</v>
      </c>
      <c r="I4073" s="1">
        <v>-2501100</v>
      </c>
      <c r="J4073" s="1">
        <v>-5085900</v>
      </c>
      <c r="K4073">
        <v>748</v>
      </c>
      <c r="L4073">
        <v>607</v>
      </c>
      <c r="M4073" t="s">
        <v>16</v>
      </c>
    </row>
    <row r="4074" spans="1:13" x14ac:dyDescent="0.35">
      <c r="A4074">
        <v>411150</v>
      </c>
      <c r="B4074">
        <v>35351</v>
      </c>
      <c r="C4074" t="s">
        <v>4233</v>
      </c>
      <c r="D4074" t="s">
        <v>4063</v>
      </c>
      <c r="E4074" t="s">
        <v>4096</v>
      </c>
      <c r="F4074">
        <v>31344</v>
      </c>
      <c r="G4074">
        <v>1</v>
      </c>
      <c r="H4074" t="s">
        <v>16</v>
      </c>
      <c r="I4074" s="1">
        <v>-2424800</v>
      </c>
      <c r="J4074" s="1">
        <v>-5168500</v>
      </c>
      <c r="K4074">
        <v>692</v>
      </c>
      <c r="L4074">
        <v>432</v>
      </c>
      <c r="M4074" t="s">
        <v>16</v>
      </c>
    </row>
    <row r="4075" spans="1:13" x14ac:dyDescent="0.35">
      <c r="A4075">
        <v>411155</v>
      </c>
      <c r="B4075">
        <v>51594</v>
      </c>
      <c r="C4075" t="s">
        <v>4234</v>
      </c>
      <c r="D4075" t="s">
        <v>4063</v>
      </c>
      <c r="E4075" t="s">
        <v>4074</v>
      </c>
      <c r="F4075">
        <v>7792</v>
      </c>
      <c r="G4075">
        <v>1</v>
      </c>
      <c r="H4075" t="s">
        <v>16</v>
      </c>
      <c r="I4075" s="1">
        <v>-2340900</v>
      </c>
      <c r="J4075" s="1">
        <v>-5336900</v>
      </c>
      <c r="K4075">
        <v>410</v>
      </c>
      <c r="L4075">
        <v>410</v>
      </c>
      <c r="M4075" t="s">
        <v>16</v>
      </c>
    </row>
    <row r="4076" spans="1:13" x14ac:dyDescent="0.35">
      <c r="A4076">
        <v>411160</v>
      </c>
      <c r="B4076">
        <v>35360</v>
      </c>
      <c r="C4076" t="s">
        <v>4235</v>
      </c>
      <c r="D4076" t="s">
        <v>4063</v>
      </c>
      <c r="E4076" t="s">
        <v>4180</v>
      </c>
      <c r="F4076">
        <v>2715</v>
      </c>
      <c r="G4076">
        <v>4</v>
      </c>
      <c r="H4076" t="s">
        <v>4086</v>
      </c>
      <c r="I4076" s="1">
        <v>-2361900</v>
      </c>
      <c r="J4076" s="1">
        <v>-5222100</v>
      </c>
      <c r="K4076">
        <v>340</v>
      </c>
      <c r="L4076">
        <v>96</v>
      </c>
      <c r="M4076" t="s">
        <v>16</v>
      </c>
    </row>
    <row r="4077" spans="1:13" x14ac:dyDescent="0.35">
      <c r="A4077">
        <v>411170</v>
      </c>
      <c r="B4077">
        <v>35378</v>
      </c>
      <c r="C4077" t="s">
        <v>4236</v>
      </c>
      <c r="D4077" t="s">
        <v>4063</v>
      </c>
      <c r="E4077" t="s">
        <v>4162</v>
      </c>
      <c r="F4077">
        <v>5019</v>
      </c>
      <c r="G4077">
        <v>1</v>
      </c>
      <c r="H4077" t="s">
        <v>16</v>
      </c>
      <c r="I4077" s="1">
        <v>-2374300</v>
      </c>
      <c r="J4077" s="1">
        <v>-5007600</v>
      </c>
      <c r="K4077">
        <v>560</v>
      </c>
      <c r="L4077">
        <v>139</v>
      </c>
      <c r="M4077" t="s">
        <v>16</v>
      </c>
    </row>
    <row r="4078" spans="1:13" x14ac:dyDescent="0.35">
      <c r="A4078">
        <v>411180</v>
      </c>
      <c r="B4078">
        <v>35386</v>
      </c>
      <c r="C4078" t="s">
        <v>4109</v>
      </c>
      <c r="D4078" t="s">
        <v>4063</v>
      </c>
      <c r="E4078" t="s">
        <v>4109</v>
      </c>
      <c r="F4078">
        <v>39327</v>
      </c>
      <c r="G4078">
        <v>1</v>
      </c>
      <c r="H4078" t="s">
        <v>16</v>
      </c>
      <c r="I4078" s="1">
        <v>-2316100</v>
      </c>
      <c r="J4078" s="1">
        <v>-4996900</v>
      </c>
      <c r="K4078">
        <v>501</v>
      </c>
      <c r="L4078">
        <v>602</v>
      </c>
      <c r="M4078" t="s">
        <v>16</v>
      </c>
    </row>
    <row r="4079" spans="1:13" x14ac:dyDescent="0.35">
      <c r="A4079">
        <v>411190</v>
      </c>
      <c r="B4079">
        <v>35394</v>
      </c>
      <c r="C4079" t="s">
        <v>4237</v>
      </c>
      <c r="D4079" t="s">
        <v>4063</v>
      </c>
      <c r="E4079" t="s">
        <v>4085</v>
      </c>
      <c r="F4079">
        <v>11782</v>
      </c>
      <c r="G4079">
        <v>1</v>
      </c>
      <c r="H4079" t="s">
        <v>16</v>
      </c>
      <c r="I4079" s="1">
        <v>-2311300</v>
      </c>
      <c r="J4079" s="1">
        <v>-5153200</v>
      </c>
      <c r="K4079">
        <v>610</v>
      </c>
      <c r="L4079">
        <v>475</v>
      </c>
      <c r="M4079" t="s">
        <v>16</v>
      </c>
    </row>
    <row r="4080" spans="1:13" x14ac:dyDescent="0.35">
      <c r="A4080">
        <v>411200</v>
      </c>
      <c r="B4080">
        <v>35408</v>
      </c>
      <c r="C4080" t="s">
        <v>4238</v>
      </c>
      <c r="D4080" t="s">
        <v>4063</v>
      </c>
      <c r="E4080" t="s">
        <v>4094</v>
      </c>
      <c r="F4080">
        <v>31865</v>
      </c>
      <c r="G4080">
        <v>1</v>
      </c>
      <c r="H4080" t="s">
        <v>16</v>
      </c>
      <c r="I4080" s="1">
        <v>-2425100</v>
      </c>
      <c r="J4080" s="1">
        <v>-4970600</v>
      </c>
      <c r="K4080">
        <v>850</v>
      </c>
      <c r="L4080">
        <v>1523</v>
      </c>
      <c r="M4080" t="s">
        <v>16</v>
      </c>
    </row>
    <row r="4081" spans="1:13" x14ac:dyDescent="0.35">
      <c r="A4081">
        <v>411210</v>
      </c>
      <c r="B4081">
        <v>35416</v>
      </c>
      <c r="C4081" t="s">
        <v>4239</v>
      </c>
      <c r="D4081" t="s">
        <v>4063</v>
      </c>
      <c r="E4081" t="s">
        <v>4091</v>
      </c>
      <c r="F4081">
        <v>19534</v>
      </c>
      <c r="G4081">
        <v>1</v>
      </c>
      <c r="H4081" t="s">
        <v>16</v>
      </c>
      <c r="I4081" s="1">
        <v>-2360300</v>
      </c>
      <c r="J4081" s="1">
        <v>-5164300</v>
      </c>
      <c r="K4081">
        <v>807</v>
      </c>
      <c r="L4081">
        <v>187</v>
      </c>
      <c r="M4081" t="s">
        <v>16</v>
      </c>
    </row>
    <row r="4082" spans="1:13" x14ac:dyDescent="0.35">
      <c r="A4082">
        <v>411220</v>
      </c>
      <c r="B4082">
        <v>35424</v>
      </c>
      <c r="C4082" t="s">
        <v>4240</v>
      </c>
      <c r="D4082" t="s">
        <v>4063</v>
      </c>
      <c r="E4082" t="s">
        <v>4072</v>
      </c>
      <c r="F4082">
        <v>7032</v>
      </c>
      <c r="G4082">
        <v>1</v>
      </c>
      <c r="H4082" t="s">
        <v>16</v>
      </c>
      <c r="I4082" s="1">
        <v>-2414200</v>
      </c>
      <c r="J4082" s="1">
        <v>-5278200</v>
      </c>
      <c r="K4082">
        <v>560</v>
      </c>
      <c r="L4082">
        <v>335</v>
      </c>
      <c r="M4082" t="s">
        <v>16</v>
      </c>
    </row>
    <row r="4083" spans="1:13" x14ac:dyDescent="0.35">
      <c r="A4083">
        <v>411230</v>
      </c>
      <c r="B4083">
        <v>35432</v>
      </c>
      <c r="C4083" t="s">
        <v>4241</v>
      </c>
      <c r="D4083" t="s">
        <v>4063</v>
      </c>
      <c r="E4083" t="s">
        <v>4162</v>
      </c>
      <c r="F4083">
        <v>4694</v>
      </c>
      <c r="G4083">
        <v>1</v>
      </c>
      <c r="H4083" t="s">
        <v>16</v>
      </c>
      <c r="I4083" s="1">
        <v>-2381300</v>
      </c>
      <c r="J4083" s="1">
        <v>-5013900</v>
      </c>
      <c r="K4083">
        <v>660</v>
      </c>
      <c r="L4083">
        <v>189</v>
      </c>
      <c r="M4083" t="s">
        <v>16</v>
      </c>
    </row>
    <row r="4084" spans="1:13" x14ac:dyDescent="0.35">
      <c r="A4084">
        <v>411240</v>
      </c>
      <c r="B4084">
        <v>35440</v>
      </c>
      <c r="C4084" t="s">
        <v>136</v>
      </c>
      <c r="D4084" t="s">
        <v>4063</v>
      </c>
      <c r="E4084" t="s">
        <v>4155</v>
      </c>
      <c r="F4084">
        <v>8248</v>
      </c>
      <c r="G4084">
        <v>1</v>
      </c>
      <c r="H4084" t="s">
        <v>16</v>
      </c>
      <c r="I4084" s="1">
        <v>-2347000</v>
      </c>
      <c r="J4084" s="1">
        <v>-5255300</v>
      </c>
      <c r="K4084">
        <v>344</v>
      </c>
      <c r="L4084">
        <v>165</v>
      </c>
      <c r="M4084" t="s">
        <v>16</v>
      </c>
    </row>
    <row r="4085" spans="1:13" x14ac:dyDescent="0.35">
      <c r="A4085">
        <v>411250</v>
      </c>
      <c r="B4085">
        <v>35459</v>
      </c>
      <c r="C4085" t="s">
        <v>4242</v>
      </c>
      <c r="D4085" t="s">
        <v>4063</v>
      </c>
      <c r="E4085" t="s">
        <v>4096</v>
      </c>
      <c r="F4085">
        <v>14315</v>
      </c>
      <c r="G4085">
        <v>1</v>
      </c>
      <c r="H4085" t="s">
        <v>16</v>
      </c>
      <c r="I4085" s="1">
        <v>-2417900</v>
      </c>
      <c r="J4085" s="1">
        <v>-5169200</v>
      </c>
      <c r="K4085">
        <v>652</v>
      </c>
      <c r="L4085">
        <v>393</v>
      </c>
      <c r="M4085" t="s">
        <v>16</v>
      </c>
    </row>
    <row r="4086" spans="1:13" x14ac:dyDescent="0.35">
      <c r="A4086">
        <v>411260</v>
      </c>
      <c r="B4086">
        <v>35467</v>
      </c>
      <c r="C4086" t="s">
        <v>4243</v>
      </c>
      <c r="D4086" t="s">
        <v>4063</v>
      </c>
      <c r="E4086" t="s">
        <v>4076</v>
      </c>
      <c r="F4086">
        <v>1461</v>
      </c>
      <c r="G4086">
        <v>1</v>
      </c>
      <c r="H4086" t="s">
        <v>16</v>
      </c>
      <c r="I4086" s="1">
        <v>-2254900</v>
      </c>
      <c r="J4086" s="1">
        <v>-5206100</v>
      </c>
      <c r="K4086">
        <v>260</v>
      </c>
      <c r="L4086">
        <v>128</v>
      </c>
      <c r="M4086" t="s">
        <v>16</v>
      </c>
    </row>
    <row r="4087" spans="1:13" x14ac:dyDescent="0.35">
      <c r="A4087">
        <v>411270</v>
      </c>
      <c r="B4087">
        <v>35475</v>
      </c>
      <c r="C4087" t="s">
        <v>4244</v>
      </c>
      <c r="D4087" t="s">
        <v>4063</v>
      </c>
      <c r="E4087" t="s">
        <v>4101</v>
      </c>
      <c r="F4087">
        <v>11244</v>
      </c>
      <c r="G4087">
        <v>4</v>
      </c>
      <c r="H4087" t="s">
        <v>4112</v>
      </c>
      <c r="I4087" s="1">
        <v>-2325400</v>
      </c>
      <c r="J4087" s="1">
        <v>-5098000</v>
      </c>
      <c r="K4087">
        <v>352</v>
      </c>
      <c r="L4087">
        <v>159</v>
      </c>
      <c r="M4087" t="s">
        <v>16</v>
      </c>
    </row>
    <row r="4088" spans="1:13" x14ac:dyDescent="0.35">
      <c r="A4088">
        <v>411275</v>
      </c>
      <c r="B4088">
        <v>45284</v>
      </c>
      <c r="C4088" t="s">
        <v>4245</v>
      </c>
      <c r="D4088" t="s">
        <v>4063</v>
      </c>
      <c r="E4088" t="s">
        <v>3198</v>
      </c>
      <c r="F4088">
        <v>8825</v>
      </c>
      <c r="G4088">
        <v>1</v>
      </c>
      <c r="H4088" t="s">
        <v>16</v>
      </c>
      <c r="I4088" s="1">
        <v>-2438500</v>
      </c>
      <c r="J4088" s="1">
        <v>-5338800</v>
      </c>
      <c r="K4088">
        <v>489</v>
      </c>
      <c r="L4088">
        <v>247</v>
      </c>
      <c r="M4088" t="s">
        <v>16</v>
      </c>
    </row>
    <row r="4089" spans="1:13" x14ac:dyDescent="0.35">
      <c r="A4089">
        <v>411280</v>
      </c>
      <c r="B4089">
        <v>35483</v>
      </c>
      <c r="C4089" t="s">
        <v>4246</v>
      </c>
      <c r="D4089" t="s">
        <v>4063</v>
      </c>
      <c r="E4089" t="s">
        <v>3237</v>
      </c>
      <c r="F4089">
        <v>10247</v>
      </c>
      <c r="G4089">
        <v>1</v>
      </c>
      <c r="H4089" t="s">
        <v>16</v>
      </c>
      <c r="I4089" s="1">
        <v>-2349900</v>
      </c>
      <c r="J4089" s="1">
        <v>-4990500</v>
      </c>
      <c r="K4089">
        <v>620</v>
      </c>
      <c r="L4089">
        <v>289</v>
      </c>
      <c r="M4089" t="s">
        <v>16</v>
      </c>
    </row>
    <row r="4090" spans="1:13" x14ac:dyDescent="0.35">
      <c r="A4090">
        <v>411290</v>
      </c>
      <c r="B4090">
        <v>35491</v>
      </c>
      <c r="C4090" t="s">
        <v>4247</v>
      </c>
      <c r="D4090" t="s">
        <v>4063</v>
      </c>
      <c r="E4090" t="s">
        <v>4109</v>
      </c>
      <c r="F4090">
        <v>3654</v>
      </c>
      <c r="G4090">
        <v>1</v>
      </c>
      <c r="H4090" t="s">
        <v>16</v>
      </c>
      <c r="I4090" s="1">
        <v>-2343700</v>
      </c>
      <c r="J4090" s="1">
        <v>-5024800</v>
      </c>
      <c r="K4090">
        <v>520</v>
      </c>
      <c r="L4090">
        <v>320</v>
      </c>
      <c r="M4090" t="s">
        <v>16</v>
      </c>
    </row>
    <row r="4091" spans="1:13" x14ac:dyDescent="0.35">
      <c r="A4091">
        <v>411295</v>
      </c>
      <c r="B4091">
        <v>45349</v>
      </c>
      <c r="C4091" t="s">
        <v>4248</v>
      </c>
      <c r="D4091" t="s">
        <v>4063</v>
      </c>
      <c r="E4091" t="s">
        <v>4072</v>
      </c>
      <c r="F4091">
        <v>7684</v>
      </c>
      <c r="G4091">
        <v>1</v>
      </c>
      <c r="H4091" t="s">
        <v>16</v>
      </c>
      <c r="I4091" s="1">
        <v>-2442000</v>
      </c>
      <c r="J4091" s="1">
        <v>-5284300</v>
      </c>
      <c r="K4091">
        <v>521</v>
      </c>
      <c r="L4091">
        <v>349</v>
      </c>
      <c r="M4091" t="s">
        <v>16</v>
      </c>
    </row>
    <row r="4092" spans="1:13" x14ac:dyDescent="0.35">
      <c r="A4092">
        <v>411300</v>
      </c>
      <c r="B4092">
        <v>35505</v>
      </c>
      <c r="C4092" t="s">
        <v>2199</v>
      </c>
      <c r="D4092" t="s">
        <v>4063</v>
      </c>
      <c r="E4092" t="s">
        <v>4155</v>
      </c>
      <c r="F4092">
        <v>6090</v>
      </c>
      <c r="G4092">
        <v>1</v>
      </c>
      <c r="H4092" t="s">
        <v>16</v>
      </c>
      <c r="I4092" s="1">
        <v>-2362100</v>
      </c>
      <c r="J4092" s="1">
        <v>-5246900</v>
      </c>
      <c r="K4092">
        <v>382</v>
      </c>
      <c r="L4092">
        <v>210</v>
      </c>
      <c r="M4092" t="s">
        <v>16</v>
      </c>
    </row>
    <row r="4093" spans="1:13" x14ac:dyDescent="0.35">
      <c r="A4093">
        <v>411310</v>
      </c>
      <c r="B4093">
        <v>35513</v>
      </c>
      <c r="C4093" t="s">
        <v>4249</v>
      </c>
      <c r="D4093" t="s">
        <v>4063</v>
      </c>
      <c r="E4093" t="s">
        <v>4121</v>
      </c>
      <c r="F4093">
        <v>4664</v>
      </c>
      <c r="G4093">
        <v>1</v>
      </c>
      <c r="H4093" t="s">
        <v>16</v>
      </c>
      <c r="I4093" s="1">
        <v>-2381700</v>
      </c>
      <c r="J4093" s="1">
        <v>-5166800</v>
      </c>
      <c r="K4093">
        <v>520</v>
      </c>
      <c r="L4093">
        <v>193</v>
      </c>
      <c r="M4093" t="s">
        <v>16</v>
      </c>
    </row>
    <row r="4094" spans="1:13" x14ac:dyDescent="0.35">
      <c r="A4094">
        <v>411320</v>
      </c>
      <c r="B4094">
        <v>35521</v>
      </c>
      <c r="C4094" t="s">
        <v>4250</v>
      </c>
      <c r="D4094" t="s">
        <v>4063</v>
      </c>
      <c r="E4094" t="s">
        <v>4250</v>
      </c>
      <c r="F4094">
        <v>41679</v>
      </c>
      <c r="G4094">
        <v>4</v>
      </c>
      <c r="H4094" t="s">
        <v>4067</v>
      </c>
      <c r="I4094" s="1">
        <v>-2577000</v>
      </c>
      <c r="J4094" s="1">
        <v>-4971600</v>
      </c>
      <c r="K4094">
        <v>908</v>
      </c>
      <c r="L4094">
        <v>2045</v>
      </c>
      <c r="M4094" t="s">
        <v>16</v>
      </c>
    </row>
    <row r="4095" spans="1:13" x14ac:dyDescent="0.35">
      <c r="A4095">
        <v>411325</v>
      </c>
      <c r="B4095">
        <v>48585</v>
      </c>
      <c r="C4095" t="s">
        <v>2850</v>
      </c>
      <c r="D4095" t="s">
        <v>4063</v>
      </c>
      <c r="E4095" t="s">
        <v>4117</v>
      </c>
      <c r="F4095">
        <v>6322</v>
      </c>
      <c r="G4095">
        <v>1</v>
      </c>
      <c r="H4095" t="s">
        <v>16</v>
      </c>
      <c r="I4095" s="1">
        <v>-2488700</v>
      </c>
      <c r="J4095" s="1">
        <v>-5246900</v>
      </c>
      <c r="K4095">
        <v>740</v>
      </c>
      <c r="L4095">
        <v>559</v>
      </c>
      <c r="M4095" t="s">
        <v>16</v>
      </c>
    </row>
    <row r="4096" spans="1:13" x14ac:dyDescent="0.35">
      <c r="A4096">
        <v>411330</v>
      </c>
      <c r="B4096">
        <v>35530</v>
      </c>
      <c r="C4096" t="s">
        <v>4251</v>
      </c>
      <c r="D4096" t="s">
        <v>4063</v>
      </c>
      <c r="E4096" t="s">
        <v>4136</v>
      </c>
      <c r="F4096">
        <v>30481</v>
      </c>
      <c r="G4096">
        <v>1</v>
      </c>
      <c r="H4096" t="s">
        <v>16</v>
      </c>
      <c r="I4096" s="1">
        <v>-2540800</v>
      </c>
      <c r="J4096" s="1">
        <v>-5241600</v>
      </c>
      <c r="K4096">
        <v>840</v>
      </c>
      <c r="L4096">
        <v>671</v>
      </c>
      <c r="M4096" t="s">
        <v>16</v>
      </c>
    </row>
    <row r="4097" spans="1:13" x14ac:dyDescent="0.35">
      <c r="A4097">
        <v>411340</v>
      </c>
      <c r="B4097">
        <v>35548</v>
      </c>
      <c r="C4097" t="s">
        <v>4252</v>
      </c>
      <c r="D4097" t="s">
        <v>4063</v>
      </c>
      <c r="E4097" t="s">
        <v>4064</v>
      </c>
      <c r="F4097">
        <v>4230</v>
      </c>
      <c r="G4097">
        <v>1</v>
      </c>
      <c r="H4097" t="s">
        <v>16</v>
      </c>
      <c r="I4097" s="1">
        <v>-2308000</v>
      </c>
      <c r="J4097" s="1">
        <v>-5075100</v>
      </c>
      <c r="K4097">
        <v>486</v>
      </c>
      <c r="L4097">
        <v>344</v>
      </c>
      <c r="M4097" t="s">
        <v>16</v>
      </c>
    </row>
    <row r="4098" spans="1:13" x14ac:dyDescent="0.35">
      <c r="A4098">
        <v>411342</v>
      </c>
      <c r="B4098">
        <v>48569</v>
      </c>
      <c r="C4098" t="s">
        <v>4253</v>
      </c>
      <c r="D4098" t="s">
        <v>4063</v>
      </c>
      <c r="E4098" t="s">
        <v>4096</v>
      </c>
      <c r="F4098">
        <v>4123</v>
      </c>
      <c r="G4098">
        <v>1</v>
      </c>
      <c r="H4098" t="s">
        <v>16</v>
      </c>
      <c r="I4098" s="1">
        <v>-2410900</v>
      </c>
      <c r="J4098" s="1">
        <v>-5165300</v>
      </c>
      <c r="K4098">
        <v>570</v>
      </c>
      <c r="L4098">
        <v>169</v>
      </c>
      <c r="M4098" t="s">
        <v>16</v>
      </c>
    </row>
    <row r="4099" spans="1:13" x14ac:dyDescent="0.35">
      <c r="A4099">
        <v>411345</v>
      </c>
      <c r="B4099">
        <v>48577</v>
      </c>
      <c r="C4099" t="s">
        <v>4254</v>
      </c>
      <c r="D4099" t="s">
        <v>4063</v>
      </c>
      <c r="E4099" t="s">
        <v>1059</v>
      </c>
      <c r="F4099">
        <v>5446</v>
      </c>
      <c r="G4099">
        <v>1</v>
      </c>
      <c r="H4099" t="s">
        <v>16</v>
      </c>
      <c r="I4099" s="1">
        <v>-2526000</v>
      </c>
      <c r="J4099" s="1">
        <v>-5357600</v>
      </c>
      <c r="K4099">
        <v>585</v>
      </c>
      <c r="L4099">
        <v>361</v>
      </c>
      <c r="M4099" t="s">
        <v>16</v>
      </c>
    </row>
    <row r="4100" spans="1:13" x14ac:dyDescent="0.35">
      <c r="A4100">
        <v>411350</v>
      </c>
      <c r="B4100">
        <v>35556</v>
      </c>
      <c r="C4100" t="s">
        <v>4255</v>
      </c>
      <c r="D4100" t="s">
        <v>4063</v>
      </c>
      <c r="E4100" t="s">
        <v>4076</v>
      </c>
      <c r="F4100">
        <v>19464</v>
      </c>
      <c r="G4100">
        <v>1</v>
      </c>
      <c r="H4100" t="s">
        <v>16</v>
      </c>
      <c r="I4100" s="1">
        <v>-2292300</v>
      </c>
      <c r="J4100" s="1">
        <v>-5313700</v>
      </c>
      <c r="K4100">
        <v>495</v>
      </c>
      <c r="L4100">
        <v>722</v>
      </c>
      <c r="M4100" t="s">
        <v>16</v>
      </c>
    </row>
    <row r="4101" spans="1:13" x14ac:dyDescent="0.35">
      <c r="A4101">
        <v>411360</v>
      </c>
      <c r="B4101">
        <v>35564</v>
      </c>
      <c r="C4101" t="s">
        <v>4256</v>
      </c>
      <c r="D4101" t="s">
        <v>4063</v>
      </c>
      <c r="E4101" t="s">
        <v>4085</v>
      </c>
      <c r="F4101">
        <v>4219</v>
      </c>
      <c r="G4101">
        <v>1</v>
      </c>
      <c r="H4101" t="s">
        <v>16</v>
      </c>
      <c r="I4101" s="1">
        <v>-2300800</v>
      </c>
      <c r="J4101" s="1">
        <v>-5195100</v>
      </c>
      <c r="K4101">
        <v>450</v>
      </c>
      <c r="L4101">
        <v>240</v>
      </c>
      <c r="M4101" t="s">
        <v>16</v>
      </c>
    </row>
    <row r="4102" spans="1:13" x14ac:dyDescent="0.35">
      <c r="A4102">
        <v>411370</v>
      </c>
      <c r="B4102">
        <v>35572</v>
      </c>
      <c r="C4102" t="s">
        <v>4132</v>
      </c>
      <c r="D4102" t="s">
        <v>4063</v>
      </c>
      <c r="E4102" t="s">
        <v>4132</v>
      </c>
      <c r="F4102">
        <v>497833</v>
      </c>
      <c r="G4102">
        <v>4</v>
      </c>
      <c r="H4102" t="s">
        <v>4112</v>
      </c>
      <c r="I4102" s="1">
        <v>-2331000</v>
      </c>
      <c r="J4102" s="1">
        <v>-5116300</v>
      </c>
      <c r="K4102">
        <v>585</v>
      </c>
      <c r="L4102">
        <v>1650</v>
      </c>
      <c r="M4102" t="s">
        <v>16</v>
      </c>
    </row>
    <row r="4103" spans="1:13" x14ac:dyDescent="0.35">
      <c r="A4103">
        <v>411373</v>
      </c>
      <c r="B4103">
        <v>45870</v>
      </c>
      <c r="C4103" t="s">
        <v>4257</v>
      </c>
      <c r="D4103" t="s">
        <v>4063</v>
      </c>
      <c r="E4103" t="s">
        <v>4097</v>
      </c>
      <c r="F4103">
        <v>7204</v>
      </c>
      <c r="G4103">
        <v>1</v>
      </c>
      <c r="H4103" t="s">
        <v>16</v>
      </c>
      <c r="I4103" s="1">
        <v>-2428600</v>
      </c>
      <c r="J4103" s="1">
        <v>-5227600</v>
      </c>
      <c r="K4103">
        <v>752</v>
      </c>
      <c r="L4103">
        <v>908</v>
      </c>
      <c r="M4103" t="s">
        <v>16</v>
      </c>
    </row>
    <row r="4104" spans="1:13" x14ac:dyDescent="0.35">
      <c r="A4104">
        <v>411375</v>
      </c>
      <c r="B4104">
        <v>45039</v>
      </c>
      <c r="C4104" t="s">
        <v>4258</v>
      </c>
      <c r="D4104" t="s">
        <v>4063</v>
      </c>
      <c r="E4104" t="s">
        <v>4096</v>
      </c>
      <c r="F4104">
        <v>5082</v>
      </c>
      <c r="G4104">
        <v>1</v>
      </c>
      <c r="H4104" t="s">
        <v>16</v>
      </c>
      <c r="I4104" s="1">
        <v>-2407900</v>
      </c>
      <c r="J4104" s="1">
        <v>-5173800</v>
      </c>
      <c r="K4104">
        <v>640</v>
      </c>
      <c r="L4104">
        <v>199</v>
      </c>
      <c r="M4104" t="s">
        <v>16</v>
      </c>
    </row>
    <row r="4105" spans="1:13" x14ac:dyDescent="0.35">
      <c r="A4105">
        <v>411380</v>
      </c>
      <c r="B4105">
        <v>35580</v>
      </c>
      <c r="C4105" t="s">
        <v>4259</v>
      </c>
      <c r="D4105" t="s">
        <v>4063</v>
      </c>
      <c r="E4105" t="s">
        <v>4085</v>
      </c>
      <c r="F4105">
        <v>4375</v>
      </c>
      <c r="G4105">
        <v>1</v>
      </c>
      <c r="H4105" t="s">
        <v>16</v>
      </c>
      <c r="I4105" s="1">
        <v>-2275500</v>
      </c>
      <c r="J4105" s="1">
        <v>-5165700</v>
      </c>
      <c r="K4105">
        <v>350</v>
      </c>
      <c r="L4105">
        <v>121</v>
      </c>
      <c r="M4105" t="s">
        <v>16</v>
      </c>
    </row>
    <row r="4106" spans="1:13" x14ac:dyDescent="0.35">
      <c r="A4106">
        <v>411390</v>
      </c>
      <c r="B4106">
        <v>35599</v>
      </c>
      <c r="C4106" t="s">
        <v>4260</v>
      </c>
      <c r="D4106" t="s">
        <v>4063</v>
      </c>
      <c r="E4106" t="s">
        <v>4224</v>
      </c>
      <c r="F4106">
        <v>12414</v>
      </c>
      <c r="G4106">
        <v>1</v>
      </c>
      <c r="H4106" t="s">
        <v>16</v>
      </c>
      <c r="I4106" s="1">
        <v>-2587800</v>
      </c>
      <c r="J4106" s="1">
        <v>-5082100</v>
      </c>
      <c r="K4106">
        <v>901</v>
      </c>
      <c r="L4106">
        <v>723</v>
      </c>
      <c r="M4106" t="s">
        <v>16</v>
      </c>
    </row>
    <row r="4107" spans="1:13" x14ac:dyDescent="0.35">
      <c r="A4107">
        <v>411400</v>
      </c>
      <c r="B4107">
        <v>35602</v>
      </c>
      <c r="C4107" t="s">
        <v>4261</v>
      </c>
      <c r="D4107" t="s">
        <v>4063</v>
      </c>
      <c r="E4107" t="s">
        <v>4097</v>
      </c>
      <c r="F4107">
        <v>14132</v>
      </c>
      <c r="G4107">
        <v>1</v>
      </c>
      <c r="H4107" t="s">
        <v>16</v>
      </c>
      <c r="I4107" s="1">
        <v>-2431900</v>
      </c>
      <c r="J4107" s="1">
        <v>-5253000</v>
      </c>
      <c r="K4107">
        <v>762</v>
      </c>
      <c r="L4107">
        <v>778</v>
      </c>
      <c r="M4107" t="s">
        <v>16</v>
      </c>
    </row>
    <row r="4108" spans="1:13" x14ac:dyDescent="0.35">
      <c r="A4108">
        <v>411410</v>
      </c>
      <c r="B4108">
        <v>35610</v>
      </c>
      <c r="C4108" t="s">
        <v>4262</v>
      </c>
      <c r="D4108" t="s">
        <v>4063</v>
      </c>
      <c r="E4108" t="s">
        <v>4085</v>
      </c>
      <c r="F4108">
        <v>18259</v>
      </c>
      <c r="G4108">
        <v>4</v>
      </c>
      <c r="H4108" t="s">
        <v>4086</v>
      </c>
      <c r="I4108" s="1">
        <v>-2334700</v>
      </c>
      <c r="J4108" s="1">
        <v>-5209500</v>
      </c>
      <c r="K4108">
        <v>580</v>
      </c>
      <c r="L4108">
        <v>294</v>
      </c>
      <c r="M4108" t="s">
        <v>16</v>
      </c>
    </row>
    <row r="4109" spans="1:13" x14ac:dyDescent="0.35">
      <c r="A4109">
        <v>411420</v>
      </c>
      <c r="B4109">
        <v>35629</v>
      </c>
      <c r="C4109" t="s">
        <v>4263</v>
      </c>
      <c r="D4109" t="s">
        <v>4063</v>
      </c>
      <c r="E4109" t="s">
        <v>4264</v>
      </c>
      <c r="F4109">
        <v>31890</v>
      </c>
      <c r="G4109">
        <v>4</v>
      </c>
      <c r="H4109" t="s">
        <v>4086</v>
      </c>
      <c r="I4109" s="1">
        <v>-2354800</v>
      </c>
      <c r="J4109" s="1">
        <v>-5167100</v>
      </c>
      <c r="K4109">
        <v>741</v>
      </c>
      <c r="L4109">
        <v>335</v>
      </c>
      <c r="M4109" t="s">
        <v>16</v>
      </c>
    </row>
    <row r="4110" spans="1:13" x14ac:dyDescent="0.35">
      <c r="A4110">
        <v>411430</v>
      </c>
      <c r="B4110">
        <v>35637</v>
      </c>
      <c r="C4110" t="s">
        <v>4265</v>
      </c>
      <c r="D4110" t="s">
        <v>4063</v>
      </c>
      <c r="E4110" t="s">
        <v>4070</v>
      </c>
      <c r="F4110">
        <v>20408</v>
      </c>
      <c r="G4110">
        <v>4</v>
      </c>
      <c r="H4110" t="s">
        <v>4067</v>
      </c>
      <c r="I4110" s="1">
        <v>-2577900</v>
      </c>
      <c r="J4110" s="1">
        <v>-4932600</v>
      </c>
      <c r="K4110">
        <v>925</v>
      </c>
      <c r="L4110">
        <v>379</v>
      </c>
      <c r="M4110" t="s">
        <v>16</v>
      </c>
    </row>
    <row r="4111" spans="1:13" x14ac:dyDescent="0.35">
      <c r="A4111">
        <v>411435</v>
      </c>
      <c r="B4111">
        <v>54119</v>
      </c>
      <c r="C4111" t="s">
        <v>4266</v>
      </c>
      <c r="D4111" t="s">
        <v>4063</v>
      </c>
      <c r="E4111" t="s">
        <v>4107</v>
      </c>
      <c r="F4111">
        <v>3306</v>
      </c>
      <c r="G4111">
        <v>1</v>
      </c>
      <c r="H4111" t="s">
        <v>16</v>
      </c>
      <c r="I4111" s="1">
        <v>-2614400</v>
      </c>
      <c r="J4111" s="1">
        <v>-5331100</v>
      </c>
      <c r="K4111">
        <v>650</v>
      </c>
      <c r="L4111">
        <v>215</v>
      </c>
      <c r="M4111" t="s">
        <v>16</v>
      </c>
    </row>
    <row r="4112" spans="1:13" x14ac:dyDescent="0.35">
      <c r="A4112">
        <v>411440</v>
      </c>
      <c r="B4112">
        <v>35645</v>
      </c>
      <c r="C4112" t="s">
        <v>4267</v>
      </c>
      <c r="D4112" t="s">
        <v>4063</v>
      </c>
      <c r="E4112" t="s">
        <v>537</v>
      </c>
      <c r="F4112">
        <v>17119</v>
      </c>
      <c r="G4112">
        <v>1</v>
      </c>
      <c r="H4112" t="s">
        <v>16</v>
      </c>
      <c r="I4112" s="1">
        <v>-2594100</v>
      </c>
      <c r="J4112" s="1">
        <v>-5217600</v>
      </c>
      <c r="K4112">
        <v>921</v>
      </c>
      <c r="L4112">
        <v>1073</v>
      </c>
      <c r="M4112" t="s">
        <v>16</v>
      </c>
    </row>
    <row r="4113" spans="1:13" x14ac:dyDescent="0.35">
      <c r="A4113">
        <v>411450</v>
      </c>
      <c r="B4113">
        <v>35653</v>
      </c>
      <c r="C4113" t="s">
        <v>4268</v>
      </c>
      <c r="D4113" t="s">
        <v>4063</v>
      </c>
      <c r="E4113" t="s">
        <v>4096</v>
      </c>
      <c r="F4113">
        <v>12762</v>
      </c>
      <c r="G4113">
        <v>1</v>
      </c>
      <c r="H4113" t="s">
        <v>16</v>
      </c>
      <c r="I4113" s="1">
        <v>-2451600</v>
      </c>
      <c r="J4113" s="1">
        <v>-5166800</v>
      </c>
      <c r="K4113">
        <v>880</v>
      </c>
      <c r="L4113">
        <v>571</v>
      </c>
      <c r="M4113" t="s">
        <v>16</v>
      </c>
    </row>
    <row r="4114" spans="1:13" x14ac:dyDescent="0.35">
      <c r="A4114">
        <v>411460</v>
      </c>
      <c r="B4114">
        <v>35661</v>
      </c>
      <c r="C4114" t="s">
        <v>4269</v>
      </c>
      <c r="D4114" t="s">
        <v>4063</v>
      </c>
      <c r="E4114" t="s">
        <v>3198</v>
      </c>
      <c r="F4114">
        <v>44562</v>
      </c>
      <c r="G4114">
        <v>1</v>
      </c>
      <c r="H4114" t="s">
        <v>16</v>
      </c>
      <c r="I4114" s="1">
        <v>-2455600</v>
      </c>
      <c r="J4114" s="1">
        <v>-5405700</v>
      </c>
      <c r="K4114">
        <v>410</v>
      </c>
      <c r="L4114">
        <v>748</v>
      </c>
      <c r="M4114" t="s">
        <v>16</v>
      </c>
    </row>
    <row r="4115" spans="1:13" x14ac:dyDescent="0.35">
      <c r="A4115">
        <v>411470</v>
      </c>
      <c r="B4115">
        <v>35670</v>
      </c>
      <c r="C4115" t="s">
        <v>4270</v>
      </c>
      <c r="D4115" t="s">
        <v>4063</v>
      </c>
      <c r="E4115" t="s">
        <v>4074</v>
      </c>
      <c r="F4115">
        <v>6012</v>
      </c>
      <c r="G4115">
        <v>1</v>
      </c>
      <c r="H4115" t="s">
        <v>16</v>
      </c>
      <c r="I4115" s="1">
        <v>-2361600</v>
      </c>
      <c r="J4115" s="1">
        <v>-5320500</v>
      </c>
      <c r="K4115">
        <v>373</v>
      </c>
      <c r="L4115">
        <v>486</v>
      </c>
      <c r="M4115" t="s">
        <v>16</v>
      </c>
    </row>
    <row r="4116" spans="1:13" x14ac:dyDescent="0.35">
      <c r="A4116">
        <v>411480</v>
      </c>
      <c r="B4116">
        <v>35688</v>
      </c>
      <c r="C4116" t="s">
        <v>4271</v>
      </c>
      <c r="D4116" t="s">
        <v>4063</v>
      </c>
      <c r="E4116" t="s">
        <v>4264</v>
      </c>
      <c r="F4116">
        <v>30017</v>
      </c>
      <c r="G4116">
        <v>4</v>
      </c>
      <c r="H4116" t="s">
        <v>4086</v>
      </c>
      <c r="I4116" s="1">
        <v>-2348500</v>
      </c>
      <c r="J4116" s="1">
        <v>-5179200</v>
      </c>
      <c r="K4116">
        <v>670</v>
      </c>
      <c r="L4116">
        <v>475</v>
      </c>
      <c r="M4116" t="s">
        <v>16</v>
      </c>
    </row>
    <row r="4117" spans="1:13" x14ac:dyDescent="0.35">
      <c r="A4117">
        <v>411490</v>
      </c>
      <c r="B4117">
        <v>35700</v>
      </c>
      <c r="C4117" t="s">
        <v>4272</v>
      </c>
      <c r="D4117" t="s">
        <v>4063</v>
      </c>
      <c r="E4117" t="s">
        <v>4091</v>
      </c>
      <c r="F4117">
        <v>8932</v>
      </c>
      <c r="G4117">
        <v>1</v>
      </c>
      <c r="H4117" t="s">
        <v>16</v>
      </c>
      <c r="I4117" s="1">
        <v>-2374500</v>
      </c>
      <c r="J4117" s="1">
        <v>-5130800</v>
      </c>
      <c r="K4117">
        <v>758</v>
      </c>
      <c r="L4117">
        <v>384</v>
      </c>
      <c r="M4117" t="s">
        <v>16</v>
      </c>
    </row>
    <row r="4118" spans="1:13" x14ac:dyDescent="0.35">
      <c r="A4118">
        <v>411500</v>
      </c>
      <c r="B4118">
        <v>35696</v>
      </c>
      <c r="C4118" t="s">
        <v>4273</v>
      </c>
      <c r="D4118" t="s">
        <v>4063</v>
      </c>
      <c r="E4118" t="s">
        <v>4076</v>
      </c>
      <c r="F4118">
        <v>6541</v>
      </c>
      <c r="G4118">
        <v>1</v>
      </c>
      <c r="H4118" t="s">
        <v>16</v>
      </c>
      <c r="I4118" s="1">
        <v>-2273600</v>
      </c>
      <c r="J4118" s="1">
        <v>-5304000</v>
      </c>
      <c r="K4118">
        <v>380</v>
      </c>
      <c r="L4118">
        <v>232</v>
      </c>
      <c r="M4118" t="s">
        <v>16</v>
      </c>
    </row>
    <row r="4119" spans="1:13" x14ac:dyDescent="0.35">
      <c r="A4119">
        <v>411510</v>
      </c>
      <c r="B4119">
        <v>35718</v>
      </c>
      <c r="C4119" t="s">
        <v>4274</v>
      </c>
      <c r="D4119" t="s">
        <v>4063</v>
      </c>
      <c r="E4119" t="s">
        <v>4074</v>
      </c>
      <c r="F4119">
        <v>10461</v>
      </c>
      <c r="G4119">
        <v>1</v>
      </c>
      <c r="H4119" t="s">
        <v>16</v>
      </c>
      <c r="I4119" s="1">
        <v>-2400200</v>
      </c>
      <c r="J4119" s="1">
        <v>-5314600</v>
      </c>
      <c r="K4119">
        <v>453</v>
      </c>
      <c r="L4119">
        <v>433</v>
      </c>
      <c r="M4119" t="s">
        <v>16</v>
      </c>
    </row>
    <row r="4120" spans="1:13" x14ac:dyDescent="0.35">
      <c r="A4120">
        <v>411520</v>
      </c>
      <c r="B4120">
        <v>35726</v>
      </c>
      <c r="C4120" t="s">
        <v>4275</v>
      </c>
      <c r="D4120" t="s">
        <v>4063</v>
      </c>
      <c r="E4120" t="s">
        <v>4264</v>
      </c>
      <c r="F4120">
        <v>325968</v>
      </c>
      <c r="G4120">
        <v>4</v>
      </c>
      <c r="H4120" t="s">
        <v>4086</v>
      </c>
      <c r="I4120" s="1">
        <v>-2342500</v>
      </c>
      <c r="J4120" s="1">
        <v>-5193900</v>
      </c>
      <c r="K4120">
        <v>596</v>
      </c>
      <c r="L4120">
        <v>487</v>
      </c>
      <c r="M4120" t="s">
        <v>16</v>
      </c>
    </row>
    <row r="4121" spans="1:13" x14ac:dyDescent="0.35">
      <c r="A4121">
        <v>411530</v>
      </c>
      <c r="B4121">
        <v>35734</v>
      </c>
      <c r="C4121" t="s">
        <v>4276</v>
      </c>
      <c r="D4121" t="s">
        <v>4063</v>
      </c>
      <c r="E4121" t="s">
        <v>4123</v>
      </c>
      <c r="F4121">
        <v>5805</v>
      </c>
      <c r="G4121">
        <v>1</v>
      </c>
      <c r="H4121" t="s">
        <v>16</v>
      </c>
      <c r="I4121" s="1">
        <v>-2635500</v>
      </c>
      <c r="J4121" s="1">
        <v>-5255900</v>
      </c>
      <c r="K4121">
        <v>879</v>
      </c>
      <c r="L4121">
        <v>230</v>
      </c>
      <c r="M4121" t="s">
        <v>16</v>
      </c>
    </row>
    <row r="4122" spans="1:13" x14ac:dyDescent="0.35">
      <c r="A4122">
        <v>411535</v>
      </c>
      <c r="B4122">
        <v>51608</v>
      </c>
      <c r="C4122" t="s">
        <v>4277</v>
      </c>
      <c r="D4122" t="s">
        <v>4063</v>
      </c>
      <c r="E4122" t="s">
        <v>3198</v>
      </c>
      <c r="F4122">
        <v>5571</v>
      </c>
      <c r="G4122">
        <v>1</v>
      </c>
      <c r="H4122" t="s">
        <v>16</v>
      </c>
      <c r="I4122" s="1">
        <v>-2441800</v>
      </c>
      <c r="J4122" s="1">
        <v>-5383000</v>
      </c>
      <c r="K4122">
        <v>402</v>
      </c>
      <c r="L4122">
        <v>283</v>
      </c>
      <c r="M4122" t="s">
        <v>16</v>
      </c>
    </row>
    <row r="4123" spans="1:13" x14ac:dyDescent="0.35">
      <c r="A4123">
        <v>411540</v>
      </c>
      <c r="B4123">
        <v>35742</v>
      </c>
      <c r="C4123" t="s">
        <v>4278</v>
      </c>
      <c r="D4123" t="s">
        <v>4063</v>
      </c>
      <c r="E4123" t="s">
        <v>4107</v>
      </c>
      <c r="F4123">
        <v>13156</v>
      </c>
      <c r="G4123">
        <v>1</v>
      </c>
      <c r="H4123" t="s">
        <v>16</v>
      </c>
      <c r="I4123" s="1">
        <v>-2614900</v>
      </c>
      <c r="J4123" s="1">
        <v>-5302600</v>
      </c>
      <c r="K4123">
        <v>660</v>
      </c>
      <c r="L4123">
        <v>387</v>
      </c>
      <c r="M4123" t="s">
        <v>16</v>
      </c>
    </row>
    <row r="4124" spans="1:13" x14ac:dyDescent="0.35">
      <c r="A4124">
        <v>411545</v>
      </c>
      <c r="B4124">
        <v>54127</v>
      </c>
      <c r="C4124" t="s">
        <v>4279</v>
      </c>
      <c r="D4124" t="s">
        <v>4063</v>
      </c>
      <c r="E4124" t="s">
        <v>4136</v>
      </c>
      <c r="F4124">
        <v>5205</v>
      </c>
      <c r="G4124">
        <v>1</v>
      </c>
      <c r="H4124" t="s">
        <v>16</v>
      </c>
      <c r="I4124" s="1">
        <v>-2511300</v>
      </c>
      <c r="J4124" s="1">
        <v>-5225400</v>
      </c>
      <c r="K4124">
        <v>836</v>
      </c>
      <c r="L4124">
        <v>511</v>
      </c>
      <c r="M4124" t="s">
        <v>16</v>
      </c>
    </row>
    <row r="4125" spans="1:13" x14ac:dyDescent="0.35">
      <c r="A4125">
        <v>411550</v>
      </c>
      <c r="B4125">
        <v>35750</v>
      </c>
      <c r="C4125" t="s">
        <v>4280</v>
      </c>
      <c r="D4125" t="s">
        <v>4063</v>
      </c>
      <c r="E4125" t="s">
        <v>4121</v>
      </c>
      <c r="F4125">
        <v>4142</v>
      </c>
      <c r="G4125">
        <v>1</v>
      </c>
      <c r="H4125" t="s">
        <v>16</v>
      </c>
      <c r="I4125" s="1">
        <v>-2370600</v>
      </c>
      <c r="J4125" s="1">
        <v>-5163900</v>
      </c>
      <c r="K4125">
        <v>650</v>
      </c>
      <c r="L4125">
        <v>208</v>
      </c>
      <c r="M4125" t="s">
        <v>16</v>
      </c>
    </row>
    <row r="4126" spans="1:13" x14ac:dyDescent="0.35">
      <c r="A4126">
        <v>411560</v>
      </c>
      <c r="B4126">
        <v>35769</v>
      </c>
      <c r="C4126" t="s">
        <v>4281</v>
      </c>
      <c r="D4126" t="s">
        <v>4063</v>
      </c>
      <c r="E4126" t="s">
        <v>4153</v>
      </c>
      <c r="F4126">
        <v>15404</v>
      </c>
      <c r="G4126">
        <v>1</v>
      </c>
      <c r="H4126" t="s">
        <v>16</v>
      </c>
      <c r="I4126" s="1">
        <v>-2524100</v>
      </c>
      <c r="J4126" s="1">
        <v>-5399600</v>
      </c>
      <c r="K4126">
        <v>555</v>
      </c>
      <c r="L4126">
        <v>639</v>
      </c>
      <c r="M4126" t="s">
        <v>16</v>
      </c>
    </row>
    <row r="4127" spans="1:13" x14ac:dyDescent="0.35">
      <c r="A4127">
        <v>411570</v>
      </c>
      <c r="B4127">
        <v>35777</v>
      </c>
      <c r="C4127" t="s">
        <v>4282</v>
      </c>
      <c r="D4127" t="s">
        <v>4063</v>
      </c>
      <c r="E4127" t="s">
        <v>4088</v>
      </c>
      <c r="F4127">
        <v>23357</v>
      </c>
      <c r="G4127">
        <v>1</v>
      </c>
      <c r="H4127" t="s">
        <v>16</v>
      </c>
      <c r="I4127" s="1">
        <v>-2581800</v>
      </c>
      <c r="J4127" s="1">
        <v>-4854300</v>
      </c>
      <c r="K4127">
        <v>15</v>
      </c>
      <c r="L4127">
        <v>117</v>
      </c>
      <c r="M4127" t="s">
        <v>16</v>
      </c>
    </row>
    <row r="4128" spans="1:13" x14ac:dyDescent="0.35">
      <c r="A4128">
        <v>411573</v>
      </c>
      <c r="B4128">
        <v>48615</v>
      </c>
      <c r="C4128" t="s">
        <v>4283</v>
      </c>
      <c r="D4128" t="s">
        <v>4063</v>
      </c>
      <c r="E4128" t="s">
        <v>4117</v>
      </c>
      <c r="F4128">
        <v>4156</v>
      </c>
      <c r="G4128">
        <v>1</v>
      </c>
      <c r="H4128" t="s">
        <v>16</v>
      </c>
      <c r="I4128" s="1">
        <v>-2470500</v>
      </c>
      <c r="J4128" s="1">
        <v>-5214600</v>
      </c>
      <c r="K4128">
        <v>700</v>
      </c>
      <c r="L4128">
        <v>394</v>
      </c>
      <c r="M4128" t="s">
        <v>16</v>
      </c>
    </row>
    <row r="4129" spans="1:13" x14ac:dyDescent="0.35">
      <c r="A4129">
        <v>411575</v>
      </c>
      <c r="B4129">
        <v>48607</v>
      </c>
      <c r="C4129" t="s">
        <v>4284</v>
      </c>
      <c r="D4129" t="s">
        <v>4063</v>
      </c>
      <c r="E4129" t="s">
        <v>4091</v>
      </c>
      <c r="F4129">
        <v>7814</v>
      </c>
      <c r="G4129">
        <v>1</v>
      </c>
      <c r="H4129" t="s">
        <v>16</v>
      </c>
      <c r="I4129" s="1">
        <v>-2390100</v>
      </c>
      <c r="J4129" s="1">
        <v>-5122900</v>
      </c>
      <c r="K4129">
        <v>1020</v>
      </c>
      <c r="L4129">
        <v>108</v>
      </c>
      <c r="M4129" t="s">
        <v>16</v>
      </c>
    </row>
    <row r="4130" spans="1:13" x14ac:dyDescent="0.35">
      <c r="A4130">
        <v>411580</v>
      </c>
      <c r="B4130">
        <v>35785</v>
      </c>
      <c r="C4130" t="s">
        <v>4285</v>
      </c>
      <c r="D4130" t="s">
        <v>4063</v>
      </c>
      <c r="E4130" t="s">
        <v>4153</v>
      </c>
      <c r="F4130">
        <v>38397</v>
      </c>
      <c r="G4130">
        <v>1</v>
      </c>
      <c r="H4130" t="s">
        <v>16</v>
      </c>
      <c r="I4130" s="1">
        <v>-2529500</v>
      </c>
      <c r="J4130" s="1">
        <v>-5409400</v>
      </c>
      <c r="K4130">
        <v>412</v>
      </c>
      <c r="L4130">
        <v>328</v>
      </c>
      <c r="M4130" t="s">
        <v>16</v>
      </c>
    </row>
    <row r="4131" spans="1:13" x14ac:dyDescent="0.35">
      <c r="A4131">
        <v>411585</v>
      </c>
      <c r="B4131">
        <v>48593</v>
      </c>
      <c r="C4131" t="s">
        <v>4286</v>
      </c>
      <c r="D4131" t="s">
        <v>4063</v>
      </c>
      <c r="E4131" t="s">
        <v>3198</v>
      </c>
      <c r="F4131">
        <v>4713</v>
      </c>
      <c r="G4131">
        <v>1</v>
      </c>
      <c r="H4131" t="s">
        <v>16</v>
      </c>
      <c r="I4131" s="1">
        <v>-2445400</v>
      </c>
      <c r="J4131" s="1">
        <v>-5416200</v>
      </c>
      <c r="K4131">
        <v>408</v>
      </c>
      <c r="L4131">
        <v>200</v>
      </c>
      <c r="M4131" t="s">
        <v>16</v>
      </c>
    </row>
    <row r="4132" spans="1:13" x14ac:dyDescent="0.35">
      <c r="A4132">
        <v>411590</v>
      </c>
      <c r="B4132">
        <v>35793</v>
      </c>
      <c r="C4132" t="s">
        <v>676</v>
      </c>
      <c r="D4132" t="s">
        <v>4063</v>
      </c>
      <c r="E4132" t="s">
        <v>4076</v>
      </c>
      <c r="F4132">
        <v>2336</v>
      </c>
      <c r="G4132">
        <v>1</v>
      </c>
      <c r="H4132" t="s">
        <v>16</v>
      </c>
      <c r="I4132" s="1">
        <v>-2325800</v>
      </c>
      <c r="J4132" s="1">
        <v>-5277600</v>
      </c>
      <c r="K4132">
        <v>352</v>
      </c>
      <c r="L4132">
        <v>221</v>
      </c>
      <c r="M4132" t="s">
        <v>16</v>
      </c>
    </row>
    <row r="4133" spans="1:13" x14ac:dyDescent="0.35">
      <c r="A4133">
        <v>411600</v>
      </c>
      <c r="B4133">
        <v>35807</v>
      </c>
      <c r="C4133" t="s">
        <v>4287</v>
      </c>
      <c r="D4133" t="s">
        <v>4063</v>
      </c>
      <c r="E4133" t="s">
        <v>4079</v>
      </c>
      <c r="F4133">
        <v>1899</v>
      </c>
      <c r="G4133">
        <v>1</v>
      </c>
      <c r="H4133" t="s">
        <v>16</v>
      </c>
      <c r="I4133" s="1">
        <v>-2296600</v>
      </c>
      <c r="J4133" s="1">
        <v>-5145500</v>
      </c>
      <c r="K4133">
        <v>570</v>
      </c>
      <c r="L4133">
        <v>90</v>
      </c>
      <c r="M4133" t="s">
        <v>16</v>
      </c>
    </row>
    <row r="4134" spans="1:13" x14ac:dyDescent="0.35">
      <c r="A4134">
        <v>411605</v>
      </c>
      <c r="B4134">
        <v>45357</v>
      </c>
      <c r="C4134" t="s">
        <v>4288</v>
      </c>
      <c r="D4134" t="s">
        <v>4063</v>
      </c>
      <c r="E4134" t="s">
        <v>4153</v>
      </c>
      <c r="F4134">
        <v>10412</v>
      </c>
      <c r="G4134">
        <v>1</v>
      </c>
      <c r="H4134" t="s">
        <v>16</v>
      </c>
      <c r="I4134" s="1">
        <v>-2509200</v>
      </c>
      <c r="J4134" s="1">
        <v>-5424800</v>
      </c>
      <c r="K4134">
        <v>328</v>
      </c>
      <c r="L4134">
        <v>319</v>
      </c>
      <c r="M4134" t="s">
        <v>16</v>
      </c>
    </row>
    <row r="4135" spans="1:13" x14ac:dyDescent="0.35">
      <c r="A4135">
        <v>411610</v>
      </c>
      <c r="B4135">
        <v>35815</v>
      </c>
      <c r="C4135" t="s">
        <v>4289</v>
      </c>
      <c r="D4135" t="s">
        <v>4063</v>
      </c>
      <c r="E4135" t="s">
        <v>4072</v>
      </c>
      <c r="F4135">
        <v>12926</v>
      </c>
      <c r="G4135">
        <v>1</v>
      </c>
      <c r="H4135" t="s">
        <v>16</v>
      </c>
      <c r="I4135" s="1">
        <v>-2406200</v>
      </c>
      <c r="J4135" s="1">
        <v>-5300700</v>
      </c>
      <c r="K4135">
        <v>450</v>
      </c>
      <c r="L4135">
        <v>353</v>
      </c>
      <c r="M4135" t="s">
        <v>16</v>
      </c>
    </row>
    <row r="4136" spans="1:13" x14ac:dyDescent="0.35">
      <c r="A4136">
        <v>411620</v>
      </c>
      <c r="B4136">
        <v>35823</v>
      </c>
      <c r="C4136" t="s">
        <v>4290</v>
      </c>
      <c r="D4136" t="s">
        <v>4063</v>
      </c>
      <c r="E4136" t="s">
        <v>4088</v>
      </c>
      <c r="F4136">
        <v>16198</v>
      </c>
      <c r="G4136">
        <v>1</v>
      </c>
      <c r="H4136" t="s">
        <v>16</v>
      </c>
      <c r="I4136" s="1">
        <v>-2547700</v>
      </c>
      <c r="J4136" s="1">
        <v>-4883400</v>
      </c>
      <c r="K4136">
        <v>10</v>
      </c>
      <c r="L4136">
        <v>684</v>
      </c>
      <c r="M4136" t="s">
        <v>16</v>
      </c>
    </row>
    <row r="4137" spans="1:13" x14ac:dyDescent="0.35">
      <c r="A4137">
        <v>411630</v>
      </c>
      <c r="B4137">
        <v>35831</v>
      </c>
      <c r="C4137" t="s">
        <v>4291</v>
      </c>
      <c r="D4137" t="s">
        <v>4063</v>
      </c>
      <c r="E4137" t="s">
        <v>4085</v>
      </c>
      <c r="F4137">
        <v>3552</v>
      </c>
      <c r="G4137">
        <v>1</v>
      </c>
      <c r="H4137" t="s">
        <v>16</v>
      </c>
      <c r="I4137" s="1">
        <v>-2314800</v>
      </c>
      <c r="J4137" s="1">
        <v>-5177400</v>
      </c>
      <c r="K4137">
        <v>568</v>
      </c>
      <c r="L4137">
        <v>137</v>
      </c>
      <c r="M4137" t="s">
        <v>16</v>
      </c>
    </row>
    <row r="4138" spans="1:13" x14ac:dyDescent="0.35">
      <c r="A4138">
        <v>411640</v>
      </c>
      <c r="B4138">
        <v>35840</v>
      </c>
      <c r="C4138" t="s">
        <v>4292</v>
      </c>
      <c r="D4138" t="s">
        <v>4063</v>
      </c>
      <c r="E4138" t="s">
        <v>4085</v>
      </c>
      <c r="F4138">
        <v>3903</v>
      </c>
      <c r="G4138">
        <v>1</v>
      </c>
      <c r="H4138" t="s">
        <v>16</v>
      </c>
      <c r="I4138" s="1">
        <v>-2291400</v>
      </c>
      <c r="J4138" s="1">
        <v>-5179400</v>
      </c>
      <c r="K4138">
        <v>489</v>
      </c>
      <c r="L4138">
        <v>185</v>
      </c>
      <c r="M4138" t="s">
        <v>16</v>
      </c>
    </row>
    <row r="4139" spans="1:13" x14ac:dyDescent="0.35">
      <c r="A4139">
        <v>411650</v>
      </c>
      <c r="B4139">
        <v>35858</v>
      </c>
      <c r="C4139" t="s">
        <v>4293</v>
      </c>
      <c r="D4139" t="s">
        <v>4063</v>
      </c>
      <c r="E4139" t="s">
        <v>4076</v>
      </c>
      <c r="F4139">
        <v>1377</v>
      </c>
      <c r="G4139">
        <v>1</v>
      </c>
      <c r="H4139" t="s">
        <v>16</v>
      </c>
      <c r="I4139" s="1">
        <v>-2317700</v>
      </c>
      <c r="J4139" s="1">
        <v>-5260200</v>
      </c>
      <c r="K4139">
        <v>396</v>
      </c>
      <c r="L4139">
        <v>131</v>
      </c>
      <c r="M4139" t="s">
        <v>16</v>
      </c>
    </row>
    <row r="4140" spans="1:13" x14ac:dyDescent="0.35">
      <c r="A4140">
        <v>411660</v>
      </c>
      <c r="B4140">
        <v>35866</v>
      </c>
      <c r="C4140" t="s">
        <v>4294</v>
      </c>
      <c r="D4140" t="s">
        <v>4063</v>
      </c>
      <c r="E4140" t="s">
        <v>4064</v>
      </c>
      <c r="F4140">
        <v>3298</v>
      </c>
      <c r="G4140">
        <v>1</v>
      </c>
      <c r="H4140" t="s">
        <v>16</v>
      </c>
      <c r="I4140" s="1">
        <v>-2333100</v>
      </c>
      <c r="J4140" s="1">
        <v>-5071800</v>
      </c>
      <c r="K4140">
        <v>641</v>
      </c>
      <c r="L4140">
        <v>129</v>
      </c>
      <c r="M4140" t="s">
        <v>16</v>
      </c>
    </row>
    <row r="4141" spans="1:13" x14ac:dyDescent="0.35">
      <c r="A4141">
        <v>411670</v>
      </c>
      <c r="B4141">
        <v>35874</v>
      </c>
      <c r="C4141" t="s">
        <v>4295</v>
      </c>
      <c r="D4141" t="s">
        <v>4063</v>
      </c>
      <c r="E4141" t="s">
        <v>1059</v>
      </c>
      <c r="F4141">
        <v>11753</v>
      </c>
      <c r="G4141">
        <v>1</v>
      </c>
      <c r="H4141" t="s">
        <v>16</v>
      </c>
      <c r="I4141" s="1">
        <v>-2452900</v>
      </c>
      <c r="J4141" s="1">
        <v>-5325600</v>
      </c>
      <c r="K4141">
        <v>526</v>
      </c>
      <c r="L4141">
        <v>474</v>
      </c>
      <c r="M4141" t="s">
        <v>16</v>
      </c>
    </row>
    <row r="4142" spans="1:13" x14ac:dyDescent="0.35">
      <c r="A4142">
        <v>411680</v>
      </c>
      <c r="B4142">
        <v>35882</v>
      </c>
      <c r="C4142" t="s">
        <v>4296</v>
      </c>
      <c r="D4142" t="s">
        <v>4063</v>
      </c>
      <c r="E4142" t="s">
        <v>4072</v>
      </c>
      <c r="F4142">
        <v>7795</v>
      </c>
      <c r="G4142">
        <v>1</v>
      </c>
      <c r="H4142" t="s">
        <v>16</v>
      </c>
      <c r="I4142" s="1">
        <v>-2467300</v>
      </c>
      <c r="J4142" s="1">
        <v>-5256900</v>
      </c>
      <c r="K4142">
        <v>555</v>
      </c>
      <c r="L4142">
        <v>543</v>
      </c>
      <c r="M4142" t="s">
        <v>16</v>
      </c>
    </row>
    <row r="4143" spans="1:13" x14ac:dyDescent="0.35">
      <c r="A4143">
        <v>411690</v>
      </c>
      <c r="B4143">
        <v>35890</v>
      </c>
      <c r="C4143" t="s">
        <v>4297</v>
      </c>
      <c r="D4143" t="s">
        <v>4063</v>
      </c>
      <c r="E4143" t="s">
        <v>4085</v>
      </c>
      <c r="F4143">
        <v>25719</v>
      </c>
      <c r="G4143">
        <v>1</v>
      </c>
      <c r="H4143" t="s">
        <v>16</v>
      </c>
      <c r="I4143" s="1">
        <v>-2318400</v>
      </c>
      <c r="J4143" s="1">
        <v>-5220500</v>
      </c>
      <c r="K4143">
        <v>550</v>
      </c>
      <c r="L4143">
        <v>401</v>
      </c>
      <c r="M4143" t="s">
        <v>16</v>
      </c>
    </row>
    <row r="4144" spans="1:13" x14ac:dyDescent="0.35">
      <c r="A4144">
        <v>411695</v>
      </c>
      <c r="B4144">
        <v>48640</v>
      </c>
      <c r="C4144" t="s">
        <v>4298</v>
      </c>
      <c r="D4144" t="s">
        <v>4063</v>
      </c>
      <c r="E4144" t="s">
        <v>4107</v>
      </c>
      <c r="F4144">
        <v>5182</v>
      </c>
      <c r="G4144">
        <v>1</v>
      </c>
      <c r="H4144" t="s">
        <v>16</v>
      </c>
      <c r="I4144" s="1">
        <v>-2590700</v>
      </c>
      <c r="J4144" s="1">
        <v>-5326300</v>
      </c>
      <c r="K4144">
        <v>538</v>
      </c>
      <c r="L4144">
        <v>208</v>
      </c>
      <c r="M4144" t="s">
        <v>16</v>
      </c>
    </row>
    <row r="4145" spans="1:13" x14ac:dyDescent="0.35">
      <c r="A4145">
        <v>411700</v>
      </c>
      <c r="B4145">
        <v>35904</v>
      </c>
      <c r="C4145" t="s">
        <v>2253</v>
      </c>
      <c r="D4145" t="s">
        <v>4063</v>
      </c>
      <c r="E4145" t="s">
        <v>4064</v>
      </c>
      <c r="F4145">
        <v>8054</v>
      </c>
      <c r="G4145">
        <v>1</v>
      </c>
      <c r="H4145" t="s">
        <v>16</v>
      </c>
      <c r="I4145" s="1">
        <v>-2343200</v>
      </c>
      <c r="J4145" s="1">
        <v>-5056400</v>
      </c>
      <c r="K4145">
        <v>673</v>
      </c>
      <c r="L4145">
        <v>283</v>
      </c>
      <c r="M4145" t="s">
        <v>16</v>
      </c>
    </row>
    <row r="4146" spans="1:13" x14ac:dyDescent="0.35">
      <c r="A4146">
        <v>411705</v>
      </c>
      <c r="B4146">
        <v>48658</v>
      </c>
      <c r="C4146" t="s">
        <v>4299</v>
      </c>
      <c r="D4146" t="s">
        <v>4063</v>
      </c>
      <c r="E4146" t="s">
        <v>4136</v>
      </c>
      <c r="F4146">
        <v>11302</v>
      </c>
      <c r="G4146">
        <v>1</v>
      </c>
      <c r="H4146" t="s">
        <v>16</v>
      </c>
      <c r="I4146" s="1">
        <v>-2530700</v>
      </c>
      <c r="J4146" s="1">
        <v>-5254100</v>
      </c>
      <c r="K4146">
        <v>700</v>
      </c>
      <c r="L4146">
        <v>1145</v>
      </c>
      <c r="M4146" t="s">
        <v>16</v>
      </c>
    </row>
    <row r="4147" spans="1:13" x14ac:dyDescent="0.35">
      <c r="A4147">
        <v>411710</v>
      </c>
      <c r="B4147">
        <v>35912</v>
      </c>
      <c r="C4147" t="s">
        <v>4300</v>
      </c>
      <c r="D4147" t="s">
        <v>4063</v>
      </c>
      <c r="E4147" t="s">
        <v>4076</v>
      </c>
      <c r="F4147">
        <v>12619</v>
      </c>
      <c r="G4147">
        <v>1</v>
      </c>
      <c r="H4147" t="s">
        <v>16</v>
      </c>
      <c r="I4147" s="1">
        <v>-2276600</v>
      </c>
      <c r="J4147" s="1">
        <v>-5298500</v>
      </c>
      <c r="K4147">
        <v>400</v>
      </c>
      <c r="L4147">
        <v>269</v>
      </c>
      <c r="M4147" t="s">
        <v>16</v>
      </c>
    </row>
    <row r="4148" spans="1:13" x14ac:dyDescent="0.35">
      <c r="A4148">
        <v>411720</v>
      </c>
      <c r="B4148">
        <v>35920</v>
      </c>
      <c r="C4148" t="s">
        <v>4301</v>
      </c>
      <c r="D4148" t="s">
        <v>4063</v>
      </c>
      <c r="E4148" t="s">
        <v>4074</v>
      </c>
      <c r="F4148">
        <v>5227</v>
      </c>
      <c r="G4148">
        <v>1</v>
      </c>
      <c r="H4148" t="s">
        <v>16</v>
      </c>
      <c r="I4148" s="1">
        <v>-2347200</v>
      </c>
      <c r="J4148" s="1">
        <v>-5308900</v>
      </c>
      <c r="K4148">
        <v>438</v>
      </c>
      <c r="L4148">
        <v>136</v>
      </c>
      <c r="M4148" t="s">
        <v>16</v>
      </c>
    </row>
    <row r="4149" spans="1:13" x14ac:dyDescent="0.35">
      <c r="A4149">
        <v>411721</v>
      </c>
      <c r="B4149">
        <v>48623</v>
      </c>
      <c r="C4149" t="s">
        <v>4302</v>
      </c>
      <c r="D4149" t="s">
        <v>4063</v>
      </c>
      <c r="E4149" t="s">
        <v>4101</v>
      </c>
      <c r="F4149">
        <v>3802</v>
      </c>
      <c r="G4149">
        <v>1</v>
      </c>
      <c r="H4149" t="s">
        <v>16</v>
      </c>
      <c r="I4149" s="1">
        <v>-2359700</v>
      </c>
      <c r="J4149" s="1">
        <v>-5072400</v>
      </c>
      <c r="K4149">
        <v>736</v>
      </c>
      <c r="L4149">
        <v>71</v>
      </c>
      <c r="M4149" t="s">
        <v>16</v>
      </c>
    </row>
    <row r="4150" spans="1:13" x14ac:dyDescent="0.35">
      <c r="A4150">
        <v>411722</v>
      </c>
      <c r="B4150">
        <v>37095</v>
      </c>
      <c r="C4150" t="s">
        <v>4303</v>
      </c>
      <c r="D4150" t="s">
        <v>4063</v>
      </c>
      <c r="E4150" t="s">
        <v>3198</v>
      </c>
      <c r="F4150">
        <v>7582</v>
      </c>
      <c r="G4150">
        <v>1</v>
      </c>
      <c r="H4150" t="s">
        <v>16</v>
      </c>
      <c r="I4150" s="1">
        <v>-2446600</v>
      </c>
      <c r="J4150" s="1">
        <v>-5395300</v>
      </c>
      <c r="K4150">
        <v>379</v>
      </c>
      <c r="L4150">
        <v>204</v>
      </c>
      <c r="M4150" t="s">
        <v>16</v>
      </c>
    </row>
    <row r="4151" spans="1:13" x14ac:dyDescent="0.35">
      <c r="A4151">
        <v>411725</v>
      </c>
      <c r="B4151">
        <v>45047</v>
      </c>
      <c r="C4151" t="s">
        <v>4304</v>
      </c>
      <c r="D4151" t="s">
        <v>4063</v>
      </c>
      <c r="E4151" t="s">
        <v>4107</v>
      </c>
      <c r="F4151">
        <v>10452</v>
      </c>
      <c r="G4151">
        <v>1</v>
      </c>
      <c r="H4151" t="s">
        <v>16</v>
      </c>
      <c r="I4151" s="1">
        <v>-2563300</v>
      </c>
      <c r="J4151" s="1">
        <v>-5334700</v>
      </c>
      <c r="K4151">
        <v>438</v>
      </c>
      <c r="L4151">
        <v>352</v>
      </c>
      <c r="M4151" t="s">
        <v>16</v>
      </c>
    </row>
    <row r="4152" spans="1:13" x14ac:dyDescent="0.35">
      <c r="A4152">
        <v>411727</v>
      </c>
      <c r="B4152">
        <v>45888</v>
      </c>
      <c r="C4152" t="s">
        <v>4305</v>
      </c>
      <c r="D4152" t="s">
        <v>4063</v>
      </c>
      <c r="E4152" t="s">
        <v>4096</v>
      </c>
      <c r="F4152">
        <v>8317</v>
      </c>
      <c r="G4152">
        <v>1</v>
      </c>
      <c r="H4152" t="s">
        <v>16</v>
      </c>
      <c r="I4152" s="1">
        <v>-2443800</v>
      </c>
      <c r="J4152" s="1">
        <v>-5194500</v>
      </c>
      <c r="K4152">
        <v>650</v>
      </c>
      <c r="L4152">
        <v>545</v>
      </c>
      <c r="M4152" t="s">
        <v>16</v>
      </c>
    </row>
    <row r="4153" spans="1:13" x14ac:dyDescent="0.35">
      <c r="A4153">
        <v>411729</v>
      </c>
      <c r="B4153">
        <v>48631</v>
      </c>
      <c r="C4153" t="s">
        <v>4306</v>
      </c>
      <c r="D4153" t="s">
        <v>4063</v>
      </c>
      <c r="E4153" t="s">
        <v>4091</v>
      </c>
      <c r="F4153">
        <v>2747</v>
      </c>
      <c r="G4153">
        <v>1</v>
      </c>
      <c r="H4153" t="s">
        <v>16</v>
      </c>
      <c r="I4153" s="1">
        <v>-2376400</v>
      </c>
      <c r="J4153" s="1">
        <v>-5150700</v>
      </c>
      <c r="K4153">
        <v>620</v>
      </c>
      <c r="L4153">
        <v>162</v>
      </c>
      <c r="M4153" t="s">
        <v>16</v>
      </c>
    </row>
    <row r="4154" spans="1:13" x14ac:dyDescent="0.35">
      <c r="A4154">
        <v>411730</v>
      </c>
      <c r="B4154">
        <v>35939</v>
      </c>
      <c r="C4154" t="s">
        <v>4307</v>
      </c>
      <c r="D4154" t="s">
        <v>4063</v>
      </c>
      <c r="E4154" t="s">
        <v>4218</v>
      </c>
      <c r="F4154">
        <v>24397</v>
      </c>
      <c r="G4154">
        <v>1</v>
      </c>
      <c r="H4154" t="s">
        <v>16</v>
      </c>
      <c r="I4154" s="1">
        <v>-2420800</v>
      </c>
      <c r="J4154" s="1">
        <v>-5094900</v>
      </c>
      <c r="K4154">
        <v>758</v>
      </c>
      <c r="L4154">
        <v>2429</v>
      </c>
      <c r="M4154" t="s">
        <v>16</v>
      </c>
    </row>
    <row r="4155" spans="1:13" x14ac:dyDescent="0.35">
      <c r="A4155">
        <v>411740</v>
      </c>
      <c r="B4155">
        <v>35947</v>
      </c>
      <c r="C4155" t="s">
        <v>4308</v>
      </c>
      <c r="D4155" t="s">
        <v>4063</v>
      </c>
      <c r="E4155" t="s">
        <v>4180</v>
      </c>
      <c r="F4155">
        <v>3296</v>
      </c>
      <c r="G4155">
        <v>1</v>
      </c>
      <c r="H4155" t="s">
        <v>16</v>
      </c>
      <c r="I4155" s="1">
        <v>-2340500</v>
      </c>
      <c r="J4155" s="1">
        <v>-5219900</v>
      </c>
      <c r="K4155">
        <v>525</v>
      </c>
      <c r="L4155">
        <v>176</v>
      </c>
      <c r="M4155" t="s">
        <v>16</v>
      </c>
    </row>
    <row r="4156" spans="1:13" x14ac:dyDescent="0.35">
      <c r="A4156">
        <v>411745</v>
      </c>
      <c r="B4156">
        <v>48666</v>
      </c>
      <c r="C4156" t="s">
        <v>4309</v>
      </c>
      <c r="D4156" t="s">
        <v>4063</v>
      </c>
      <c r="E4156" t="s">
        <v>3198</v>
      </c>
      <c r="F4156">
        <v>5465</v>
      </c>
      <c r="G4156">
        <v>1</v>
      </c>
      <c r="H4156" t="s">
        <v>16</v>
      </c>
      <c r="I4156" s="1">
        <v>-2480500</v>
      </c>
      <c r="J4156" s="1">
        <v>-5390300</v>
      </c>
      <c r="K4156">
        <v>991</v>
      </c>
      <c r="L4156">
        <v>293</v>
      </c>
      <c r="M4156" t="s">
        <v>16</v>
      </c>
    </row>
    <row r="4157" spans="1:13" x14ac:dyDescent="0.35">
      <c r="A4157">
        <v>411750</v>
      </c>
      <c r="B4157">
        <v>35955</v>
      </c>
      <c r="C4157" t="s">
        <v>4310</v>
      </c>
      <c r="D4157" t="s">
        <v>4063</v>
      </c>
      <c r="E4157" t="s">
        <v>4264</v>
      </c>
      <c r="F4157">
        <v>34640</v>
      </c>
      <c r="G4157">
        <v>4</v>
      </c>
      <c r="H4157" t="s">
        <v>4086</v>
      </c>
      <c r="I4157" s="1">
        <v>-2345800</v>
      </c>
      <c r="J4157" s="1">
        <v>-5204900</v>
      </c>
      <c r="K4157">
        <v>470</v>
      </c>
      <c r="L4157">
        <v>170</v>
      </c>
      <c r="M4157" t="s">
        <v>16</v>
      </c>
    </row>
    <row r="4158" spans="1:13" x14ac:dyDescent="0.35">
      <c r="A4158">
        <v>411760</v>
      </c>
      <c r="B4158">
        <v>35963</v>
      </c>
      <c r="C4158" t="s">
        <v>537</v>
      </c>
      <c r="D4158" t="s">
        <v>4063</v>
      </c>
      <c r="E4158" t="s">
        <v>537</v>
      </c>
      <c r="F4158">
        <v>40485</v>
      </c>
      <c r="G4158">
        <v>1</v>
      </c>
      <c r="H4158" t="s">
        <v>16</v>
      </c>
      <c r="I4158" s="1">
        <v>-2648400</v>
      </c>
      <c r="J4158" s="1">
        <v>-5199100</v>
      </c>
      <c r="K4158">
        <v>1035</v>
      </c>
      <c r="L4158">
        <v>1567</v>
      </c>
      <c r="M4158" t="s">
        <v>16</v>
      </c>
    </row>
    <row r="4159" spans="1:13" x14ac:dyDescent="0.35">
      <c r="A4159">
        <v>411770</v>
      </c>
      <c r="B4159">
        <v>35971</v>
      </c>
      <c r="C4159" t="s">
        <v>4311</v>
      </c>
      <c r="D4159" t="s">
        <v>4063</v>
      </c>
      <c r="E4159" t="s">
        <v>4147</v>
      </c>
      <c r="F4159">
        <v>31234</v>
      </c>
      <c r="G4159">
        <v>1</v>
      </c>
      <c r="H4159" t="s">
        <v>16</v>
      </c>
      <c r="I4159" s="1">
        <v>-2542900</v>
      </c>
      <c r="J4159" s="1">
        <v>-5000600</v>
      </c>
      <c r="K4159">
        <v>865</v>
      </c>
      <c r="L4159">
        <v>1457</v>
      </c>
      <c r="M4159" t="s">
        <v>16</v>
      </c>
    </row>
    <row r="4160" spans="1:13" x14ac:dyDescent="0.35">
      <c r="A4160">
        <v>411780</v>
      </c>
      <c r="B4160">
        <v>35980</v>
      </c>
      <c r="C4160" t="s">
        <v>3837</v>
      </c>
      <c r="D4160" t="s">
        <v>4063</v>
      </c>
      <c r="E4160" t="s">
        <v>4117</v>
      </c>
      <c r="F4160">
        <v>15454</v>
      </c>
      <c r="G4160">
        <v>1</v>
      </c>
      <c r="H4160" t="s">
        <v>16</v>
      </c>
      <c r="I4160" s="1">
        <v>-2489300</v>
      </c>
      <c r="J4160" s="1">
        <v>-5220300</v>
      </c>
      <c r="K4160">
        <v>840</v>
      </c>
      <c r="L4160">
        <v>815</v>
      </c>
      <c r="M4160" t="s">
        <v>16</v>
      </c>
    </row>
    <row r="4161" spans="1:13" x14ac:dyDescent="0.35">
      <c r="A4161">
        <v>411790</v>
      </c>
      <c r="B4161">
        <v>35998</v>
      </c>
      <c r="C4161" t="s">
        <v>4312</v>
      </c>
      <c r="D4161" t="s">
        <v>4063</v>
      </c>
      <c r="E4161" t="s">
        <v>3198</v>
      </c>
      <c r="F4161">
        <v>27545</v>
      </c>
      <c r="G4161">
        <v>1</v>
      </c>
      <c r="H4161" t="s">
        <v>16</v>
      </c>
      <c r="I4161" s="1">
        <v>-2428400</v>
      </c>
      <c r="J4161" s="1">
        <v>-5384000</v>
      </c>
      <c r="K4161">
        <v>333</v>
      </c>
      <c r="L4161">
        <v>651</v>
      </c>
      <c r="M4161" t="s">
        <v>16</v>
      </c>
    </row>
    <row r="4162" spans="1:13" x14ac:dyDescent="0.35">
      <c r="A4162">
        <v>411800</v>
      </c>
      <c r="B4162">
        <v>36005</v>
      </c>
      <c r="C4162" t="s">
        <v>4313</v>
      </c>
      <c r="D4162" t="s">
        <v>4063</v>
      </c>
      <c r="E4162" t="s">
        <v>4076</v>
      </c>
      <c r="F4162">
        <v>11169</v>
      </c>
      <c r="G4162">
        <v>1</v>
      </c>
      <c r="H4162" t="s">
        <v>16</v>
      </c>
      <c r="I4162" s="1">
        <v>-2328100</v>
      </c>
      <c r="J4162" s="1">
        <v>-5260200</v>
      </c>
      <c r="K4162">
        <v>372</v>
      </c>
      <c r="L4162">
        <v>204</v>
      </c>
      <c r="M4162" t="s">
        <v>16</v>
      </c>
    </row>
    <row r="4163" spans="1:13" x14ac:dyDescent="0.35">
      <c r="A4163">
        <v>411810</v>
      </c>
      <c r="B4163">
        <v>36013</v>
      </c>
      <c r="C4163" t="s">
        <v>4314</v>
      </c>
      <c r="D4163" t="s">
        <v>4063</v>
      </c>
      <c r="E4163" t="s">
        <v>4076</v>
      </c>
      <c r="F4163">
        <v>9513</v>
      </c>
      <c r="G4163">
        <v>1</v>
      </c>
      <c r="H4163" t="s">
        <v>16</v>
      </c>
      <c r="I4163" s="1">
        <v>-2293000</v>
      </c>
      <c r="J4163" s="1">
        <v>-5215100</v>
      </c>
      <c r="K4163">
        <v>380</v>
      </c>
      <c r="L4163">
        <v>348</v>
      </c>
      <c r="M4163" t="s">
        <v>16</v>
      </c>
    </row>
    <row r="4164" spans="1:13" x14ac:dyDescent="0.35">
      <c r="A4164">
        <v>411820</v>
      </c>
      <c r="B4164">
        <v>36021</v>
      </c>
      <c r="C4164" t="s">
        <v>4315</v>
      </c>
      <c r="D4164" t="s">
        <v>4063</v>
      </c>
      <c r="E4164" t="s">
        <v>4088</v>
      </c>
      <c r="F4164">
        <v>133559</v>
      </c>
      <c r="G4164">
        <v>3</v>
      </c>
      <c r="H4164" t="s">
        <v>16</v>
      </c>
      <c r="I4164" s="1">
        <v>-2552000</v>
      </c>
      <c r="J4164" s="1">
        <v>-4850900</v>
      </c>
      <c r="K4164">
        <v>3</v>
      </c>
      <c r="L4164">
        <v>826</v>
      </c>
      <c r="M4164" t="s">
        <v>16</v>
      </c>
    </row>
    <row r="4165" spans="1:13" x14ac:dyDescent="0.35">
      <c r="A4165">
        <v>411830</v>
      </c>
      <c r="B4165">
        <v>36030</v>
      </c>
      <c r="C4165" t="s">
        <v>4316</v>
      </c>
      <c r="D4165" t="s">
        <v>4063</v>
      </c>
      <c r="E4165" t="s">
        <v>4076</v>
      </c>
      <c r="F4165">
        <v>2656</v>
      </c>
      <c r="G4165">
        <v>1</v>
      </c>
      <c r="H4165" t="s">
        <v>16</v>
      </c>
      <c r="I4165" s="1">
        <v>-2263400</v>
      </c>
      <c r="J4165" s="1">
        <v>-5209800</v>
      </c>
      <c r="K4165">
        <v>390</v>
      </c>
      <c r="L4165">
        <v>175</v>
      </c>
      <c r="M4165" t="s">
        <v>16</v>
      </c>
    </row>
    <row r="4166" spans="1:13" x14ac:dyDescent="0.35">
      <c r="A4166">
        <v>411840</v>
      </c>
      <c r="B4166">
        <v>36048</v>
      </c>
      <c r="C4166" t="s">
        <v>4317</v>
      </c>
      <c r="D4166" t="s">
        <v>4063</v>
      </c>
      <c r="E4166" t="s">
        <v>4076</v>
      </c>
      <c r="F4166">
        <v>79110</v>
      </c>
      <c r="G4166">
        <v>2</v>
      </c>
      <c r="H4166" t="s">
        <v>16</v>
      </c>
      <c r="I4166" s="1">
        <v>-2307300</v>
      </c>
      <c r="J4166" s="1">
        <v>-5246500</v>
      </c>
      <c r="K4166">
        <v>470</v>
      </c>
      <c r="L4166">
        <v>1202</v>
      </c>
      <c r="M4166" t="s">
        <v>16</v>
      </c>
    </row>
    <row r="4167" spans="1:13" x14ac:dyDescent="0.35">
      <c r="A4167">
        <v>411845</v>
      </c>
      <c r="B4167">
        <v>48674</v>
      </c>
      <c r="C4167" t="s">
        <v>4318</v>
      </c>
      <c r="D4167" t="s">
        <v>4063</v>
      </c>
      <c r="E4167" t="s">
        <v>3198</v>
      </c>
      <c r="F4167">
        <v>4631</v>
      </c>
      <c r="G4167">
        <v>1</v>
      </c>
      <c r="H4167" t="s">
        <v>16</v>
      </c>
      <c r="I4167" s="1">
        <v>-2462600</v>
      </c>
      <c r="J4167" s="1">
        <v>-5422500</v>
      </c>
      <c r="K4167">
        <v>288</v>
      </c>
      <c r="L4167">
        <v>135</v>
      </c>
      <c r="M4167" t="s">
        <v>16</v>
      </c>
    </row>
    <row r="4168" spans="1:13" x14ac:dyDescent="0.35">
      <c r="A4168">
        <v>411850</v>
      </c>
      <c r="B4168">
        <v>36056</v>
      </c>
      <c r="C4168" t="s">
        <v>4123</v>
      </c>
      <c r="D4168" t="s">
        <v>4063</v>
      </c>
      <c r="E4168" t="s">
        <v>4123</v>
      </c>
      <c r="F4168">
        <v>66680</v>
      </c>
      <c r="G4168">
        <v>2</v>
      </c>
      <c r="H4168" t="s">
        <v>16</v>
      </c>
      <c r="I4168" s="1">
        <v>-2622900</v>
      </c>
      <c r="J4168" s="1">
        <v>-5267100</v>
      </c>
      <c r="K4168">
        <v>761</v>
      </c>
      <c r="L4168">
        <v>539</v>
      </c>
      <c r="M4168" t="s">
        <v>16</v>
      </c>
    </row>
    <row r="4169" spans="1:13" x14ac:dyDescent="0.35">
      <c r="A4169">
        <v>411860</v>
      </c>
      <c r="B4169">
        <v>36064</v>
      </c>
      <c r="C4169" t="s">
        <v>4319</v>
      </c>
      <c r="D4169" t="s">
        <v>4063</v>
      </c>
      <c r="E4169" t="s">
        <v>4114</v>
      </c>
      <c r="F4169">
        <v>5457</v>
      </c>
      <c r="G4169">
        <v>1</v>
      </c>
      <c r="H4169" t="s">
        <v>16</v>
      </c>
      <c r="I4169" s="1">
        <v>-2620800</v>
      </c>
      <c r="J4169" s="1">
        <v>-5093800</v>
      </c>
      <c r="K4169">
        <v>748</v>
      </c>
      <c r="L4169">
        <v>420</v>
      </c>
      <c r="M4169" t="s">
        <v>16</v>
      </c>
    </row>
    <row r="4170" spans="1:13" x14ac:dyDescent="0.35">
      <c r="A4170">
        <v>411870</v>
      </c>
      <c r="B4170">
        <v>36072</v>
      </c>
      <c r="C4170" t="s">
        <v>4320</v>
      </c>
      <c r="D4170" t="s">
        <v>4063</v>
      </c>
      <c r="E4170" t="s">
        <v>4114</v>
      </c>
      <c r="F4170">
        <v>7032</v>
      </c>
      <c r="G4170">
        <v>1</v>
      </c>
      <c r="H4170" t="s">
        <v>16</v>
      </c>
      <c r="I4170" s="1">
        <v>-2604000</v>
      </c>
      <c r="J4170" s="1">
        <v>-5083600</v>
      </c>
      <c r="K4170">
        <v>778</v>
      </c>
      <c r="L4170">
        <v>369</v>
      </c>
      <c r="M4170" t="s">
        <v>16</v>
      </c>
    </row>
    <row r="4171" spans="1:13" x14ac:dyDescent="0.35">
      <c r="A4171">
        <v>411880</v>
      </c>
      <c r="B4171">
        <v>36080</v>
      </c>
      <c r="C4171" t="s">
        <v>4321</v>
      </c>
      <c r="D4171" t="s">
        <v>4063</v>
      </c>
      <c r="E4171" t="s">
        <v>4097</v>
      </c>
      <c r="F4171">
        <v>13029</v>
      </c>
      <c r="G4171">
        <v>1</v>
      </c>
      <c r="H4171" t="s">
        <v>16</v>
      </c>
      <c r="I4171" s="1">
        <v>-2391300</v>
      </c>
      <c r="J4171" s="1">
        <v>-5234300</v>
      </c>
      <c r="K4171">
        <v>523</v>
      </c>
      <c r="L4171">
        <v>469</v>
      </c>
      <c r="M4171" t="s">
        <v>16</v>
      </c>
    </row>
    <row r="4172" spans="1:13" x14ac:dyDescent="0.35">
      <c r="A4172">
        <v>411885</v>
      </c>
      <c r="B4172">
        <v>54135</v>
      </c>
      <c r="C4172" t="s">
        <v>4322</v>
      </c>
      <c r="D4172" t="s">
        <v>4063</v>
      </c>
      <c r="E4172" t="s">
        <v>4074</v>
      </c>
      <c r="F4172">
        <v>5055</v>
      </c>
      <c r="G4172">
        <v>1</v>
      </c>
      <c r="H4172" t="s">
        <v>16</v>
      </c>
      <c r="I4172" s="1">
        <v>-2389600</v>
      </c>
      <c r="J4172" s="1">
        <v>-5341000</v>
      </c>
      <c r="K4172">
        <v>402</v>
      </c>
      <c r="L4172">
        <v>406</v>
      </c>
      <c r="M4172" t="s">
        <v>16</v>
      </c>
    </row>
    <row r="4173" spans="1:13" x14ac:dyDescent="0.35">
      <c r="A4173">
        <v>411890</v>
      </c>
      <c r="B4173">
        <v>36099</v>
      </c>
      <c r="C4173" t="s">
        <v>4323</v>
      </c>
      <c r="D4173" t="s">
        <v>4063</v>
      </c>
      <c r="E4173" t="s">
        <v>4074</v>
      </c>
      <c r="F4173">
        <v>9334</v>
      </c>
      <c r="G4173">
        <v>1</v>
      </c>
      <c r="H4173" t="s">
        <v>16</v>
      </c>
      <c r="I4173" s="1">
        <v>-2380500</v>
      </c>
      <c r="J4173" s="1">
        <v>-5368400</v>
      </c>
      <c r="K4173">
        <v>440</v>
      </c>
      <c r="L4173">
        <v>240</v>
      </c>
      <c r="M4173" t="s">
        <v>16</v>
      </c>
    </row>
    <row r="4174" spans="1:13" x14ac:dyDescent="0.35">
      <c r="A4174">
        <v>411900</v>
      </c>
      <c r="B4174">
        <v>36102</v>
      </c>
      <c r="C4174" t="s">
        <v>4324</v>
      </c>
      <c r="D4174" t="s">
        <v>4063</v>
      </c>
      <c r="E4174" t="s">
        <v>243</v>
      </c>
      <c r="F4174">
        <v>7046</v>
      </c>
      <c r="G4174">
        <v>1</v>
      </c>
      <c r="H4174" t="s">
        <v>16</v>
      </c>
      <c r="I4174" s="1">
        <v>-2582400</v>
      </c>
      <c r="J4174" s="1">
        <v>-5374000</v>
      </c>
      <c r="K4174">
        <v>401</v>
      </c>
      <c r="L4174">
        <v>206</v>
      </c>
      <c r="M4174" t="s">
        <v>16</v>
      </c>
    </row>
    <row r="4175" spans="1:13" x14ac:dyDescent="0.35">
      <c r="A4175">
        <v>411910</v>
      </c>
      <c r="B4175">
        <v>36110</v>
      </c>
      <c r="C4175" t="s">
        <v>4325</v>
      </c>
      <c r="D4175" t="s">
        <v>4063</v>
      </c>
      <c r="E4175" t="s">
        <v>109</v>
      </c>
      <c r="F4175">
        <v>50000</v>
      </c>
      <c r="G4175">
        <v>2</v>
      </c>
      <c r="H4175" t="s">
        <v>16</v>
      </c>
      <c r="I4175" s="1">
        <v>-2609800</v>
      </c>
      <c r="J4175" s="1">
        <v>-4942900</v>
      </c>
      <c r="K4175">
        <v>818</v>
      </c>
      <c r="L4175">
        <v>254</v>
      </c>
      <c r="M4175" t="s">
        <v>16</v>
      </c>
    </row>
    <row r="4176" spans="1:13" x14ac:dyDescent="0.35">
      <c r="A4176">
        <v>411915</v>
      </c>
      <c r="B4176">
        <v>48682</v>
      </c>
      <c r="C4176" t="s">
        <v>4326</v>
      </c>
      <c r="D4176" t="s">
        <v>4063</v>
      </c>
      <c r="E4176" t="s">
        <v>4070</v>
      </c>
      <c r="F4176">
        <v>112038</v>
      </c>
      <c r="G4176">
        <v>4</v>
      </c>
      <c r="H4176" t="s">
        <v>4067</v>
      </c>
      <c r="I4176" s="1">
        <v>-2544500</v>
      </c>
      <c r="J4176" s="1">
        <v>-4919300</v>
      </c>
      <c r="K4176">
        <v>893</v>
      </c>
      <c r="L4176">
        <v>61</v>
      </c>
      <c r="M4176" t="s">
        <v>16</v>
      </c>
    </row>
    <row r="4177" spans="1:13" x14ac:dyDescent="0.35">
      <c r="A4177">
        <v>411920</v>
      </c>
      <c r="B4177">
        <v>36129</v>
      </c>
      <c r="C4177" t="s">
        <v>4327</v>
      </c>
      <c r="D4177" t="s">
        <v>4063</v>
      </c>
      <c r="E4177" t="s">
        <v>4162</v>
      </c>
      <c r="F4177">
        <v>5893</v>
      </c>
      <c r="G4177">
        <v>1</v>
      </c>
      <c r="H4177" t="s">
        <v>16</v>
      </c>
      <c r="I4177" s="1">
        <v>-2379300</v>
      </c>
      <c r="J4177" s="1">
        <v>-5005600</v>
      </c>
      <c r="K4177">
        <v>601</v>
      </c>
      <c r="L4177">
        <v>220</v>
      </c>
      <c r="M4177" t="s">
        <v>16</v>
      </c>
    </row>
    <row r="4178" spans="1:13" x14ac:dyDescent="0.35">
      <c r="A4178">
        <v>411925</v>
      </c>
      <c r="B4178">
        <v>51616</v>
      </c>
      <c r="C4178" t="s">
        <v>4328</v>
      </c>
      <c r="D4178" t="s">
        <v>4063</v>
      </c>
      <c r="E4178" t="s">
        <v>4107</v>
      </c>
      <c r="F4178">
        <v>2524</v>
      </c>
      <c r="G4178">
        <v>1</v>
      </c>
      <c r="H4178" t="s">
        <v>16</v>
      </c>
      <c r="I4178" s="1">
        <v>-2603000</v>
      </c>
      <c r="J4178" s="1">
        <v>-5348300</v>
      </c>
      <c r="K4178">
        <v>480</v>
      </c>
      <c r="L4178">
        <v>96</v>
      </c>
      <c r="M4178" t="s">
        <v>16</v>
      </c>
    </row>
    <row r="4179" spans="1:13" x14ac:dyDescent="0.35">
      <c r="A4179">
        <v>411930</v>
      </c>
      <c r="B4179">
        <v>36137</v>
      </c>
      <c r="C4179" t="s">
        <v>1949</v>
      </c>
      <c r="D4179" t="s">
        <v>4063</v>
      </c>
      <c r="E4179" t="s">
        <v>4136</v>
      </c>
      <c r="F4179">
        <v>29113</v>
      </c>
      <c r="G4179">
        <v>1</v>
      </c>
      <c r="H4179" t="s">
        <v>16</v>
      </c>
      <c r="I4179" s="1">
        <v>-2569600</v>
      </c>
      <c r="J4179" s="1">
        <v>-5166000</v>
      </c>
      <c r="K4179">
        <v>1041</v>
      </c>
      <c r="L4179">
        <v>2001</v>
      </c>
      <c r="M4179" t="s">
        <v>16</v>
      </c>
    </row>
    <row r="4180" spans="1:13" x14ac:dyDescent="0.35">
      <c r="A4180">
        <v>411940</v>
      </c>
      <c r="B4180">
        <v>36145</v>
      </c>
      <c r="C4180" t="s">
        <v>4329</v>
      </c>
      <c r="D4180" t="s">
        <v>4063</v>
      </c>
      <c r="E4180" t="s">
        <v>4094</v>
      </c>
      <c r="F4180">
        <v>23170</v>
      </c>
      <c r="G4180">
        <v>1</v>
      </c>
      <c r="H4180" t="s">
        <v>16</v>
      </c>
      <c r="I4180" s="1">
        <v>-2452600</v>
      </c>
      <c r="J4180" s="1">
        <v>-4994900</v>
      </c>
      <c r="K4180">
        <v>1036</v>
      </c>
      <c r="L4180">
        <v>1403</v>
      </c>
      <c r="M4180" t="s">
        <v>16</v>
      </c>
    </row>
    <row r="4181" spans="1:13" x14ac:dyDescent="0.35">
      <c r="A4181">
        <v>411950</v>
      </c>
      <c r="B4181">
        <v>36153</v>
      </c>
      <c r="C4181" t="s">
        <v>4330</v>
      </c>
      <c r="D4181" t="s">
        <v>4063</v>
      </c>
      <c r="E4181" t="s">
        <v>4070</v>
      </c>
      <c r="F4181">
        <v>82006</v>
      </c>
      <c r="G4181">
        <v>4</v>
      </c>
      <c r="H4181" t="s">
        <v>4067</v>
      </c>
      <c r="I4181" s="1">
        <v>-2544200</v>
      </c>
      <c r="J4181" s="1">
        <v>-4906300</v>
      </c>
      <c r="K4181">
        <v>905</v>
      </c>
      <c r="L4181">
        <v>227</v>
      </c>
      <c r="M4181" t="s">
        <v>16</v>
      </c>
    </row>
    <row r="4182" spans="1:13" x14ac:dyDescent="0.35">
      <c r="A4182">
        <v>411960</v>
      </c>
      <c r="B4182">
        <v>36161</v>
      </c>
      <c r="C4182" t="s">
        <v>4117</v>
      </c>
      <c r="D4182" t="s">
        <v>4063</v>
      </c>
      <c r="E4182" t="s">
        <v>4117</v>
      </c>
      <c r="F4182">
        <v>34310</v>
      </c>
      <c r="G4182">
        <v>1</v>
      </c>
      <c r="H4182" t="s">
        <v>16</v>
      </c>
      <c r="I4182" s="1">
        <v>-2475700</v>
      </c>
      <c r="J4182" s="1">
        <v>-5176100</v>
      </c>
      <c r="K4182">
        <v>952</v>
      </c>
      <c r="L4182">
        <v>1663</v>
      </c>
      <c r="M4182" t="s">
        <v>16</v>
      </c>
    </row>
    <row r="4183" spans="1:13" x14ac:dyDescent="0.35">
      <c r="A4183">
        <v>411965</v>
      </c>
      <c r="B4183">
        <v>48690</v>
      </c>
      <c r="C4183" t="s">
        <v>3878</v>
      </c>
      <c r="D4183" t="s">
        <v>4063</v>
      </c>
      <c r="E4183" t="s">
        <v>4132</v>
      </c>
      <c r="F4183">
        <v>2664</v>
      </c>
      <c r="G4183">
        <v>1</v>
      </c>
      <c r="H4183" t="s">
        <v>16</v>
      </c>
      <c r="I4183" s="1">
        <v>-2323100</v>
      </c>
      <c r="J4183" s="1">
        <v>-5158600</v>
      </c>
      <c r="K4183">
        <v>660</v>
      </c>
      <c r="L4183">
        <v>123</v>
      </c>
      <c r="M4183" t="s">
        <v>16</v>
      </c>
    </row>
    <row r="4184" spans="1:13" x14ac:dyDescent="0.35">
      <c r="A4184">
        <v>411970</v>
      </c>
      <c r="B4184">
        <v>36170</v>
      </c>
      <c r="C4184" t="s">
        <v>4331</v>
      </c>
      <c r="D4184" t="s">
        <v>4063</v>
      </c>
      <c r="E4184" t="s">
        <v>4076</v>
      </c>
      <c r="F4184">
        <v>3791</v>
      </c>
      <c r="G4184">
        <v>1</v>
      </c>
      <c r="H4184" t="s">
        <v>16</v>
      </c>
      <c r="I4184" s="1">
        <v>-2300700</v>
      </c>
      <c r="J4184" s="1">
        <v>-5291400</v>
      </c>
      <c r="K4184">
        <v>465</v>
      </c>
      <c r="L4184">
        <v>356</v>
      </c>
      <c r="M4184" t="s">
        <v>16</v>
      </c>
    </row>
    <row r="4185" spans="1:13" x14ac:dyDescent="0.35">
      <c r="A4185">
        <v>411980</v>
      </c>
      <c r="B4185">
        <v>36188</v>
      </c>
      <c r="C4185" t="s">
        <v>2283</v>
      </c>
      <c r="D4185" t="s">
        <v>4063</v>
      </c>
      <c r="E4185" t="s">
        <v>243</v>
      </c>
      <c r="F4185">
        <v>13649</v>
      </c>
      <c r="G4185">
        <v>1</v>
      </c>
      <c r="H4185" t="s">
        <v>16</v>
      </c>
      <c r="I4185" s="1">
        <v>-2571600</v>
      </c>
      <c r="J4185" s="1">
        <v>-5376600</v>
      </c>
      <c r="K4185">
        <v>400</v>
      </c>
      <c r="L4185">
        <v>345</v>
      </c>
      <c r="M4185" t="s">
        <v>16</v>
      </c>
    </row>
    <row r="4186" spans="1:13" x14ac:dyDescent="0.35">
      <c r="A4186">
        <v>411990</v>
      </c>
      <c r="B4186">
        <v>36196</v>
      </c>
      <c r="C4186" t="s">
        <v>4147</v>
      </c>
      <c r="D4186" t="s">
        <v>4063</v>
      </c>
      <c r="E4186" t="s">
        <v>4147</v>
      </c>
      <c r="F4186">
        <v>306351</v>
      </c>
      <c r="G4186">
        <v>3</v>
      </c>
      <c r="H4186" t="s">
        <v>16</v>
      </c>
      <c r="I4186" s="1">
        <v>-2509500</v>
      </c>
      <c r="J4186" s="1">
        <v>-5016200</v>
      </c>
      <c r="K4186">
        <v>969</v>
      </c>
      <c r="L4186">
        <v>2067</v>
      </c>
      <c r="M4186" t="s">
        <v>16</v>
      </c>
    </row>
    <row r="4187" spans="1:13" x14ac:dyDescent="0.35">
      <c r="A4187">
        <v>411995</v>
      </c>
      <c r="B4187">
        <v>54143</v>
      </c>
      <c r="C4187" t="s">
        <v>4332</v>
      </c>
      <c r="D4187" t="s">
        <v>4063</v>
      </c>
      <c r="E4187" t="s">
        <v>4088</v>
      </c>
      <c r="F4187">
        <v>16625</v>
      </c>
      <c r="G4187">
        <v>1</v>
      </c>
      <c r="H4187" t="s">
        <v>16</v>
      </c>
      <c r="I4187" s="1">
        <v>-2567400</v>
      </c>
      <c r="J4187" s="1">
        <v>-4851100</v>
      </c>
      <c r="K4187">
        <v>10</v>
      </c>
      <c r="L4187">
        <v>200</v>
      </c>
      <c r="M4187" t="s">
        <v>16</v>
      </c>
    </row>
    <row r="4188" spans="1:13" x14ac:dyDescent="0.35">
      <c r="A4188">
        <v>412000</v>
      </c>
      <c r="B4188">
        <v>36200</v>
      </c>
      <c r="C4188" t="s">
        <v>4079</v>
      </c>
      <c r="D4188" t="s">
        <v>4063</v>
      </c>
      <c r="E4188" t="s">
        <v>4079</v>
      </c>
      <c r="F4188">
        <v>14174</v>
      </c>
      <c r="G4188">
        <v>1</v>
      </c>
      <c r="H4188" t="s">
        <v>16</v>
      </c>
      <c r="I4188" s="1">
        <v>-2275600</v>
      </c>
      <c r="J4188" s="1">
        <v>-5137900</v>
      </c>
      <c r="K4188">
        <v>420</v>
      </c>
      <c r="L4188">
        <v>291</v>
      </c>
      <c r="M4188" t="s">
        <v>16</v>
      </c>
    </row>
    <row r="4189" spans="1:13" x14ac:dyDescent="0.35">
      <c r="A4189">
        <v>412010</v>
      </c>
      <c r="B4189">
        <v>36218</v>
      </c>
      <c r="C4189" t="s">
        <v>4333</v>
      </c>
      <c r="D4189" t="s">
        <v>4063</v>
      </c>
      <c r="E4189" t="s">
        <v>4250</v>
      </c>
      <c r="F4189">
        <v>4212</v>
      </c>
      <c r="G4189">
        <v>1</v>
      </c>
      <c r="H4189" t="s">
        <v>16</v>
      </c>
      <c r="I4189" s="1">
        <v>-2554500</v>
      </c>
      <c r="J4189" s="1">
        <v>-4989000</v>
      </c>
      <c r="K4189">
        <v>793</v>
      </c>
      <c r="L4189">
        <v>186</v>
      </c>
      <c r="M4189" t="s">
        <v>16</v>
      </c>
    </row>
    <row r="4190" spans="1:13" x14ac:dyDescent="0.35">
      <c r="A4190">
        <v>412015</v>
      </c>
      <c r="B4190">
        <v>53929</v>
      </c>
      <c r="C4190" t="s">
        <v>4334</v>
      </c>
      <c r="D4190" t="s">
        <v>4063</v>
      </c>
      <c r="E4190" t="s">
        <v>4136</v>
      </c>
      <c r="F4190">
        <v>3761</v>
      </c>
      <c r="G4190">
        <v>1</v>
      </c>
      <c r="H4190" t="s">
        <v>16</v>
      </c>
      <c r="I4190" s="1">
        <v>-2554700</v>
      </c>
      <c r="J4190" s="1">
        <v>-5240800</v>
      </c>
      <c r="K4190">
        <v>830</v>
      </c>
      <c r="L4190">
        <v>361</v>
      </c>
      <c r="M4190" t="s">
        <v>16</v>
      </c>
    </row>
    <row r="4191" spans="1:13" x14ac:dyDescent="0.35">
      <c r="A4191">
        <v>412020</v>
      </c>
      <c r="B4191">
        <v>36226</v>
      </c>
      <c r="C4191" t="s">
        <v>4335</v>
      </c>
      <c r="D4191" t="s">
        <v>4063</v>
      </c>
      <c r="E4191" t="s">
        <v>4076</v>
      </c>
      <c r="F4191">
        <v>2462</v>
      </c>
      <c r="G4191">
        <v>1</v>
      </c>
      <c r="H4191" t="s">
        <v>16</v>
      </c>
      <c r="I4191" s="1">
        <v>-2277200</v>
      </c>
      <c r="J4191" s="1">
        <v>-5326700</v>
      </c>
      <c r="K4191">
        <v>252</v>
      </c>
      <c r="L4191">
        <v>217</v>
      </c>
      <c r="M4191" t="s">
        <v>16</v>
      </c>
    </row>
    <row r="4192" spans="1:13" x14ac:dyDescent="0.35">
      <c r="A4192">
        <v>412030</v>
      </c>
      <c r="B4192">
        <v>36234</v>
      </c>
      <c r="C4192" t="s">
        <v>4336</v>
      </c>
      <c r="D4192" t="s">
        <v>4063</v>
      </c>
      <c r="E4192" t="s">
        <v>4114</v>
      </c>
      <c r="F4192">
        <v>3779</v>
      </c>
      <c r="G4192">
        <v>1</v>
      </c>
      <c r="H4192" t="s">
        <v>16</v>
      </c>
      <c r="I4192" s="1">
        <v>-2616100</v>
      </c>
      <c r="J4192" s="1">
        <v>-5123200</v>
      </c>
      <c r="K4192">
        <v>750</v>
      </c>
      <c r="L4192">
        <v>212</v>
      </c>
      <c r="M4192" t="s">
        <v>16</v>
      </c>
    </row>
    <row r="4193" spans="1:13" x14ac:dyDescent="0.35">
      <c r="A4193">
        <v>412033</v>
      </c>
      <c r="B4193">
        <v>54151</v>
      </c>
      <c r="C4193" t="s">
        <v>4337</v>
      </c>
      <c r="D4193" t="s">
        <v>4063</v>
      </c>
      <c r="E4193" t="s">
        <v>4079</v>
      </c>
      <c r="F4193">
        <v>3344</v>
      </c>
      <c r="G4193">
        <v>1</v>
      </c>
      <c r="H4193" t="s">
        <v>16</v>
      </c>
      <c r="I4193" s="1">
        <v>-2303900</v>
      </c>
      <c r="J4193" s="1">
        <v>-5144200</v>
      </c>
      <c r="K4193">
        <v>651</v>
      </c>
      <c r="L4193">
        <v>153</v>
      </c>
      <c r="M4193" t="s">
        <v>16</v>
      </c>
    </row>
    <row r="4194" spans="1:13" x14ac:dyDescent="0.35">
      <c r="A4194">
        <v>412035</v>
      </c>
      <c r="B4194">
        <v>6378</v>
      </c>
      <c r="C4194" t="s">
        <v>4338</v>
      </c>
      <c r="D4194" t="s">
        <v>4063</v>
      </c>
      <c r="E4194" t="s">
        <v>243</v>
      </c>
      <c r="F4194">
        <v>5811</v>
      </c>
      <c r="G4194">
        <v>1</v>
      </c>
      <c r="H4194" t="s">
        <v>16</v>
      </c>
      <c r="I4194" s="1">
        <v>-2602000</v>
      </c>
      <c r="J4194" s="1">
        <v>-5374000</v>
      </c>
      <c r="K4194">
        <v>541</v>
      </c>
      <c r="L4194">
        <v>225</v>
      </c>
      <c r="M4194" t="s">
        <v>16</v>
      </c>
    </row>
    <row r="4195" spans="1:13" x14ac:dyDescent="0.35">
      <c r="A4195">
        <v>412040</v>
      </c>
      <c r="B4195">
        <v>36242</v>
      </c>
      <c r="C4195" t="s">
        <v>4339</v>
      </c>
      <c r="D4195" t="s">
        <v>4063</v>
      </c>
      <c r="E4195" t="s">
        <v>4085</v>
      </c>
      <c r="F4195">
        <v>4674</v>
      </c>
      <c r="G4195">
        <v>1</v>
      </c>
      <c r="H4195" t="s">
        <v>16</v>
      </c>
      <c r="I4195" s="1">
        <v>-2327800</v>
      </c>
      <c r="J4195" s="1">
        <v>-5215200</v>
      </c>
      <c r="K4195">
        <v>570</v>
      </c>
      <c r="L4195">
        <v>155</v>
      </c>
      <c r="M4195" t="s">
        <v>16</v>
      </c>
    </row>
    <row r="4196" spans="1:13" x14ac:dyDescent="0.35">
      <c r="A4196">
        <v>412050</v>
      </c>
      <c r="B4196">
        <v>36250</v>
      </c>
      <c r="C4196" t="s">
        <v>4340</v>
      </c>
      <c r="D4196" t="s">
        <v>4063</v>
      </c>
      <c r="E4196" t="s">
        <v>4079</v>
      </c>
      <c r="F4196">
        <v>10753</v>
      </c>
      <c r="G4196">
        <v>1</v>
      </c>
      <c r="H4196" t="s">
        <v>16</v>
      </c>
      <c r="I4196" s="1">
        <v>-2285100</v>
      </c>
      <c r="J4196" s="1">
        <v>-5102800</v>
      </c>
      <c r="K4196">
        <v>330</v>
      </c>
      <c r="L4196">
        <v>414</v>
      </c>
      <c r="M4196" t="s">
        <v>16</v>
      </c>
    </row>
    <row r="4197" spans="1:13" x14ac:dyDescent="0.35">
      <c r="A4197">
        <v>412060</v>
      </c>
      <c r="B4197">
        <v>36269</v>
      </c>
      <c r="C4197" t="s">
        <v>4341</v>
      </c>
      <c r="D4197" t="s">
        <v>4063</v>
      </c>
      <c r="E4197" t="s">
        <v>4190</v>
      </c>
      <c r="F4197">
        <v>48708</v>
      </c>
      <c r="G4197">
        <v>1</v>
      </c>
      <c r="H4197" t="s">
        <v>16</v>
      </c>
      <c r="I4197" s="1">
        <v>-2521300</v>
      </c>
      <c r="J4197" s="1">
        <v>-5097800</v>
      </c>
      <c r="K4197">
        <v>840</v>
      </c>
      <c r="L4197">
        <v>2307</v>
      </c>
      <c r="M4197" t="s">
        <v>16</v>
      </c>
    </row>
    <row r="4198" spans="1:13" x14ac:dyDescent="0.35">
      <c r="A4198">
        <v>412065</v>
      </c>
      <c r="B4198">
        <v>54160</v>
      </c>
      <c r="C4198" t="s">
        <v>4342</v>
      </c>
      <c r="D4198" t="s">
        <v>4063</v>
      </c>
      <c r="E4198" t="s">
        <v>4072</v>
      </c>
      <c r="F4198">
        <v>4848</v>
      </c>
      <c r="G4198">
        <v>1</v>
      </c>
      <c r="H4198" t="s">
        <v>16</v>
      </c>
      <c r="I4198" s="1">
        <v>-2427900</v>
      </c>
      <c r="J4198" s="1">
        <v>-5307600</v>
      </c>
      <c r="K4198">
        <v>472</v>
      </c>
      <c r="L4198">
        <v>321</v>
      </c>
      <c r="M4198" t="s">
        <v>16</v>
      </c>
    </row>
    <row r="4199" spans="1:13" x14ac:dyDescent="0.35">
      <c r="A4199">
        <v>412070</v>
      </c>
      <c r="B4199">
        <v>36277</v>
      </c>
      <c r="C4199" t="s">
        <v>4343</v>
      </c>
      <c r="D4199" t="s">
        <v>4063</v>
      </c>
      <c r="E4199" t="s">
        <v>3237</v>
      </c>
      <c r="F4199">
        <v>6877</v>
      </c>
      <c r="G4199">
        <v>1</v>
      </c>
      <c r="H4199" t="s">
        <v>16</v>
      </c>
      <c r="I4199" s="1">
        <v>-2356700</v>
      </c>
      <c r="J4199" s="1">
        <v>-4991400</v>
      </c>
      <c r="K4199">
        <v>785</v>
      </c>
      <c r="L4199">
        <v>112</v>
      </c>
      <c r="M4199" t="s">
        <v>16</v>
      </c>
    </row>
    <row r="4200" spans="1:13" x14ac:dyDescent="0.35">
      <c r="A4200">
        <v>412080</v>
      </c>
      <c r="B4200">
        <v>36285</v>
      </c>
      <c r="C4200" t="s">
        <v>4344</v>
      </c>
      <c r="D4200" t="s">
        <v>4063</v>
      </c>
      <c r="E4200" t="s">
        <v>4070</v>
      </c>
      <c r="F4200">
        <v>18125</v>
      </c>
      <c r="G4200">
        <v>4</v>
      </c>
      <c r="H4200" t="s">
        <v>4067</v>
      </c>
      <c r="I4200" s="1">
        <v>-2536600</v>
      </c>
      <c r="J4200" s="1">
        <v>-4907700</v>
      </c>
      <c r="K4200">
        <v>936</v>
      </c>
      <c r="L4200">
        <v>179</v>
      </c>
      <c r="M4200" t="s">
        <v>16</v>
      </c>
    </row>
    <row r="4201" spans="1:13" x14ac:dyDescent="0.35">
      <c r="A4201">
        <v>412085</v>
      </c>
      <c r="B4201">
        <v>48704</v>
      </c>
      <c r="C4201" t="s">
        <v>4345</v>
      </c>
      <c r="D4201" t="s">
        <v>4063</v>
      </c>
      <c r="E4201" t="s">
        <v>3198</v>
      </c>
      <c r="F4201">
        <v>3669</v>
      </c>
      <c r="G4201">
        <v>1</v>
      </c>
      <c r="H4201" t="s">
        <v>16</v>
      </c>
      <c r="I4201" s="1">
        <v>-2457500</v>
      </c>
      <c r="J4201" s="1">
        <v>-5397700</v>
      </c>
      <c r="K4201">
        <v>427</v>
      </c>
      <c r="L4201">
        <v>114</v>
      </c>
      <c r="M4201" t="s">
        <v>16</v>
      </c>
    </row>
    <row r="4202" spans="1:13" x14ac:dyDescent="0.35">
      <c r="A4202">
        <v>412090</v>
      </c>
      <c r="B4202">
        <v>34649</v>
      </c>
      <c r="C4202" t="s">
        <v>4346</v>
      </c>
      <c r="D4202" t="s">
        <v>4063</v>
      </c>
      <c r="E4202" t="s">
        <v>4136</v>
      </c>
      <c r="F4202">
        <v>30181</v>
      </c>
      <c r="G4202">
        <v>1</v>
      </c>
      <c r="H4202" t="s">
        <v>16</v>
      </c>
      <c r="I4202" s="1">
        <v>-2545000</v>
      </c>
      <c r="J4202" s="1">
        <v>-5290800</v>
      </c>
      <c r="K4202">
        <v>562</v>
      </c>
      <c r="L4202">
        <v>821</v>
      </c>
      <c r="M4202" t="s">
        <v>16</v>
      </c>
    </row>
    <row r="4203" spans="1:13" x14ac:dyDescent="0.35">
      <c r="A4203">
        <v>412100</v>
      </c>
      <c r="B4203">
        <v>36293</v>
      </c>
      <c r="C4203" t="s">
        <v>4347</v>
      </c>
      <c r="D4203" t="s">
        <v>4063</v>
      </c>
      <c r="E4203" t="s">
        <v>4076</v>
      </c>
      <c r="F4203">
        <v>11804</v>
      </c>
      <c r="G4203">
        <v>1</v>
      </c>
      <c r="H4203" t="s">
        <v>16</v>
      </c>
      <c r="I4203" s="1">
        <v>-2308400</v>
      </c>
      <c r="J4203" s="1">
        <v>-5348400</v>
      </c>
      <c r="K4203">
        <v>338</v>
      </c>
      <c r="L4203">
        <v>914</v>
      </c>
      <c r="M4203" t="s">
        <v>16</v>
      </c>
    </row>
    <row r="4204" spans="1:13" x14ac:dyDescent="0.35">
      <c r="A4204">
        <v>412110</v>
      </c>
      <c r="B4204">
        <v>36307</v>
      </c>
      <c r="C4204" t="s">
        <v>4348</v>
      </c>
      <c r="D4204" t="s">
        <v>4063</v>
      </c>
      <c r="E4204" t="s">
        <v>4097</v>
      </c>
      <c r="F4204">
        <v>5173</v>
      </c>
      <c r="G4204">
        <v>1</v>
      </c>
      <c r="H4204" t="s">
        <v>16</v>
      </c>
      <c r="I4204" s="1">
        <v>-2385200</v>
      </c>
      <c r="J4204" s="1">
        <v>-5213000</v>
      </c>
      <c r="K4204">
        <v>422</v>
      </c>
      <c r="L4204">
        <v>326</v>
      </c>
      <c r="M4204" t="s">
        <v>16</v>
      </c>
    </row>
    <row r="4205" spans="1:13" x14ac:dyDescent="0.35">
      <c r="A4205">
        <v>412120</v>
      </c>
      <c r="B4205">
        <v>36315</v>
      </c>
      <c r="C4205" t="s">
        <v>4349</v>
      </c>
      <c r="D4205" t="s">
        <v>4063</v>
      </c>
      <c r="E4205" t="s">
        <v>109</v>
      </c>
      <c r="F4205">
        <v>15897</v>
      </c>
      <c r="G4205">
        <v>4</v>
      </c>
      <c r="H4205" t="s">
        <v>4067</v>
      </c>
      <c r="I4205" s="1">
        <v>-2587200</v>
      </c>
      <c r="J4205" s="1">
        <v>-4949800</v>
      </c>
      <c r="K4205">
        <v>845</v>
      </c>
      <c r="L4205">
        <v>447</v>
      </c>
      <c r="M4205" t="s">
        <v>16</v>
      </c>
    </row>
    <row r="4206" spans="1:13" x14ac:dyDescent="0.35">
      <c r="A4206">
        <v>412125</v>
      </c>
      <c r="B4206">
        <v>48720</v>
      </c>
      <c r="C4206" t="s">
        <v>4350</v>
      </c>
      <c r="D4206" t="s">
        <v>4063</v>
      </c>
      <c r="E4206" t="s">
        <v>4153</v>
      </c>
      <c r="F4206">
        <v>4147</v>
      </c>
      <c r="G4206">
        <v>1</v>
      </c>
      <c r="H4206" t="s">
        <v>16</v>
      </c>
      <c r="I4206" s="1">
        <v>-2512000</v>
      </c>
      <c r="J4206" s="1">
        <v>-5402500</v>
      </c>
      <c r="K4206">
        <v>580</v>
      </c>
      <c r="L4206">
        <v>237</v>
      </c>
      <c r="M4206" t="s">
        <v>16</v>
      </c>
    </row>
    <row r="4207" spans="1:13" x14ac:dyDescent="0.35">
      <c r="A4207">
        <v>412130</v>
      </c>
      <c r="B4207">
        <v>36323</v>
      </c>
      <c r="C4207" t="s">
        <v>4351</v>
      </c>
      <c r="D4207" t="s">
        <v>4063</v>
      </c>
      <c r="E4207" t="s">
        <v>4101</v>
      </c>
      <c r="F4207">
        <v>4001</v>
      </c>
      <c r="G4207">
        <v>1</v>
      </c>
      <c r="H4207" t="s">
        <v>16</v>
      </c>
      <c r="I4207" s="1">
        <v>-2307000</v>
      </c>
      <c r="J4207" s="1">
        <v>-5091300</v>
      </c>
      <c r="K4207">
        <v>416</v>
      </c>
      <c r="L4207">
        <v>167</v>
      </c>
      <c r="M4207" t="s">
        <v>16</v>
      </c>
    </row>
    <row r="4208" spans="1:13" x14ac:dyDescent="0.35">
      <c r="A4208">
        <v>412135</v>
      </c>
      <c r="B4208">
        <v>48739</v>
      </c>
      <c r="C4208" t="s">
        <v>4352</v>
      </c>
      <c r="D4208" t="s">
        <v>4063</v>
      </c>
      <c r="E4208" t="s">
        <v>4072</v>
      </c>
      <c r="F4208">
        <v>2928</v>
      </c>
      <c r="G4208">
        <v>1</v>
      </c>
      <c r="H4208" t="s">
        <v>16</v>
      </c>
      <c r="I4208" s="1">
        <v>-2430700</v>
      </c>
      <c r="J4208" s="1">
        <v>-5295400</v>
      </c>
      <c r="K4208">
        <v>528</v>
      </c>
      <c r="L4208">
        <v>241</v>
      </c>
      <c r="M4208" t="s">
        <v>16</v>
      </c>
    </row>
    <row r="4209" spans="1:13" x14ac:dyDescent="0.35">
      <c r="A4209">
        <v>412140</v>
      </c>
      <c r="B4209">
        <v>36331</v>
      </c>
      <c r="C4209" t="s">
        <v>4353</v>
      </c>
      <c r="D4209" t="s">
        <v>4063</v>
      </c>
      <c r="E4209" t="s">
        <v>243</v>
      </c>
      <c r="F4209">
        <v>15809</v>
      </c>
      <c r="G4209">
        <v>1</v>
      </c>
      <c r="H4209" t="s">
        <v>16</v>
      </c>
      <c r="I4209" s="1">
        <v>-2576700</v>
      </c>
      <c r="J4209" s="1">
        <v>-5352700</v>
      </c>
      <c r="K4209">
        <v>520</v>
      </c>
      <c r="L4209">
        <v>353</v>
      </c>
      <c r="M4209" t="s">
        <v>16</v>
      </c>
    </row>
    <row r="4210" spans="1:13" x14ac:dyDescent="0.35">
      <c r="A4210">
        <v>412150</v>
      </c>
      <c r="B4210">
        <v>36340</v>
      </c>
      <c r="C4210" t="s">
        <v>4354</v>
      </c>
      <c r="D4210" t="s">
        <v>4063</v>
      </c>
      <c r="E4210" t="s">
        <v>4224</v>
      </c>
      <c r="F4210">
        <v>14053</v>
      </c>
      <c r="G4210">
        <v>1</v>
      </c>
      <c r="H4210" t="s">
        <v>16</v>
      </c>
      <c r="I4210" s="1">
        <v>-2562100</v>
      </c>
      <c r="J4210" s="1">
        <v>-5069300</v>
      </c>
      <c r="K4210">
        <v>815</v>
      </c>
      <c r="L4210">
        <v>481</v>
      </c>
      <c r="M4210" t="s">
        <v>16</v>
      </c>
    </row>
    <row r="4211" spans="1:13" x14ac:dyDescent="0.35">
      <c r="A4211">
        <v>412160</v>
      </c>
      <c r="B4211">
        <v>36358</v>
      </c>
      <c r="C4211" t="s">
        <v>4355</v>
      </c>
      <c r="D4211" t="s">
        <v>4063</v>
      </c>
      <c r="E4211" t="s">
        <v>4107</v>
      </c>
      <c r="F4211">
        <v>6762</v>
      </c>
      <c r="G4211">
        <v>1</v>
      </c>
      <c r="H4211" t="s">
        <v>16</v>
      </c>
      <c r="I4211" s="1">
        <v>-2615800</v>
      </c>
      <c r="J4211" s="1">
        <v>-5296900</v>
      </c>
      <c r="K4211">
        <v>688</v>
      </c>
      <c r="L4211">
        <v>425</v>
      </c>
      <c r="M4211" t="s">
        <v>16</v>
      </c>
    </row>
    <row r="4212" spans="1:13" x14ac:dyDescent="0.35">
      <c r="A4212">
        <v>412170</v>
      </c>
      <c r="B4212">
        <v>36366</v>
      </c>
      <c r="C4212" t="s">
        <v>4356</v>
      </c>
      <c r="D4212" t="s">
        <v>4063</v>
      </c>
      <c r="E4212" t="s">
        <v>4218</v>
      </c>
      <c r="F4212">
        <v>24249</v>
      </c>
      <c r="G4212">
        <v>1</v>
      </c>
      <c r="H4212" t="s">
        <v>16</v>
      </c>
      <c r="I4212" s="1">
        <v>-2465000</v>
      </c>
      <c r="J4212" s="1">
        <v>-5085100</v>
      </c>
      <c r="K4212">
        <v>938</v>
      </c>
      <c r="L4212">
        <v>1635</v>
      </c>
      <c r="M4212" t="s">
        <v>16</v>
      </c>
    </row>
    <row r="4213" spans="1:13" x14ac:dyDescent="0.35">
      <c r="A4213">
        <v>412175</v>
      </c>
      <c r="B4213">
        <v>54178</v>
      </c>
      <c r="C4213" t="s">
        <v>4357</v>
      </c>
      <c r="D4213" t="s">
        <v>4063</v>
      </c>
      <c r="E4213" t="s">
        <v>4136</v>
      </c>
      <c r="F4213">
        <v>7094</v>
      </c>
      <c r="G4213">
        <v>1</v>
      </c>
      <c r="H4213" t="s">
        <v>16</v>
      </c>
      <c r="I4213" s="1">
        <v>-2583900</v>
      </c>
      <c r="J4213" s="1">
        <v>-5202800</v>
      </c>
      <c r="K4213">
        <v>1020</v>
      </c>
      <c r="L4213">
        <v>834</v>
      </c>
      <c r="M4213" t="s">
        <v>16</v>
      </c>
    </row>
    <row r="4214" spans="1:13" x14ac:dyDescent="0.35">
      <c r="A4214">
        <v>412180</v>
      </c>
      <c r="B4214">
        <v>36374</v>
      </c>
      <c r="C4214" t="s">
        <v>4358</v>
      </c>
      <c r="D4214" t="s">
        <v>4063</v>
      </c>
      <c r="E4214" t="s">
        <v>4109</v>
      </c>
      <c r="F4214">
        <v>10882</v>
      </c>
      <c r="G4214">
        <v>1</v>
      </c>
      <c r="H4214" t="s">
        <v>16</v>
      </c>
      <c r="I4214" s="1">
        <v>-2319400</v>
      </c>
      <c r="J4214" s="1">
        <v>-4975800</v>
      </c>
      <c r="K4214">
        <v>690</v>
      </c>
      <c r="L4214">
        <v>632</v>
      </c>
      <c r="M4214" t="s">
        <v>16</v>
      </c>
    </row>
    <row r="4215" spans="1:13" x14ac:dyDescent="0.35">
      <c r="A4215">
        <v>412190</v>
      </c>
      <c r="B4215">
        <v>36382</v>
      </c>
      <c r="C4215" t="s">
        <v>4359</v>
      </c>
      <c r="D4215" t="s">
        <v>4063</v>
      </c>
      <c r="E4215" t="s">
        <v>4064</v>
      </c>
      <c r="F4215">
        <v>13389</v>
      </c>
      <c r="G4215">
        <v>1</v>
      </c>
      <c r="H4215" t="s">
        <v>16</v>
      </c>
      <c r="I4215" s="1">
        <v>-2340800</v>
      </c>
      <c r="J4215" s="1">
        <v>-5035700</v>
      </c>
      <c r="K4215">
        <v>620</v>
      </c>
      <c r="L4215">
        <v>374</v>
      </c>
      <c r="M4215" t="s">
        <v>16</v>
      </c>
    </row>
    <row r="4216" spans="1:13" x14ac:dyDescent="0.35">
      <c r="A4216">
        <v>412200</v>
      </c>
      <c r="B4216">
        <v>36390</v>
      </c>
      <c r="C4216" t="s">
        <v>4360</v>
      </c>
      <c r="D4216" t="s">
        <v>4063</v>
      </c>
      <c r="E4216" t="s">
        <v>4224</v>
      </c>
      <c r="F4216">
        <v>13248</v>
      </c>
      <c r="G4216">
        <v>1</v>
      </c>
      <c r="H4216" t="s">
        <v>16</v>
      </c>
      <c r="I4216" s="1">
        <v>-2573300</v>
      </c>
      <c r="J4216" s="1">
        <v>-5079600</v>
      </c>
      <c r="K4216">
        <v>925</v>
      </c>
      <c r="L4216">
        <v>629</v>
      </c>
      <c r="M4216" t="s">
        <v>16</v>
      </c>
    </row>
    <row r="4217" spans="1:13" x14ac:dyDescent="0.35">
      <c r="A4217">
        <v>412210</v>
      </c>
      <c r="B4217">
        <v>36404</v>
      </c>
      <c r="C4217" t="s">
        <v>4361</v>
      </c>
      <c r="D4217" t="s">
        <v>4063</v>
      </c>
      <c r="E4217" t="s">
        <v>4121</v>
      </c>
      <c r="F4217">
        <v>3260</v>
      </c>
      <c r="G4217">
        <v>1</v>
      </c>
      <c r="H4217" t="s">
        <v>16</v>
      </c>
      <c r="I4217" s="1">
        <v>-2376200</v>
      </c>
      <c r="J4217" s="1">
        <v>-5141100</v>
      </c>
      <c r="K4217">
        <v>680</v>
      </c>
      <c r="L4217">
        <v>177</v>
      </c>
      <c r="M4217" t="s">
        <v>16</v>
      </c>
    </row>
    <row r="4218" spans="1:13" x14ac:dyDescent="0.35">
      <c r="A4218">
        <v>412215</v>
      </c>
      <c r="B4218">
        <v>48712</v>
      </c>
      <c r="C4218" t="s">
        <v>4362</v>
      </c>
      <c r="D4218" t="s">
        <v>4063</v>
      </c>
      <c r="E4218" t="s">
        <v>4136</v>
      </c>
      <c r="F4218">
        <v>14450</v>
      </c>
      <c r="G4218">
        <v>1</v>
      </c>
      <c r="H4218" t="s">
        <v>16</v>
      </c>
      <c r="I4218" s="1">
        <v>-2549100</v>
      </c>
      <c r="J4218" s="1">
        <v>-5252600</v>
      </c>
      <c r="K4218">
        <v>700</v>
      </c>
      <c r="L4218">
        <v>746</v>
      </c>
      <c r="M4218" t="s">
        <v>16</v>
      </c>
    </row>
    <row r="4219" spans="1:13" x14ac:dyDescent="0.35">
      <c r="A4219">
        <v>412217</v>
      </c>
      <c r="B4219">
        <v>53937</v>
      </c>
      <c r="C4219" t="s">
        <v>4363</v>
      </c>
      <c r="D4219" t="s">
        <v>4063</v>
      </c>
      <c r="E4219" t="s">
        <v>4096</v>
      </c>
      <c r="F4219">
        <v>3850</v>
      </c>
      <c r="G4219">
        <v>1</v>
      </c>
      <c r="H4219" t="s">
        <v>16</v>
      </c>
      <c r="I4219" s="1">
        <v>-2432400</v>
      </c>
      <c r="J4219" s="1">
        <v>-5131300</v>
      </c>
      <c r="K4219">
        <v>650</v>
      </c>
      <c r="L4219">
        <v>385</v>
      </c>
      <c r="M4219" t="s">
        <v>16</v>
      </c>
    </row>
    <row r="4220" spans="1:13" x14ac:dyDescent="0.35">
      <c r="A4220">
        <v>412220</v>
      </c>
      <c r="B4220">
        <v>36412</v>
      </c>
      <c r="C4220" t="s">
        <v>4364</v>
      </c>
      <c r="D4220" t="s">
        <v>4063</v>
      </c>
      <c r="E4220" t="s">
        <v>4070</v>
      </c>
      <c r="F4220">
        <v>31486</v>
      </c>
      <c r="G4220">
        <v>4</v>
      </c>
      <c r="H4220" t="s">
        <v>4067</v>
      </c>
      <c r="I4220" s="1">
        <v>-2519000</v>
      </c>
      <c r="J4220" s="1">
        <v>-4931400</v>
      </c>
      <c r="K4220">
        <v>1053</v>
      </c>
      <c r="L4220">
        <v>814</v>
      </c>
      <c r="M4220" t="s">
        <v>16</v>
      </c>
    </row>
    <row r="4221" spans="1:13" x14ac:dyDescent="0.35">
      <c r="A4221">
        <v>412230</v>
      </c>
      <c r="B4221">
        <v>36420</v>
      </c>
      <c r="C4221" t="s">
        <v>109</v>
      </c>
      <c r="D4221" t="s">
        <v>4063</v>
      </c>
      <c r="E4221" t="s">
        <v>109</v>
      </c>
      <c r="F4221">
        <v>50000</v>
      </c>
      <c r="G4221">
        <v>2</v>
      </c>
      <c r="H4221" t="s">
        <v>16</v>
      </c>
      <c r="I4221" s="1">
        <v>-2610600</v>
      </c>
      <c r="J4221" s="1">
        <v>-4979800</v>
      </c>
      <c r="K4221">
        <v>780</v>
      </c>
      <c r="L4221">
        <v>603</v>
      </c>
      <c r="M4221" t="s">
        <v>16</v>
      </c>
    </row>
    <row r="4222" spans="1:13" x14ac:dyDescent="0.35">
      <c r="A4222">
        <v>412240</v>
      </c>
      <c r="B4222">
        <v>36439</v>
      </c>
      <c r="C4222" t="s">
        <v>4365</v>
      </c>
      <c r="D4222" t="s">
        <v>4063</v>
      </c>
      <c r="E4222" t="s">
        <v>4132</v>
      </c>
      <c r="F4222">
        <v>53437</v>
      </c>
      <c r="G4222">
        <v>4</v>
      </c>
      <c r="H4222" t="s">
        <v>4112</v>
      </c>
      <c r="I4222" s="1">
        <v>-2331000</v>
      </c>
      <c r="J4222" s="1">
        <v>-5136900</v>
      </c>
      <c r="K4222">
        <v>730</v>
      </c>
      <c r="L4222">
        <v>460</v>
      </c>
      <c r="M4222" t="s">
        <v>16</v>
      </c>
    </row>
    <row r="4223" spans="1:13" x14ac:dyDescent="0.35">
      <c r="A4223">
        <v>412250</v>
      </c>
      <c r="B4223">
        <v>36447</v>
      </c>
      <c r="C4223" t="s">
        <v>4366</v>
      </c>
      <c r="D4223" t="s">
        <v>4063</v>
      </c>
      <c r="E4223" t="s">
        <v>4097</v>
      </c>
      <c r="F4223">
        <v>12265</v>
      </c>
      <c r="G4223">
        <v>1</v>
      </c>
      <c r="H4223" t="s">
        <v>16</v>
      </c>
      <c r="I4223" s="1">
        <v>-2460300</v>
      </c>
      <c r="J4223" s="1">
        <v>-5227500</v>
      </c>
      <c r="K4223">
        <v>762</v>
      </c>
      <c r="L4223">
        <v>750</v>
      </c>
      <c r="M4223" t="s">
        <v>16</v>
      </c>
    </row>
    <row r="4224" spans="1:13" x14ac:dyDescent="0.35">
      <c r="A4224">
        <v>412260</v>
      </c>
      <c r="B4224">
        <v>36455</v>
      </c>
      <c r="C4224" t="s">
        <v>4367</v>
      </c>
      <c r="D4224" t="s">
        <v>4063</v>
      </c>
      <c r="E4224" t="s">
        <v>4155</v>
      </c>
      <c r="F4224">
        <v>9023</v>
      </c>
      <c r="G4224">
        <v>1</v>
      </c>
      <c r="H4224" t="s">
        <v>16</v>
      </c>
      <c r="I4224" s="1">
        <v>-2341100</v>
      </c>
      <c r="J4224" s="1">
        <v>-5276100</v>
      </c>
      <c r="K4224">
        <v>400</v>
      </c>
      <c r="L4224">
        <v>556</v>
      </c>
      <c r="M4224" t="s">
        <v>16</v>
      </c>
    </row>
    <row r="4225" spans="1:13" x14ac:dyDescent="0.35">
      <c r="A4225">
        <v>412265</v>
      </c>
      <c r="B4225">
        <v>45543</v>
      </c>
      <c r="C4225" t="s">
        <v>4368</v>
      </c>
      <c r="D4225" t="s">
        <v>4063</v>
      </c>
      <c r="E4225" t="s">
        <v>4096</v>
      </c>
      <c r="F4225">
        <v>5823</v>
      </c>
      <c r="G4225">
        <v>1</v>
      </c>
      <c r="H4225" t="s">
        <v>16</v>
      </c>
      <c r="I4225" s="1">
        <v>-2427800</v>
      </c>
      <c r="J4225" s="1">
        <v>-5127500</v>
      </c>
      <c r="K4225">
        <v>750</v>
      </c>
      <c r="L4225">
        <v>371</v>
      </c>
      <c r="M4225" t="s">
        <v>16</v>
      </c>
    </row>
    <row r="4226" spans="1:13" x14ac:dyDescent="0.35">
      <c r="A4226">
        <v>412270</v>
      </c>
      <c r="B4226">
        <v>36463</v>
      </c>
      <c r="C4226" t="s">
        <v>4369</v>
      </c>
      <c r="D4226" t="s">
        <v>4063</v>
      </c>
      <c r="E4226" t="s">
        <v>4091</v>
      </c>
      <c r="F4226">
        <v>5447</v>
      </c>
      <c r="G4226">
        <v>1</v>
      </c>
      <c r="H4226" t="s">
        <v>16</v>
      </c>
      <c r="I4226" s="1">
        <v>-2331800</v>
      </c>
      <c r="J4226" s="1">
        <v>-5155300</v>
      </c>
      <c r="K4226">
        <v>730</v>
      </c>
      <c r="L4226">
        <v>190</v>
      </c>
      <c r="M4226" t="s">
        <v>16</v>
      </c>
    </row>
    <row r="4227" spans="1:13" x14ac:dyDescent="0.35">
      <c r="A4227">
        <v>412280</v>
      </c>
      <c r="B4227">
        <v>36471</v>
      </c>
      <c r="C4227" t="s">
        <v>4370</v>
      </c>
      <c r="D4227" t="s">
        <v>4063</v>
      </c>
      <c r="E4227" t="s">
        <v>4107</v>
      </c>
      <c r="F4227">
        <v>4666</v>
      </c>
      <c r="G4227">
        <v>1</v>
      </c>
      <c r="H4227" t="s">
        <v>16</v>
      </c>
      <c r="I4227" s="1">
        <v>-2617000</v>
      </c>
      <c r="J4227" s="1">
        <v>-5336100</v>
      </c>
      <c r="K4227">
        <v>620</v>
      </c>
      <c r="L4227">
        <v>183</v>
      </c>
      <c r="M4227" t="s">
        <v>16</v>
      </c>
    </row>
    <row r="4228" spans="1:13" x14ac:dyDescent="0.35">
      <c r="A4228">
        <v>412290</v>
      </c>
      <c r="B4228">
        <v>36480</v>
      </c>
      <c r="C4228" t="s">
        <v>4371</v>
      </c>
      <c r="D4228" t="s">
        <v>4063</v>
      </c>
      <c r="E4228" t="s">
        <v>3237</v>
      </c>
      <c r="F4228">
        <v>5087</v>
      </c>
      <c r="G4228">
        <v>1</v>
      </c>
      <c r="H4228" t="s">
        <v>16</v>
      </c>
      <c r="I4228" s="1">
        <v>-2360100</v>
      </c>
      <c r="J4228" s="1">
        <v>-4962600</v>
      </c>
      <c r="K4228">
        <v>502</v>
      </c>
      <c r="L4228">
        <v>200</v>
      </c>
      <c r="M4228" t="s">
        <v>16</v>
      </c>
    </row>
    <row r="4229" spans="1:13" x14ac:dyDescent="0.35">
      <c r="A4229">
        <v>412300</v>
      </c>
      <c r="B4229">
        <v>36498</v>
      </c>
      <c r="C4229" t="s">
        <v>4372</v>
      </c>
      <c r="D4229" t="s">
        <v>4063</v>
      </c>
      <c r="E4229" t="s">
        <v>4107</v>
      </c>
      <c r="F4229">
        <v>12480</v>
      </c>
      <c r="G4229">
        <v>1</v>
      </c>
      <c r="H4229" t="s">
        <v>16</v>
      </c>
      <c r="I4229" s="1">
        <v>-2578400</v>
      </c>
      <c r="J4229" s="1">
        <v>-5330900</v>
      </c>
      <c r="K4229">
        <v>538</v>
      </c>
      <c r="L4229">
        <v>313</v>
      </c>
      <c r="M4229" t="s">
        <v>16</v>
      </c>
    </row>
    <row r="4230" spans="1:13" x14ac:dyDescent="0.35">
      <c r="A4230">
        <v>412310</v>
      </c>
      <c r="B4230">
        <v>36501</v>
      </c>
      <c r="C4230" t="s">
        <v>4373</v>
      </c>
      <c r="D4230" t="s">
        <v>4063</v>
      </c>
      <c r="E4230" t="s">
        <v>4064</v>
      </c>
      <c r="F4230">
        <v>4062</v>
      </c>
      <c r="G4230">
        <v>1</v>
      </c>
      <c r="H4230" t="s">
        <v>16</v>
      </c>
      <c r="I4230" s="1">
        <v>-2326600</v>
      </c>
      <c r="J4230" s="1">
        <v>-5042400</v>
      </c>
      <c r="K4230">
        <v>500</v>
      </c>
      <c r="L4230">
        <v>77</v>
      </c>
      <c r="M4230" t="s">
        <v>16</v>
      </c>
    </row>
    <row r="4231" spans="1:13" x14ac:dyDescent="0.35">
      <c r="A4231">
        <v>412320</v>
      </c>
      <c r="B4231">
        <v>36510</v>
      </c>
      <c r="C4231" t="s">
        <v>4374</v>
      </c>
      <c r="D4231" t="s">
        <v>4063</v>
      </c>
      <c r="E4231" t="s">
        <v>4101</v>
      </c>
      <c r="F4231">
        <v>3676</v>
      </c>
      <c r="G4231">
        <v>1</v>
      </c>
      <c r="H4231" t="s">
        <v>16</v>
      </c>
      <c r="I4231" s="1">
        <v>-2351700</v>
      </c>
      <c r="J4231" s="1">
        <v>-5078400</v>
      </c>
      <c r="K4231">
        <v>660</v>
      </c>
      <c r="L4231">
        <v>110</v>
      </c>
      <c r="M4231" t="s">
        <v>16</v>
      </c>
    </row>
    <row r="4232" spans="1:13" x14ac:dyDescent="0.35">
      <c r="A4232">
        <v>412330</v>
      </c>
      <c r="B4232">
        <v>36528</v>
      </c>
      <c r="C4232" t="s">
        <v>4375</v>
      </c>
      <c r="D4232" t="s">
        <v>4063</v>
      </c>
      <c r="E4232" t="s">
        <v>4076</v>
      </c>
      <c r="F4232">
        <v>7924</v>
      </c>
      <c r="G4232">
        <v>1</v>
      </c>
      <c r="H4232" t="s">
        <v>16</v>
      </c>
      <c r="I4232" s="1">
        <v>-2295300</v>
      </c>
      <c r="J4232" s="1">
        <v>-5329700</v>
      </c>
      <c r="K4232">
        <v>382</v>
      </c>
      <c r="L4232">
        <v>442</v>
      </c>
      <c r="M4232" t="s">
        <v>16</v>
      </c>
    </row>
    <row r="4233" spans="1:13" x14ac:dyDescent="0.35">
      <c r="A4233">
        <v>412340</v>
      </c>
      <c r="B4233">
        <v>36536</v>
      </c>
      <c r="C4233" t="s">
        <v>4376</v>
      </c>
      <c r="D4233" t="s">
        <v>4063</v>
      </c>
      <c r="E4233" t="s">
        <v>4085</v>
      </c>
      <c r="F4233">
        <v>9774</v>
      </c>
      <c r="G4233">
        <v>1</v>
      </c>
      <c r="H4233" t="s">
        <v>16</v>
      </c>
      <c r="I4233" s="1">
        <v>-2303800</v>
      </c>
      <c r="J4233" s="1">
        <v>-5180500</v>
      </c>
      <c r="K4233">
        <v>538</v>
      </c>
      <c r="L4233">
        <v>276</v>
      </c>
      <c r="M4233" t="s">
        <v>16</v>
      </c>
    </row>
    <row r="4234" spans="1:13" x14ac:dyDescent="0.35">
      <c r="A4234">
        <v>412350</v>
      </c>
      <c r="B4234">
        <v>36544</v>
      </c>
      <c r="C4234" t="s">
        <v>718</v>
      </c>
      <c r="D4234" t="s">
        <v>4063</v>
      </c>
      <c r="E4234" t="s">
        <v>3198</v>
      </c>
      <c r="F4234">
        <v>22794</v>
      </c>
      <c r="G4234">
        <v>1</v>
      </c>
      <c r="H4234" t="s">
        <v>16</v>
      </c>
      <c r="I4234" s="1">
        <v>-2486000</v>
      </c>
      <c r="J4234" s="1">
        <v>-5433300</v>
      </c>
      <c r="K4234">
        <v>258</v>
      </c>
      <c r="L4234">
        <v>758</v>
      </c>
      <c r="M4234" t="s">
        <v>16</v>
      </c>
    </row>
    <row r="4235" spans="1:13" x14ac:dyDescent="0.35">
      <c r="A4235">
        <v>412360</v>
      </c>
      <c r="B4235">
        <v>36552</v>
      </c>
      <c r="C4235" t="s">
        <v>719</v>
      </c>
      <c r="D4235" t="s">
        <v>4063</v>
      </c>
      <c r="E4235" t="s">
        <v>4085</v>
      </c>
      <c r="F4235">
        <v>1878</v>
      </c>
      <c r="G4235">
        <v>1</v>
      </c>
      <c r="H4235" t="s">
        <v>16</v>
      </c>
      <c r="I4235" s="1">
        <v>-2263800</v>
      </c>
      <c r="J4235" s="1">
        <v>-5190300</v>
      </c>
      <c r="K4235">
        <v>360</v>
      </c>
      <c r="L4235">
        <v>138</v>
      </c>
      <c r="M4235" t="s">
        <v>16</v>
      </c>
    </row>
    <row r="4236" spans="1:13" x14ac:dyDescent="0.35">
      <c r="A4236">
        <v>412370</v>
      </c>
      <c r="B4236">
        <v>36560</v>
      </c>
      <c r="C4236" t="s">
        <v>4377</v>
      </c>
      <c r="D4236" t="s">
        <v>4063</v>
      </c>
      <c r="E4236" t="s">
        <v>4076</v>
      </c>
      <c r="F4236">
        <v>8509</v>
      </c>
      <c r="G4236">
        <v>1</v>
      </c>
      <c r="H4236" t="s">
        <v>16</v>
      </c>
      <c r="I4236" s="1">
        <v>-2300300</v>
      </c>
      <c r="J4236" s="1">
        <v>-5319700</v>
      </c>
      <c r="K4236">
        <v>424</v>
      </c>
      <c r="L4236">
        <v>349</v>
      </c>
      <c r="M4236" t="s">
        <v>16</v>
      </c>
    </row>
    <row r="4237" spans="1:13" x14ac:dyDescent="0.35">
      <c r="A4237">
        <v>412380</v>
      </c>
      <c r="B4237">
        <v>36579</v>
      </c>
      <c r="C4237" t="s">
        <v>4378</v>
      </c>
      <c r="D4237" t="s">
        <v>4063</v>
      </c>
      <c r="E4237" t="s">
        <v>243</v>
      </c>
      <c r="F4237">
        <v>11434</v>
      </c>
      <c r="G4237">
        <v>1</v>
      </c>
      <c r="H4237" t="s">
        <v>16</v>
      </c>
      <c r="I4237" s="1">
        <v>-2582100</v>
      </c>
      <c r="J4237" s="1">
        <v>-5348400</v>
      </c>
      <c r="K4237">
        <v>518</v>
      </c>
      <c r="L4237">
        <v>321</v>
      </c>
      <c r="M4237" t="s">
        <v>16</v>
      </c>
    </row>
    <row r="4238" spans="1:13" x14ac:dyDescent="0.35">
      <c r="A4238">
        <v>412382</v>
      </c>
      <c r="B4238">
        <v>48755</v>
      </c>
      <c r="C4238" t="s">
        <v>3956</v>
      </c>
      <c r="D4238" t="s">
        <v>4063</v>
      </c>
      <c r="E4238" t="s">
        <v>1059</v>
      </c>
      <c r="F4238">
        <v>3725</v>
      </c>
      <c r="G4238">
        <v>1</v>
      </c>
      <c r="H4238" t="s">
        <v>16</v>
      </c>
      <c r="I4238" s="1">
        <v>-2540700</v>
      </c>
      <c r="J4238" s="1">
        <v>-5356600</v>
      </c>
      <c r="K4238">
        <v>441</v>
      </c>
      <c r="L4238">
        <v>116</v>
      </c>
      <c r="M4238" t="s">
        <v>16</v>
      </c>
    </row>
    <row r="4239" spans="1:13" x14ac:dyDescent="0.35">
      <c r="A4239">
        <v>412385</v>
      </c>
      <c r="B4239">
        <v>48780</v>
      </c>
      <c r="C4239" t="s">
        <v>4379</v>
      </c>
      <c r="D4239" t="s">
        <v>4063</v>
      </c>
      <c r="E4239" t="s">
        <v>4117</v>
      </c>
      <c r="F4239">
        <v>11548</v>
      </c>
      <c r="G4239">
        <v>1</v>
      </c>
      <c r="H4239" t="s">
        <v>16</v>
      </c>
      <c r="I4239" s="1">
        <v>-2493900</v>
      </c>
      <c r="J4239" s="1">
        <v>-5186300</v>
      </c>
      <c r="K4239">
        <v>1049</v>
      </c>
      <c r="L4239">
        <v>847</v>
      </c>
      <c r="M4239" t="s">
        <v>16</v>
      </c>
    </row>
    <row r="4240" spans="1:13" x14ac:dyDescent="0.35">
      <c r="A4240">
        <v>412390</v>
      </c>
      <c r="B4240">
        <v>36587</v>
      </c>
      <c r="C4240" t="s">
        <v>4380</v>
      </c>
      <c r="D4240" t="s">
        <v>4063</v>
      </c>
      <c r="E4240" t="s">
        <v>4064</v>
      </c>
      <c r="F4240">
        <v>11992</v>
      </c>
      <c r="G4240">
        <v>1</v>
      </c>
      <c r="H4240" t="s">
        <v>16</v>
      </c>
      <c r="I4240" s="1">
        <v>-2315100</v>
      </c>
      <c r="J4240" s="1">
        <v>-5051900</v>
      </c>
      <c r="K4240">
        <v>455</v>
      </c>
      <c r="L4240">
        <v>423</v>
      </c>
      <c r="M4240" t="s">
        <v>16</v>
      </c>
    </row>
    <row r="4241" spans="1:13" x14ac:dyDescent="0.35">
      <c r="A4241">
        <v>412395</v>
      </c>
      <c r="B4241">
        <v>48771</v>
      </c>
      <c r="C4241" t="s">
        <v>4381</v>
      </c>
      <c r="D4241" t="s">
        <v>4063</v>
      </c>
      <c r="E4241" t="s">
        <v>4076</v>
      </c>
      <c r="F4241">
        <v>3453</v>
      </c>
      <c r="G4241">
        <v>1</v>
      </c>
      <c r="H4241" t="s">
        <v>16</v>
      </c>
      <c r="I4241" s="1">
        <v>-2310800</v>
      </c>
      <c r="J4241" s="1">
        <v>-5310900</v>
      </c>
      <c r="K4241">
        <v>382</v>
      </c>
      <c r="L4241">
        <v>259</v>
      </c>
      <c r="M4241" t="s">
        <v>16</v>
      </c>
    </row>
    <row r="4242" spans="1:13" x14ac:dyDescent="0.35">
      <c r="A4242">
        <v>412400</v>
      </c>
      <c r="B4242">
        <v>36595</v>
      </c>
      <c r="C4242" t="s">
        <v>4382</v>
      </c>
      <c r="D4242" t="s">
        <v>4063</v>
      </c>
      <c r="E4242" t="s">
        <v>3237</v>
      </c>
      <c r="F4242">
        <v>5537</v>
      </c>
      <c r="G4242">
        <v>1</v>
      </c>
      <c r="H4242" t="s">
        <v>16</v>
      </c>
      <c r="I4242" s="1">
        <v>-2375500</v>
      </c>
      <c r="J4242" s="1">
        <v>-4962900</v>
      </c>
      <c r="K4242">
        <v>545</v>
      </c>
      <c r="L4242">
        <v>251</v>
      </c>
      <c r="M4242" t="s">
        <v>16</v>
      </c>
    </row>
    <row r="4243" spans="1:13" x14ac:dyDescent="0.35">
      <c r="A4243">
        <v>412402</v>
      </c>
      <c r="B4243">
        <v>48747</v>
      </c>
      <c r="C4243" t="s">
        <v>4383</v>
      </c>
      <c r="D4243" t="s">
        <v>4063</v>
      </c>
      <c r="E4243" t="s">
        <v>1059</v>
      </c>
      <c r="F4243">
        <v>9378</v>
      </c>
      <c r="G4243">
        <v>1</v>
      </c>
      <c r="H4243" t="s">
        <v>16</v>
      </c>
      <c r="I4243" s="1">
        <v>-2505200</v>
      </c>
      <c r="J4243" s="1">
        <v>-5363300</v>
      </c>
      <c r="K4243">
        <v>749</v>
      </c>
      <c r="L4243">
        <v>326</v>
      </c>
      <c r="M4243" t="s">
        <v>16</v>
      </c>
    </row>
    <row r="4244" spans="1:13" x14ac:dyDescent="0.35">
      <c r="A4244">
        <v>412405</v>
      </c>
      <c r="B4244">
        <v>6386</v>
      </c>
      <c r="C4244" t="s">
        <v>4384</v>
      </c>
      <c r="D4244" t="s">
        <v>4063</v>
      </c>
      <c r="E4244" t="s">
        <v>4153</v>
      </c>
      <c r="F4244">
        <v>19552</v>
      </c>
      <c r="G4244">
        <v>1</v>
      </c>
      <c r="H4244" t="s">
        <v>16</v>
      </c>
      <c r="I4244" s="1">
        <v>-2544700</v>
      </c>
      <c r="J4244" s="1">
        <v>-5440100</v>
      </c>
      <c r="K4244">
        <v>218</v>
      </c>
      <c r="L4244">
        <v>259</v>
      </c>
      <c r="M4244" t="s">
        <v>16</v>
      </c>
    </row>
    <row r="4245" spans="1:13" x14ac:dyDescent="0.35">
      <c r="A4245">
        <v>412410</v>
      </c>
      <c r="B4245">
        <v>36609</v>
      </c>
      <c r="C4245" t="s">
        <v>4385</v>
      </c>
      <c r="D4245" t="s">
        <v>4063</v>
      </c>
      <c r="E4245" t="s">
        <v>4109</v>
      </c>
      <c r="F4245">
        <v>40480</v>
      </c>
      <c r="G4245">
        <v>1</v>
      </c>
      <c r="H4245" t="s">
        <v>16</v>
      </c>
      <c r="I4245" s="1">
        <v>-2329500</v>
      </c>
      <c r="J4245" s="1">
        <v>-5007700</v>
      </c>
      <c r="K4245">
        <v>505</v>
      </c>
      <c r="L4245">
        <v>721</v>
      </c>
      <c r="M4245" t="s">
        <v>16</v>
      </c>
    </row>
    <row r="4246" spans="1:13" x14ac:dyDescent="0.35">
      <c r="A4246">
        <v>412420</v>
      </c>
      <c r="B4246">
        <v>36617</v>
      </c>
      <c r="C4246" t="s">
        <v>4386</v>
      </c>
      <c r="D4246" t="s">
        <v>4063</v>
      </c>
      <c r="E4246" t="s">
        <v>4076</v>
      </c>
      <c r="F4246">
        <v>2692</v>
      </c>
      <c r="G4246">
        <v>1</v>
      </c>
      <c r="H4246" t="s">
        <v>16</v>
      </c>
      <c r="I4246" s="1">
        <v>-2273500</v>
      </c>
      <c r="J4246" s="1">
        <v>-5234200</v>
      </c>
      <c r="K4246">
        <v>440</v>
      </c>
      <c r="L4246">
        <v>219</v>
      </c>
      <c r="M4246" t="s">
        <v>16</v>
      </c>
    </row>
    <row r="4247" spans="1:13" x14ac:dyDescent="0.35">
      <c r="A4247">
        <v>412430</v>
      </c>
      <c r="B4247">
        <v>36625</v>
      </c>
      <c r="C4247" t="s">
        <v>4387</v>
      </c>
      <c r="D4247" t="s">
        <v>4063</v>
      </c>
      <c r="E4247" t="s">
        <v>4064</v>
      </c>
      <c r="F4247">
        <v>2354</v>
      </c>
      <c r="G4247">
        <v>1</v>
      </c>
      <c r="H4247" t="s">
        <v>16</v>
      </c>
      <c r="I4247" s="1">
        <v>-2349400</v>
      </c>
      <c r="J4247" s="1">
        <v>-5064600</v>
      </c>
      <c r="K4247">
        <v>655</v>
      </c>
      <c r="L4247">
        <v>165</v>
      </c>
      <c r="M4247" t="s">
        <v>16</v>
      </c>
    </row>
    <row r="4248" spans="1:13" x14ac:dyDescent="0.35">
      <c r="A4248">
        <v>412440</v>
      </c>
      <c r="B4248">
        <v>36633</v>
      </c>
      <c r="C4248" t="s">
        <v>4388</v>
      </c>
      <c r="D4248" t="s">
        <v>4063</v>
      </c>
      <c r="E4248" t="s">
        <v>4107</v>
      </c>
      <c r="F4248">
        <v>18565</v>
      </c>
      <c r="G4248">
        <v>1</v>
      </c>
      <c r="H4248" t="s">
        <v>16</v>
      </c>
      <c r="I4248" s="1">
        <v>-2607000</v>
      </c>
      <c r="J4248" s="1">
        <v>-5372300</v>
      </c>
      <c r="K4248">
        <v>548</v>
      </c>
      <c r="L4248">
        <v>325</v>
      </c>
      <c r="M4248" t="s">
        <v>16</v>
      </c>
    </row>
    <row r="4249" spans="1:13" x14ac:dyDescent="0.35">
      <c r="A4249">
        <v>412450</v>
      </c>
      <c r="B4249">
        <v>36641</v>
      </c>
      <c r="C4249" t="s">
        <v>4389</v>
      </c>
      <c r="D4249" t="s">
        <v>4063</v>
      </c>
      <c r="E4249" t="s">
        <v>4085</v>
      </c>
      <c r="F4249">
        <v>4876</v>
      </c>
      <c r="G4249">
        <v>1</v>
      </c>
      <c r="H4249" t="s">
        <v>16</v>
      </c>
      <c r="I4249" s="1">
        <v>-2269800</v>
      </c>
      <c r="J4249" s="1">
        <v>-5179400</v>
      </c>
      <c r="K4249">
        <v>370</v>
      </c>
      <c r="L4249">
        <v>306</v>
      </c>
      <c r="M4249" t="s">
        <v>16</v>
      </c>
    </row>
    <row r="4250" spans="1:13" x14ac:dyDescent="0.35">
      <c r="A4250">
        <v>412460</v>
      </c>
      <c r="B4250">
        <v>36650</v>
      </c>
      <c r="C4250" t="s">
        <v>4390</v>
      </c>
      <c r="D4250" t="s">
        <v>4063</v>
      </c>
      <c r="E4250" t="s">
        <v>4076</v>
      </c>
      <c r="F4250">
        <v>5817</v>
      </c>
      <c r="G4250">
        <v>1</v>
      </c>
      <c r="H4250" t="s">
        <v>16</v>
      </c>
      <c r="I4250" s="1">
        <v>-2331500</v>
      </c>
      <c r="J4250" s="1">
        <v>-5247600</v>
      </c>
      <c r="K4250">
        <v>380</v>
      </c>
      <c r="L4250">
        <v>225</v>
      </c>
      <c r="M4250" t="s">
        <v>16</v>
      </c>
    </row>
    <row r="4251" spans="1:13" x14ac:dyDescent="0.35">
      <c r="A4251">
        <v>412470</v>
      </c>
      <c r="B4251">
        <v>36668</v>
      </c>
      <c r="C4251" t="s">
        <v>4391</v>
      </c>
      <c r="D4251" t="s">
        <v>4063</v>
      </c>
      <c r="E4251" t="s">
        <v>4101</v>
      </c>
      <c r="F4251">
        <v>11563</v>
      </c>
      <c r="G4251">
        <v>1</v>
      </c>
      <c r="H4251" t="s">
        <v>16</v>
      </c>
      <c r="I4251" s="1">
        <v>-2372800</v>
      </c>
      <c r="J4251" s="1">
        <v>-5074100</v>
      </c>
      <c r="K4251">
        <v>976</v>
      </c>
      <c r="L4251">
        <v>823</v>
      </c>
      <c r="M4251" t="s">
        <v>16</v>
      </c>
    </row>
    <row r="4252" spans="1:13" x14ac:dyDescent="0.35">
      <c r="A4252">
        <v>412480</v>
      </c>
      <c r="B4252">
        <v>36676</v>
      </c>
      <c r="C4252" t="s">
        <v>1758</v>
      </c>
      <c r="D4252" t="s">
        <v>4063</v>
      </c>
      <c r="E4252" t="s">
        <v>4123</v>
      </c>
      <c r="F4252">
        <v>10900</v>
      </c>
      <c r="G4252">
        <v>1</v>
      </c>
      <c r="H4252" t="s">
        <v>16</v>
      </c>
      <c r="I4252" s="1">
        <v>-2582800</v>
      </c>
      <c r="J4252" s="1">
        <v>-5272500</v>
      </c>
      <c r="K4252">
        <v>750</v>
      </c>
      <c r="L4252">
        <v>388</v>
      </c>
      <c r="M4252" t="s">
        <v>16</v>
      </c>
    </row>
    <row r="4253" spans="1:13" x14ac:dyDescent="0.35">
      <c r="A4253">
        <v>412490</v>
      </c>
      <c r="B4253">
        <v>36684</v>
      </c>
      <c r="C4253" t="s">
        <v>4392</v>
      </c>
      <c r="D4253" t="s">
        <v>4063</v>
      </c>
      <c r="E4253" t="s">
        <v>4076</v>
      </c>
      <c r="F4253">
        <v>5979</v>
      </c>
      <c r="G4253">
        <v>1</v>
      </c>
      <c r="H4253" t="s">
        <v>16</v>
      </c>
      <c r="I4253" s="1">
        <v>-2285200</v>
      </c>
      <c r="J4253" s="1">
        <v>-5233700</v>
      </c>
      <c r="K4253">
        <v>410</v>
      </c>
      <c r="L4253">
        <v>304</v>
      </c>
      <c r="M4253" t="s">
        <v>16</v>
      </c>
    </row>
    <row r="4254" spans="1:13" x14ac:dyDescent="0.35">
      <c r="A4254">
        <v>412500</v>
      </c>
      <c r="B4254">
        <v>36692</v>
      </c>
      <c r="C4254" t="s">
        <v>4393</v>
      </c>
      <c r="D4254" t="s">
        <v>4063</v>
      </c>
      <c r="E4254" t="s">
        <v>4096</v>
      </c>
      <c r="F4254">
        <v>11854</v>
      </c>
      <c r="G4254">
        <v>1</v>
      </c>
      <c r="H4254" t="s">
        <v>16</v>
      </c>
      <c r="I4254" s="1">
        <v>-2398000</v>
      </c>
      <c r="J4254" s="1">
        <v>-5181800</v>
      </c>
      <c r="K4254">
        <v>495</v>
      </c>
      <c r="L4254">
        <v>353</v>
      </c>
      <c r="M4254" t="s">
        <v>16</v>
      </c>
    </row>
    <row r="4255" spans="1:13" x14ac:dyDescent="0.35">
      <c r="A4255">
        <v>412510</v>
      </c>
      <c r="B4255">
        <v>36706</v>
      </c>
      <c r="C4255" t="s">
        <v>4394</v>
      </c>
      <c r="D4255" t="s">
        <v>4063</v>
      </c>
      <c r="E4255" t="s">
        <v>4090</v>
      </c>
      <c r="F4255">
        <v>13611</v>
      </c>
      <c r="G4255">
        <v>1</v>
      </c>
      <c r="H4255" t="s">
        <v>16</v>
      </c>
      <c r="I4255" s="1">
        <v>-2568300</v>
      </c>
      <c r="J4255" s="1">
        <v>-5029700</v>
      </c>
      <c r="K4255">
        <v>840</v>
      </c>
      <c r="L4255">
        <v>720</v>
      </c>
      <c r="M4255" t="s">
        <v>16</v>
      </c>
    </row>
    <row r="4256" spans="1:13" x14ac:dyDescent="0.35">
      <c r="A4256">
        <v>412520</v>
      </c>
      <c r="B4256">
        <v>36722</v>
      </c>
      <c r="C4256" t="s">
        <v>4395</v>
      </c>
      <c r="D4256" t="s">
        <v>4063</v>
      </c>
      <c r="E4256" t="s">
        <v>4107</v>
      </c>
      <c r="F4256">
        <v>8979</v>
      </c>
      <c r="G4256">
        <v>1</v>
      </c>
      <c r="H4256" t="s">
        <v>16</v>
      </c>
      <c r="I4256" s="1">
        <v>-2570600</v>
      </c>
      <c r="J4256" s="1">
        <v>-5291800</v>
      </c>
      <c r="K4256">
        <v>541</v>
      </c>
      <c r="L4256">
        <v>379</v>
      </c>
      <c r="M4256" t="s">
        <v>16</v>
      </c>
    </row>
    <row r="4257" spans="1:13" x14ac:dyDescent="0.35">
      <c r="A4257">
        <v>412530</v>
      </c>
      <c r="B4257">
        <v>36714</v>
      </c>
      <c r="C4257" t="s">
        <v>4396</v>
      </c>
      <c r="D4257" t="s">
        <v>4063</v>
      </c>
      <c r="E4257" t="s">
        <v>4180</v>
      </c>
      <c r="F4257">
        <v>5286</v>
      </c>
      <c r="G4257">
        <v>1</v>
      </c>
      <c r="H4257" t="s">
        <v>16</v>
      </c>
      <c r="I4257" s="1">
        <v>-2343300</v>
      </c>
      <c r="J4257" s="1">
        <v>-5229300</v>
      </c>
      <c r="K4257">
        <v>430</v>
      </c>
      <c r="L4257">
        <v>315</v>
      </c>
      <c r="M4257" t="s">
        <v>16</v>
      </c>
    </row>
    <row r="4258" spans="1:13" x14ac:dyDescent="0.35">
      <c r="A4258">
        <v>412535</v>
      </c>
      <c r="B4258">
        <v>45365</v>
      </c>
      <c r="C4258" t="s">
        <v>4397</v>
      </c>
      <c r="D4258" t="s">
        <v>4063</v>
      </c>
      <c r="E4258" t="s">
        <v>4074</v>
      </c>
      <c r="F4258">
        <v>6031</v>
      </c>
      <c r="G4258">
        <v>1</v>
      </c>
      <c r="H4258" t="s">
        <v>16</v>
      </c>
      <c r="I4258" s="1">
        <v>-2374100</v>
      </c>
      <c r="J4258" s="1">
        <v>-5392700</v>
      </c>
      <c r="K4258">
        <v>274</v>
      </c>
      <c r="L4258">
        <v>404</v>
      </c>
      <c r="M4258" t="s">
        <v>16</v>
      </c>
    </row>
    <row r="4259" spans="1:13" x14ac:dyDescent="0.35">
      <c r="A4259">
        <v>412540</v>
      </c>
      <c r="B4259">
        <v>36730</v>
      </c>
      <c r="C4259" t="s">
        <v>4398</v>
      </c>
      <c r="D4259" t="s">
        <v>4063</v>
      </c>
      <c r="E4259" t="s">
        <v>3237</v>
      </c>
      <c r="F4259">
        <v>6293</v>
      </c>
      <c r="G4259">
        <v>1</v>
      </c>
      <c r="H4259" t="s">
        <v>16</v>
      </c>
      <c r="I4259" s="1">
        <v>-2391600</v>
      </c>
      <c r="J4259" s="1">
        <v>-4965200</v>
      </c>
      <c r="K4259">
        <v>525</v>
      </c>
      <c r="L4259">
        <v>399</v>
      </c>
      <c r="M4259" t="s">
        <v>16</v>
      </c>
    </row>
    <row r="4260" spans="1:13" x14ac:dyDescent="0.35">
      <c r="A4260">
        <v>412545</v>
      </c>
      <c r="B4260">
        <v>28142</v>
      </c>
      <c r="C4260" t="s">
        <v>4399</v>
      </c>
      <c r="D4260" t="s">
        <v>4063</v>
      </c>
      <c r="E4260" t="s">
        <v>3198</v>
      </c>
      <c r="F4260">
        <v>3873</v>
      </c>
      <c r="G4260">
        <v>1</v>
      </c>
      <c r="H4260" t="s">
        <v>16</v>
      </c>
      <c r="I4260" s="1">
        <v>-2483800</v>
      </c>
      <c r="J4260" s="1">
        <v>-5406400</v>
      </c>
      <c r="K4260">
        <v>530</v>
      </c>
      <c r="L4260">
        <v>182</v>
      </c>
      <c r="M4260" t="s">
        <v>16</v>
      </c>
    </row>
    <row r="4261" spans="1:13" x14ac:dyDescent="0.35">
      <c r="A4261">
        <v>412550</v>
      </c>
      <c r="B4261">
        <v>36749</v>
      </c>
      <c r="C4261" t="s">
        <v>4400</v>
      </c>
      <c r="D4261" t="s">
        <v>4063</v>
      </c>
      <c r="E4261" t="s">
        <v>4070</v>
      </c>
      <c r="F4261">
        <v>263622</v>
      </c>
      <c r="G4261">
        <v>4</v>
      </c>
      <c r="H4261" t="s">
        <v>4067</v>
      </c>
      <c r="I4261" s="1">
        <v>-2553500</v>
      </c>
      <c r="J4261" s="1">
        <v>-4920600</v>
      </c>
      <c r="K4261">
        <v>906</v>
      </c>
      <c r="L4261">
        <v>945</v>
      </c>
      <c r="M4261" t="s">
        <v>16</v>
      </c>
    </row>
    <row r="4262" spans="1:13" x14ac:dyDescent="0.35">
      <c r="A4262">
        <v>412555</v>
      </c>
      <c r="B4262">
        <v>53600</v>
      </c>
      <c r="C4262" t="s">
        <v>4401</v>
      </c>
      <c r="D4262" t="s">
        <v>4063</v>
      </c>
      <c r="E4262" t="s">
        <v>4155</v>
      </c>
      <c r="F4262">
        <v>2093</v>
      </c>
      <c r="G4262">
        <v>1</v>
      </c>
      <c r="H4262" t="s">
        <v>16</v>
      </c>
      <c r="I4262" s="1">
        <v>-2340300</v>
      </c>
      <c r="J4262" s="1">
        <v>-5264400</v>
      </c>
      <c r="K4262">
        <v>399</v>
      </c>
      <c r="L4262">
        <v>95</v>
      </c>
      <c r="M4262" t="s">
        <v>16</v>
      </c>
    </row>
    <row r="4263" spans="1:13" x14ac:dyDescent="0.35">
      <c r="A4263">
        <v>412560</v>
      </c>
      <c r="B4263">
        <v>36757</v>
      </c>
      <c r="C4263" t="s">
        <v>4402</v>
      </c>
      <c r="D4263" t="s">
        <v>4063</v>
      </c>
      <c r="E4263" t="s">
        <v>4090</v>
      </c>
      <c r="F4263">
        <v>39152</v>
      </c>
      <c r="G4263">
        <v>1</v>
      </c>
      <c r="H4263" t="s">
        <v>16</v>
      </c>
      <c r="I4263" s="1">
        <v>-2587400</v>
      </c>
      <c r="J4263" s="1">
        <v>-5038300</v>
      </c>
      <c r="K4263">
        <v>835</v>
      </c>
      <c r="L4263">
        <v>1342</v>
      </c>
      <c r="M4263" t="s">
        <v>16</v>
      </c>
    </row>
    <row r="4264" spans="1:13" x14ac:dyDescent="0.35">
      <c r="A4264">
        <v>412570</v>
      </c>
      <c r="B4264">
        <v>36765</v>
      </c>
      <c r="C4264" t="s">
        <v>4403</v>
      </c>
      <c r="D4264" t="s">
        <v>4063</v>
      </c>
      <c r="E4264" t="s">
        <v>4153</v>
      </c>
      <c r="F4264">
        <v>25341</v>
      </c>
      <c r="G4264">
        <v>1</v>
      </c>
      <c r="H4264" t="s">
        <v>16</v>
      </c>
      <c r="I4264" s="1">
        <v>-2534800</v>
      </c>
      <c r="J4264" s="1">
        <v>-5423800</v>
      </c>
      <c r="K4264">
        <v>312</v>
      </c>
      <c r="L4264">
        <v>851</v>
      </c>
      <c r="M4264" t="s">
        <v>16</v>
      </c>
    </row>
    <row r="4265" spans="1:13" x14ac:dyDescent="0.35">
      <c r="A4265">
        <v>412575</v>
      </c>
      <c r="B4265">
        <v>48763</v>
      </c>
      <c r="C4265" t="s">
        <v>4404</v>
      </c>
      <c r="D4265" t="s">
        <v>4063</v>
      </c>
      <c r="E4265" t="s">
        <v>3198</v>
      </c>
      <c r="F4265">
        <v>6540</v>
      </c>
      <c r="G4265">
        <v>1</v>
      </c>
      <c r="H4265" t="s">
        <v>16</v>
      </c>
      <c r="I4265" s="1">
        <v>-2493600</v>
      </c>
      <c r="J4265" s="1">
        <v>-5385500</v>
      </c>
      <c r="K4265">
        <v>555</v>
      </c>
      <c r="L4265">
        <v>308</v>
      </c>
      <c r="M4265" t="s">
        <v>16</v>
      </c>
    </row>
    <row r="4266" spans="1:13" x14ac:dyDescent="0.35">
      <c r="A4266">
        <v>412580</v>
      </c>
      <c r="B4266">
        <v>36773</v>
      </c>
      <c r="C4266" t="s">
        <v>4405</v>
      </c>
      <c r="D4266" t="s">
        <v>4063</v>
      </c>
      <c r="E4266" t="s">
        <v>4096</v>
      </c>
      <c r="F4266">
        <v>9569</v>
      </c>
      <c r="G4266">
        <v>1</v>
      </c>
      <c r="H4266" t="s">
        <v>16</v>
      </c>
      <c r="I4266" s="1">
        <v>-2386500</v>
      </c>
      <c r="J4266" s="1">
        <v>-5185600</v>
      </c>
      <c r="K4266">
        <v>440</v>
      </c>
      <c r="L4266">
        <v>322</v>
      </c>
      <c r="M4266" t="s">
        <v>16</v>
      </c>
    </row>
    <row r="4267" spans="1:13" x14ac:dyDescent="0.35">
      <c r="A4267">
        <v>412590</v>
      </c>
      <c r="B4267">
        <v>36781</v>
      </c>
      <c r="C4267" t="s">
        <v>4406</v>
      </c>
      <c r="D4267" t="s">
        <v>4063</v>
      </c>
      <c r="E4267" t="s">
        <v>4076</v>
      </c>
      <c r="F4267">
        <v>2532</v>
      </c>
      <c r="G4267">
        <v>1</v>
      </c>
      <c r="H4267" t="s">
        <v>16</v>
      </c>
      <c r="I4267" s="1">
        <v>-2282400</v>
      </c>
      <c r="J4267" s="1">
        <v>-5322000</v>
      </c>
      <c r="K4267">
        <v>285</v>
      </c>
      <c r="L4267">
        <v>250</v>
      </c>
      <c r="M4267" t="s">
        <v>16</v>
      </c>
    </row>
    <row r="4268" spans="1:13" x14ac:dyDescent="0.35">
      <c r="A4268">
        <v>412600</v>
      </c>
      <c r="B4268">
        <v>36790</v>
      </c>
      <c r="C4268" t="s">
        <v>4407</v>
      </c>
      <c r="D4268" t="s">
        <v>4063</v>
      </c>
      <c r="E4268" t="s">
        <v>4101</v>
      </c>
      <c r="F4268">
        <v>8681</v>
      </c>
      <c r="G4268">
        <v>1</v>
      </c>
      <c r="H4268" t="s">
        <v>16</v>
      </c>
      <c r="I4268" s="1">
        <v>-2346500</v>
      </c>
      <c r="J4268" s="1">
        <v>-5076100</v>
      </c>
      <c r="K4268">
        <v>664</v>
      </c>
      <c r="L4268">
        <v>227</v>
      </c>
      <c r="M4268" t="s">
        <v>16</v>
      </c>
    </row>
    <row r="4269" spans="1:13" x14ac:dyDescent="0.35">
      <c r="A4269">
        <v>412610</v>
      </c>
      <c r="B4269">
        <v>36803</v>
      </c>
      <c r="C4269" t="s">
        <v>1365</v>
      </c>
      <c r="D4269" t="s">
        <v>4063</v>
      </c>
      <c r="E4269" t="s">
        <v>4155</v>
      </c>
      <c r="F4269">
        <v>5279</v>
      </c>
      <c r="G4269">
        <v>1</v>
      </c>
      <c r="H4269" t="s">
        <v>16</v>
      </c>
      <c r="I4269" s="1">
        <v>-2353800</v>
      </c>
      <c r="J4269" s="1">
        <v>-5259100</v>
      </c>
      <c r="K4269">
        <v>465</v>
      </c>
      <c r="L4269">
        <v>218</v>
      </c>
      <c r="M4269" t="s">
        <v>16</v>
      </c>
    </row>
    <row r="4270" spans="1:13" x14ac:dyDescent="0.35">
      <c r="A4270">
        <v>412620</v>
      </c>
      <c r="B4270">
        <v>36811</v>
      </c>
      <c r="C4270" t="s">
        <v>4408</v>
      </c>
      <c r="D4270" t="s">
        <v>4063</v>
      </c>
      <c r="E4270" t="s">
        <v>4162</v>
      </c>
      <c r="F4270">
        <v>6638</v>
      </c>
      <c r="G4270">
        <v>1</v>
      </c>
      <c r="H4270" t="s">
        <v>16</v>
      </c>
      <c r="I4270" s="1">
        <v>-2391100</v>
      </c>
      <c r="J4270" s="1">
        <v>-5058000</v>
      </c>
      <c r="K4270">
        <v>759</v>
      </c>
      <c r="L4270">
        <v>677</v>
      </c>
      <c r="M4270" t="s">
        <v>16</v>
      </c>
    </row>
    <row r="4271" spans="1:13" x14ac:dyDescent="0.35">
      <c r="A4271">
        <v>412625</v>
      </c>
      <c r="B4271">
        <v>45373</v>
      </c>
      <c r="C4271" t="s">
        <v>4409</v>
      </c>
      <c r="D4271" t="s">
        <v>4063</v>
      </c>
      <c r="E4271" t="s">
        <v>4264</v>
      </c>
      <c r="F4271">
        <v>79686</v>
      </c>
      <c r="G4271">
        <v>4</v>
      </c>
      <c r="H4271" t="s">
        <v>4086</v>
      </c>
      <c r="I4271" s="1">
        <v>-2344400</v>
      </c>
      <c r="J4271" s="1">
        <v>-5187400</v>
      </c>
      <c r="K4271">
        <v>592</v>
      </c>
      <c r="L4271">
        <v>103</v>
      </c>
      <c r="M4271" t="s">
        <v>16</v>
      </c>
    </row>
    <row r="4272" spans="1:13" x14ac:dyDescent="0.35">
      <c r="A4272">
        <v>412627</v>
      </c>
      <c r="B4272">
        <v>48801</v>
      </c>
      <c r="C4272" t="s">
        <v>4410</v>
      </c>
      <c r="D4272" t="s">
        <v>4063</v>
      </c>
      <c r="E4272" t="s">
        <v>4123</v>
      </c>
      <c r="F4272">
        <v>4931</v>
      </c>
      <c r="G4272">
        <v>1</v>
      </c>
      <c r="H4272" t="s">
        <v>16</v>
      </c>
      <c r="I4272" s="1">
        <v>-2569400</v>
      </c>
      <c r="J4272" s="1">
        <v>-5261900</v>
      </c>
      <c r="K4272">
        <v>650</v>
      </c>
      <c r="L4272">
        <v>152</v>
      </c>
      <c r="M4272" t="s">
        <v>16</v>
      </c>
    </row>
    <row r="4273" spans="1:13" x14ac:dyDescent="0.35">
      <c r="A4273">
        <v>412630</v>
      </c>
      <c r="B4273">
        <v>36820</v>
      </c>
      <c r="C4273" t="s">
        <v>4411</v>
      </c>
      <c r="D4273" t="s">
        <v>4063</v>
      </c>
      <c r="E4273" t="s">
        <v>4094</v>
      </c>
      <c r="F4273">
        <v>19356</v>
      </c>
      <c r="G4273">
        <v>1</v>
      </c>
      <c r="H4273" t="s">
        <v>16</v>
      </c>
      <c r="I4273" s="1">
        <v>-2411300</v>
      </c>
      <c r="J4273" s="1">
        <v>-4946400</v>
      </c>
      <c r="K4273">
        <v>623</v>
      </c>
      <c r="L4273">
        <v>1366</v>
      </c>
      <c r="M4273" t="s">
        <v>16</v>
      </c>
    </row>
    <row r="4274" spans="1:13" x14ac:dyDescent="0.35">
      <c r="A4274">
        <v>412635</v>
      </c>
      <c r="B4274">
        <v>54186</v>
      </c>
      <c r="C4274" t="s">
        <v>4412</v>
      </c>
      <c r="D4274" t="s">
        <v>4063</v>
      </c>
      <c r="E4274" t="s">
        <v>4153</v>
      </c>
      <c r="F4274">
        <v>4327</v>
      </c>
      <c r="G4274">
        <v>1</v>
      </c>
      <c r="H4274" t="s">
        <v>16</v>
      </c>
      <c r="I4274" s="1">
        <v>-2538000</v>
      </c>
      <c r="J4274" s="1">
        <v>-5405200</v>
      </c>
      <c r="K4274">
        <v>320</v>
      </c>
      <c r="L4274">
        <v>483</v>
      </c>
      <c r="M4274" t="s">
        <v>16</v>
      </c>
    </row>
    <row r="4275" spans="1:13" x14ac:dyDescent="0.35">
      <c r="A4275">
        <v>412640</v>
      </c>
      <c r="B4275">
        <v>36838</v>
      </c>
      <c r="C4275" t="s">
        <v>4413</v>
      </c>
      <c r="D4275" t="s">
        <v>4063</v>
      </c>
      <c r="E4275" t="s">
        <v>4064</v>
      </c>
      <c r="F4275">
        <v>5894</v>
      </c>
      <c r="G4275">
        <v>1</v>
      </c>
      <c r="H4275" t="s">
        <v>16</v>
      </c>
      <c r="I4275" s="1">
        <v>-2303700</v>
      </c>
      <c r="J4275" s="1">
        <v>-5083800</v>
      </c>
      <c r="K4275">
        <v>401</v>
      </c>
      <c r="L4275">
        <v>444</v>
      </c>
      <c r="M4275" t="s">
        <v>16</v>
      </c>
    </row>
    <row r="4276" spans="1:13" x14ac:dyDescent="0.35">
      <c r="A4276">
        <v>412650</v>
      </c>
      <c r="B4276">
        <v>36846</v>
      </c>
      <c r="C4276" t="s">
        <v>4414</v>
      </c>
      <c r="D4276" t="s">
        <v>4063</v>
      </c>
      <c r="E4276" t="s">
        <v>4079</v>
      </c>
      <c r="F4276">
        <v>15485</v>
      </c>
      <c r="G4276">
        <v>4</v>
      </c>
      <c r="H4276" t="s">
        <v>4112</v>
      </c>
      <c r="I4276" s="1">
        <v>-2305900</v>
      </c>
      <c r="J4276" s="1">
        <v>-5103600</v>
      </c>
      <c r="K4276">
        <v>361</v>
      </c>
      <c r="L4276">
        <v>505</v>
      </c>
      <c r="M4276" t="s">
        <v>16</v>
      </c>
    </row>
    <row r="4277" spans="1:13" x14ac:dyDescent="0.35">
      <c r="A4277">
        <v>412660</v>
      </c>
      <c r="B4277">
        <v>36854</v>
      </c>
      <c r="C4277" t="s">
        <v>4415</v>
      </c>
      <c r="D4277" t="s">
        <v>4063</v>
      </c>
      <c r="E4277" t="s">
        <v>3237</v>
      </c>
      <c r="F4277">
        <v>16663</v>
      </c>
      <c r="G4277">
        <v>1</v>
      </c>
      <c r="H4277" t="s">
        <v>16</v>
      </c>
      <c r="I4277" s="1">
        <v>-2368900</v>
      </c>
      <c r="J4277" s="1">
        <v>-4983400</v>
      </c>
      <c r="K4277">
        <v>675</v>
      </c>
      <c r="L4277">
        <v>278</v>
      </c>
      <c r="M4277" t="s">
        <v>16</v>
      </c>
    </row>
    <row r="4278" spans="1:13" x14ac:dyDescent="0.35">
      <c r="A4278">
        <v>412665</v>
      </c>
      <c r="B4278">
        <v>45896</v>
      </c>
      <c r="C4278" t="s">
        <v>4416</v>
      </c>
      <c r="D4278" t="s">
        <v>4063</v>
      </c>
      <c r="E4278" t="s">
        <v>4123</v>
      </c>
      <c r="F4278">
        <v>3445</v>
      </c>
      <c r="G4278">
        <v>1</v>
      </c>
      <c r="H4278" t="s">
        <v>16</v>
      </c>
      <c r="I4278" s="1">
        <v>-2570200</v>
      </c>
      <c r="J4278" s="1">
        <v>-5272200</v>
      </c>
      <c r="K4278">
        <v>470</v>
      </c>
      <c r="L4278">
        <v>170</v>
      </c>
      <c r="M4278" t="s">
        <v>16</v>
      </c>
    </row>
    <row r="4279" spans="1:13" x14ac:dyDescent="0.35">
      <c r="A4279">
        <v>412667</v>
      </c>
      <c r="B4279">
        <v>53457</v>
      </c>
      <c r="C4279" t="s">
        <v>4417</v>
      </c>
      <c r="D4279" t="s">
        <v>4063</v>
      </c>
      <c r="E4279" t="s">
        <v>4132</v>
      </c>
      <c r="F4279">
        <v>10887</v>
      </c>
      <c r="G4279">
        <v>4</v>
      </c>
      <c r="H4279" t="s">
        <v>4112</v>
      </c>
      <c r="I4279" s="1">
        <v>-2372300</v>
      </c>
      <c r="J4279" s="1">
        <v>-5109700</v>
      </c>
      <c r="K4279">
        <v>753</v>
      </c>
      <c r="L4279">
        <v>472</v>
      </c>
      <c r="M4279" t="s">
        <v>16</v>
      </c>
    </row>
    <row r="4280" spans="1:13" x14ac:dyDescent="0.35">
      <c r="A4280">
        <v>412670</v>
      </c>
      <c r="B4280">
        <v>36862</v>
      </c>
      <c r="C4280" t="s">
        <v>4418</v>
      </c>
      <c r="D4280" t="s">
        <v>4063</v>
      </c>
      <c r="E4280" t="s">
        <v>4076</v>
      </c>
      <c r="F4280">
        <v>4564</v>
      </c>
      <c r="G4280">
        <v>1</v>
      </c>
      <c r="H4280" t="s">
        <v>16</v>
      </c>
      <c r="I4280" s="1">
        <v>-2320000</v>
      </c>
      <c r="J4280" s="1">
        <v>-5246900</v>
      </c>
      <c r="K4280">
        <v>340</v>
      </c>
      <c r="L4280">
        <v>193</v>
      </c>
      <c r="M4280" t="s">
        <v>16</v>
      </c>
    </row>
    <row r="4281" spans="1:13" x14ac:dyDescent="0.35">
      <c r="A4281">
        <v>412680</v>
      </c>
      <c r="B4281">
        <v>36870</v>
      </c>
      <c r="C4281" t="s">
        <v>4419</v>
      </c>
      <c r="D4281" t="s">
        <v>4063</v>
      </c>
      <c r="E4281" t="s">
        <v>4155</v>
      </c>
      <c r="F4281">
        <v>14498</v>
      </c>
      <c r="G4281">
        <v>1</v>
      </c>
      <c r="H4281" t="s">
        <v>16</v>
      </c>
      <c r="I4281" s="1">
        <v>-2373300</v>
      </c>
      <c r="J4281" s="1">
        <v>-5287300</v>
      </c>
      <c r="K4281">
        <v>515</v>
      </c>
      <c r="L4281">
        <v>591</v>
      </c>
      <c r="M4281" t="s">
        <v>16</v>
      </c>
    </row>
    <row r="4282" spans="1:13" x14ac:dyDescent="0.35">
      <c r="A4282">
        <v>412690</v>
      </c>
      <c r="B4282">
        <v>36889</v>
      </c>
      <c r="C4282" t="s">
        <v>3187</v>
      </c>
      <c r="D4282" t="s">
        <v>4063</v>
      </c>
      <c r="E4282" t="s">
        <v>4074</v>
      </c>
      <c r="F4282">
        <v>5829</v>
      </c>
      <c r="G4282">
        <v>1</v>
      </c>
      <c r="H4282" t="s">
        <v>16</v>
      </c>
      <c r="I4282" s="1">
        <v>-2332300</v>
      </c>
      <c r="J4282" s="1">
        <v>-5306800</v>
      </c>
      <c r="K4282">
        <v>370</v>
      </c>
      <c r="L4282">
        <v>434</v>
      </c>
      <c r="M4282" t="s">
        <v>16</v>
      </c>
    </row>
    <row r="4283" spans="1:13" x14ac:dyDescent="0.35">
      <c r="A4283">
        <v>412700</v>
      </c>
      <c r="B4283">
        <v>36897</v>
      </c>
      <c r="C4283" t="s">
        <v>4420</v>
      </c>
      <c r="D4283" t="s">
        <v>4063</v>
      </c>
      <c r="E4283" t="s">
        <v>4190</v>
      </c>
      <c r="F4283">
        <v>9781</v>
      </c>
      <c r="G4283">
        <v>1</v>
      </c>
      <c r="H4283" t="s">
        <v>16</v>
      </c>
      <c r="I4283" s="1">
        <v>-2536800</v>
      </c>
      <c r="J4283" s="1">
        <v>-5046100</v>
      </c>
      <c r="K4283">
        <v>902</v>
      </c>
      <c r="L4283">
        <v>902</v>
      </c>
      <c r="M4283" t="s">
        <v>16</v>
      </c>
    </row>
    <row r="4284" spans="1:13" x14ac:dyDescent="0.35">
      <c r="A4284">
        <v>412710</v>
      </c>
      <c r="B4284">
        <v>36900</v>
      </c>
      <c r="C4284" t="s">
        <v>4421</v>
      </c>
      <c r="D4284" t="s">
        <v>4063</v>
      </c>
      <c r="E4284" t="s">
        <v>4218</v>
      </c>
      <c r="F4284">
        <v>65797</v>
      </c>
      <c r="G4284">
        <v>2</v>
      </c>
      <c r="H4284" t="s">
        <v>16</v>
      </c>
      <c r="I4284" s="1">
        <v>-2432400</v>
      </c>
      <c r="J4284" s="1">
        <v>-5061600</v>
      </c>
      <c r="K4284">
        <v>700</v>
      </c>
      <c r="L4284">
        <v>1225</v>
      </c>
      <c r="M4284" t="s">
        <v>16</v>
      </c>
    </row>
    <row r="4285" spans="1:13" x14ac:dyDescent="0.35">
      <c r="A4285">
        <v>412720</v>
      </c>
      <c r="B4285">
        <v>36919</v>
      </c>
      <c r="C4285" t="s">
        <v>4422</v>
      </c>
      <c r="D4285" t="s">
        <v>4063</v>
      </c>
      <c r="E4285" t="s">
        <v>4097</v>
      </c>
      <c r="F4285">
        <v>14588</v>
      </c>
      <c r="G4285">
        <v>1</v>
      </c>
      <c r="H4285" t="s">
        <v>16</v>
      </c>
      <c r="I4285" s="1">
        <v>-2376800</v>
      </c>
      <c r="J4285" s="1">
        <v>-5244400</v>
      </c>
      <c r="K4285">
        <v>575</v>
      </c>
      <c r="L4285">
        <v>320</v>
      </c>
      <c r="M4285" t="s">
        <v>16</v>
      </c>
    </row>
    <row r="4286" spans="1:13" x14ac:dyDescent="0.35">
      <c r="A4286">
        <v>412730</v>
      </c>
      <c r="B4286">
        <v>36927</v>
      </c>
      <c r="C4286" t="s">
        <v>4423</v>
      </c>
      <c r="D4286" t="s">
        <v>4063</v>
      </c>
      <c r="E4286" t="s">
        <v>4076</v>
      </c>
      <c r="F4286">
        <v>14405</v>
      </c>
      <c r="G4286">
        <v>1</v>
      </c>
      <c r="H4286" t="s">
        <v>16</v>
      </c>
      <c r="I4286" s="1">
        <v>-2270900</v>
      </c>
      <c r="J4286" s="1">
        <v>-5261700</v>
      </c>
      <c r="K4286">
        <v>442</v>
      </c>
      <c r="L4286">
        <v>700</v>
      </c>
      <c r="M4286" t="s">
        <v>16</v>
      </c>
    </row>
    <row r="4287" spans="1:13" x14ac:dyDescent="0.35">
      <c r="A4287">
        <v>412740</v>
      </c>
      <c r="B4287">
        <v>36935</v>
      </c>
      <c r="C4287" t="s">
        <v>4027</v>
      </c>
      <c r="D4287" t="s">
        <v>4063</v>
      </c>
      <c r="E4287" t="s">
        <v>3198</v>
      </c>
      <c r="F4287">
        <v>16208</v>
      </c>
      <c r="G4287">
        <v>1</v>
      </c>
      <c r="H4287" t="s">
        <v>16</v>
      </c>
      <c r="I4287" s="1">
        <v>-2415700</v>
      </c>
      <c r="J4287" s="1">
        <v>-5409700</v>
      </c>
      <c r="K4287">
        <v>410</v>
      </c>
      <c r="L4287">
        <v>800</v>
      </c>
      <c r="M4287" t="s">
        <v>16</v>
      </c>
    </row>
    <row r="4288" spans="1:13" x14ac:dyDescent="0.35">
      <c r="A4288">
        <v>412750</v>
      </c>
      <c r="B4288">
        <v>36943</v>
      </c>
      <c r="C4288" t="s">
        <v>4424</v>
      </c>
      <c r="D4288" t="s">
        <v>4063</v>
      </c>
      <c r="E4288" t="s">
        <v>4218</v>
      </c>
      <c r="F4288">
        <v>18710</v>
      </c>
      <c r="G4288">
        <v>1</v>
      </c>
      <c r="H4288" t="s">
        <v>16</v>
      </c>
      <c r="I4288" s="1">
        <v>-2450900</v>
      </c>
      <c r="J4288" s="1">
        <v>-5041400</v>
      </c>
      <c r="K4288">
        <v>748</v>
      </c>
      <c r="L4288">
        <v>3108</v>
      </c>
      <c r="M4288" t="s">
        <v>16</v>
      </c>
    </row>
    <row r="4289" spans="1:13" x14ac:dyDescent="0.35">
      <c r="A4289">
        <v>412760</v>
      </c>
      <c r="B4289">
        <v>36951</v>
      </c>
      <c r="C4289" t="s">
        <v>4425</v>
      </c>
      <c r="D4289" t="s">
        <v>4063</v>
      </c>
      <c r="E4289" t="s">
        <v>109</v>
      </c>
      <c r="F4289">
        <v>13091</v>
      </c>
      <c r="G4289">
        <v>4</v>
      </c>
      <c r="H4289" t="s">
        <v>4067</v>
      </c>
      <c r="I4289" s="1">
        <v>-2592800</v>
      </c>
      <c r="J4289" s="1">
        <v>-4919900</v>
      </c>
      <c r="K4289">
        <v>875</v>
      </c>
      <c r="L4289">
        <v>672</v>
      </c>
      <c r="M4289" t="s">
        <v>16</v>
      </c>
    </row>
    <row r="4290" spans="1:13" x14ac:dyDescent="0.35">
      <c r="A4290">
        <v>412770</v>
      </c>
      <c r="B4290">
        <v>36960</v>
      </c>
      <c r="C4290" t="s">
        <v>3198</v>
      </c>
      <c r="D4290" t="s">
        <v>4063</v>
      </c>
      <c r="E4290" t="s">
        <v>3198</v>
      </c>
      <c r="F4290">
        <v>109857</v>
      </c>
      <c r="G4290">
        <v>3</v>
      </c>
      <c r="H4290" t="s">
        <v>16</v>
      </c>
      <c r="I4290" s="1">
        <v>-2471400</v>
      </c>
      <c r="J4290" s="1">
        <v>-5374300</v>
      </c>
      <c r="K4290">
        <v>560</v>
      </c>
      <c r="L4290">
        <v>1197</v>
      </c>
      <c r="M4290" t="s">
        <v>16</v>
      </c>
    </row>
    <row r="4291" spans="1:13" x14ac:dyDescent="0.35">
      <c r="A4291">
        <v>412780</v>
      </c>
      <c r="B4291">
        <v>36978</v>
      </c>
      <c r="C4291" t="s">
        <v>4426</v>
      </c>
      <c r="D4291" t="s">
        <v>4063</v>
      </c>
      <c r="E4291" t="s">
        <v>3237</v>
      </c>
      <c r="F4291">
        <v>8814</v>
      </c>
      <c r="G4291">
        <v>1</v>
      </c>
      <c r="H4291" t="s">
        <v>16</v>
      </c>
      <c r="I4291" s="1">
        <v>-2377800</v>
      </c>
      <c r="J4291" s="1">
        <v>-4995000</v>
      </c>
      <c r="K4291">
        <v>541</v>
      </c>
      <c r="L4291">
        <v>591</v>
      </c>
      <c r="M4291" t="s">
        <v>16</v>
      </c>
    </row>
    <row r="4292" spans="1:13" x14ac:dyDescent="0.35">
      <c r="A4292">
        <v>412785</v>
      </c>
      <c r="B4292">
        <v>45292</v>
      </c>
      <c r="C4292" t="s">
        <v>4427</v>
      </c>
      <c r="D4292" t="s">
        <v>4063</v>
      </c>
      <c r="E4292" t="s">
        <v>1059</v>
      </c>
      <c r="F4292">
        <v>11718</v>
      </c>
      <c r="G4292">
        <v>1</v>
      </c>
      <c r="H4292" t="s">
        <v>16</v>
      </c>
      <c r="I4292" s="1">
        <v>-2541900</v>
      </c>
      <c r="J4292" s="1">
        <v>-5318100</v>
      </c>
      <c r="K4292">
        <v>562</v>
      </c>
      <c r="L4292">
        <v>504</v>
      </c>
      <c r="M4292" t="s">
        <v>16</v>
      </c>
    </row>
    <row r="4293" spans="1:13" x14ac:dyDescent="0.35">
      <c r="A4293">
        <v>412788</v>
      </c>
      <c r="B4293">
        <v>48810</v>
      </c>
      <c r="C4293" t="s">
        <v>4428</v>
      </c>
      <c r="D4293" t="s">
        <v>4063</v>
      </c>
      <c r="E4293" t="s">
        <v>4070</v>
      </c>
      <c r="F4293">
        <v>5921</v>
      </c>
      <c r="G4293">
        <v>4</v>
      </c>
      <c r="H4293" t="s">
        <v>4067</v>
      </c>
      <c r="I4293" s="1">
        <v>-2497400</v>
      </c>
      <c r="J4293" s="1">
        <v>-4908600</v>
      </c>
      <c r="K4293">
        <v>906</v>
      </c>
      <c r="L4293">
        <v>668</v>
      </c>
      <c r="M4293" t="s">
        <v>16</v>
      </c>
    </row>
    <row r="4294" spans="1:13" x14ac:dyDescent="0.35">
      <c r="A4294">
        <v>412790</v>
      </c>
      <c r="B4294">
        <v>36986</v>
      </c>
      <c r="C4294" t="s">
        <v>4429</v>
      </c>
      <c r="D4294" t="s">
        <v>4063</v>
      </c>
      <c r="E4294" t="s">
        <v>4155</v>
      </c>
      <c r="F4294">
        <v>8598</v>
      </c>
      <c r="G4294">
        <v>1</v>
      </c>
      <c r="H4294" t="s">
        <v>16</v>
      </c>
      <c r="I4294" s="1">
        <v>-2387100</v>
      </c>
      <c r="J4294" s="1">
        <v>-5287600</v>
      </c>
      <c r="K4294">
        <v>502</v>
      </c>
      <c r="L4294">
        <v>698</v>
      </c>
      <c r="M4294" t="s">
        <v>16</v>
      </c>
    </row>
    <row r="4295" spans="1:13" x14ac:dyDescent="0.35">
      <c r="A4295">
        <v>412795</v>
      </c>
      <c r="B4295">
        <v>45055</v>
      </c>
      <c r="C4295" t="s">
        <v>4430</v>
      </c>
      <c r="D4295" t="s">
        <v>4063</v>
      </c>
      <c r="E4295" t="s">
        <v>3198</v>
      </c>
      <c r="F4295">
        <v>7755</v>
      </c>
      <c r="G4295">
        <v>1</v>
      </c>
      <c r="H4295" t="s">
        <v>16</v>
      </c>
      <c r="I4295" s="1">
        <v>-2458800</v>
      </c>
      <c r="J4295" s="1">
        <v>-5351200</v>
      </c>
      <c r="K4295">
        <v>540</v>
      </c>
      <c r="L4295">
        <v>310</v>
      </c>
      <c r="M4295" t="s">
        <v>16</v>
      </c>
    </row>
    <row r="4296" spans="1:13" x14ac:dyDescent="0.35">
      <c r="A4296">
        <v>412796</v>
      </c>
      <c r="B4296">
        <v>6394</v>
      </c>
      <c r="C4296" t="s">
        <v>4431</v>
      </c>
      <c r="D4296" t="s">
        <v>4063</v>
      </c>
      <c r="E4296" t="s">
        <v>4136</v>
      </c>
      <c r="F4296">
        <v>14025</v>
      </c>
      <c r="G4296">
        <v>1</v>
      </c>
      <c r="H4296" t="s">
        <v>16</v>
      </c>
      <c r="I4296" s="1">
        <v>-2504300</v>
      </c>
      <c r="J4296" s="1">
        <v>-5153000</v>
      </c>
      <c r="K4296">
        <v>1040</v>
      </c>
      <c r="L4296">
        <v>902</v>
      </c>
      <c r="M4296" t="s">
        <v>16</v>
      </c>
    </row>
    <row r="4297" spans="1:13" x14ac:dyDescent="0.35">
      <c r="A4297">
        <v>412800</v>
      </c>
      <c r="B4297">
        <v>36994</v>
      </c>
      <c r="C4297" t="s">
        <v>4432</v>
      </c>
      <c r="D4297" t="s">
        <v>4063</v>
      </c>
      <c r="E4297" t="s">
        <v>4072</v>
      </c>
      <c r="F4297">
        <v>21214</v>
      </c>
      <c r="G4297">
        <v>1</v>
      </c>
      <c r="H4297" t="s">
        <v>16</v>
      </c>
      <c r="I4297" s="1">
        <v>-2454500</v>
      </c>
      <c r="J4297" s="1">
        <v>-5298800</v>
      </c>
      <c r="K4297">
        <v>508</v>
      </c>
      <c r="L4297">
        <v>652</v>
      </c>
      <c r="M4297" t="s">
        <v>16</v>
      </c>
    </row>
    <row r="4298" spans="1:13" x14ac:dyDescent="0.35">
      <c r="A4298">
        <v>412810</v>
      </c>
      <c r="B4298">
        <v>37001</v>
      </c>
      <c r="C4298" t="s">
        <v>4074</v>
      </c>
      <c r="D4298" t="s">
        <v>4063</v>
      </c>
      <c r="E4298" t="s">
        <v>4074</v>
      </c>
      <c r="F4298">
        <v>95153</v>
      </c>
      <c r="G4298">
        <v>2</v>
      </c>
      <c r="H4298" t="s">
        <v>16</v>
      </c>
      <c r="I4298" s="1">
        <v>-2376600</v>
      </c>
      <c r="J4298" s="1">
        <v>-5332500</v>
      </c>
      <c r="K4298">
        <v>442</v>
      </c>
      <c r="L4298">
        <v>1232</v>
      </c>
      <c r="M4298" t="s">
        <v>16</v>
      </c>
    </row>
    <row r="4299" spans="1:13" x14ac:dyDescent="0.35">
      <c r="A4299">
        <v>412820</v>
      </c>
      <c r="B4299">
        <v>37010</v>
      </c>
      <c r="C4299" t="s">
        <v>4433</v>
      </c>
      <c r="D4299" t="s">
        <v>4063</v>
      </c>
      <c r="E4299" t="s">
        <v>4114</v>
      </c>
      <c r="F4299">
        <v>51043</v>
      </c>
      <c r="G4299">
        <v>2</v>
      </c>
      <c r="H4299" t="s">
        <v>16</v>
      </c>
      <c r="I4299" s="1">
        <v>-2623000</v>
      </c>
      <c r="J4299" s="1">
        <v>-5108600</v>
      </c>
      <c r="K4299">
        <v>830</v>
      </c>
      <c r="L4299">
        <v>720</v>
      </c>
      <c r="M4299" t="s">
        <v>16</v>
      </c>
    </row>
    <row r="4300" spans="1:13" x14ac:dyDescent="0.35">
      <c r="A4300">
        <v>412830</v>
      </c>
      <c r="B4300">
        <v>37028</v>
      </c>
      <c r="C4300" t="s">
        <v>4434</v>
      </c>
      <c r="D4300" t="s">
        <v>4063</v>
      </c>
      <c r="E4300" t="s">
        <v>4085</v>
      </c>
      <c r="F4300">
        <v>2402</v>
      </c>
      <c r="G4300">
        <v>1</v>
      </c>
      <c r="H4300" t="s">
        <v>16</v>
      </c>
      <c r="I4300" s="1">
        <v>-2308700</v>
      </c>
      <c r="J4300" s="1">
        <v>-5215700</v>
      </c>
      <c r="K4300">
        <v>540</v>
      </c>
      <c r="L4300">
        <v>94</v>
      </c>
      <c r="M4300" t="s">
        <v>16</v>
      </c>
    </row>
    <row r="4301" spans="1:13" x14ac:dyDescent="0.35">
      <c r="A4301">
        <v>412840</v>
      </c>
      <c r="B4301">
        <v>37036</v>
      </c>
      <c r="C4301" t="s">
        <v>4435</v>
      </c>
      <c r="D4301" t="s">
        <v>4063</v>
      </c>
      <c r="E4301" t="s">
        <v>4101</v>
      </c>
      <c r="F4301">
        <v>11489</v>
      </c>
      <c r="G4301">
        <v>1</v>
      </c>
      <c r="H4301" t="s">
        <v>16</v>
      </c>
      <c r="I4301" s="1">
        <v>-2319800</v>
      </c>
      <c r="J4301" s="1">
        <v>-5079600</v>
      </c>
      <c r="K4301">
        <v>435</v>
      </c>
      <c r="L4301">
        <v>237</v>
      </c>
      <c r="M4301" t="s">
        <v>16</v>
      </c>
    </row>
    <row r="4302" spans="1:13" x14ac:dyDescent="0.35">
      <c r="A4302">
        <v>412850</v>
      </c>
      <c r="B4302">
        <v>37044</v>
      </c>
      <c r="C4302" t="s">
        <v>3237</v>
      </c>
      <c r="D4302" t="s">
        <v>4063</v>
      </c>
      <c r="E4302" t="s">
        <v>3237</v>
      </c>
      <c r="F4302">
        <v>18691</v>
      </c>
      <c r="G4302">
        <v>1</v>
      </c>
      <c r="H4302" t="s">
        <v>16</v>
      </c>
      <c r="I4302" s="1">
        <v>-2387400</v>
      </c>
      <c r="J4302" s="1">
        <v>-4980300</v>
      </c>
      <c r="K4302">
        <v>841</v>
      </c>
      <c r="L4302">
        <v>397</v>
      </c>
      <c r="M4302" t="s">
        <v>16</v>
      </c>
    </row>
    <row r="4303" spans="1:13" x14ac:dyDescent="0.35">
      <c r="A4303">
        <v>412853</v>
      </c>
      <c r="B4303">
        <v>48828</v>
      </c>
      <c r="C4303" t="s">
        <v>4436</v>
      </c>
      <c r="D4303" t="s">
        <v>4063</v>
      </c>
      <c r="E4303" t="s">
        <v>4218</v>
      </c>
      <c r="F4303">
        <v>10275</v>
      </c>
      <c r="G4303">
        <v>1</v>
      </c>
      <c r="H4303" t="s">
        <v>16</v>
      </c>
      <c r="I4303" s="1">
        <v>-2424600</v>
      </c>
      <c r="J4303" s="1">
        <v>-5024300</v>
      </c>
      <c r="K4303">
        <v>990</v>
      </c>
      <c r="L4303">
        <v>759</v>
      </c>
      <c r="M4303" t="s">
        <v>16</v>
      </c>
    </row>
    <row r="4304" spans="1:13" x14ac:dyDescent="0.35">
      <c r="A4304">
        <v>412855</v>
      </c>
      <c r="B4304">
        <v>45063</v>
      </c>
      <c r="C4304" t="s">
        <v>4437</v>
      </c>
      <c r="D4304" t="s">
        <v>4063</v>
      </c>
      <c r="E4304" t="s">
        <v>4153</v>
      </c>
      <c r="F4304">
        <v>9099</v>
      </c>
      <c r="G4304">
        <v>1</v>
      </c>
      <c r="H4304" t="s">
        <v>16</v>
      </c>
      <c r="I4304" s="1">
        <v>-2505800</v>
      </c>
      <c r="J4304" s="1">
        <v>-5387700</v>
      </c>
      <c r="K4304">
        <v>560</v>
      </c>
      <c r="L4304">
        <v>327</v>
      </c>
      <c r="M4304" t="s">
        <v>16</v>
      </c>
    </row>
    <row r="4305" spans="1:13" x14ac:dyDescent="0.35">
      <c r="A4305">
        <v>412860</v>
      </c>
      <c r="B4305">
        <v>37052</v>
      </c>
      <c r="C4305" t="s">
        <v>4438</v>
      </c>
      <c r="D4305" t="s">
        <v>4063</v>
      </c>
      <c r="E4305" t="s">
        <v>4107</v>
      </c>
      <c r="F4305">
        <v>8002</v>
      </c>
      <c r="G4305">
        <v>1</v>
      </c>
      <c r="H4305" t="s">
        <v>16</v>
      </c>
      <c r="I4305" s="1">
        <v>-2588100</v>
      </c>
      <c r="J4305" s="1">
        <v>-5290800</v>
      </c>
      <c r="K4305">
        <v>505</v>
      </c>
      <c r="L4305">
        <v>312</v>
      </c>
      <c r="M4305" t="s">
        <v>16</v>
      </c>
    </row>
    <row r="4306" spans="1:13" x14ac:dyDescent="0.35">
      <c r="A4306">
        <v>412862</v>
      </c>
      <c r="B4306">
        <v>48836</v>
      </c>
      <c r="C4306" t="s">
        <v>43</v>
      </c>
      <c r="D4306" t="s">
        <v>4063</v>
      </c>
      <c r="E4306" t="s">
        <v>4074</v>
      </c>
      <c r="F4306">
        <v>3252</v>
      </c>
      <c r="G4306">
        <v>1</v>
      </c>
      <c r="H4306" t="s">
        <v>16</v>
      </c>
      <c r="I4306" s="1">
        <v>-2350800</v>
      </c>
      <c r="J4306" s="1">
        <v>-5372800</v>
      </c>
      <c r="K4306">
        <v>405</v>
      </c>
      <c r="L4306">
        <v>967</v>
      </c>
      <c r="M4306" t="s">
        <v>16</v>
      </c>
    </row>
    <row r="4307" spans="1:13" x14ac:dyDescent="0.35">
      <c r="A4307">
        <v>412863</v>
      </c>
      <c r="B4307">
        <v>53619</v>
      </c>
      <c r="C4307" t="s">
        <v>4439</v>
      </c>
      <c r="D4307" t="s">
        <v>4063</v>
      </c>
      <c r="E4307" t="s">
        <v>4066</v>
      </c>
      <c r="F4307">
        <v>5956</v>
      </c>
      <c r="G4307">
        <v>4</v>
      </c>
      <c r="H4307" t="s">
        <v>4067</v>
      </c>
      <c r="I4307" s="1">
        <v>-2456800</v>
      </c>
      <c r="J4307" s="1">
        <v>-4942000</v>
      </c>
      <c r="K4307">
        <v>795</v>
      </c>
      <c r="L4307">
        <v>781</v>
      </c>
      <c r="M4307" t="s">
        <v>16</v>
      </c>
    </row>
    <row r="4308" spans="1:13" x14ac:dyDescent="0.35">
      <c r="A4308">
        <v>412865</v>
      </c>
      <c r="B4308">
        <v>48844</v>
      </c>
      <c r="C4308" t="s">
        <v>4440</v>
      </c>
      <c r="D4308" t="s">
        <v>4063</v>
      </c>
      <c r="E4308" t="s">
        <v>4136</v>
      </c>
      <c r="F4308">
        <v>4024</v>
      </c>
      <c r="G4308">
        <v>1</v>
      </c>
      <c r="H4308" t="s">
        <v>16</v>
      </c>
      <c r="I4308" s="1">
        <v>-2538100</v>
      </c>
      <c r="J4308" s="1">
        <v>-5219900</v>
      </c>
      <c r="K4308">
        <v>713</v>
      </c>
      <c r="L4308">
        <v>243</v>
      </c>
      <c r="M4308" t="s">
        <v>16</v>
      </c>
    </row>
    <row r="4309" spans="1:13" x14ac:dyDescent="0.35">
      <c r="A4309">
        <v>412870</v>
      </c>
      <c r="B4309">
        <v>37060</v>
      </c>
      <c r="C4309" t="s">
        <v>4441</v>
      </c>
      <c r="D4309" t="s">
        <v>4063</v>
      </c>
      <c r="E4309" t="s">
        <v>4123</v>
      </c>
      <c r="F4309">
        <v>6310</v>
      </c>
      <c r="G4309">
        <v>1</v>
      </c>
      <c r="H4309" t="s">
        <v>16</v>
      </c>
      <c r="I4309" s="1">
        <v>-2627700</v>
      </c>
      <c r="J4309" s="1">
        <v>-5278400</v>
      </c>
      <c r="K4309">
        <v>720</v>
      </c>
      <c r="L4309">
        <v>307</v>
      </c>
      <c r="M4309" t="s">
        <v>16</v>
      </c>
    </row>
    <row r="4310" spans="1:13" x14ac:dyDescent="0.35">
      <c r="A4310">
        <v>412880</v>
      </c>
      <c r="B4310">
        <v>37079</v>
      </c>
      <c r="C4310" t="s">
        <v>4442</v>
      </c>
      <c r="D4310" t="s">
        <v>4063</v>
      </c>
      <c r="E4310" t="s">
        <v>4074</v>
      </c>
      <c r="F4310">
        <v>5818</v>
      </c>
      <c r="G4310">
        <v>1</v>
      </c>
      <c r="H4310" t="s">
        <v>16</v>
      </c>
      <c r="I4310" s="1">
        <v>-2373600</v>
      </c>
      <c r="J4310" s="1">
        <v>-5349000</v>
      </c>
      <c r="K4310">
        <v>418</v>
      </c>
      <c r="L4310">
        <v>359</v>
      </c>
      <c r="M4310" t="s">
        <v>16</v>
      </c>
    </row>
    <row r="4311" spans="1:13" x14ac:dyDescent="0.35">
      <c r="A4311">
        <v>420005</v>
      </c>
      <c r="B4311">
        <v>47341</v>
      </c>
      <c r="C4311" t="s">
        <v>4443</v>
      </c>
      <c r="D4311" t="s">
        <v>4444</v>
      </c>
      <c r="E4311" t="s">
        <v>4445</v>
      </c>
      <c r="F4311">
        <v>2726</v>
      </c>
      <c r="G4311">
        <v>1</v>
      </c>
      <c r="H4311" t="s">
        <v>16</v>
      </c>
      <c r="I4311" s="1">
        <v>-2761100</v>
      </c>
      <c r="J4311" s="1">
        <v>-5102300</v>
      </c>
      <c r="K4311">
        <v>716</v>
      </c>
      <c r="L4311">
        <v>235</v>
      </c>
      <c r="M4311" t="s">
        <v>16</v>
      </c>
    </row>
    <row r="4312" spans="1:13" x14ac:dyDescent="0.35">
      <c r="A4312">
        <v>420010</v>
      </c>
      <c r="B4312">
        <v>37117</v>
      </c>
      <c r="C4312" t="s">
        <v>4446</v>
      </c>
      <c r="D4312" t="s">
        <v>4444</v>
      </c>
      <c r="E4312" t="s">
        <v>4447</v>
      </c>
      <c r="F4312">
        <v>16374</v>
      </c>
      <c r="G4312">
        <v>1</v>
      </c>
      <c r="H4312" t="s">
        <v>16</v>
      </c>
      <c r="I4312" s="1">
        <v>-2656500</v>
      </c>
      <c r="J4312" s="1">
        <v>-5232800</v>
      </c>
      <c r="K4312">
        <v>760</v>
      </c>
      <c r="L4312">
        <v>955</v>
      </c>
      <c r="M4312" t="s">
        <v>16</v>
      </c>
    </row>
    <row r="4313" spans="1:13" x14ac:dyDescent="0.35">
      <c r="A4313">
        <v>420020</v>
      </c>
      <c r="B4313">
        <v>37125</v>
      </c>
      <c r="C4313" t="s">
        <v>4448</v>
      </c>
      <c r="D4313" t="s">
        <v>4444</v>
      </c>
      <c r="E4313" t="s">
        <v>4449</v>
      </c>
      <c r="F4313">
        <v>9080</v>
      </c>
      <c r="G4313">
        <v>1</v>
      </c>
      <c r="H4313" t="s">
        <v>16</v>
      </c>
      <c r="I4313" s="1">
        <v>-2741200</v>
      </c>
      <c r="J4313" s="1">
        <v>-4982600</v>
      </c>
      <c r="K4313">
        <v>405</v>
      </c>
      <c r="L4313">
        <v>207</v>
      </c>
      <c r="M4313" t="s">
        <v>16</v>
      </c>
    </row>
    <row r="4314" spans="1:13" x14ac:dyDescent="0.35">
      <c r="A4314">
        <v>420030</v>
      </c>
      <c r="B4314">
        <v>37133</v>
      </c>
      <c r="C4314" t="s">
        <v>4450</v>
      </c>
      <c r="D4314" t="s">
        <v>4444</v>
      </c>
      <c r="E4314" t="s">
        <v>4451</v>
      </c>
      <c r="F4314">
        <v>4677</v>
      </c>
      <c r="G4314">
        <v>1</v>
      </c>
      <c r="H4314" t="s">
        <v>16</v>
      </c>
      <c r="I4314" s="1">
        <v>-2726500</v>
      </c>
      <c r="J4314" s="1">
        <v>-4971100</v>
      </c>
      <c r="K4314">
        <v>347</v>
      </c>
      <c r="L4314">
        <v>135</v>
      </c>
      <c r="M4314" t="s">
        <v>16</v>
      </c>
    </row>
    <row r="4315" spans="1:13" x14ac:dyDescent="0.35">
      <c r="A4315">
        <v>420040</v>
      </c>
      <c r="B4315">
        <v>37141</v>
      </c>
      <c r="C4315" t="s">
        <v>4452</v>
      </c>
      <c r="D4315" t="s">
        <v>4444</v>
      </c>
      <c r="E4315" t="s">
        <v>4453</v>
      </c>
      <c r="F4315">
        <v>6756</v>
      </c>
      <c r="G4315">
        <v>1</v>
      </c>
      <c r="H4315" t="s">
        <v>16</v>
      </c>
      <c r="I4315" s="1">
        <v>-2699800</v>
      </c>
      <c r="J4315" s="1">
        <v>-5155600</v>
      </c>
      <c r="K4315">
        <v>847</v>
      </c>
      <c r="L4315">
        <v>1313</v>
      </c>
      <c r="M4315" t="s">
        <v>16</v>
      </c>
    </row>
    <row r="4316" spans="1:13" x14ac:dyDescent="0.35">
      <c r="A4316">
        <v>420050</v>
      </c>
      <c r="B4316">
        <v>37150</v>
      </c>
      <c r="C4316" t="s">
        <v>4454</v>
      </c>
      <c r="D4316" t="s">
        <v>4444</v>
      </c>
      <c r="E4316" t="s">
        <v>4455</v>
      </c>
      <c r="F4316">
        <v>6086</v>
      </c>
      <c r="G4316">
        <v>1</v>
      </c>
      <c r="H4316" t="s">
        <v>16</v>
      </c>
      <c r="I4316" s="1">
        <v>-2707000</v>
      </c>
      <c r="J4316" s="1">
        <v>-5298700</v>
      </c>
      <c r="K4316">
        <v>291</v>
      </c>
      <c r="L4316">
        <v>139</v>
      </c>
      <c r="M4316" t="s">
        <v>16</v>
      </c>
    </row>
    <row r="4317" spans="1:13" x14ac:dyDescent="0.35">
      <c r="A4317">
        <v>420055</v>
      </c>
      <c r="B4317">
        <v>51632</v>
      </c>
      <c r="C4317" t="s">
        <v>4456</v>
      </c>
      <c r="D4317" t="s">
        <v>4444</v>
      </c>
      <c r="E4317" t="s">
        <v>4455</v>
      </c>
      <c r="F4317">
        <v>2551</v>
      </c>
      <c r="G4317">
        <v>1</v>
      </c>
      <c r="H4317" t="s">
        <v>16</v>
      </c>
      <c r="I4317" s="1">
        <v>-2688000</v>
      </c>
      <c r="J4317" s="1">
        <v>-5285900</v>
      </c>
      <c r="K4317">
        <v>345</v>
      </c>
      <c r="L4317">
        <v>75</v>
      </c>
      <c r="M4317" t="s">
        <v>16</v>
      </c>
    </row>
    <row r="4318" spans="1:13" x14ac:dyDescent="0.35">
      <c r="A4318">
        <v>420060</v>
      </c>
      <c r="B4318">
        <v>37168</v>
      </c>
      <c r="C4318" t="s">
        <v>4457</v>
      </c>
      <c r="D4318" t="s">
        <v>4444</v>
      </c>
      <c r="E4318" t="s">
        <v>3184</v>
      </c>
      <c r="F4318">
        <v>4410</v>
      </c>
      <c r="G4318">
        <v>4</v>
      </c>
      <c r="H4318" t="s">
        <v>4458</v>
      </c>
      <c r="I4318" s="1">
        <v>-2769400</v>
      </c>
      <c r="J4318" s="1">
        <v>-4882400</v>
      </c>
      <c r="K4318">
        <v>70</v>
      </c>
      <c r="L4318">
        <v>360</v>
      </c>
      <c r="M4318" t="s">
        <v>16</v>
      </c>
    </row>
    <row r="4319" spans="1:13" x14ac:dyDescent="0.35">
      <c r="A4319">
        <v>420070</v>
      </c>
      <c r="B4319">
        <v>37176</v>
      </c>
      <c r="C4319" t="s">
        <v>4459</v>
      </c>
      <c r="D4319" t="s">
        <v>4444</v>
      </c>
      <c r="E4319" t="s">
        <v>3184</v>
      </c>
      <c r="F4319">
        <v>9754</v>
      </c>
      <c r="G4319">
        <v>4</v>
      </c>
      <c r="H4319" t="s">
        <v>4458</v>
      </c>
      <c r="I4319" s="1">
        <v>-2770000</v>
      </c>
      <c r="J4319" s="1">
        <v>-4933400</v>
      </c>
      <c r="K4319">
        <v>480</v>
      </c>
      <c r="L4319">
        <v>732</v>
      </c>
      <c r="M4319" t="s">
        <v>16</v>
      </c>
    </row>
    <row r="4320" spans="1:13" x14ac:dyDescent="0.35">
      <c r="A4320">
        <v>420075</v>
      </c>
      <c r="B4320">
        <v>58394</v>
      </c>
      <c r="C4320" t="s">
        <v>4460</v>
      </c>
      <c r="D4320" t="s">
        <v>4444</v>
      </c>
      <c r="E4320" t="s">
        <v>4461</v>
      </c>
      <c r="F4320">
        <v>2021</v>
      </c>
      <c r="G4320">
        <v>1</v>
      </c>
      <c r="H4320" t="s">
        <v>16</v>
      </c>
      <c r="I4320" s="1">
        <v>-2745800</v>
      </c>
      <c r="J4320" s="1">
        <v>-5187900</v>
      </c>
      <c r="K4320">
        <v>395</v>
      </c>
      <c r="L4320">
        <v>103</v>
      </c>
      <c r="M4320" t="s">
        <v>16</v>
      </c>
    </row>
    <row r="4321" spans="1:13" x14ac:dyDescent="0.35">
      <c r="A4321">
        <v>420080</v>
      </c>
      <c r="B4321">
        <v>37184</v>
      </c>
      <c r="C4321" t="s">
        <v>3250</v>
      </c>
      <c r="D4321" t="s">
        <v>4444</v>
      </c>
      <c r="E4321" t="s">
        <v>4462</v>
      </c>
      <c r="F4321">
        <v>6587</v>
      </c>
      <c r="G4321">
        <v>1</v>
      </c>
      <c r="H4321" t="s">
        <v>16</v>
      </c>
      <c r="I4321" s="1">
        <v>-2653400</v>
      </c>
      <c r="J4321" s="1">
        <v>-5333100</v>
      </c>
      <c r="K4321">
        <v>710</v>
      </c>
      <c r="L4321">
        <v>228</v>
      </c>
      <c r="M4321" t="s">
        <v>16</v>
      </c>
    </row>
    <row r="4322" spans="1:13" x14ac:dyDescent="0.35">
      <c r="A4322">
        <v>420090</v>
      </c>
      <c r="B4322">
        <v>37192</v>
      </c>
      <c r="C4322" t="s">
        <v>4463</v>
      </c>
      <c r="D4322" t="s">
        <v>4444</v>
      </c>
      <c r="E4322" t="s">
        <v>4464</v>
      </c>
      <c r="F4322">
        <v>5322</v>
      </c>
      <c r="G4322">
        <v>4</v>
      </c>
      <c r="H4322" t="s">
        <v>4458</v>
      </c>
      <c r="I4322" s="1">
        <v>-2756900</v>
      </c>
      <c r="J4322" s="1">
        <v>-4898500</v>
      </c>
      <c r="K4322">
        <v>450</v>
      </c>
      <c r="L4322">
        <v>499</v>
      </c>
      <c r="M4322" t="s">
        <v>16</v>
      </c>
    </row>
    <row r="4323" spans="1:13" x14ac:dyDescent="0.35">
      <c r="A4323">
        <v>420100</v>
      </c>
      <c r="B4323">
        <v>37206</v>
      </c>
      <c r="C4323" t="s">
        <v>4465</v>
      </c>
      <c r="D4323" t="s">
        <v>4444</v>
      </c>
      <c r="E4323" t="s">
        <v>4466</v>
      </c>
      <c r="F4323">
        <v>9141</v>
      </c>
      <c r="G4323">
        <v>1</v>
      </c>
      <c r="H4323" t="s">
        <v>16</v>
      </c>
      <c r="I4323" s="1">
        <v>-2768900</v>
      </c>
      <c r="J4323" s="1">
        <v>-5113000</v>
      </c>
      <c r="K4323">
        <v>885</v>
      </c>
      <c r="L4323">
        <v>588</v>
      </c>
      <c r="M4323" t="s">
        <v>16</v>
      </c>
    </row>
    <row r="4324" spans="1:13" x14ac:dyDescent="0.35">
      <c r="A4324">
        <v>420110</v>
      </c>
      <c r="B4324">
        <v>37214</v>
      </c>
      <c r="C4324" t="s">
        <v>4467</v>
      </c>
      <c r="D4324" t="s">
        <v>4444</v>
      </c>
      <c r="E4324" t="s">
        <v>3184</v>
      </c>
      <c r="F4324">
        <v>3175</v>
      </c>
      <c r="G4324">
        <v>4</v>
      </c>
      <c r="H4324" t="s">
        <v>4458</v>
      </c>
      <c r="I4324" s="1">
        <v>-2790200</v>
      </c>
      <c r="J4324" s="1">
        <v>-4912900</v>
      </c>
      <c r="K4324">
        <v>430</v>
      </c>
      <c r="L4324">
        <v>542</v>
      </c>
      <c r="M4324" t="s">
        <v>16</v>
      </c>
    </row>
    <row r="4325" spans="1:13" x14ac:dyDescent="0.35">
      <c r="A4325">
        <v>420120</v>
      </c>
      <c r="B4325">
        <v>37222</v>
      </c>
      <c r="C4325" t="s">
        <v>2430</v>
      </c>
      <c r="D4325" t="s">
        <v>4444</v>
      </c>
      <c r="E4325" t="s">
        <v>4468</v>
      </c>
      <c r="F4325">
        <v>7087</v>
      </c>
      <c r="G4325">
        <v>4</v>
      </c>
      <c r="H4325" t="s">
        <v>4458</v>
      </c>
      <c r="I4325" s="1">
        <v>-2751700</v>
      </c>
      <c r="J4325" s="1">
        <v>-4876800</v>
      </c>
      <c r="K4325">
        <v>30</v>
      </c>
      <c r="L4325">
        <v>229</v>
      </c>
      <c r="M4325" t="s">
        <v>16</v>
      </c>
    </row>
    <row r="4326" spans="1:13" x14ac:dyDescent="0.35">
      <c r="A4326">
        <v>420125</v>
      </c>
      <c r="B4326">
        <v>47350</v>
      </c>
      <c r="C4326" t="s">
        <v>4469</v>
      </c>
      <c r="D4326" t="s">
        <v>4444</v>
      </c>
      <c r="E4326" t="s">
        <v>4470</v>
      </c>
      <c r="F4326">
        <v>10270</v>
      </c>
      <c r="G4326">
        <v>4</v>
      </c>
      <c r="H4326" t="s">
        <v>4471</v>
      </c>
      <c r="I4326" s="1">
        <v>-2703600</v>
      </c>
      <c r="J4326" s="1">
        <v>-4939000</v>
      </c>
      <c r="K4326">
        <v>87</v>
      </c>
      <c r="L4326">
        <v>493</v>
      </c>
      <c r="M4326" t="s">
        <v>16</v>
      </c>
    </row>
    <row r="4327" spans="1:13" x14ac:dyDescent="0.35">
      <c r="A4327">
        <v>420127</v>
      </c>
      <c r="B4327">
        <v>51640</v>
      </c>
      <c r="C4327" t="s">
        <v>4472</v>
      </c>
      <c r="D4327" t="s">
        <v>4444</v>
      </c>
      <c r="E4327" t="s">
        <v>4461</v>
      </c>
      <c r="F4327">
        <v>3962</v>
      </c>
      <c r="G4327">
        <v>1</v>
      </c>
      <c r="H4327" t="s">
        <v>16</v>
      </c>
      <c r="I4327" s="1">
        <v>-2716000</v>
      </c>
      <c r="J4327" s="1">
        <v>-5214200</v>
      </c>
      <c r="K4327">
        <v>408</v>
      </c>
      <c r="L4327">
        <v>132</v>
      </c>
      <c r="M4327" t="s">
        <v>16</v>
      </c>
    </row>
    <row r="4328" spans="1:13" x14ac:dyDescent="0.35">
      <c r="A4328">
        <v>420130</v>
      </c>
      <c r="B4328">
        <v>37230</v>
      </c>
      <c r="C4328" t="s">
        <v>4473</v>
      </c>
      <c r="D4328" t="s">
        <v>4444</v>
      </c>
      <c r="E4328" t="s">
        <v>4474</v>
      </c>
      <c r="F4328">
        <v>21278</v>
      </c>
      <c r="G4328">
        <v>4</v>
      </c>
      <c r="H4328" t="s">
        <v>4475</v>
      </c>
      <c r="I4328" s="1">
        <v>-2637000</v>
      </c>
      <c r="J4328" s="1">
        <v>-4872200</v>
      </c>
      <c r="K4328">
        <v>9</v>
      </c>
      <c r="L4328">
        <v>401</v>
      </c>
      <c r="M4328" t="s">
        <v>16</v>
      </c>
    </row>
    <row r="4329" spans="1:13" x14ac:dyDescent="0.35">
      <c r="A4329">
        <v>420140</v>
      </c>
      <c r="B4329">
        <v>37249</v>
      </c>
      <c r="C4329" t="s">
        <v>4476</v>
      </c>
      <c r="D4329" t="s">
        <v>4444</v>
      </c>
      <c r="E4329" t="s">
        <v>4477</v>
      </c>
      <c r="F4329">
        <v>57119</v>
      </c>
      <c r="G4329">
        <v>2</v>
      </c>
      <c r="H4329" t="s">
        <v>16</v>
      </c>
      <c r="I4329" s="1">
        <v>-2893500</v>
      </c>
      <c r="J4329" s="1">
        <v>-4948600</v>
      </c>
      <c r="K4329">
        <v>13</v>
      </c>
      <c r="L4329">
        <v>303</v>
      </c>
      <c r="M4329" t="s">
        <v>16</v>
      </c>
    </row>
    <row r="4330" spans="1:13" x14ac:dyDescent="0.35">
      <c r="A4330">
        <v>420150</v>
      </c>
      <c r="B4330">
        <v>37257</v>
      </c>
      <c r="C4330" t="s">
        <v>4478</v>
      </c>
      <c r="D4330" t="s">
        <v>4444</v>
      </c>
      <c r="E4330" t="s">
        <v>4479</v>
      </c>
      <c r="F4330">
        <v>7312</v>
      </c>
      <c r="G4330">
        <v>4</v>
      </c>
      <c r="H4330" t="s">
        <v>4480</v>
      </c>
      <c r="I4330" s="1">
        <v>-2826200</v>
      </c>
      <c r="J4330" s="1">
        <v>-4901800</v>
      </c>
      <c r="K4330">
        <v>30</v>
      </c>
      <c r="L4330">
        <v>173</v>
      </c>
      <c r="M4330" t="s">
        <v>16</v>
      </c>
    </row>
    <row r="4331" spans="1:13" x14ac:dyDescent="0.35">
      <c r="A4331">
        <v>420160</v>
      </c>
      <c r="B4331">
        <v>37265</v>
      </c>
      <c r="C4331" t="s">
        <v>4481</v>
      </c>
      <c r="D4331" t="s">
        <v>4444</v>
      </c>
      <c r="E4331" t="s">
        <v>4453</v>
      </c>
      <c r="F4331">
        <v>3516</v>
      </c>
      <c r="G4331">
        <v>1</v>
      </c>
      <c r="H4331" t="s">
        <v>16</v>
      </c>
      <c r="I4331" s="1">
        <v>-2693300</v>
      </c>
      <c r="J4331" s="1">
        <v>-5133900</v>
      </c>
      <c r="K4331">
        <v>840</v>
      </c>
      <c r="L4331">
        <v>94</v>
      </c>
      <c r="M4331" t="s">
        <v>16</v>
      </c>
    </row>
    <row r="4332" spans="1:13" x14ac:dyDescent="0.35">
      <c r="A4332">
        <v>420165</v>
      </c>
      <c r="B4332">
        <v>51659</v>
      </c>
      <c r="C4332" t="s">
        <v>4482</v>
      </c>
      <c r="D4332" t="s">
        <v>4444</v>
      </c>
      <c r="E4332" t="s">
        <v>4461</v>
      </c>
      <c r="F4332">
        <v>2193</v>
      </c>
      <c r="G4332">
        <v>1</v>
      </c>
      <c r="H4332" t="s">
        <v>16</v>
      </c>
      <c r="I4332" s="1">
        <v>-2707400</v>
      </c>
      <c r="J4332" s="1">
        <v>-5245600</v>
      </c>
      <c r="K4332">
        <v>362</v>
      </c>
      <c r="L4332">
        <v>90</v>
      </c>
      <c r="M4332" t="s">
        <v>16</v>
      </c>
    </row>
    <row r="4333" spans="1:13" x14ac:dyDescent="0.35">
      <c r="A4333">
        <v>420170</v>
      </c>
      <c r="B4333">
        <v>37273</v>
      </c>
      <c r="C4333" t="s">
        <v>4483</v>
      </c>
      <c r="D4333" t="s">
        <v>4444</v>
      </c>
      <c r="E4333" t="s">
        <v>4470</v>
      </c>
      <c r="F4333">
        <v>6761</v>
      </c>
      <c r="G4333">
        <v>4</v>
      </c>
      <c r="H4333" t="s">
        <v>4471</v>
      </c>
      <c r="I4333" s="1">
        <v>-2695500</v>
      </c>
      <c r="J4333" s="1">
        <v>-4937600</v>
      </c>
      <c r="K4333">
        <v>88</v>
      </c>
      <c r="L4333">
        <v>111</v>
      </c>
      <c r="M4333" t="s">
        <v>16</v>
      </c>
    </row>
    <row r="4334" spans="1:13" x14ac:dyDescent="0.35">
      <c r="A4334">
        <v>420180</v>
      </c>
      <c r="B4334">
        <v>37281</v>
      </c>
      <c r="C4334" t="s">
        <v>4484</v>
      </c>
      <c r="D4334" t="s">
        <v>4444</v>
      </c>
      <c r="E4334" t="s">
        <v>4449</v>
      </c>
      <c r="F4334">
        <v>3317</v>
      </c>
      <c r="G4334">
        <v>1</v>
      </c>
      <c r="H4334" t="s">
        <v>16</v>
      </c>
      <c r="I4334" s="1">
        <v>-2742000</v>
      </c>
      <c r="J4334" s="1">
        <v>-4978100</v>
      </c>
      <c r="K4334">
        <v>545</v>
      </c>
      <c r="L4334">
        <v>94</v>
      </c>
      <c r="M4334" t="s">
        <v>16</v>
      </c>
    </row>
    <row r="4335" spans="1:13" x14ac:dyDescent="0.35">
      <c r="A4335">
        <v>420190</v>
      </c>
      <c r="B4335">
        <v>37290</v>
      </c>
      <c r="C4335" t="s">
        <v>1045</v>
      </c>
      <c r="D4335" t="s">
        <v>4444</v>
      </c>
      <c r="E4335" t="s">
        <v>4451</v>
      </c>
      <c r="F4335">
        <v>5399</v>
      </c>
      <c r="G4335">
        <v>1</v>
      </c>
      <c r="H4335" t="s">
        <v>16</v>
      </c>
      <c r="I4335" s="1">
        <v>-2731500</v>
      </c>
      <c r="J4335" s="1">
        <v>-4963800</v>
      </c>
      <c r="K4335">
        <v>350</v>
      </c>
      <c r="L4335">
        <v>206</v>
      </c>
      <c r="M4335" t="s">
        <v>16</v>
      </c>
    </row>
    <row r="4336" spans="1:13" x14ac:dyDescent="0.35">
      <c r="A4336">
        <v>420195</v>
      </c>
      <c r="B4336">
        <v>58408</v>
      </c>
      <c r="C4336" t="s">
        <v>4485</v>
      </c>
      <c r="D4336" t="s">
        <v>4444</v>
      </c>
      <c r="E4336" t="s">
        <v>4477</v>
      </c>
      <c r="F4336">
        <v>8089</v>
      </c>
      <c r="G4336">
        <v>1</v>
      </c>
      <c r="H4336" t="s">
        <v>16</v>
      </c>
      <c r="I4336" s="1">
        <v>-2898400</v>
      </c>
      <c r="J4336" s="1">
        <v>-4941300</v>
      </c>
      <c r="K4336">
        <v>10</v>
      </c>
      <c r="L4336">
        <v>93</v>
      </c>
      <c r="M4336" t="s">
        <v>16</v>
      </c>
    </row>
    <row r="4337" spans="1:13" x14ac:dyDescent="0.35">
      <c r="A4337">
        <v>420200</v>
      </c>
      <c r="B4337">
        <v>37303</v>
      </c>
      <c r="C4337" t="s">
        <v>4486</v>
      </c>
      <c r="D4337" t="s">
        <v>4444</v>
      </c>
      <c r="E4337" t="s">
        <v>4487</v>
      </c>
      <c r="F4337">
        <v>94344</v>
      </c>
      <c r="G4337">
        <v>4</v>
      </c>
      <c r="H4337" t="s">
        <v>4488</v>
      </c>
      <c r="I4337" s="1">
        <v>-2699100</v>
      </c>
      <c r="J4337" s="1">
        <v>-4863500</v>
      </c>
      <c r="K4337">
        <v>18</v>
      </c>
      <c r="L4337">
        <v>46</v>
      </c>
      <c r="M4337" t="s">
        <v>16</v>
      </c>
    </row>
    <row r="4338" spans="1:13" x14ac:dyDescent="0.35">
      <c r="A4338">
        <v>420205</v>
      </c>
      <c r="B4338">
        <v>51667</v>
      </c>
      <c r="C4338" t="s">
        <v>4489</v>
      </c>
      <c r="D4338" t="s">
        <v>4444</v>
      </c>
      <c r="E4338" t="s">
        <v>4474</v>
      </c>
      <c r="F4338">
        <v>7278</v>
      </c>
      <c r="G4338">
        <v>4</v>
      </c>
      <c r="H4338" t="s">
        <v>4475</v>
      </c>
      <c r="I4338" s="1">
        <v>-2645600</v>
      </c>
      <c r="J4338" s="1">
        <v>-4861200</v>
      </c>
      <c r="K4338">
        <v>8</v>
      </c>
      <c r="L4338">
        <v>110</v>
      </c>
      <c r="M4338" t="s">
        <v>16</v>
      </c>
    </row>
    <row r="4339" spans="1:13" x14ac:dyDescent="0.35">
      <c r="A4339">
        <v>420207</v>
      </c>
      <c r="B4339">
        <v>58416</v>
      </c>
      <c r="C4339" t="s">
        <v>4490</v>
      </c>
      <c r="D4339" t="s">
        <v>4444</v>
      </c>
      <c r="E4339" t="s">
        <v>4477</v>
      </c>
      <c r="F4339">
        <v>7307</v>
      </c>
      <c r="G4339">
        <v>1</v>
      </c>
      <c r="H4339" t="s">
        <v>16</v>
      </c>
      <c r="I4339" s="1">
        <v>-2915700</v>
      </c>
      <c r="J4339" s="1">
        <v>-4957900</v>
      </c>
      <c r="K4339">
        <v>7</v>
      </c>
      <c r="L4339">
        <v>147</v>
      </c>
      <c r="M4339" t="s">
        <v>16</v>
      </c>
    </row>
    <row r="4340" spans="1:13" x14ac:dyDescent="0.35">
      <c r="A4340">
        <v>420208</v>
      </c>
      <c r="B4340">
        <v>58424</v>
      </c>
      <c r="C4340" t="s">
        <v>4491</v>
      </c>
      <c r="D4340" t="s">
        <v>4444</v>
      </c>
      <c r="E4340" t="s">
        <v>4462</v>
      </c>
      <c r="F4340">
        <v>3028</v>
      </c>
      <c r="G4340">
        <v>1</v>
      </c>
      <c r="H4340" t="s">
        <v>16</v>
      </c>
      <c r="I4340" s="1">
        <v>-2676900</v>
      </c>
      <c r="J4340" s="1">
        <v>-5363800</v>
      </c>
      <c r="K4340">
        <v>517</v>
      </c>
      <c r="L4340">
        <v>146</v>
      </c>
      <c r="M4340" t="s">
        <v>16</v>
      </c>
    </row>
    <row r="4341" spans="1:13" x14ac:dyDescent="0.35">
      <c r="A4341">
        <v>420209</v>
      </c>
      <c r="B4341">
        <v>58432</v>
      </c>
      <c r="C4341" t="s">
        <v>3506</v>
      </c>
      <c r="D4341" t="s">
        <v>4444</v>
      </c>
      <c r="E4341" t="s">
        <v>4462</v>
      </c>
      <c r="F4341">
        <v>2064</v>
      </c>
      <c r="G4341">
        <v>1</v>
      </c>
      <c r="H4341" t="s">
        <v>16</v>
      </c>
      <c r="I4341" s="1">
        <v>-2665400</v>
      </c>
      <c r="J4341" s="1">
        <v>-5344000</v>
      </c>
      <c r="K4341">
        <v>335</v>
      </c>
      <c r="L4341">
        <v>93</v>
      </c>
      <c r="M4341" t="s">
        <v>16</v>
      </c>
    </row>
    <row r="4342" spans="1:13" x14ac:dyDescent="0.35">
      <c r="A4342">
        <v>420210</v>
      </c>
      <c r="B4342">
        <v>37311</v>
      </c>
      <c r="C4342" t="s">
        <v>4492</v>
      </c>
      <c r="D4342" t="s">
        <v>4444</v>
      </c>
      <c r="E4342" t="s">
        <v>4487</v>
      </c>
      <c r="F4342">
        <v>18575</v>
      </c>
      <c r="G4342">
        <v>4</v>
      </c>
      <c r="H4342" t="s">
        <v>4475</v>
      </c>
      <c r="I4342" s="1">
        <v>-2663200</v>
      </c>
      <c r="J4342" s="1">
        <v>-4868500</v>
      </c>
      <c r="K4342">
        <v>35</v>
      </c>
      <c r="L4342">
        <v>140</v>
      </c>
      <c r="M4342" t="s">
        <v>16</v>
      </c>
    </row>
    <row r="4343" spans="1:13" x14ac:dyDescent="0.35">
      <c r="A4343">
        <v>420213</v>
      </c>
      <c r="B4343">
        <v>58440</v>
      </c>
      <c r="C4343" t="s">
        <v>4493</v>
      </c>
      <c r="D4343" t="s">
        <v>4444</v>
      </c>
      <c r="E4343" t="s">
        <v>4494</v>
      </c>
      <c r="F4343">
        <v>5909</v>
      </c>
      <c r="G4343">
        <v>1</v>
      </c>
      <c r="H4343" t="s">
        <v>16</v>
      </c>
      <c r="I4343" s="1">
        <v>-2627300</v>
      </c>
      <c r="J4343" s="1">
        <v>-5046400</v>
      </c>
      <c r="K4343">
        <v>752</v>
      </c>
      <c r="L4343">
        <v>534</v>
      </c>
      <c r="M4343" t="s">
        <v>16</v>
      </c>
    </row>
    <row r="4344" spans="1:13" x14ac:dyDescent="0.35">
      <c r="A4344">
        <v>420215</v>
      </c>
      <c r="B4344">
        <v>51675</v>
      </c>
      <c r="C4344" t="s">
        <v>2030</v>
      </c>
      <c r="D4344" t="s">
        <v>4444</v>
      </c>
      <c r="E4344" t="s">
        <v>4462</v>
      </c>
      <c r="F4344">
        <v>2681</v>
      </c>
      <c r="G4344">
        <v>1</v>
      </c>
      <c r="H4344" t="s">
        <v>16</v>
      </c>
      <c r="I4344" s="1">
        <v>-2684100</v>
      </c>
      <c r="J4344" s="1">
        <v>-5357600</v>
      </c>
      <c r="K4344">
        <v>612</v>
      </c>
      <c r="L4344">
        <v>93</v>
      </c>
      <c r="M4344" t="s">
        <v>16</v>
      </c>
    </row>
    <row r="4345" spans="1:13" x14ac:dyDescent="0.35">
      <c r="A4345">
        <v>420220</v>
      </c>
      <c r="B4345">
        <v>37320</v>
      </c>
      <c r="C4345" t="s">
        <v>4495</v>
      </c>
      <c r="D4345" t="s">
        <v>4444</v>
      </c>
      <c r="E4345" t="s">
        <v>4470</v>
      </c>
      <c r="F4345">
        <v>9841</v>
      </c>
      <c r="G4345">
        <v>4</v>
      </c>
      <c r="H4345" t="s">
        <v>4471</v>
      </c>
      <c r="I4345" s="1">
        <v>-2678300</v>
      </c>
      <c r="J4345" s="1">
        <v>-4936400</v>
      </c>
      <c r="K4345">
        <v>130</v>
      </c>
      <c r="L4345">
        <v>385</v>
      </c>
      <c r="M4345" t="s">
        <v>16</v>
      </c>
    </row>
    <row r="4346" spans="1:13" x14ac:dyDescent="0.35">
      <c r="A4346">
        <v>420230</v>
      </c>
      <c r="B4346">
        <v>37338</v>
      </c>
      <c r="C4346" t="s">
        <v>4496</v>
      </c>
      <c r="D4346" t="s">
        <v>4444</v>
      </c>
      <c r="E4346" t="s">
        <v>4468</v>
      </c>
      <c r="F4346">
        <v>53444</v>
      </c>
      <c r="G4346">
        <v>4</v>
      </c>
      <c r="H4346" t="s">
        <v>4458</v>
      </c>
      <c r="I4346" s="1">
        <v>-2749400</v>
      </c>
      <c r="J4346" s="1">
        <v>-4865600</v>
      </c>
      <c r="K4346">
        <v>2</v>
      </c>
      <c r="L4346">
        <v>324</v>
      </c>
      <c r="M4346" t="s">
        <v>16</v>
      </c>
    </row>
    <row r="4347" spans="1:13" x14ac:dyDescent="0.35">
      <c r="A4347">
        <v>420240</v>
      </c>
      <c r="B4347">
        <v>37346</v>
      </c>
      <c r="C4347" t="s">
        <v>4470</v>
      </c>
      <c r="D4347" t="s">
        <v>4444</v>
      </c>
      <c r="E4347" t="s">
        <v>4470</v>
      </c>
      <c r="F4347">
        <v>292972</v>
      </c>
      <c r="G4347">
        <v>4</v>
      </c>
      <c r="H4347" t="s">
        <v>4471</v>
      </c>
      <c r="I4347" s="1">
        <v>-2691900</v>
      </c>
      <c r="J4347" s="1">
        <v>-4906600</v>
      </c>
      <c r="K4347">
        <v>21</v>
      </c>
      <c r="L4347">
        <v>519</v>
      </c>
      <c r="M4347" t="s">
        <v>16</v>
      </c>
    </row>
    <row r="4348" spans="1:13" x14ac:dyDescent="0.35">
      <c r="A4348">
        <v>420243</v>
      </c>
      <c r="B4348">
        <v>58459</v>
      </c>
      <c r="C4348" t="s">
        <v>4497</v>
      </c>
      <c r="D4348" t="s">
        <v>4444</v>
      </c>
      <c r="E4348" t="s">
        <v>4466</v>
      </c>
      <c r="F4348">
        <v>3047</v>
      </c>
      <c r="G4348">
        <v>1</v>
      </c>
      <c r="H4348" t="s">
        <v>16</v>
      </c>
      <c r="I4348" s="1">
        <v>-2774400</v>
      </c>
      <c r="J4348" s="1">
        <v>-4994400</v>
      </c>
      <c r="K4348">
        <v>860</v>
      </c>
      <c r="L4348">
        <v>496</v>
      </c>
      <c r="M4348" t="s">
        <v>16</v>
      </c>
    </row>
    <row r="4349" spans="1:13" x14ac:dyDescent="0.35">
      <c r="A4349">
        <v>420245</v>
      </c>
      <c r="B4349">
        <v>51683</v>
      </c>
      <c r="C4349" t="s">
        <v>4498</v>
      </c>
      <c r="D4349" t="s">
        <v>4444</v>
      </c>
      <c r="E4349" t="s">
        <v>4487</v>
      </c>
      <c r="F4349">
        <v>12456</v>
      </c>
      <c r="G4349">
        <v>4</v>
      </c>
      <c r="H4349" t="s">
        <v>4488</v>
      </c>
      <c r="I4349" s="1">
        <v>-2713800</v>
      </c>
      <c r="J4349" s="1">
        <v>-4851700</v>
      </c>
      <c r="K4349">
        <v>32</v>
      </c>
      <c r="L4349">
        <v>34</v>
      </c>
      <c r="M4349" t="s">
        <v>16</v>
      </c>
    </row>
    <row r="4350" spans="1:13" x14ac:dyDescent="0.35">
      <c r="A4350">
        <v>420250</v>
      </c>
      <c r="B4350">
        <v>37354</v>
      </c>
      <c r="C4350" t="s">
        <v>4499</v>
      </c>
      <c r="D4350" t="s">
        <v>4444</v>
      </c>
      <c r="E4350" t="s">
        <v>4466</v>
      </c>
      <c r="F4350">
        <v>4214</v>
      </c>
      <c r="G4350">
        <v>1</v>
      </c>
      <c r="H4350" t="s">
        <v>16</v>
      </c>
      <c r="I4350" s="1">
        <v>-2833700</v>
      </c>
      <c r="J4350" s="1">
        <v>-4962500</v>
      </c>
      <c r="K4350">
        <v>1245</v>
      </c>
      <c r="L4350">
        <v>935</v>
      </c>
      <c r="M4350" t="s">
        <v>16</v>
      </c>
    </row>
    <row r="4351" spans="1:13" x14ac:dyDescent="0.35">
      <c r="A4351">
        <v>420253</v>
      </c>
      <c r="B4351">
        <v>56561</v>
      </c>
      <c r="C4351" t="s">
        <v>819</v>
      </c>
      <c r="D4351" t="s">
        <v>4444</v>
      </c>
      <c r="E4351" t="s">
        <v>4447</v>
      </c>
      <c r="F4351">
        <v>2296</v>
      </c>
      <c r="G4351">
        <v>1</v>
      </c>
      <c r="H4351" t="s">
        <v>16</v>
      </c>
      <c r="I4351" s="1">
        <v>-2673400</v>
      </c>
      <c r="J4351" s="1">
        <v>-5239400</v>
      </c>
      <c r="K4351">
        <v>669</v>
      </c>
      <c r="L4351">
        <v>63</v>
      </c>
      <c r="M4351" t="s">
        <v>16</v>
      </c>
    </row>
    <row r="4352" spans="1:13" x14ac:dyDescent="0.35">
      <c r="A4352">
        <v>420257</v>
      </c>
      <c r="B4352">
        <v>58467</v>
      </c>
      <c r="C4352" t="s">
        <v>4500</v>
      </c>
      <c r="D4352" t="s">
        <v>4444</v>
      </c>
      <c r="E4352" t="s">
        <v>4455</v>
      </c>
      <c r="F4352">
        <v>2026</v>
      </c>
      <c r="G4352">
        <v>1</v>
      </c>
      <c r="H4352" t="s">
        <v>16</v>
      </c>
      <c r="I4352" s="1">
        <v>-2669000</v>
      </c>
      <c r="J4352" s="1">
        <v>-5309800</v>
      </c>
      <c r="K4352">
        <v>618</v>
      </c>
      <c r="L4352">
        <v>67</v>
      </c>
      <c r="M4352" t="s">
        <v>16</v>
      </c>
    </row>
    <row r="4353" spans="1:13" x14ac:dyDescent="0.35">
      <c r="A4353">
        <v>420260</v>
      </c>
      <c r="B4353">
        <v>37362</v>
      </c>
      <c r="C4353" t="s">
        <v>4501</v>
      </c>
      <c r="D4353" t="s">
        <v>4444</v>
      </c>
      <c r="E4353" t="s">
        <v>4466</v>
      </c>
      <c r="F4353">
        <v>8258</v>
      </c>
      <c r="G4353">
        <v>1</v>
      </c>
      <c r="H4353" t="s">
        <v>16</v>
      </c>
      <c r="I4353" s="1">
        <v>-2779700</v>
      </c>
      <c r="J4353" s="1">
        <v>-4948900</v>
      </c>
      <c r="K4353">
        <v>890</v>
      </c>
      <c r="L4353">
        <v>1055</v>
      </c>
      <c r="M4353" t="s">
        <v>16</v>
      </c>
    </row>
    <row r="4354" spans="1:13" x14ac:dyDescent="0.35">
      <c r="A4354">
        <v>420270</v>
      </c>
      <c r="B4354">
        <v>37370</v>
      </c>
      <c r="C4354" t="s">
        <v>4502</v>
      </c>
      <c r="D4354" t="s">
        <v>4444</v>
      </c>
      <c r="E4354" t="s">
        <v>4470</v>
      </c>
      <c r="F4354">
        <v>4127</v>
      </c>
      <c r="G4354">
        <v>4</v>
      </c>
      <c r="H4354" t="s">
        <v>4471</v>
      </c>
      <c r="I4354" s="1">
        <v>-2719900</v>
      </c>
      <c r="J4354" s="1">
        <v>-4907500</v>
      </c>
      <c r="K4354">
        <v>85</v>
      </c>
      <c r="L4354">
        <v>303</v>
      </c>
      <c r="M4354" t="s">
        <v>16</v>
      </c>
    </row>
    <row r="4355" spans="1:13" x14ac:dyDescent="0.35">
      <c r="A4355">
        <v>420280</v>
      </c>
      <c r="B4355">
        <v>37389</v>
      </c>
      <c r="C4355" t="s">
        <v>4503</v>
      </c>
      <c r="D4355" t="s">
        <v>4444</v>
      </c>
      <c r="E4355" t="s">
        <v>4479</v>
      </c>
      <c r="F4355">
        <v>27730</v>
      </c>
      <c r="G4355">
        <v>4</v>
      </c>
      <c r="H4355" t="s">
        <v>4480</v>
      </c>
      <c r="I4355" s="1">
        <v>-2827500</v>
      </c>
      <c r="J4355" s="1">
        <v>-4916600</v>
      </c>
      <c r="K4355">
        <v>75</v>
      </c>
      <c r="L4355">
        <v>221</v>
      </c>
      <c r="M4355" t="s">
        <v>16</v>
      </c>
    </row>
    <row r="4356" spans="1:13" x14ac:dyDescent="0.35">
      <c r="A4356">
        <v>420285</v>
      </c>
      <c r="B4356">
        <v>53627</v>
      </c>
      <c r="C4356" t="s">
        <v>4504</v>
      </c>
      <c r="D4356" t="s">
        <v>4444</v>
      </c>
      <c r="E4356" t="s">
        <v>4451</v>
      </c>
      <c r="F4356">
        <v>3288</v>
      </c>
      <c r="G4356">
        <v>1</v>
      </c>
      <c r="H4356" t="s">
        <v>16</v>
      </c>
      <c r="I4356" s="1">
        <v>-2735800</v>
      </c>
      <c r="J4356" s="1">
        <v>-4988600</v>
      </c>
      <c r="K4356">
        <v>430</v>
      </c>
      <c r="L4356">
        <v>89</v>
      </c>
      <c r="M4356" t="s">
        <v>16</v>
      </c>
    </row>
    <row r="4357" spans="1:13" x14ac:dyDescent="0.35">
      <c r="A4357">
        <v>420287</v>
      </c>
      <c r="B4357">
        <v>58475</v>
      </c>
      <c r="C4357" t="s">
        <v>4505</v>
      </c>
      <c r="D4357" t="s">
        <v>4444</v>
      </c>
      <c r="E4357" t="s">
        <v>4445</v>
      </c>
      <c r="F4357">
        <v>2934</v>
      </c>
      <c r="G4357">
        <v>1</v>
      </c>
      <c r="H4357" t="s">
        <v>16</v>
      </c>
      <c r="I4357" s="1">
        <v>-2730600</v>
      </c>
      <c r="J4357" s="1">
        <v>-5086800</v>
      </c>
      <c r="K4357">
        <v>843</v>
      </c>
      <c r="L4357">
        <v>335</v>
      </c>
      <c r="M4357" t="s">
        <v>16</v>
      </c>
    </row>
    <row r="4358" spans="1:13" x14ac:dyDescent="0.35">
      <c r="A4358">
        <v>420290</v>
      </c>
      <c r="B4358">
        <v>37397</v>
      </c>
      <c r="C4358" t="s">
        <v>4506</v>
      </c>
      <c r="D4358" t="s">
        <v>4444</v>
      </c>
      <c r="E4358" t="s">
        <v>4470</v>
      </c>
      <c r="F4358">
        <v>94962</v>
      </c>
      <c r="G4358">
        <v>4</v>
      </c>
      <c r="H4358" t="s">
        <v>4471</v>
      </c>
      <c r="I4358" s="1">
        <v>-2709800</v>
      </c>
      <c r="J4358" s="1">
        <v>-4891800</v>
      </c>
      <c r="K4358">
        <v>36</v>
      </c>
      <c r="L4358">
        <v>283</v>
      </c>
      <c r="M4358" t="s">
        <v>16</v>
      </c>
    </row>
    <row r="4359" spans="1:13" x14ac:dyDescent="0.35">
      <c r="A4359">
        <v>420300</v>
      </c>
      <c r="B4359">
        <v>37400</v>
      </c>
      <c r="C4359" t="s">
        <v>4507</v>
      </c>
      <c r="D4359" t="s">
        <v>4444</v>
      </c>
      <c r="E4359" t="s">
        <v>4453</v>
      </c>
      <c r="F4359">
        <v>67556</v>
      </c>
      <c r="G4359">
        <v>2</v>
      </c>
      <c r="H4359" t="s">
        <v>16</v>
      </c>
      <c r="I4359" s="1">
        <v>-2677500</v>
      </c>
      <c r="J4359" s="1">
        <v>-5101500</v>
      </c>
      <c r="K4359">
        <v>920</v>
      </c>
      <c r="L4359">
        <v>981</v>
      </c>
      <c r="M4359" t="s">
        <v>16</v>
      </c>
    </row>
    <row r="4360" spans="1:13" x14ac:dyDescent="0.35">
      <c r="A4360">
        <v>420310</v>
      </c>
      <c r="B4360">
        <v>37419</v>
      </c>
      <c r="C4360" t="s">
        <v>4508</v>
      </c>
      <c r="D4360" t="s">
        <v>4444</v>
      </c>
      <c r="E4360" t="s">
        <v>4455</v>
      </c>
      <c r="F4360">
        <v>6217</v>
      </c>
      <c r="G4360">
        <v>1</v>
      </c>
      <c r="H4360" t="s">
        <v>16</v>
      </c>
      <c r="I4360" s="1">
        <v>-2707200</v>
      </c>
      <c r="J4360" s="1">
        <v>-5324800</v>
      </c>
      <c r="K4360">
        <v>337</v>
      </c>
      <c r="L4360">
        <v>171</v>
      </c>
      <c r="M4360" t="s">
        <v>16</v>
      </c>
    </row>
    <row r="4361" spans="1:13" x14ac:dyDescent="0.35">
      <c r="A4361">
        <v>420315</v>
      </c>
      <c r="B4361">
        <v>51691</v>
      </c>
      <c r="C4361" t="s">
        <v>4509</v>
      </c>
      <c r="D4361" t="s">
        <v>4444</v>
      </c>
      <c r="E4361" t="s">
        <v>4453</v>
      </c>
      <c r="F4361">
        <v>4012</v>
      </c>
      <c r="G4361">
        <v>1</v>
      </c>
      <c r="H4361" t="s">
        <v>16</v>
      </c>
      <c r="I4361" s="1">
        <v>-2660000</v>
      </c>
      <c r="J4361" s="1">
        <v>-5109700</v>
      </c>
      <c r="K4361">
        <v>1200</v>
      </c>
      <c r="L4361">
        <v>639</v>
      </c>
      <c r="M4361" t="s">
        <v>16</v>
      </c>
    </row>
    <row r="4362" spans="1:13" x14ac:dyDescent="0.35">
      <c r="A4362">
        <v>420320</v>
      </c>
      <c r="B4362">
        <v>37427</v>
      </c>
      <c r="C4362" t="s">
        <v>4510</v>
      </c>
      <c r="D4362" t="s">
        <v>4444</v>
      </c>
      <c r="E4362" t="s">
        <v>4487</v>
      </c>
      <c r="F4362">
        <v>53388</v>
      </c>
      <c r="G4362">
        <v>4</v>
      </c>
      <c r="H4362" t="s">
        <v>4488</v>
      </c>
      <c r="I4362" s="1">
        <v>-2702500</v>
      </c>
      <c r="J4362" s="1">
        <v>-4865400</v>
      </c>
      <c r="K4362">
        <v>8</v>
      </c>
      <c r="L4362">
        <v>214</v>
      </c>
      <c r="M4362" t="s">
        <v>16</v>
      </c>
    </row>
    <row r="4363" spans="1:13" x14ac:dyDescent="0.35">
      <c r="A4363">
        <v>420325</v>
      </c>
      <c r="B4363">
        <v>58483</v>
      </c>
      <c r="C4363" t="s">
        <v>4511</v>
      </c>
      <c r="D4363" t="s">
        <v>4444</v>
      </c>
      <c r="E4363" t="s">
        <v>4466</v>
      </c>
      <c r="F4363">
        <v>3210</v>
      </c>
      <c r="G4363">
        <v>1</v>
      </c>
      <c r="H4363" t="s">
        <v>16</v>
      </c>
      <c r="I4363" s="1">
        <v>-2793700</v>
      </c>
      <c r="J4363" s="1">
        <v>-5051200</v>
      </c>
      <c r="K4363">
        <v>1022</v>
      </c>
      <c r="L4363">
        <v>1335</v>
      </c>
      <c r="M4363" t="s">
        <v>16</v>
      </c>
    </row>
    <row r="4364" spans="1:13" x14ac:dyDescent="0.35">
      <c r="A4364">
        <v>420330</v>
      </c>
      <c r="B4364">
        <v>37435</v>
      </c>
      <c r="C4364" t="s">
        <v>1808</v>
      </c>
      <c r="D4364" t="s">
        <v>4444</v>
      </c>
      <c r="E4364" t="s">
        <v>4512</v>
      </c>
      <c r="F4364">
        <v>11391</v>
      </c>
      <c r="G4364">
        <v>4</v>
      </c>
      <c r="H4364" t="s">
        <v>4475</v>
      </c>
      <c r="I4364" s="1">
        <v>-2619300</v>
      </c>
      <c r="J4364" s="1">
        <v>-4926600</v>
      </c>
      <c r="K4364">
        <v>870</v>
      </c>
      <c r="L4364">
        <v>496</v>
      </c>
      <c r="M4364" t="s">
        <v>16</v>
      </c>
    </row>
    <row r="4365" spans="1:13" x14ac:dyDescent="0.35">
      <c r="A4365">
        <v>420340</v>
      </c>
      <c r="B4365">
        <v>37443</v>
      </c>
      <c r="C4365" t="s">
        <v>4513</v>
      </c>
      <c r="D4365" t="s">
        <v>4444</v>
      </c>
      <c r="E4365" t="s">
        <v>4466</v>
      </c>
      <c r="F4365">
        <v>7968</v>
      </c>
      <c r="G4365">
        <v>1</v>
      </c>
      <c r="H4365" t="s">
        <v>16</v>
      </c>
      <c r="I4365" s="1">
        <v>-2789900</v>
      </c>
      <c r="J4365" s="1">
        <v>-5076100</v>
      </c>
      <c r="K4365">
        <v>1017</v>
      </c>
      <c r="L4365">
        <v>1027</v>
      </c>
      <c r="M4365" t="s">
        <v>16</v>
      </c>
    </row>
    <row r="4366" spans="1:13" x14ac:dyDescent="0.35">
      <c r="A4366">
        <v>420350</v>
      </c>
      <c r="B4366">
        <v>37451</v>
      </c>
      <c r="C4366" t="s">
        <v>4514</v>
      </c>
      <c r="D4366" t="s">
        <v>4444</v>
      </c>
      <c r="E4366" t="s">
        <v>4455</v>
      </c>
      <c r="F4366">
        <v>9590</v>
      </c>
      <c r="G4366">
        <v>1</v>
      </c>
      <c r="H4366" t="s">
        <v>16</v>
      </c>
      <c r="I4366" s="1">
        <v>-2639400</v>
      </c>
      <c r="J4366" s="1">
        <v>-5307800</v>
      </c>
      <c r="K4366">
        <v>910</v>
      </c>
      <c r="L4366">
        <v>478</v>
      </c>
      <c r="M4366" t="s">
        <v>16</v>
      </c>
    </row>
    <row r="4367" spans="1:13" x14ac:dyDescent="0.35">
      <c r="A4367">
        <v>420360</v>
      </c>
      <c r="B4367">
        <v>37460</v>
      </c>
      <c r="C4367" t="s">
        <v>4515</v>
      </c>
      <c r="D4367" t="s">
        <v>4444</v>
      </c>
      <c r="E4367" t="s">
        <v>4445</v>
      </c>
      <c r="F4367">
        <v>28447</v>
      </c>
      <c r="G4367">
        <v>1</v>
      </c>
      <c r="H4367" t="s">
        <v>16</v>
      </c>
      <c r="I4367" s="1">
        <v>-2740200</v>
      </c>
      <c r="J4367" s="1">
        <v>-5122500</v>
      </c>
      <c r="K4367">
        <v>934</v>
      </c>
      <c r="L4367">
        <v>1659</v>
      </c>
      <c r="M4367" t="s">
        <v>16</v>
      </c>
    </row>
    <row r="4368" spans="1:13" x14ac:dyDescent="0.35">
      <c r="A4368">
        <v>420370</v>
      </c>
      <c r="B4368">
        <v>37478</v>
      </c>
      <c r="C4368" t="s">
        <v>4516</v>
      </c>
      <c r="D4368" t="s">
        <v>4444</v>
      </c>
      <c r="E4368" t="s">
        <v>4464</v>
      </c>
      <c r="F4368">
        <v>9696</v>
      </c>
      <c r="G4368">
        <v>4</v>
      </c>
      <c r="H4368" t="s">
        <v>4458</v>
      </c>
      <c r="I4368" s="1">
        <v>-2726500</v>
      </c>
      <c r="J4368" s="1">
        <v>-4876800</v>
      </c>
      <c r="K4368">
        <v>17</v>
      </c>
      <c r="L4368">
        <v>151</v>
      </c>
      <c r="M4368" t="s">
        <v>16</v>
      </c>
    </row>
    <row r="4369" spans="1:13" x14ac:dyDescent="0.35">
      <c r="A4369">
        <v>420380</v>
      </c>
      <c r="B4369">
        <v>37486</v>
      </c>
      <c r="C4369" t="s">
        <v>4494</v>
      </c>
      <c r="D4369" t="s">
        <v>4444</v>
      </c>
      <c r="E4369" t="s">
        <v>4494</v>
      </c>
      <c r="F4369">
        <v>52677</v>
      </c>
      <c r="G4369">
        <v>2</v>
      </c>
      <c r="H4369" t="s">
        <v>16</v>
      </c>
      <c r="I4369" s="1">
        <v>-2617700</v>
      </c>
      <c r="J4369" s="1">
        <v>-5039000</v>
      </c>
      <c r="K4369">
        <v>839</v>
      </c>
      <c r="L4369">
        <v>1144</v>
      </c>
      <c r="M4369" t="s">
        <v>16</v>
      </c>
    </row>
    <row r="4370" spans="1:13" x14ac:dyDescent="0.35">
      <c r="A4370">
        <v>420390</v>
      </c>
      <c r="B4370">
        <v>37494</v>
      </c>
      <c r="C4370" t="s">
        <v>4517</v>
      </c>
      <c r="D4370" t="s">
        <v>4444</v>
      </c>
      <c r="E4370" t="s">
        <v>4453</v>
      </c>
      <c r="F4370">
        <v>18465</v>
      </c>
      <c r="G4370">
        <v>1</v>
      </c>
      <c r="H4370" t="s">
        <v>16</v>
      </c>
      <c r="I4370" s="1">
        <v>-2734400</v>
      </c>
      <c r="J4370" s="1">
        <v>-5161200</v>
      </c>
      <c r="K4370">
        <v>480</v>
      </c>
      <c r="L4370">
        <v>333</v>
      </c>
      <c r="M4370" t="s">
        <v>16</v>
      </c>
    </row>
    <row r="4371" spans="1:13" x14ac:dyDescent="0.35">
      <c r="A4371">
        <v>420395</v>
      </c>
      <c r="B4371">
        <v>51705</v>
      </c>
      <c r="C4371" t="s">
        <v>4518</v>
      </c>
      <c r="D4371" t="s">
        <v>4444</v>
      </c>
      <c r="E4371" t="s">
        <v>4479</v>
      </c>
      <c r="F4371">
        <v>20064</v>
      </c>
      <c r="G4371">
        <v>4</v>
      </c>
      <c r="H4371" t="s">
        <v>4480</v>
      </c>
      <c r="I4371" s="1">
        <v>-2844500</v>
      </c>
      <c r="J4371" s="1">
        <v>-4895800</v>
      </c>
      <c r="K4371">
        <v>100</v>
      </c>
      <c r="L4371">
        <v>53</v>
      </c>
      <c r="M4371" t="s">
        <v>16</v>
      </c>
    </row>
    <row r="4372" spans="1:13" x14ac:dyDescent="0.35">
      <c r="A4372">
        <v>420400</v>
      </c>
      <c r="B4372">
        <v>37508</v>
      </c>
      <c r="C4372" t="s">
        <v>4150</v>
      </c>
      <c r="D4372" t="s">
        <v>4444</v>
      </c>
      <c r="E4372" t="s">
        <v>4453</v>
      </c>
      <c r="F4372">
        <v>8733</v>
      </c>
      <c r="G4372">
        <v>1</v>
      </c>
      <c r="H4372" t="s">
        <v>16</v>
      </c>
      <c r="I4372" s="1">
        <v>-2707100</v>
      </c>
      <c r="J4372" s="1">
        <v>-5166200</v>
      </c>
      <c r="K4372">
        <v>945</v>
      </c>
      <c r="L4372">
        <v>198</v>
      </c>
      <c r="M4372" t="s">
        <v>16</v>
      </c>
    </row>
    <row r="4373" spans="1:13" x14ac:dyDescent="0.35">
      <c r="A4373">
        <v>420410</v>
      </c>
      <c r="B4373">
        <v>37516</v>
      </c>
      <c r="C4373" t="s">
        <v>4519</v>
      </c>
      <c r="D4373" t="s">
        <v>4444</v>
      </c>
      <c r="E4373" t="s">
        <v>4455</v>
      </c>
      <c r="F4373">
        <v>4885</v>
      </c>
      <c r="G4373">
        <v>1</v>
      </c>
      <c r="H4373" t="s">
        <v>16</v>
      </c>
      <c r="I4373" s="1">
        <v>-2716100</v>
      </c>
      <c r="J4373" s="1">
        <v>-5287900</v>
      </c>
      <c r="K4373">
        <v>318</v>
      </c>
      <c r="L4373">
        <v>140</v>
      </c>
      <c r="M4373" t="s">
        <v>16</v>
      </c>
    </row>
    <row r="4374" spans="1:13" x14ac:dyDescent="0.35">
      <c r="A4374">
        <v>420415</v>
      </c>
      <c r="B4374">
        <v>47368</v>
      </c>
      <c r="C4374" t="s">
        <v>4520</v>
      </c>
      <c r="D4374" t="s">
        <v>4444</v>
      </c>
      <c r="E4374" t="s">
        <v>4466</v>
      </c>
      <c r="F4374">
        <v>2671</v>
      </c>
      <c r="G4374">
        <v>1</v>
      </c>
      <c r="H4374" t="s">
        <v>16</v>
      </c>
      <c r="I4374" s="1">
        <v>-2763400</v>
      </c>
      <c r="J4374" s="1">
        <v>-5133600</v>
      </c>
      <c r="K4374">
        <v>778</v>
      </c>
      <c r="L4374">
        <v>207</v>
      </c>
      <c r="M4374" t="s">
        <v>16</v>
      </c>
    </row>
    <row r="4375" spans="1:13" x14ac:dyDescent="0.35">
      <c r="A4375">
        <v>420417</v>
      </c>
      <c r="B4375">
        <v>51713</v>
      </c>
      <c r="C4375" t="s">
        <v>4521</v>
      </c>
      <c r="D4375" t="s">
        <v>4444</v>
      </c>
      <c r="E4375" t="s">
        <v>4466</v>
      </c>
      <c r="F4375">
        <v>3948</v>
      </c>
      <c r="G4375">
        <v>1</v>
      </c>
      <c r="H4375" t="s">
        <v>16</v>
      </c>
      <c r="I4375" s="1">
        <v>-2779500</v>
      </c>
      <c r="J4375" s="1">
        <v>-5087600</v>
      </c>
      <c r="K4375">
        <v>996</v>
      </c>
      <c r="L4375">
        <v>416</v>
      </c>
      <c r="M4375" t="s">
        <v>16</v>
      </c>
    </row>
    <row r="4376" spans="1:13" x14ac:dyDescent="0.35">
      <c r="A4376">
        <v>420419</v>
      </c>
      <c r="B4376">
        <v>58491</v>
      </c>
      <c r="C4376" t="s">
        <v>4522</v>
      </c>
      <c r="D4376" t="s">
        <v>4444</v>
      </c>
      <c r="E4376" t="s">
        <v>4449</v>
      </c>
      <c r="F4376">
        <v>2749</v>
      </c>
      <c r="G4376">
        <v>1</v>
      </c>
      <c r="H4376" t="s">
        <v>16</v>
      </c>
      <c r="I4376" s="1">
        <v>-2759100</v>
      </c>
      <c r="J4376" s="1">
        <v>-4955400</v>
      </c>
      <c r="K4376">
        <v>600</v>
      </c>
      <c r="L4376">
        <v>124</v>
      </c>
      <c r="M4376" t="s">
        <v>16</v>
      </c>
    </row>
    <row r="4377" spans="1:13" x14ac:dyDescent="0.35">
      <c r="A4377">
        <v>420420</v>
      </c>
      <c r="B4377">
        <v>37524</v>
      </c>
      <c r="C4377" t="s">
        <v>4523</v>
      </c>
      <c r="D4377" t="s">
        <v>4444</v>
      </c>
      <c r="E4377" t="s">
        <v>4455</v>
      </c>
      <c r="F4377">
        <v>164803</v>
      </c>
      <c r="G4377">
        <v>3</v>
      </c>
      <c r="H4377" t="s">
        <v>16</v>
      </c>
      <c r="I4377" s="1">
        <v>-2709600</v>
      </c>
      <c r="J4377" s="1">
        <v>-5261800</v>
      </c>
      <c r="K4377">
        <v>674</v>
      </c>
      <c r="L4377">
        <v>624</v>
      </c>
      <c r="M4377" t="s">
        <v>16</v>
      </c>
    </row>
    <row r="4378" spans="1:13" x14ac:dyDescent="0.35">
      <c r="A4378">
        <v>420425</v>
      </c>
      <c r="B4378">
        <v>51721</v>
      </c>
      <c r="C4378" t="s">
        <v>4524</v>
      </c>
      <c r="D4378" t="s">
        <v>4444</v>
      </c>
      <c r="E4378" t="s">
        <v>4525</v>
      </c>
      <c r="F4378">
        <v>14563</v>
      </c>
      <c r="G4378">
        <v>4</v>
      </c>
      <c r="H4378" t="s">
        <v>4526</v>
      </c>
      <c r="I4378" s="1">
        <v>-2860100</v>
      </c>
      <c r="J4378" s="1">
        <v>-4932600</v>
      </c>
      <c r="K4378">
        <v>58</v>
      </c>
      <c r="L4378">
        <v>71</v>
      </c>
      <c r="M4378" t="s">
        <v>16</v>
      </c>
    </row>
    <row r="4379" spans="1:13" x14ac:dyDescent="0.35">
      <c r="A4379">
        <v>420430</v>
      </c>
      <c r="B4379">
        <v>37532</v>
      </c>
      <c r="C4379" t="s">
        <v>4527</v>
      </c>
      <c r="D4379" t="s">
        <v>4444</v>
      </c>
      <c r="E4379" t="s">
        <v>4461</v>
      </c>
      <c r="F4379">
        <v>67249</v>
      </c>
      <c r="G4379">
        <v>2</v>
      </c>
      <c r="H4379" t="s">
        <v>16</v>
      </c>
      <c r="I4379" s="1">
        <v>-2723400</v>
      </c>
      <c r="J4379" s="1">
        <v>-5202800</v>
      </c>
      <c r="K4379">
        <v>569</v>
      </c>
      <c r="L4379">
        <v>797</v>
      </c>
      <c r="M4379" t="s">
        <v>16</v>
      </c>
    </row>
    <row r="4380" spans="1:13" x14ac:dyDescent="0.35">
      <c r="A4380">
        <v>420435</v>
      </c>
      <c r="B4380">
        <v>51730</v>
      </c>
      <c r="C4380" t="s">
        <v>4528</v>
      </c>
      <c r="D4380" t="s">
        <v>4444</v>
      </c>
      <c r="E4380" t="s">
        <v>4455</v>
      </c>
      <c r="F4380">
        <v>3361</v>
      </c>
      <c r="G4380">
        <v>1</v>
      </c>
      <c r="H4380" t="s">
        <v>16</v>
      </c>
      <c r="I4380" s="1">
        <v>-2698400</v>
      </c>
      <c r="J4380" s="1">
        <v>-5260700</v>
      </c>
      <c r="K4380">
        <v>768</v>
      </c>
      <c r="L4380">
        <v>83</v>
      </c>
      <c r="M4380" t="s">
        <v>16</v>
      </c>
    </row>
    <row r="4381" spans="1:13" x14ac:dyDescent="0.35">
      <c r="A4381">
        <v>420440</v>
      </c>
      <c r="B4381">
        <v>37540</v>
      </c>
      <c r="C4381" t="s">
        <v>4529</v>
      </c>
      <c r="D4381" t="s">
        <v>4444</v>
      </c>
      <c r="E4381" t="s">
        <v>4455</v>
      </c>
      <c r="F4381">
        <v>10246</v>
      </c>
      <c r="G4381">
        <v>1</v>
      </c>
      <c r="H4381" t="s">
        <v>16</v>
      </c>
      <c r="I4381" s="1">
        <v>-2690900</v>
      </c>
      <c r="J4381" s="1">
        <v>-5270300</v>
      </c>
      <c r="K4381">
        <v>375</v>
      </c>
      <c r="L4381">
        <v>234</v>
      </c>
      <c r="M4381" t="s">
        <v>16</v>
      </c>
    </row>
    <row r="4382" spans="1:13" x14ac:dyDescent="0.35">
      <c r="A4382">
        <v>420445</v>
      </c>
      <c r="B4382">
        <v>51748</v>
      </c>
      <c r="C4382" t="s">
        <v>4530</v>
      </c>
      <c r="D4382" t="s">
        <v>4444</v>
      </c>
      <c r="E4382" t="s">
        <v>4447</v>
      </c>
      <c r="F4382">
        <v>2481</v>
      </c>
      <c r="G4382">
        <v>1</v>
      </c>
      <c r="H4382" t="s">
        <v>16</v>
      </c>
      <c r="I4382" s="1">
        <v>-2651200</v>
      </c>
      <c r="J4382" s="1">
        <v>-5266900</v>
      </c>
      <c r="K4382">
        <v>695</v>
      </c>
      <c r="L4382">
        <v>107</v>
      </c>
      <c r="M4382" t="s">
        <v>16</v>
      </c>
    </row>
    <row r="4383" spans="1:13" x14ac:dyDescent="0.35">
      <c r="A4383">
        <v>420450</v>
      </c>
      <c r="B4383">
        <v>37559</v>
      </c>
      <c r="C4383" t="s">
        <v>4531</v>
      </c>
      <c r="D4383" t="s">
        <v>4444</v>
      </c>
      <c r="E4383" t="s">
        <v>4474</v>
      </c>
      <c r="F4383">
        <v>12758</v>
      </c>
      <c r="G4383">
        <v>4</v>
      </c>
      <c r="H4383" t="s">
        <v>4475</v>
      </c>
      <c r="I4383" s="1">
        <v>-2642500</v>
      </c>
      <c r="J4383" s="1">
        <v>-4924300</v>
      </c>
      <c r="K4383">
        <v>75</v>
      </c>
      <c r="L4383">
        <v>405</v>
      </c>
      <c r="M4383" t="s">
        <v>16</v>
      </c>
    </row>
    <row r="4384" spans="1:13" x14ac:dyDescent="0.35">
      <c r="A4384">
        <v>420455</v>
      </c>
      <c r="B4384">
        <v>39071</v>
      </c>
      <c r="C4384" t="s">
        <v>4532</v>
      </c>
      <c r="D4384" t="s">
        <v>4444</v>
      </c>
      <c r="E4384" t="s">
        <v>4466</v>
      </c>
      <c r="F4384">
        <v>14838</v>
      </c>
      <c r="G4384">
        <v>1</v>
      </c>
      <c r="H4384" t="s">
        <v>16</v>
      </c>
      <c r="I4384" s="1">
        <v>-2758500</v>
      </c>
      <c r="J4384" s="1">
        <v>-5036100</v>
      </c>
      <c r="K4384">
        <v>847</v>
      </c>
      <c r="L4384">
        <v>651</v>
      </c>
      <c r="M4384" t="s">
        <v>16</v>
      </c>
    </row>
    <row r="4385" spans="1:13" x14ac:dyDescent="0.35">
      <c r="A4385">
        <v>420460</v>
      </c>
      <c r="B4385">
        <v>37567</v>
      </c>
      <c r="C4385" t="s">
        <v>4525</v>
      </c>
      <c r="D4385" t="s">
        <v>4444</v>
      </c>
      <c r="E4385" t="s">
        <v>4525</v>
      </c>
      <c r="F4385">
        <v>185506</v>
      </c>
      <c r="G4385">
        <v>4</v>
      </c>
      <c r="H4385" t="s">
        <v>4526</v>
      </c>
      <c r="I4385" s="1">
        <v>-2867800</v>
      </c>
      <c r="J4385" s="1">
        <v>-4937000</v>
      </c>
      <c r="K4385">
        <v>46</v>
      </c>
      <c r="L4385">
        <v>235</v>
      </c>
      <c r="M4385" t="s">
        <v>16</v>
      </c>
    </row>
    <row r="4386" spans="1:13" x14ac:dyDescent="0.35">
      <c r="A4386">
        <v>420470</v>
      </c>
      <c r="B4386">
        <v>37575</v>
      </c>
      <c r="C4386" t="s">
        <v>4533</v>
      </c>
      <c r="D4386" t="s">
        <v>4444</v>
      </c>
      <c r="E4386" t="s">
        <v>4455</v>
      </c>
      <c r="F4386">
        <v>10638</v>
      </c>
      <c r="G4386">
        <v>1</v>
      </c>
      <c r="H4386" t="s">
        <v>16</v>
      </c>
      <c r="I4386" s="1">
        <v>-2689400</v>
      </c>
      <c r="J4386" s="1">
        <v>-5316800</v>
      </c>
      <c r="K4386">
        <v>570</v>
      </c>
      <c r="L4386">
        <v>220</v>
      </c>
      <c r="M4386" t="s">
        <v>16</v>
      </c>
    </row>
    <row r="4387" spans="1:13" x14ac:dyDescent="0.35">
      <c r="A4387">
        <v>420475</v>
      </c>
      <c r="B4387">
        <v>58505</v>
      </c>
      <c r="C4387" t="s">
        <v>4534</v>
      </c>
      <c r="D4387" t="s">
        <v>4444</v>
      </c>
      <c r="E4387" t="s">
        <v>4455</v>
      </c>
      <c r="F4387">
        <v>1874</v>
      </c>
      <c r="G4387">
        <v>1</v>
      </c>
      <c r="H4387" t="s">
        <v>16</v>
      </c>
      <c r="I4387" s="1">
        <v>-2696900</v>
      </c>
      <c r="J4387" s="1">
        <v>-5309300</v>
      </c>
      <c r="K4387">
        <v>400</v>
      </c>
      <c r="L4387">
        <v>54</v>
      </c>
      <c r="M4387" t="s">
        <v>16</v>
      </c>
    </row>
    <row r="4388" spans="1:13" x14ac:dyDescent="0.35">
      <c r="A4388">
        <v>420480</v>
      </c>
      <c r="B4388">
        <v>37583</v>
      </c>
      <c r="C4388" t="s">
        <v>4445</v>
      </c>
      <c r="D4388" t="s">
        <v>4444</v>
      </c>
      <c r="E4388" t="s">
        <v>4445</v>
      </c>
      <c r="F4388">
        <v>37493</v>
      </c>
      <c r="G4388">
        <v>1</v>
      </c>
      <c r="H4388" t="s">
        <v>16</v>
      </c>
      <c r="I4388" s="1">
        <v>-2728300</v>
      </c>
      <c r="J4388" s="1">
        <v>-5058400</v>
      </c>
      <c r="K4388">
        <v>987</v>
      </c>
      <c r="L4388">
        <v>952</v>
      </c>
      <c r="M4388" t="s">
        <v>16</v>
      </c>
    </row>
    <row r="4389" spans="1:13" x14ac:dyDescent="0.35">
      <c r="A4389">
        <v>420490</v>
      </c>
      <c r="B4389">
        <v>37591</v>
      </c>
      <c r="C4389" t="s">
        <v>4535</v>
      </c>
      <c r="D4389" t="s">
        <v>4444</v>
      </c>
      <c r="E4389" t="s">
        <v>4462</v>
      </c>
      <c r="F4389">
        <v>8705</v>
      </c>
      <c r="G4389">
        <v>1</v>
      </c>
      <c r="H4389" t="s">
        <v>16</v>
      </c>
      <c r="I4389" s="1">
        <v>-2682600</v>
      </c>
      <c r="J4389" s="1">
        <v>-5350200</v>
      </c>
      <c r="K4389">
        <v>552</v>
      </c>
      <c r="L4389">
        <v>285</v>
      </c>
      <c r="M4389" t="s">
        <v>16</v>
      </c>
    </row>
    <row r="4390" spans="1:13" x14ac:dyDescent="0.35">
      <c r="A4390">
        <v>420500</v>
      </c>
      <c r="B4390">
        <v>37605</v>
      </c>
      <c r="C4390" t="s">
        <v>4536</v>
      </c>
      <c r="D4390" t="s">
        <v>4444</v>
      </c>
      <c r="E4390" t="s">
        <v>4462</v>
      </c>
      <c r="F4390">
        <v>14792</v>
      </c>
      <c r="G4390">
        <v>1</v>
      </c>
      <c r="H4390" t="s">
        <v>16</v>
      </c>
      <c r="I4390" s="1">
        <v>-2625500</v>
      </c>
      <c r="J4390" s="1">
        <v>-5364000</v>
      </c>
      <c r="K4390">
        <v>830</v>
      </c>
      <c r="L4390">
        <v>377</v>
      </c>
      <c r="M4390" t="s">
        <v>16</v>
      </c>
    </row>
    <row r="4391" spans="1:13" x14ac:dyDescent="0.35">
      <c r="A4391">
        <v>420510</v>
      </c>
      <c r="B4391">
        <v>37613</v>
      </c>
      <c r="C4391" t="s">
        <v>4537</v>
      </c>
      <c r="D4391" t="s">
        <v>4444</v>
      </c>
      <c r="E4391" t="s">
        <v>4451</v>
      </c>
      <c r="F4391">
        <v>3441</v>
      </c>
      <c r="G4391">
        <v>1</v>
      </c>
      <c r="H4391" t="s">
        <v>16</v>
      </c>
      <c r="I4391" s="1">
        <v>-2698500</v>
      </c>
      <c r="J4391" s="1">
        <v>-4972600</v>
      </c>
      <c r="K4391">
        <v>370</v>
      </c>
      <c r="L4391">
        <v>181</v>
      </c>
      <c r="M4391" t="s">
        <v>16</v>
      </c>
    </row>
    <row r="4392" spans="1:13" x14ac:dyDescent="0.35">
      <c r="A4392">
        <v>420515</v>
      </c>
      <c r="B4392">
        <v>47376</v>
      </c>
      <c r="C4392" t="s">
        <v>4538</v>
      </c>
      <c r="D4392" t="s">
        <v>4444</v>
      </c>
      <c r="E4392" t="s">
        <v>4470</v>
      </c>
      <c r="F4392">
        <v>3280</v>
      </c>
      <c r="G4392">
        <v>4</v>
      </c>
      <c r="H4392" t="s">
        <v>4471</v>
      </c>
      <c r="I4392" s="1">
        <v>-2671400</v>
      </c>
      <c r="J4392" s="1">
        <v>-4948300</v>
      </c>
      <c r="K4392">
        <v>530</v>
      </c>
      <c r="L4392">
        <v>375</v>
      </c>
      <c r="M4392" t="s">
        <v>16</v>
      </c>
    </row>
    <row r="4393" spans="1:13" x14ac:dyDescent="0.35">
      <c r="A4393">
        <v>420517</v>
      </c>
      <c r="B4393">
        <v>58513</v>
      </c>
      <c r="C4393" t="s">
        <v>2082</v>
      </c>
      <c r="D4393" t="s">
        <v>4444</v>
      </c>
      <c r="E4393" t="s">
        <v>4447</v>
      </c>
      <c r="F4393">
        <v>2979</v>
      </c>
      <c r="G4393">
        <v>1</v>
      </c>
      <c r="H4393" t="s">
        <v>16</v>
      </c>
      <c r="I4393" s="1">
        <v>-2672400</v>
      </c>
      <c r="J4393" s="1">
        <v>-5256100</v>
      </c>
      <c r="K4393">
        <v>400</v>
      </c>
      <c r="L4393">
        <v>105</v>
      </c>
      <c r="M4393" t="s">
        <v>16</v>
      </c>
    </row>
    <row r="4394" spans="1:13" x14ac:dyDescent="0.35">
      <c r="A4394">
        <v>420519</v>
      </c>
      <c r="B4394">
        <v>58521</v>
      </c>
      <c r="C4394" t="s">
        <v>4539</v>
      </c>
      <c r="D4394" t="s">
        <v>4444</v>
      </c>
      <c r="E4394" t="s">
        <v>4477</v>
      </c>
      <c r="F4394">
        <v>1843</v>
      </c>
      <c r="G4394">
        <v>1</v>
      </c>
      <c r="H4394" t="s">
        <v>16</v>
      </c>
      <c r="I4394" s="1">
        <v>-2898300</v>
      </c>
      <c r="J4394" s="1">
        <v>-4964400</v>
      </c>
      <c r="K4394">
        <v>16</v>
      </c>
      <c r="L4394">
        <v>63</v>
      </c>
      <c r="M4394" t="s">
        <v>16</v>
      </c>
    </row>
    <row r="4395" spans="1:13" x14ac:dyDescent="0.35">
      <c r="A4395">
        <v>420520</v>
      </c>
      <c r="B4395">
        <v>37621</v>
      </c>
      <c r="C4395" t="s">
        <v>4540</v>
      </c>
      <c r="D4395" t="s">
        <v>4444</v>
      </c>
      <c r="E4395" t="s">
        <v>4453</v>
      </c>
      <c r="F4395">
        <v>4098</v>
      </c>
      <c r="G4395">
        <v>1</v>
      </c>
      <c r="H4395" t="s">
        <v>16</v>
      </c>
      <c r="I4395" s="1">
        <v>-2727600</v>
      </c>
      <c r="J4395" s="1">
        <v>-5144200</v>
      </c>
      <c r="K4395">
        <v>674</v>
      </c>
      <c r="L4395">
        <v>207</v>
      </c>
      <c r="M4395" t="s">
        <v>16</v>
      </c>
    </row>
    <row r="4396" spans="1:13" x14ac:dyDescent="0.35">
      <c r="A4396">
        <v>420530</v>
      </c>
      <c r="B4396">
        <v>37630</v>
      </c>
      <c r="C4396" t="s">
        <v>4541</v>
      </c>
      <c r="D4396" t="s">
        <v>4444</v>
      </c>
      <c r="E4396" t="s">
        <v>4447</v>
      </c>
      <c r="F4396">
        <v>10339</v>
      </c>
      <c r="G4396">
        <v>1</v>
      </c>
      <c r="H4396" t="s">
        <v>16</v>
      </c>
      <c r="I4396" s="1">
        <v>-2685300</v>
      </c>
      <c r="J4396" s="1">
        <v>-5226000</v>
      </c>
      <c r="K4396">
        <v>1005</v>
      </c>
      <c r="L4396">
        <v>339</v>
      </c>
      <c r="M4396" t="s">
        <v>16</v>
      </c>
    </row>
    <row r="4397" spans="1:13" x14ac:dyDescent="0.35">
      <c r="A4397">
        <v>420535</v>
      </c>
      <c r="B4397">
        <v>58530</v>
      </c>
      <c r="C4397" t="s">
        <v>4542</v>
      </c>
      <c r="D4397" t="s">
        <v>4444</v>
      </c>
      <c r="E4397" t="s">
        <v>4455</v>
      </c>
      <c r="F4397">
        <v>1640</v>
      </c>
      <c r="G4397">
        <v>1</v>
      </c>
      <c r="H4397" t="s">
        <v>16</v>
      </c>
      <c r="I4397" s="1">
        <v>-2677800</v>
      </c>
      <c r="J4397" s="1">
        <v>-5334700</v>
      </c>
      <c r="K4397">
        <v>302</v>
      </c>
      <c r="L4397">
        <v>58</v>
      </c>
      <c r="M4397" t="s">
        <v>16</v>
      </c>
    </row>
    <row r="4398" spans="1:13" x14ac:dyDescent="0.35">
      <c r="A4398">
        <v>420540</v>
      </c>
      <c r="B4398">
        <v>37109</v>
      </c>
      <c r="C4398" t="s">
        <v>4543</v>
      </c>
      <c r="D4398" t="s">
        <v>4444</v>
      </c>
      <c r="E4398" t="s">
        <v>4468</v>
      </c>
      <c r="F4398">
        <v>396723</v>
      </c>
      <c r="G4398">
        <v>5</v>
      </c>
      <c r="H4398" t="s">
        <v>4458</v>
      </c>
      <c r="I4398" s="1">
        <v>-2759700</v>
      </c>
      <c r="J4398" s="1">
        <v>-4854900</v>
      </c>
      <c r="K4398">
        <v>3</v>
      </c>
      <c r="L4398">
        <v>433</v>
      </c>
      <c r="M4398" t="s">
        <v>16</v>
      </c>
    </row>
    <row r="4399" spans="1:13" x14ac:dyDescent="0.35">
      <c r="A4399">
        <v>420543</v>
      </c>
      <c r="B4399">
        <v>51756</v>
      </c>
      <c r="C4399" t="s">
        <v>4544</v>
      </c>
      <c r="D4399" t="s">
        <v>4444</v>
      </c>
      <c r="E4399" t="s">
        <v>4455</v>
      </c>
      <c r="F4399">
        <v>2620</v>
      </c>
      <c r="G4399">
        <v>1</v>
      </c>
      <c r="H4399" t="s">
        <v>16</v>
      </c>
      <c r="I4399" s="1">
        <v>-2664700</v>
      </c>
      <c r="J4399" s="1">
        <v>-5279400</v>
      </c>
      <c r="K4399">
        <v>500</v>
      </c>
      <c r="L4399">
        <v>99</v>
      </c>
      <c r="M4399" t="s">
        <v>16</v>
      </c>
    </row>
    <row r="4400" spans="1:13" x14ac:dyDescent="0.35">
      <c r="A4400">
        <v>420545</v>
      </c>
      <c r="B4400">
        <v>51764</v>
      </c>
      <c r="C4400" t="s">
        <v>4545</v>
      </c>
      <c r="D4400" t="s">
        <v>4444</v>
      </c>
      <c r="E4400" t="s">
        <v>4525</v>
      </c>
      <c r="F4400">
        <v>20719</v>
      </c>
      <c r="G4400">
        <v>4</v>
      </c>
      <c r="H4400" t="s">
        <v>4526</v>
      </c>
      <c r="I4400" s="1">
        <v>-2874700</v>
      </c>
      <c r="J4400" s="1">
        <v>-4947200</v>
      </c>
      <c r="K4400">
        <v>42</v>
      </c>
      <c r="L4400">
        <v>181</v>
      </c>
      <c r="M4400" t="s">
        <v>16</v>
      </c>
    </row>
    <row r="4401" spans="1:13" x14ac:dyDescent="0.35">
      <c r="A4401">
        <v>420550</v>
      </c>
      <c r="B4401">
        <v>37648</v>
      </c>
      <c r="C4401" t="s">
        <v>4546</v>
      </c>
      <c r="D4401" t="s">
        <v>4444</v>
      </c>
      <c r="E4401" t="s">
        <v>4453</v>
      </c>
      <c r="F4401">
        <v>34889</v>
      </c>
      <c r="G4401">
        <v>1</v>
      </c>
      <c r="H4401" t="s">
        <v>16</v>
      </c>
      <c r="I4401" s="1">
        <v>-2702600</v>
      </c>
      <c r="J4401" s="1">
        <v>-5092100</v>
      </c>
      <c r="K4401">
        <v>1048</v>
      </c>
      <c r="L4401">
        <v>546</v>
      </c>
      <c r="M4401" t="s">
        <v>16</v>
      </c>
    </row>
    <row r="4402" spans="1:13" x14ac:dyDescent="0.35">
      <c r="A4402">
        <v>420555</v>
      </c>
      <c r="B4402">
        <v>56669</v>
      </c>
      <c r="C4402" t="s">
        <v>4547</v>
      </c>
      <c r="D4402" t="s">
        <v>4444</v>
      </c>
      <c r="E4402" t="s">
        <v>4445</v>
      </c>
      <c r="F4402">
        <v>2655</v>
      </c>
      <c r="G4402">
        <v>1</v>
      </c>
      <c r="H4402" t="s">
        <v>16</v>
      </c>
      <c r="I4402" s="1">
        <v>-2717500</v>
      </c>
      <c r="J4402" s="1">
        <v>-5080500</v>
      </c>
      <c r="K4402">
        <v>950</v>
      </c>
      <c r="L4402">
        <v>157</v>
      </c>
      <c r="M4402" t="s">
        <v>16</v>
      </c>
    </row>
    <row r="4403" spans="1:13" x14ac:dyDescent="0.35">
      <c r="A4403">
        <v>420560</v>
      </c>
      <c r="B4403">
        <v>37656</v>
      </c>
      <c r="C4403" t="s">
        <v>4548</v>
      </c>
      <c r="D4403" t="s">
        <v>4444</v>
      </c>
      <c r="E4403" t="s">
        <v>4447</v>
      </c>
      <c r="F4403">
        <v>3493</v>
      </c>
      <c r="G4403">
        <v>1</v>
      </c>
      <c r="H4403" t="s">
        <v>16</v>
      </c>
      <c r="I4403" s="1">
        <v>-2645500</v>
      </c>
      <c r="J4403" s="1">
        <v>-5268600</v>
      </c>
      <c r="K4403">
        <v>655</v>
      </c>
      <c r="L4403">
        <v>121</v>
      </c>
      <c r="M4403" t="s">
        <v>16</v>
      </c>
    </row>
    <row r="4404" spans="1:13" x14ac:dyDescent="0.35">
      <c r="A4404">
        <v>420570</v>
      </c>
      <c r="B4404">
        <v>37664</v>
      </c>
      <c r="C4404" t="s">
        <v>4549</v>
      </c>
      <c r="D4404" t="s">
        <v>4444</v>
      </c>
      <c r="E4404" t="s">
        <v>4479</v>
      </c>
      <c r="F4404">
        <v>16399</v>
      </c>
      <c r="G4404">
        <v>4</v>
      </c>
      <c r="H4404" t="s">
        <v>4458</v>
      </c>
      <c r="I4404" s="1">
        <v>-2802300</v>
      </c>
      <c r="J4404" s="1">
        <v>-4861300</v>
      </c>
      <c r="K4404">
        <v>18</v>
      </c>
      <c r="L4404">
        <v>114</v>
      </c>
      <c r="M4404" t="s">
        <v>16</v>
      </c>
    </row>
    <row r="4405" spans="1:13" x14ac:dyDescent="0.35">
      <c r="A4405">
        <v>420580</v>
      </c>
      <c r="B4405">
        <v>37672</v>
      </c>
      <c r="C4405" t="s">
        <v>4550</v>
      </c>
      <c r="D4405" t="s">
        <v>4444</v>
      </c>
      <c r="E4405" t="s">
        <v>4474</v>
      </c>
      <c r="F4405">
        <v>13393</v>
      </c>
      <c r="G4405">
        <v>4</v>
      </c>
      <c r="H4405" t="s">
        <v>4475</v>
      </c>
      <c r="I4405" s="1">
        <v>-2602700</v>
      </c>
      <c r="J4405" s="1">
        <v>-4885500</v>
      </c>
      <c r="K4405">
        <v>25</v>
      </c>
      <c r="L4405">
        <v>501</v>
      </c>
      <c r="M4405" t="s">
        <v>16</v>
      </c>
    </row>
    <row r="4406" spans="1:13" x14ac:dyDescent="0.35">
      <c r="A4406">
        <v>420590</v>
      </c>
      <c r="B4406">
        <v>37680</v>
      </c>
      <c r="C4406" t="s">
        <v>4551</v>
      </c>
      <c r="D4406" t="s">
        <v>4444</v>
      </c>
      <c r="E4406" t="s">
        <v>4470</v>
      </c>
      <c r="F4406">
        <v>52428</v>
      </c>
      <c r="G4406">
        <v>4</v>
      </c>
      <c r="H4406" t="s">
        <v>4471</v>
      </c>
      <c r="I4406" s="1">
        <v>-2693100</v>
      </c>
      <c r="J4406" s="1">
        <v>-4895900</v>
      </c>
      <c r="K4406">
        <v>18</v>
      </c>
      <c r="L4406">
        <v>386</v>
      </c>
      <c r="M4406" t="s">
        <v>16</v>
      </c>
    </row>
    <row r="4407" spans="1:13" x14ac:dyDescent="0.35">
      <c r="A4407">
        <v>420600</v>
      </c>
      <c r="B4407">
        <v>37699</v>
      </c>
      <c r="C4407" t="s">
        <v>4552</v>
      </c>
      <c r="D4407" t="s">
        <v>4444</v>
      </c>
      <c r="E4407" t="s">
        <v>4468</v>
      </c>
      <c r="F4407">
        <v>12175</v>
      </c>
      <c r="G4407">
        <v>4</v>
      </c>
      <c r="H4407" t="s">
        <v>4458</v>
      </c>
      <c r="I4407" s="1">
        <v>-2731500</v>
      </c>
      <c r="J4407" s="1">
        <v>-4855900</v>
      </c>
      <c r="K4407">
        <v>40</v>
      </c>
      <c r="L4407">
        <v>93</v>
      </c>
      <c r="M4407" t="s">
        <v>16</v>
      </c>
    </row>
    <row r="4408" spans="1:13" x14ac:dyDescent="0.35">
      <c r="A4408">
        <v>420610</v>
      </c>
      <c r="B4408">
        <v>37702</v>
      </c>
      <c r="C4408" t="s">
        <v>4553</v>
      </c>
      <c r="D4408" t="s">
        <v>4444</v>
      </c>
      <c r="E4408" t="s">
        <v>4479</v>
      </c>
      <c r="F4408">
        <v>6051</v>
      </c>
      <c r="G4408">
        <v>4</v>
      </c>
      <c r="H4408" t="s">
        <v>4480</v>
      </c>
      <c r="I4408" s="1">
        <v>-2818500</v>
      </c>
      <c r="J4408" s="1">
        <v>-4921500</v>
      </c>
      <c r="K4408">
        <v>110</v>
      </c>
      <c r="L4408">
        <v>328</v>
      </c>
      <c r="M4408" t="s">
        <v>16</v>
      </c>
    </row>
    <row r="4409" spans="1:13" x14ac:dyDescent="0.35">
      <c r="A4409">
        <v>420620</v>
      </c>
      <c r="B4409">
        <v>37710</v>
      </c>
      <c r="C4409" t="s">
        <v>4554</v>
      </c>
      <c r="D4409" t="s">
        <v>4444</v>
      </c>
      <c r="E4409" t="s">
        <v>4479</v>
      </c>
      <c r="F4409">
        <v>10510</v>
      </c>
      <c r="G4409">
        <v>4</v>
      </c>
      <c r="H4409" t="s">
        <v>4480</v>
      </c>
      <c r="I4409" s="1">
        <v>-2833100</v>
      </c>
      <c r="J4409" s="1">
        <v>-4903500</v>
      </c>
      <c r="K4409">
        <v>30</v>
      </c>
      <c r="L4409">
        <v>168</v>
      </c>
      <c r="M4409" t="s">
        <v>16</v>
      </c>
    </row>
    <row r="4410" spans="1:13" x14ac:dyDescent="0.35">
      <c r="A4410">
        <v>420630</v>
      </c>
      <c r="B4410">
        <v>37729</v>
      </c>
      <c r="C4410" t="s">
        <v>4555</v>
      </c>
      <c r="D4410" t="s">
        <v>4444</v>
      </c>
      <c r="E4410" t="s">
        <v>4470</v>
      </c>
      <c r="F4410">
        <v>16095</v>
      </c>
      <c r="G4410">
        <v>4</v>
      </c>
      <c r="H4410" t="s">
        <v>4471</v>
      </c>
      <c r="I4410" s="1">
        <v>-2708600</v>
      </c>
      <c r="J4410" s="1">
        <v>-4898100</v>
      </c>
      <c r="K4410">
        <v>60</v>
      </c>
      <c r="L4410">
        <v>173</v>
      </c>
      <c r="M4410" t="s">
        <v>16</v>
      </c>
    </row>
    <row r="4411" spans="1:13" x14ac:dyDescent="0.35">
      <c r="A4411">
        <v>420640</v>
      </c>
      <c r="B4411">
        <v>37737</v>
      </c>
      <c r="C4411" t="s">
        <v>2742</v>
      </c>
      <c r="D4411" t="s">
        <v>4444</v>
      </c>
      <c r="E4411" t="s">
        <v>4462</v>
      </c>
      <c r="F4411">
        <v>10604</v>
      </c>
      <c r="G4411">
        <v>1</v>
      </c>
      <c r="H4411" t="s">
        <v>16</v>
      </c>
      <c r="I4411" s="1">
        <v>-2659900</v>
      </c>
      <c r="J4411" s="1">
        <v>-5351800</v>
      </c>
      <c r="K4411">
        <v>670</v>
      </c>
      <c r="L4411">
        <v>330</v>
      </c>
      <c r="M4411" t="s">
        <v>16</v>
      </c>
    </row>
    <row r="4412" spans="1:13" x14ac:dyDescent="0.35">
      <c r="A4412">
        <v>420650</v>
      </c>
      <c r="B4412">
        <v>37745</v>
      </c>
      <c r="C4412" t="s">
        <v>4556</v>
      </c>
      <c r="D4412" t="s">
        <v>4444</v>
      </c>
      <c r="E4412" t="s">
        <v>4474</v>
      </c>
      <c r="F4412">
        <v>29932</v>
      </c>
      <c r="G4412">
        <v>4</v>
      </c>
      <c r="H4412" t="s">
        <v>4475</v>
      </c>
      <c r="I4412" s="1">
        <v>-2647300</v>
      </c>
      <c r="J4412" s="1">
        <v>-4900300</v>
      </c>
      <c r="K4412">
        <v>30</v>
      </c>
      <c r="L4412">
        <v>268</v>
      </c>
      <c r="M4412" t="s">
        <v>16</v>
      </c>
    </row>
    <row r="4413" spans="1:13" x14ac:dyDescent="0.35">
      <c r="A4413">
        <v>420660</v>
      </c>
      <c r="B4413">
        <v>37753</v>
      </c>
      <c r="C4413" t="s">
        <v>4557</v>
      </c>
      <c r="D4413" t="s">
        <v>4444</v>
      </c>
      <c r="E4413" t="s">
        <v>4462</v>
      </c>
      <c r="F4413">
        <v>4711</v>
      </c>
      <c r="G4413">
        <v>1</v>
      </c>
      <c r="H4413" t="s">
        <v>16</v>
      </c>
      <c r="I4413" s="1">
        <v>-2638500</v>
      </c>
      <c r="J4413" s="1">
        <v>-5352800</v>
      </c>
      <c r="K4413">
        <v>707</v>
      </c>
      <c r="L4413">
        <v>100</v>
      </c>
      <c r="M4413" t="s">
        <v>16</v>
      </c>
    </row>
    <row r="4414" spans="1:13" x14ac:dyDescent="0.35">
      <c r="A4414">
        <v>420665</v>
      </c>
      <c r="B4414">
        <v>51772</v>
      </c>
      <c r="C4414" t="s">
        <v>4558</v>
      </c>
      <c r="D4414" t="s">
        <v>4444</v>
      </c>
      <c r="E4414" t="s">
        <v>4455</v>
      </c>
      <c r="F4414">
        <v>4505</v>
      </c>
      <c r="G4414">
        <v>1</v>
      </c>
      <c r="H4414" t="s">
        <v>16</v>
      </c>
      <c r="I4414" s="1">
        <v>-2713200</v>
      </c>
      <c r="J4414" s="1">
        <v>-5278700</v>
      </c>
      <c r="K4414">
        <v>530</v>
      </c>
      <c r="L4414">
        <v>204</v>
      </c>
      <c r="M4414" t="s">
        <v>16</v>
      </c>
    </row>
    <row r="4415" spans="1:13" x14ac:dyDescent="0.35">
      <c r="A4415">
        <v>420670</v>
      </c>
      <c r="B4415">
        <v>37761</v>
      </c>
      <c r="C4415" t="s">
        <v>4559</v>
      </c>
      <c r="D4415" t="s">
        <v>4444</v>
      </c>
      <c r="E4415" t="s">
        <v>4453</v>
      </c>
      <c r="F4415">
        <v>18942</v>
      </c>
      <c r="G4415">
        <v>1</v>
      </c>
      <c r="H4415" t="s">
        <v>16</v>
      </c>
      <c r="I4415" s="1">
        <v>-2719400</v>
      </c>
      <c r="J4415" s="1">
        <v>-5149500</v>
      </c>
      <c r="K4415">
        <v>523</v>
      </c>
      <c r="L4415">
        <v>222</v>
      </c>
      <c r="M4415" t="s">
        <v>16</v>
      </c>
    </row>
    <row r="4416" spans="1:13" x14ac:dyDescent="0.35">
      <c r="A4416">
        <v>420675</v>
      </c>
      <c r="B4416">
        <v>56650</v>
      </c>
      <c r="C4416" t="s">
        <v>4560</v>
      </c>
      <c r="D4416" t="s">
        <v>4444</v>
      </c>
      <c r="E4416" t="s">
        <v>4453</v>
      </c>
      <c r="F4416">
        <v>1987</v>
      </c>
      <c r="G4416">
        <v>1</v>
      </c>
      <c r="H4416" t="s">
        <v>16</v>
      </c>
      <c r="I4416" s="1">
        <v>-2718100</v>
      </c>
      <c r="J4416" s="1">
        <v>-5123700</v>
      </c>
      <c r="K4416">
        <v>724</v>
      </c>
      <c r="L4416">
        <v>147</v>
      </c>
      <c r="M4416" t="s">
        <v>16</v>
      </c>
    </row>
    <row r="4417" spans="1:13" x14ac:dyDescent="0.35">
      <c r="A4417">
        <v>420680</v>
      </c>
      <c r="B4417">
        <v>37770</v>
      </c>
      <c r="C4417" t="s">
        <v>4561</v>
      </c>
      <c r="D4417" t="s">
        <v>4444</v>
      </c>
      <c r="E4417" t="s">
        <v>4453</v>
      </c>
      <c r="F4417">
        <v>3390</v>
      </c>
      <c r="G4417">
        <v>1</v>
      </c>
      <c r="H4417" t="s">
        <v>16</v>
      </c>
      <c r="I4417" s="1">
        <v>-2709200</v>
      </c>
      <c r="J4417" s="1">
        <v>-5136500</v>
      </c>
      <c r="K4417">
        <v>550</v>
      </c>
      <c r="L4417">
        <v>150</v>
      </c>
      <c r="M4417" t="s">
        <v>16</v>
      </c>
    </row>
    <row r="4418" spans="1:13" x14ac:dyDescent="0.35">
      <c r="A4418">
        <v>420690</v>
      </c>
      <c r="B4418">
        <v>37788</v>
      </c>
      <c r="C4418" t="s">
        <v>4562</v>
      </c>
      <c r="D4418" t="s">
        <v>4444</v>
      </c>
      <c r="E4418" t="s">
        <v>4451</v>
      </c>
      <c r="F4418">
        <v>16716</v>
      </c>
      <c r="G4418">
        <v>1</v>
      </c>
      <c r="H4418" t="s">
        <v>16</v>
      </c>
      <c r="I4418" s="1">
        <v>-2705700</v>
      </c>
      <c r="J4418" s="1">
        <v>-4951800</v>
      </c>
      <c r="K4418">
        <v>150</v>
      </c>
      <c r="L4418">
        <v>246</v>
      </c>
      <c r="M4418" t="s">
        <v>16</v>
      </c>
    </row>
    <row r="4419" spans="1:13" x14ac:dyDescent="0.35">
      <c r="A4419">
        <v>420700</v>
      </c>
      <c r="B4419">
        <v>37796</v>
      </c>
      <c r="C4419" t="s">
        <v>4563</v>
      </c>
      <c r="D4419" t="s">
        <v>4444</v>
      </c>
      <c r="E4419" t="s">
        <v>4525</v>
      </c>
      <c r="F4419">
        <v>54107</v>
      </c>
      <c r="G4419">
        <v>4</v>
      </c>
      <c r="H4419" t="s">
        <v>4526</v>
      </c>
      <c r="I4419" s="1">
        <v>-2871300</v>
      </c>
      <c r="J4419" s="1">
        <v>-4930000</v>
      </c>
      <c r="K4419">
        <v>48</v>
      </c>
      <c r="L4419">
        <v>292</v>
      </c>
      <c r="M4419" t="s">
        <v>16</v>
      </c>
    </row>
    <row r="4420" spans="1:13" x14ac:dyDescent="0.35">
      <c r="A4420">
        <v>420710</v>
      </c>
      <c r="B4420">
        <v>37800</v>
      </c>
      <c r="C4420" t="s">
        <v>4564</v>
      </c>
      <c r="D4420" t="s">
        <v>4444</v>
      </c>
      <c r="E4420" t="s">
        <v>4487</v>
      </c>
      <c r="F4420">
        <v>11552</v>
      </c>
      <c r="G4420">
        <v>4</v>
      </c>
      <c r="H4420" t="s">
        <v>4471</v>
      </c>
      <c r="I4420" s="1">
        <v>-2690000</v>
      </c>
      <c r="J4420" s="1">
        <v>-4882700</v>
      </c>
      <c r="K4420">
        <v>15</v>
      </c>
      <c r="L4420">
        <v>253</v>
      </c>
      <c r="M4420" t="s">
        <v>16</v>
      </c>
    </row>
    <row r="4421" spans="1:13" x14ac:dyDescent="0.35">
      <c r="A4421">
        <v>420720</v>
      </c>
      <c r="B4421">
        <v>37818</v>
      </c>
      <c r="C4421" t="s">
        <v>4565</v>
      </c>
      <c r="D4421" t="s">
        <v>4444</v>
      </c>
      <c r="E4421" t="s">
        <v>4479</v>
      </c>
      <c r="F4421">
        <v>11675</v>
      </c>
      <c r="G4421">
        <v>4</v>
      </c>
      <c r="H4421" t="s">
        <v>4480</v>
      </c>
      <c r="I4421" s="1">
        <v>-2834100</v>
      </c>
      <c r="J4421" s="1">
        <v>-4882000</v>
      </c>
      <c r="K4421">
        <v>6</v>
      </c>
      <c r="L4421">
        <v>542</v>
      </c>
      <c r="M4421" t="s">
        <v>16</v>
      </c>
    </row>
    <row r="4422" spans="1:13" x14ac:dyDescent="0.35">
      <c r="A4422">
        <v>420730</v>
      </c>
      <c r="B4422">
        <v>37826</v>
      </c>
      <c r="C4422" t="s">
        <v>4566</v>
      </c>
      <c r="D4422" t="s">
        <v>4444</v>
      </c>
      <c r="E4422" t="s">
        <v>4479</v>
      </c>
      <c r="F4422">
        <v>36231</v>
      </c>
      <c r="G4422">
        <v>4</v>
      </c>
      <c r="H4422" t="s">
        <v>4480</v>
      </c>
      <c r="I4422" s="1">
        <v>-2824000</v>
      </c>
      <c r="J4422" s="1">
        <v>-4867000</v>
      </c>
      <c r="K4422">
        <v>30</v>
      </c>
      <c r="L4422">
        <v>184</v>
      </c>
      <c r="M4422" t="s">
        <v>16</v>
      </c>
    </row>
    <row r="4423" spans="1:13" x14ac:dyDescent="0.35">
      <c r="A4423">
        <v>420740</v>
      </c>
      <c r="B4423">
        <v>37834</v>
      </c>
      <c r="C4423" t="s">
        <v>4567</v>
      </c>
      <c r="D4423" t="s">
        <v>4444</v>
      </c>
      <c r="E4423" t="s">
        <v>4449</v>
      </c>
      <c r="F4423">
        <v>5501</v>
      </c>
      <c r="G4423">
        <v>1</v>
      </c>
      <c r="H4423" t="s">
        <v>16</v>
      </c>
      <c r="I4423" s="1">
        <v>-2749300</v>
      </c>
      <c r="J4423" s="1">
        <v>-4942400</v>
      </c>
      <c r="K4423">
        <v>718</v>
      </c>
      <c r="L4423">
        <v>121</v>
      </c>
      <c r="M4423" t="s">
        <v>16</v>
      </c>
    </row>
    <row r="4424" spans="1:13" x14ac:dyDescent="0.35">
      <c r="A4424">
        <v>420750</v>
      </c>
      <c r="B4424">
        <v>37842</v>
      </c>
      <c r="C4424" t="s">
        <v>4568</v>
      </c>
      <c r="D4424" t="s">
        <v>4444</v>
      </c>
      <c r="E4424" t="s">
        <v>4470</v>
      </c>
      <c r="F4424">
        <v>47686</v>
      </c>
      <c r="G4424">
        <v>4</v>
      </c>
      <c r="H4424" t="s">
        <v>4471</v>
      </c>
      <c r="I4424" s="1">
        <v>-2689800</v>
      </c>
      <c r="J4424" s="1">
        <v>-4923200</v>
      </c>
      <c r="K4424">
        <v>64</v>
      </c>
      <c r="L4424">
        <v>430</v>
      </c>
      <c r="M4424" t="s">
        <v>16</v>
      </c>
    </row>
    <row r="4425" spans="1:13" x14ac:dyDescent="0.35">
      <c r="A4425">
        <v>420757</v>
      </c>
      <c r="B4425">
        <v>58548</v>
      </c>
      <c r="C4425" t="s">
        <v>4569</v>
      </c>
      <c r="D4425" t="s">
        <v>4444</v>
      </c>
      <c r="E4425" t="s">
        <v>4453</v>
      </c>
      <c r="F4425">
        <v>2558</v>
      </c>
      <c r="G4425">
        <v>1</v>
      </c>
      <c r="H4425" t="s">
        <v>16</v>
      </c>
      <c r="I4425" s="1">
        <v>-2700400</v>
      </c>
      <c r="J4425" s="1">
        <v>-5124200</v>
      </c>
      <c r="K4425">
        <v>847</v>
      </c>
      <c r="L4425">
        <v>114</v>
      </c>
      <c r="M4425" t="s">
        <v>16</v>
      </c>
    </row>
    <row r="4426" spans="1:13" x14ac:dyDescent="0.35">
      <c r="A4426">
        <v>420760</v>
      </c>
      <c r="B4426">
        <v>37850</v>
      </c>
      <c r="C4426" t="s">
        <v>4570</v>
      </c>
      <c r="D4426" t="s">
        <v>4444</v>
      </c>
      <c r="E4426" t="s">
        <v>4461</v>
      </c>
      <c r="F4426">
        <v>4705</v>
      </c>
      <c r="G4426">
        <v>1</v>
      </c>
      <c r="H4426" t="s">
        <v>16</v>
      </c>
      <c r="I4426" s="1">
        <v>-2740400</v>
      </c>
      <c r="J4426" s="1">
        <v>-5177300</v>
      </c>
      <c r="K4426">
        <v>409</v>
      </c>
      <c r="L4426">
        <v>150</v>
      </c>
      <c r="M4426" t="s">
        <v>16</v>
      </c>
    </row>
    <row r="4427" spans="1:13" x14ac:dyDescent="0.35">
      <c r="A4427">
        <v>420765</v>
      </c>
      <c r="B4427">
        <v>47384</v>
      </c>
      <c r="C4427" t="s">
        <v>4571</v>
      </c>
      <c r="D4427" t="s">
        <v>4444</v>
      </c>
      <c r="E4427" t="s">
        <v>4462</v>
      </c>
      <c r="F4427">
        <v>8091</v>
      </c>
      <c r="G4427">
        <v>1</v>
      </c>
      <c r="H4427" t="s">
        <v>16</v>
      </c>
      <c r="I4427" s="1">
        <v>-2698800</v>
      </c>
      <c r="J4427" s="1">
        <v>-5353500</v>
      </c>
      <c r="K4427">
        <v>557</v>
      </c>
      <c r="L4427">
        <v>202</v>
      </c>
      <c r="M4427" t="s">
        <v>16</v>
      </c>
    </row>
    <row r="4428" spans="1:13" x14ac:dyDescent="0.35">
      <c r="A4428">
        <v>420768</v>
      </c>
      <c r="B4428">
        <v>51780</v>
      </c>
      <c r="C4428" t="s">
        <v>4572</v>
      </c>
      <c r="D4428" t="s">
        <v>4444</v>
      </c>
      <c r="E4428" t="s">
        <v>4447</v>
      </c>
      <c r="F4428">
        <v>6566</v>
      </c>
      <c r="G4428">
        <v>1</v>
      </c>
      <c r="H4428" t="s">
        <v>16</v>
      </c>
      <c r="I4428" s="1">
        <v>-2663100</v>
      </c>
      <c r="J4428" s="1">
        <v>-5245500</v>
      </c>
      <c r="K4428">
        <v>720</v>
      </c>
      <c r="L4428">
        <v>261</v>
      </c>
      <c r="M4428" t="s">
        <v>16</v>
      </c>
    </row>
    <row r="4429" spans="1:13" x14ac:dyDescent="0.35">
      <c r="A4429">
        <v>420770</v>
      </c>
      <c r="B4429">
        <v>37869</v>
      </c>
      <c r="C4429" t="s">
        <v>4573</v>
      </c>
      <c r="D4429" t="s">
        <v>4444</v>
      </c>
      <c r="E4429" t="s">
        <v>4461</v>
      </c>
      <c r="F4429">
        <v>7118</v>
      </c>
      <c r="G4429">
        <v>1</v>
      </c>
      <c r="H4429" t="s">
        <v>16</v>
      </c>
      <c r="I4429" s="1">
        <v>-2707700</v>
      </c>
      <c r="J4429" s="1">
        <v>-5213600</v>
      </c>
      <c r="K4429">
        <v>562</v>
      </c>
      <c r="L4429">
        <v>247</v>
      </c>
      <c r="M4429" t="s">
        <v>16</v>
      </c>
    </row>
    <row r="4430" spans="1:13" x14ac:dyDescent="0.35">
      <c r="A4430">
        <v>420775</v>
      </c>
      <c r="B4430">
        <v>47392</v>
      </c>
      <c r="C4430" t="s">
        <v>4574</v>
      </c>
      <c r="D4430" t="s">
        <v>4444</v>
      </c>
      <c r="E4430" t="s">
        <v>4455</v>
      </c>
      <c r="F4430">
        <v>4261</v>
      </c>
      <c r="G4430">
        <v>1</v>
      </c>
      <c r="H4430" t="s">
        <v>16</v>
      </c>
      <c r="I4430" s="1">
        <v>-2682300</v>
      </c>
      <c r="J4430" s="1">
        <v>-5327400</v>
      </c>
      <c r="K4430">
        <v>445</v>
      </c>
      <c r="L4430">
        <v>164</v>
      </c>
      <c r="M4430" t="s">
        <v>16</v>
      </c>
    </row>
    <row r="4431" spans="1:13" x14ac:dyDescent="0.35">
      <c r="A4431">
        <v>420780</v>
      </c>
      <c r="B4431">
        <v>37877</v>
      </c>
      <c r="C4431" t="s">
        <v>4575</v>
      </c>
      <c r="D4431" t="s">
        <v>4444</v>
      </c>
      <c r="E4431" t="s">
        <v>4461</v>
      </c>
      <c r="F4431">
        <v>9313</v>
      </c>
      <c r="G4431">
        <v>1</v>
      </c>
      <c r="H4431" t="s">
        <v>16</v>
      </c>
      <c r="I4431" s="1">
        <v>-2702500</v>
      </c>
      <c r="J4431" s="1">
        <v>-5190200</v>
      </c>
      <c r="K4431">
        <v>1047</v>
      </c>
      <c r="L4431">
        <v>321</v>
      </c>
      <c r="M4431" t="s">
        <v>16</v>
      </c>
    </row>
    <row r="4432" spans="1:13" x14ac:dyDescent="0.35">
      <c r="A4432">
        <v>420785</v>
      </c>
      <c r="B4432">
        <v>51799</v>
      </c>
      <c r="C4432" t="s">
        <v>4224</v>
      </c>
      <c r="D4432" t="s">
        <v>4444</v>
      </c>
      <c r="E4432" t="s">
        <v>4455</v>
      </c>
      <c r="F4432">
        <v>2025</v>
      </c>
      <c r="G4432">
        <v>1</v>
      </c>
      <c r="H4432" t="s">
        <v>16</v>
      </c>
      <c r="I4432" s="1">
        <v>-2665600</v>
      </c>
      <c r="J4432" s="1">
        <v>-5289200</v>
      </c>
      <c r="K4432">
        <v>438</v>
      </c>
      <c r="L4432">
        <v>69</v>
      </c>
      <c r="M4432" t="s">
        <v>16</v>
      </c>
    </row>
    <row r="4433" spans="1:13" x14ac:dyDescent="0.35">
      <c r="A4433">
        <v>420790</v>
      </c>
      <c r="B4433">
        <v>37885</v>
      </c>
      <c r="C4433" t="s">
        <v>4576</v>
      </c>
      <c r="D4433" t="s">
        <v>4444</v>
      </c>
      <c r="E4433" t="s">
        <v>4494</v>
      </c>
      <c r="F4433">
        <v>10287</v>
      </c>
      <c r="G4433">
        <v>1</v>
      </c>
      <c r="H4433" t="s">
        <v>16</v>
      </c>
      <c r="I4433" s="1">
        <v>-2623900</v>
      </c>
      <c r="J4433" s="1">
        <v>-5080000</v>
      </c>
      <c r="K4433">
        <v>762</v>
      </c>
      <c r="L4433">
        <v>591</v>
      </c>
      <c r="M4433" t="s">
        <v>16</v>
      </c>
    </row>
    <row r="4434" spans="1:13" x14ac:dyDescent="0.35">
      <c r="A4434">
        <v>420800</v>
      </c>
      <c r="B4434">
        <v>37893</v>
      </c>
      <c r="C4434" t="s">
        <v>4577</v>
      </c>
      <c r="D4434" t="s">
        <v>4444</v>
      </c>
      <c r="E4434" t="s">
        <v>4461</v>
      </c>
      <c r="F4434">
        <v>6417</v>
      </c>
      <c r="G4434">
        <v>1</v>
      </c>
      <c r="H4434" t="s">
        <v>16</v>
      </c>
      <c r="I4434" s="1">
        <v>-2729100</v>
      </c>
      <c r="J4434" s="1">
        <v>-5232300</v>
      </c>
      <c r="K4434">
        <v>385</v>
      </c>
      <c r="L4434">
        <v>165</v>
      </c>
      <c r="M4434" t="s">
        <v>16</v>
      </c>
    </row>
    <row r="4435" spans="1:13" x14ac:dyDescent="0.35">
      <c r="A4435">
        <v>420810</v>
      </c>
      <c r="B4435">
        <v>37907</v>
      </c>
      <c r="C4435" t="s">
        <v>4578</v>
      </c>
      <c r="D4435" t="s">
        <v>4444</v>
      </c>
      <c r="E4435" t="s">
        <v>4494</v>
      </c>
      <c r="F4435">
        <v>19752</v>
      </c>
      <c r="G4435">
        <v>4</v>
      </c>
      <c r="H4435" t="s">
        <v>4475</v>
      </c>
      <c r="I4435" s="1">
        <v>-2633600</v>
      </c>
      <c r="J4435" s="1">
        <v>-4990600</v>
      </c>
      <c r="K4435">
        <v>925</v>
      </c>
      <c r="L4435">
        <v>1295</v>
      </c>
      <c r="M4435" t="s">
        <v>16</v>
      </c>
    </row>
    <row r="4436" spans="1:13" x14ac:dyDescent="0.35">
      <c r="A4436">
        <v>420820</v>
      </c>
      <c r="B4436">
        <v>37915</v>
      </c>
      <c r="C4436" t="s">
        <v>4579</v>
      </c>
      <c r="D4436" t="s">
        <v>4444</v>
      </c>
      <c r="E4436" t="s">
        <v>4487</v>
      </c>
      <c r="F4436">
        <v>163218</v>
      </c>
      <c r="G4436">
        <v>4</v>
      </c>
      <c r="H4436" t="s">
        <v>4488</v>
      </c>
      <c r="I4436" s="1">
        <v>-2690800</v>
      </c>
      <c r="J4436" s="1">
        <v>-4866200</v>
      </c>
      <c r="K4436">
        <v>1</v>
      </c>
      <c r="L4436">
        <v>289</v>
      </c>
      <c r="M4436" t="s">
        <v>16</v>
      </c>
    </row>
    <row r="4437" spans="1:13" x14ac:dyDescent="0.35">
      <c r="A4437">
        <v>420830</v>
      </c>
      <c r="B4437">
        <v>37923</v>
      </c>
      <c r="C4437" t="s">
        <v>4580</v>
      </c>
      <c r="D4437" t="s">
        <v>4444</v>
      </c>
      <c r="E4437" t="s">
        <v>4487</v>
      </c>
      <c r="F4437">
        <v>33766</v>
      </c>
      <c r="G4437">
        <v>4</v>
      </c>
      <c r="H4437" t="s">
        <v>4488</v>
      </c>
      <c r="I4437" s="1">
        <v>-2709000</v>
      </c>
      <c r="J4437" s="1">
        <v>-4861100</v>
      </c>
      <c r="K4437">
        <v>15</v>
      </c>
      <c r="L4437">
        <v>59</v>
      </c>
      <c r="M4437" t="s">
        <v>16</v>
      </c>
    </row>
    <row r="4438" spans="1:13" x14ac:dyDescent="0.35">
      <c r="A4438">
        <v>420840</v>
      </c>
      <c r="B4438">
        <v>37931</v>
      </c>
      <c r="C4438" t="s">
        <v>135</v>
      </c>
      <c r="D4438" t="s">
        <v>4444</v>
      </c>
      <c r="E4438" t="s">
        <v>4462</v>
      </c>
      <c r="F4438">
        <v>15238</v>
      </c>
      <c r="G4438">
        <v>1</v>
      </c>
      <c r="H4438" t="s">
        <v>16</v>
      </c>
      <c r="I4438" s="1">
        <v>-2716900</v>
      </c>
      <c r="J4438" s="1">
        <v>-5371200</v>
      </c>
      <c r="K4438">
        <v>206</v>
      </c>
      <c r="L4438">
        <v>280</v>
      </c>
      <c r="M4438" t="s">
        <v>16</v>
      </c>
    </row>
    <row r="4439" spans="1:13" x14ac:dyDescent="0.35">
      <c r="A4439">
        <v>420845</v>
      </c>
      <c r="B4439">
        <v>51802</v>
      </c>
      <c r="C4439" t="s">
        <v>4581</v>
      </c>
      <c r="D4439" t="s">
        <v>4444</v>
      </c>
      <c r="E4439" t="s">
        <v>4474</v>
      </c>
      <c r="F4439">
        <v>10719</v>
      </c>
      <c r="G4439">
        <v>4</v>
      </c>
      <c r="H4439" t="s">
        <v>4475</v>
      </c>
      <c r="I4439" s="1">
        <v>-2611700</v>
      </c>
      <c r="J4439" s="1">
        <v>-4861600</v>
      </c>
      <c r="K4439">
        <v>18</v>
      </c>
      <c r="L4439">
        <v>257</v>
      </c>
      <c r="M4439" t="s">
        <v>16</v>
      </c>
    </row>
    <row r="4440" spans="1:13" x14ac:dyDescent="0.35">
      <c r="A4440">
        <v>420850</v>
      </c>
      <c r="B4440">
        <v>37940</v>
      </c>
      <c r="C4440" t="s">
        <v>4449</v>
      </c>
      <c r="D4440" t="s">
        <v>4444</v>
      </c>
      <c r="E4440" t="s">
        <v>4449</v>
      </c>
      <c r="F4440">
        <v>20577</v>
      </c>
      <c r="G4440">
        <v>1</v>
      </c>
      <c r="H4440" t="s">
        <v>16</v>
      </c>
      <c r="I4440" s="1">
        <v>-2741400</v>
      </c>
      <c r="J4440" s="1">
        <v>-4960100</v>
      </c>
      <c r="K4440">
        <v>360</v>
      </c>
      <c r="L4440">
        <v>336</v>
      </c>
      <c r="M4440" t="s">
        <v>16</v>
      </c>
    </row>
    <row r="4441" spans="1:13" x14ac:dyDescent="0.35">
      <c r="A4441">
        <v>420860</v>
      </c>
      <c r="B4441">
        <v>37958</v>
      </c>
      <c r="C4441" t="s">
        <v>4582</v>
      </c>
      <c r="D4441" t="s">
        <v>4444</v>
      </c>
      <c r="E4441" t="s">
        <v>4453</v>
      </c>
      <c r="F4441">
        <v>4032</v>
      </c>
      <c r="G4441">
        <v>1</v>
      </c>
      <c r="H4441" t="s">
        <v>16</v>
      </c>
      <c r="I4441" s="1">
        <v>-2717600</v>
      </c>
      <c r="J4441" s="1">
        <v>-5173400</v>
      </c>
      <c r="K4441">
        <v>689</v>
      </c>
      <c r="L4441">
        <v>191</v>
      </c>
      <c r="M4441" t="s">
        <v>16</v>
      </c>
    </row>
    <row r="4442" spans="1:13" x14ac:dyDescent="0.35">
      <c r="A4442">
        <v>420870</v>
      </c>
      <c r="B4442">
        <v>37966</v>
      </c>
      <c r="C4442" t="s">
        <v>4583</v>
      </c>
      <c r="D4442" t="s">
        <v>4444</v>
      </c>
      <c r="E4442" t="s">
        <v>4477</v>
      </c>
      <c r="F4442">
        <v>10738</v>
      </c>
      <c r="G4442">
        <v>1</v>
      </c>
      <c r="H4442" t="s">
        <v>16</v>
      </c>
      <c r="I4442" s="1">
        <v>-2899700</v>
      </c>
      <c r="J4442" s="1">
        <v>-4976400</v>
      </c>
      <c r="K4442">
        <v>50</v>
      </c>
      <c r="L4442">
        <v>428</v>
      </c>
      <c r="M4442" t="s">
        <v>16</v>
      </c>
    </row>
    <row r="4443" spans="1:13" x14ac:dyDescent="0.35">
      <c r="A4443">
        <v>420880</v>
      </c>
      <c r="B4443">
        <v>37974</v>
      </c>
      <c r="C4443" t="s">
        <v>4584</v>
      </c>
      <c r="D4443" t="s">
        <v>4444</v>
      </c>
      <c r="E4443" t="s">
        <v>4479</v>
      </c>
      <c r="F4443">
        <v>15668</v>
      </c>
      <c r="G4443">
        <v>4</v>
      </c>
      <c r="H4443" t="s">
        <v>4480</v>
      </c>
      <c r="I4443" s="1">
        <v>-2861500</v>
      </c>
      <c r="J4443" s="1">
        <v>-4902600</v>
      </c>
      <c r="K4443">
        <v>12</v>
      </c>
      <c r="L4443">
        <v>329</v>
      </c>
      <c r="M4443" t="s">
        <v>16</v>
      </c>
    </row>
    <row r="4444" spans="1:13" x14ac:dyDescent="0.35">
      <c r="A4444">
        <v>420890</v>
      </c>
      <c r="B4444">
        <v>37982</v>
      </c>
      <c r="C4444" t="s">
        <v>4585</v>
      </c>
      <c r="D4444" t="s">
        <v>4444</v>
      </c>
      <c r="E4444" t="s">
        <v>4474</v>
      </c>
      <c r="F4444">
        <v>129973</v>
      </c>
      <c r="G4444">
        <v>4</v>
      </c>
      <c r="H4444" t="s">
        <v>4475</v>
      </c>
      <c r="I4444" s="1">
        <v>-2648600</v>
      </c>
      <c r="J4444" s="1">
        <v>-4906700</v>
      </c>
      <c r="K4444">
        <v>29</v>
      </c>
      <c r="L4444">
        <v>532</v>
      </c>
      <c r="M4444" t="s">
        <v>16</v>
      </c>
    </row>
    <row r="4445" spans="1:13" x14ac:dyDescent="0.35">
      <c r="A4445">
        <v>420895</v>
      </c>
      <c r="B4445">
        <v>51810</v>
      </c>
      <c r="C4445" t="s">
        <v>3732</v>
      </c>
      <c r="D4445" t="s">
        <v>4444</v>
      </c>
      <c r="E4445" t="s">
        <v>4455</v>
      </c>
      <c r="F4445">
        <v>1851</v>
      </c>
      <c r="G4445">
        <v>1</v>
      </c>
      <c r="H4445" t="s">
        <v>16</v>
      </c>
      <c r="I4445" s="1">
        <v>-2672200</v>
      </c>
      <c r="J4445" s="1">
        <v>-5286000</v>
      </c>
      <c r="K4445">
        <v>525</v>
      </c>
      <c r="L4445">
        <v>68</v>
      </c>
      <c r="M4445" t="s">
        <v>16</v>
      </c>
    </row>
    <row r="4446" spans="1:13" x14ac:dyDescent="0.35">
      <c r="A4446">
        <v>420900</v>
      </c>
      <c r="B4446">
        <v>37990</v>
      </c>
      <c r="C4446" t="s">
        <v>4453</v>
      </c>
      <c r="D4446" t="s">
        <v>4444</v>
      </c>
      <c r="E4446" t="s">
        <v>4453</v>
      </c>
      <c r="F4446">
        <v>24435</v>
      </c>
      <c r="G4446">
        <v>1</v>
      </c>
      <c r="H4446" t="s">
        <v>16</v>
      </c>
      <c r="I4446" s="1">
        <v>-2717800</v>
      </c>
      <c r="J4446" s="1">
        <v>-5150500</v>
      </c>
      <c r="K4446">
        <v>522</v>
      </c>
      <c r="L4446">
        <v>232</v>
      </c>
      <c r="M4446" t="s">
        <v>16</v>
      </c>
    </row>
    <row r="4447" spans="1:13" x14ac:dyDescent="0.35">
      <c r="A4447">
        <v>420910</v>
      </c>
      <c r="B4447">
        <v>38008</v>
      </c>
      <c r="C4447" t="s">
        <v>4474</v>
      </c>
      <c r="D4447" t="s">
        <v>4444</v>
      </c>
      <c r="E4447" t="s">
        <v>4474</v>
      </c>
      <c r="F4447">
        <v>487003</v>
      </c>
      <c r="G4447">
        <v>4</v>
      </c>
      <c r="H4447" t="s">
        <v>4475</v>
      </c>
      <c r="I4447" s="1">
        <v>-2630400</v>
      </c>
      <c r="J4447" s="1">
        <v>-4884600</v>
      </c>
      <c r="K4447">
        <v>3</v>
      </c>
      <c r="L4447">
        <v>1130</v>
      </c>
      <c r="M4447" t="s">
        <v>16</v>
      </c>
    </row>
    <row r="4448" spans="1:13" x14ac:dyDescent="0.35">
      <c r="A4448">
        <v>420915</v>
      </c>
      <c r="B4448">
        <v>47406</v>
      </c>
      <c r="C4448" t="s">
        <v>4586</v>
      </c>
      <c r="D4448" t="s">
        <v>4444</v>
      </c>
      <c r="E4448" t="s">
        <v>4451</v>
      </c>
      <c r="F4448">
        <v>4840</v>
      </c>
      <c r="G4448">
        <v>1</v>
      </c>
      <c r="H4448" t="s">
        <v>16</v>
      </c>
      <c r="I4448" s="1">
        <v>-2695800</v>
      </c>
      <c r="J4448" s="1">
        <v>-4962800</v>
      </c>
      <c r="K4448">
        <v>240</v>
      </c>
      <c r="L4448">
        <v>405</v>
      </c>
      <c r="M4448" t="s">
        <v>16</v>
      </c>
    </row>
    <row r="4449" spans="1:13" x14ac:dyDescent="0.35">
      <c r="A4449">
        <v>420917</v>
      </c>
      <c r="B4449">
        <v>58556</v>
      </c>
      <c r="C4449" t="s">
        <v>4587</v>
      </c>
      <c r="D4449" t="s">
        <v>4444</v>
      </c>
      <c r="E4449" t="s">
        <v>4447</v>
      </c>
      <c r="F4449">
        <v>2134</v>
      </c>
      <c r="G4449">
        <v>1</v>
      </c>
      <c r="H4449" t="s">
        <v>16</v>
      </c>
      <c r="I4449" s="1">
        <v>-2639800</v>
      </c>
      <c r="J4449" s="1">
        <v>-5272800</v>
      </c>
      <c r="K4449">
        <v>855</v>
      </c>
      <c r="L4449">
        <v>91</v>
      </c>
      <c r="M4449" t="s">
        <v>16</v>
      </c>
    </row>
    <row r="4450" spans="1:13" x14ac:dyDescent="0.35">
      <c r="A4450">
        <v>420920</v>
      </c>
      <c r="B4450">
        <v>38016</v>
      </c>
      <c r="C4450" t="s">
        <v>4588</v>
      </c>
      <c r="D4450" t="s">
        <v>4444</v>
      </c>
      <c r="E4450" t="s">
        <v>4453</v>
      </c>
      <c r="F4450">
        <v>2190</v>
      </c>
      <c r="G4450">
        <v>1</v>
      </c>
      <c r="H4450" t="s">
        <v>16</v>
      </c>
      <c r="I4450" s="1">
        <v>-2726000</v>
      </c>
      <c r="J4450" s="1">
        <v>-5155600</v>
      </c>
      <c r="K4450">
        <v>490</v>
      </c>
      <c r="L4450">
        <v>68</v>
      </c>
      <c r="M4450" t="s">
        <v>16</v>
      </c>
    </row>
    <row r="4451" spans="1:13" x14ac:dyDescent="0.35">
      <c r="A4451">
        <v>420930</v>
      </c>
      <c r="B4451">
        <v>38024</v>
      </c>
      <c r="C4451" t="s">
        <v>4589</v>
      </c>
      <c r="D4451" t="s">
        <v>4444</v>
      </c>
      <c r="E4451" t="s">
        <v>4466</v>
      </c>
      <c r="F4451">
        <v>161583</v>
      </c>
      <c r="G4451">
        <v>3</v>
      </c>
      <c r="H4451" t="s">
        <v>16</v>
      </c>
      <c r="I4451" s="1">
        <v>-2781600</v>
      </c>
      <c r="J4451" s="1">
        <v>-5032600</v>
      </c>
      <c r="K4451">
        <v>884</v>
      </c>
      <c r="L4451">
        <v>2644</v>
      </c>
      <c r="M4451" t="s">
        <v>16</v>
      </c>
    </row>
    <row r="4452" spans="1:13" x14ac:dyDescent="0.35">
      <c r="A4452">
        <v>420940</v>
      </c>
      <c r="B4452">
        <v>38032</v>
      </c>
      <c r="C4452" t="s">
        <v>4590</v>
      </c>
      <c r="D4452" t="s">
        <v>4444</v>
      </c>
      <c r="E4452" t="s">
        <v>4479</v>
      </c>
      <c r="F4452">
        <v>50179</v>
      </c>
      <c r="G4452">
        <v>4</v>
      </c>
      <c r="H4452" t="s">
        <v>4480</v>
      </c>
      <c r="I4452" s="1">
        <v>-2848300</v>
      </c>
      <c r="J4452" s="1">
        <v>-4878100</v>
      </c>
      <c r="K4452">
        <v>2</v>
      </c>
      <c r="L4452">
        <v>440</v>
      </c>
      <c r="M4452" t="s">
        <v>16</v>
      </c>
    </row>
    <row r="4453" spans="1:13" x14ac:dyDescent="0.35">
      <c r="A4453">
        <v>420945</v>
      </c>
      <c r="B4453">
        <v>51829</v>
      </c>
      <c r="C4453" t="s">
        <v>4591</v>
      </c>
      <c r="D4453" t="s">
        <v>4444</v>
      </c>
      <c r="E4453" t="s">
        <v>4447</v>
      </c>
      <c r="F4453">
        <v>1461</v>
      </c>
      <c r="G4453">
        <v>1</v>
      </c>
      <c r="H4453" t="s">
        <v>16</v>
      </c>
      <c r="I4453" s="1">
        <v>-2685800</v>
      </c>
      <c r="J4453" s="1">
        <v>-5256700</v>
      </c>
      <c r="K4453">
        <v>480</v>
      </c>
      <c r="L4453">
        <v>65</v>
      </c>
      <c r="M4453" t="s">
        <v>16</v>
      </c>
    </row>
    <row r="4454" spans="1:13" x14ac:dyDescent="0.35">
      <c r="A4454">
        <v>420950</v>
      </c>
      <c r="B4454">
        <v>38040</v>
      </c>
      <c r="C4454" t="s">
        <v>4592</v>
      </c>
      <c r="D4454" t="s">
        <v>4444</v>
      </c>
      <c r="E4454" t="s">
        <v>4451</v>
      </c>
      <c r="F4454">
        <v>5483</v>
      </c>
      <c r="G4454">
        <v>1</v>
      </c>
      <c r="H4454" t="s">
        <v>16</v>
      </c>
      <c r="I4454" s="1">
        <v>-2721700</v>
      </c>
      <c r="J4454" s="1">
        <v>-4973300</v>
      </c>
      <c r="K4454">
        <v>345</v>
      </c>
      <c r="L4454">
        <v>79</v>
      </c>
      <c r="M4454" t="s">
        <v>16</v>
      </c>
    </row>
    <row r="4455" spans="1:13" x14ac:dyDescent="0.35">
      <c r="A4455">
        <v>420960</v>
      </c>
      <c r="B4455">
        <v>38059</v>
      </c>
      <c r="C4455" t="s">
        <v>4593</v>
      </c>
      <c r="D4455" t="s">
        <v>4444</v>
      </c>
      <c r="E4455" t="s">
        <v>4525</v>
      </c>
      <c r="F4455">
        <v>13700</v>
      </c>
      <c r="G4455">
        <v>4</v>
      </c>
      <c r="H4455" t="s">
        <v>4526</v>
      </c>
      <c r="I4455" s="1">
        <v>-2839300</v>
      </c>
      <c r="J4455" s="1">
        <v>-4939700</v>
      </c>
      <c r="K4455">
        <v>220</v>
      </c>
      <c r="L4455">
        <v>270</v>
      </c>
      <c r="M4455" t="s">
        <v>16</v>
      </c>
    </row>
    <row r="4456" spans="1:13" x14ac:dyDescent="0.35">
      <c r="A4456">
        <v>420970</v>
      </c>
      <c r="B4456">
        <v>38067</v>
      </c>
      <c r="C4456" t="s">
        <v>4594</v>
      </c>
      <c r="D4456" t="s">
        <v>4444</v>
      </c>
      <c r="E4456" t="s">
        <v>4453</v>
      </c>
      <c r="F4456">
        <v>11735</v>
      </c>
      <c r="G4456">
        <v>1</v>
      </c>
      <c r="H4456" t="s">
        <v>16</v>
      </c>
      <c r="I4456" s="1">
        <v>-2692900</v>
      </c>
      <c r="J4456" s="1">
        <v>-5069500</v>
      </c>
      <c r="K4456">
        <v>980</v>
      </c>
      <c r="L4456">
        <v>940</v>
      </c>
      <c r="M4456" t="s">
        <v>16</v>
      </c>
    </row>
    <row r="4457" spans="1:13" x14ac:dyDescent="0.35">
      <c r="A4457">
        <v>420980</v>
      </c>
      <c r="B4457">
        <v>38075</v>
      </c>
      <c r="C4457" t="s">
        <v>4595</v>
      </c>
      <c r="D4457" t="s">
        <v>4444</v>
      </c>
      <c r="E4457" t="s">
        <v>4464</v>
      </c>
      <c r="F4457">
        <v>3589</v>
      </c>
      <c r="G4457">
        <v>4</v>
      </c>
      <c r="H4457" t="s">
        <v>4458</v>
      </c>
      <c r="I4457" s="1">
        <v>-2750700</v>
      </c>
      <c r="J4457" s="1">
        <v>-4928700</v>
      </c>
      <c r="K4457">
        <v>550</v>
      </c>
      <c r="L4457">
        <v>291</v>
      </c>
      <c r="M4457" t="s">
        <v>16</v>
      </c>
    </row>
    <row r="4458" spans="1:13" x14ac:dyDescent="0.35">
      <c r="A4458">
        <v>420985</v>
      </c>
      <c r="B4458">
        <v>47414</v>
      </c>
      <c r="C4458" t="s">
        <v>4596</v>
      </c>
      <c r="D4458" t="s">
        <v>4444</v>
      </c>
      <c r="E4458" t="s">
        <v>4461</v>
      </c>
      <c r="F4458">
        <v>4560</v>
      </c>
      <c r="G4458">
        <v>1</v>
      </c>
      <c r="H4458" t="s">
        <v>16</v>
      </c>
      <c r="I4458" s="1">
        <v>-2705300</v>
      </c>
      <c r="J4458" s="1">
        <v>-5206700</v>
      </c>
      <c r="K4458">
        <v>643</v>
      </c>
      <c r="L4458">
        <v>195</v>
      </c>
      <c r="M4458" t="s">
        <v>16</v>
      </c>
    </row>
    <row r="4459" spans="1:13" x14ac:dyDescent="0.35">
      <c r="A4459">
        <v>420990</v>
      </c>
      <c r="B4459">
        <v>38083</v>
      </c>
      <c r="C4459" t="s">
        <v>4597</v>
      </c>
      <c r="D4459" t="s">
        <v>4444</v>
      </c>
      <c r="E4459" t="s">
        <v>4451</v>
      </c>
      <c r="F4459">
        <v>9180</v>
      </c>
      <c r="G4459">
        <v>1</v>
      </c>
      <c r="H4459" t="s">
        <v>16</v>
      </c>
      <c r="I4459" s="1">
        <v>-2716600</v>
      </c>
      <c r="J4459" s="1">
        <v>-4954200</v>
      </c>
      <c r="K4459">
        <v>330</v>
      </c>
      <c r="L4459">
        <v>198</v>
      </c>
      <c r="M4459" t="s">
        <v>16</v>
      </c>
    </row>
    <row r="4460" spans="1:13" x14ac:dyDescent="0.35">
      <c r="A4460">
        <v>421000</v>
      </c>
      <c r="B4460">
        <v>38091</v>
      </c>
      <c r="C4460" t="s">
        <v>4598</v>
      </c>
      <c r="D4460" t="s">
        <v>4444</v>
      </c>
      <c r="E4460" t="s">
        <v>4470</v>
      </c>
      <c r="F4460">
        <v>8986</v>
      </c>
      <c r="G4460">
        <v>4</v>
      </c>
      <c r="H4460" t="s">
        <v>4471</v>
      </c>
      <c r="I4460" s="1">
        <v>-2672100</v>
      </c>
      <c r="J4460" s="1">
        <v>-4893300</v>
      </c>
      <c r="K4460">
        <v>70</v>
      </c>
      <c r="L4460">
        <v>260</v>
      </c>
      <c r="M4460" t="s">
        <v>16</v>
      </c>
    </row>
    <row r="4461" spans="1:13" x14ac:dyDescent="0.35">
      <c r="A4461">
        <v>421003</v>
      </c>
      <c r="B4461">
        <v>56570</v>
      </c>
      <c r="C4461" t="s">
        <v>4599</v>
      </c>
      <c r="D4461" t="s">
        <v>4444</v>
      </c>
      <c r="E4461" t="s">
        <v>4453</v>
      </c>
      <c r="F4461">
        <v>5391</v>
      </c>
      <c r="G4461">
        <v>1</v>
      </c>
      <c r="H4461" t="s">
        <v>16</v>
      </c>
      <c r="I4461" s="1">
        <v>-2713300</v>
      </c>
      <c r="J4461" s="1">
        <v>-5146700</v>
      </c>
      <c r="K4461">
        <v>511</v>
      </c>
      <c r="L4461">
        <v>116</v>
      </c>
      <c r="M4461" t="s">
        <v>16</v>
      </c>
    </row>
    <row r="4462" spans="1:13" x14ac:dyDescent="0.35">
      <c r="A4462">
        <v>421005</v>
      </c>
      <c r="B4462">
        <v>51837</v>
      </c>
      <c r="C4462" t="s">
        <v>4600</v>
      </c>
      <c r="D4462" t="s">
        <v>4444</v>
      </c>
      <c r="E4462" t="s">
        <v>4453</v>
      </c>
      <c r="F4462">
        <v>1760</v>
      </c>
      <c r="G4462">
        <v>1</v>
      </c>
      <c r="H4462" t="s">
        <v>16</v>
      </c>
      <c r="I4462" s="1">
        <v>-2685600</v>
      </c>
      <c r="J4462" s="1">
        <v>-5137800</v>
      </c>
      <c r="K4462">
        <v>880</v>
      </c>
      <c r="L4462">
        <v>260</v>
      </c>
      <c r="M4462" t="s">
        <v>16</v>
      </c>
    </row>
    <row r="4463" spans="1:13" x14ac:dyDescent="0.35">
      <c r="A4463">
        <v>421010</v>
      </c>
      <c r="B4463">
        <v>38105</v>
      </c>
      <c r="C4463" t="s">
        <v>4601</v>
      </c>
      <c r="D4463" t="s">
        <v>4444</v>
      </c>
      <c r="E4463" t="s">
        <v>4494</v>
      </c>
      <c r="F4463">
        <v>51014</v>
      </c>
      <c r="G4463">
        <v>4</v>
      </c>
      <c r="H4463" t="s">
        <v>4475</v>
      </c>
      <c r="I4463" s="1">
        <v>-2611100</v>
      </c>
      <c r="J4463" s="1">
        <v>-4980500</v>
      </c>
      <c r="K4463">
        <v>793</v>
      </c>
      <c r="L4463">
        <v>1404</v>
      </c>
      <c r="M4463" t="s">
        <v>16</v>
      </c>
    </row>
    <row r="4464" spans="1:13" x14ac:dyDescent="0.35">
      <c r="A4464">
        <v>421020</v>
      </c>
      <c r="B4464">
        <v>38113</v>
      </c>
      <c r="C4464" t="s">
        <v>4602</v>
      </c>
      <c r="D4464" t="s">
        <v>4444</v>
      </c>
      <c r="E4464" t="s">
        <v>4464</v>
      </c>
      <c r="F4464">
        <v>2842</v>
      </c>
      <c r="G4464">
        <v>4</v>
      </c>
      <c r="H4464" t="s">
        <v>4458</v>
      </c>
      <c r="I4464" s="1">
        <v>-2741800</v>
      </c>
      <c r="J4464" s="1">
        <v>-4895100</v>
      </c>
      <c r="K4464">
        <v>80</v>
      </c>
      <c r="L4464">
        <v>285</v>
      </c>
      <c r="M4464" t="s">
        <v>16</v>
      </c>
    </row>
    <row r="4465" spans="1:13" x14ac:dyDescent="0.35">
      <c r="A4465">
        <v>421030</v>
      </c>
      <c r="B4465">
        <v>38121</v>
      </c>
      <c r="C4465" t="s">
        <v>4603</v>
      </c>
      <c r="D4465" t="s">
        <v>4444</v>
      </c>
      <c r="E4465" t="s">
        <v>4494</v>
      </c>
      <c r="F4465">
        <v>7337</v>
      </c>
      <c r="G4465">
        <v>1</v>
      </c>
      <c r="H4465" t="s">
        <v>16</v>
      </c>
      <c r="I4465" s="1">
        <v>-2636800</v>
      </c>
      <c r="J4465" s="1">
        <v>-5032800</v>
      </c>
      <c r="K4465">
        <v>786</v>
      </c>
      <c r="L4465">
        <v>525</v>
      </c>
      <c r="M4465" t="s">
        <v>16</v>
      </c>
    </row>
    <row r="4466" spans="1:13" x14ac:dyDescent="0.35">
      <c r="A4466">
        <v>421040</v>
      </c>
      <c r="B4466">
        <v>38130</v>
      </c>
      <c r="C4466" t="s">
        <v>4604</v>
      </c>
      <c r="D4466" t="s">
        <v>4444</v>
      </c>
      <c r="E4466" t="s">
        <v>4477</v>
      </c>
      <c r="F4466">
        <v>5909</v>
      </c>
      <c r="G4466">
        <v>1</v>
      </c>
      <c r="H4466" t="s">
        <v>16</v>
      </c>
      <c r="I4466" s="1">
        <v>-2884700</v>
      </c>
      <c r="J4466" s="1">
        <v>-4945300</v>
      </c>
      <c r="K4466">
        <v>30</v>
      </c>
      <c r="L4466">
        <v>63</v>
      </c>
      <c r="M4466" t="s">
        <v>16</v>
      </c>
    </row>
    <row r="4467" spans="1:13" x14ac:dyDescent="0.35">
      <c r="A4467">
        <v>421050</v>
      </c>
      <c r="B4467">
        <v>38148</v>
      </c>
      <c r="C4467" t="s">
        <v>1847</v>
      </c>
      <c r="D4467" t="s">
        <v>4444</v>
      </c>
      <c r="E4467" t="s">
        <v>4455</v>
      </c>
      <c r="F4467">
        <v>21684</v>
      </c>
      <c r="G4467">
        <v>1</v>
      </c>
      <c r="H4467" t="s">
        <v>16</v>
      </c>
      <c r="I4467" s="1">
        <v>-2676100</v>
      </c>
      <c r="J4467" s="1">
        <v>-5317300</v>
      </c>
      <c r="K4467">
        <v>625</v>
      </c>
      <c r="L4467">
        <v>169</v>
      </c>
      <c r="M4467" t="s">
        <v>16</v>
      </c>
    </row>
    <row r="4468" spans="1:13" x14ac:dyDescent="0.35">
      <c r="A4468">
        <v>421055</v>
      </c>
      <c r="B4468">
        <v>47422</v>
      </c>
      <c r="C4468" t="s">
        <v>4605</v>
      </c>
      <c r="D4468" t="s">
        <v>4444</v>
      </c>
      <c r="E4468" t="s">
        <v>4447</v>
      </c>
      <c r="F4468">
        <v>2282</v>
      </c>
      <c r="G4468">
        <v>1</v>
      </c>
      <c r="H4468" t="s">
        <v>16</v>
      </c>
      <c r="I4468" s="1">
        <v>-2680200</v>
      </c>
      <c r="J4468" s="1">
        <v>-5262500</v>
      </c>
      <c r="K4468">
        <v>417</v>
      </c>
      <c r="L4468">
        <v>103</v>
      </c>
      <c r="M4468" t="s">
        <v>16</v>
      </c>
    </row>
    <row r="4469" spans="1:13" x14ac:dyDescent="0.35">
      <c r="A4469">
        <v>421060</v>
      </c>
      <c r="B4469">
        <v>38156</v>
      </c>
      <c r="C4469" t="s">
        <v>1517</v>
      </c>
      <c r="D4469" t="s">
        <v>4444</v>
      </c>
      <c r="E4469" t="s">
        <v>4474</v>
      </c>
      <c r="F4469">
        <v>13777</v>
      </c>
      <c r="G4469">
        <v>4</v>
      </c>
      <c r="H4469" t="s">
        <v>4475</v>
      </c>
      <c r="I4469" s="1">
        <v>-2661100</v>
      </c>
      <c r="J4469" s="1">
        <v>-4900800</v>
      </c>
      <c r="K4469">
        <v>38</v>
      </c>
      <c r="L4469">
        <v>373</v>
      </c>
      <c r="M4469" t="s">
        <v>16</v>
      </c>
    </row>
    <row r="4470" spans="1:13" x14ac:dyDescent="0.35">
      <c r="A4470">
        <v>421070</v>
      </c>
      <c r="B4470">
        <v>38164</v>
      </c>
      <c r="C4470" t="s">
        <v>4606</v>
      </c>
      <c r="D4470" t="s">
        <v>4444</v>
      </c>
      <c r="E4470" t="s">
        <v>4453</v>
      </c>
      <c r="F4470">
        <v>2818</v>
      </c>
      <c r="G4470">
        <v>1</v>
      </c>
      <c r="H4470" t="s">
        <v>16</v>
      </c>
      <c r="I4470" s="1">
        <v>-2647300</v>
      </c>
      <c r="J4470" s="1">
        <v>-5114800</v>
      </c>
      <c r="K4470">
        <v>1220</v>
      </c>
      <c r="L4470">
        <v>432</v>
      </c>
      <c r="M4470" t="s">
        <v>16</v>
      </c>
    </row>
    <row r="4471" spans="1:13" x14ac:dyDescent="0.35">
      <c r="A4471">
        <v>421080</v>
      </c>
      <c r="B4471">
        <v>38172</v>
      </c>
      <c r="C4471" t="s">
        <v>4607</v>
      </c>
      <c r="D4471" t="s">
        <v>4444</v>
      </c>
      <c r="E4471" t="s">
        <v>4477</v>
      </c>
      <c r="F4471">
        <v>6880</v>
      </c>
      <c r="G4471">
        <v>1</v>
      </c>
      <c r="H4471" t="s">
        <v>16</v>
      </c>
      <c r="I4471" s="1">
        <v>-2882900</v>
      </c>
      <c r="J4471" s="1">
        <v>-4963600</v>
      </c>
      <c r="K4471">
        <v>38</v>
      </c>
      <c r="L4471">
        <v>186</v>
      </c>
      <c r="M4471" t="s">
        <v>16</v>
      </c>
    </row>
    <row r="4472" spans="1:13" x14ac:dyDescent="0.35">
      <c r="A4472">
        <v>421085</v>
      </c>
      <c r="B4472">
        <v>51845</v>
      </c>
      <c r="C4472" t="s">
        <v>4608</v>
      </c>
      <c r="D4472" t="s">
        <v>4444</v>
      </c>
      <c r="E4472" t="s">
        <v>4451</v>
      </c>
      <c r="F4472">
        <v>2545</v>
      </c>
      <c r="G4472">
        <v>1</v>
      </c>
      <c r="H4472" t="s">
        <v>16</v>
      </c>
      <c r="I4472" s="1">
        <v>-2719600</v>
      </c>
      <c r="J4472" s="1">
        <v>-5007700</v>
      </c>
      <c r="K4472">
        <v>397</v>
      </c>
      <c r="L4472">
        <v>336</v>
      </c>
      <c r="M4472" t="s">
        <v>16</v>
      </c>
    </row>
    <row r="4473" spans="1:13" x14ac:dyDescent="0.35">
      <c r="A4473">
        <v>421090</v>
      </c>
      <c r="B4473">
        <v>38180</v>
      </c>
      <c r="C4473" t="s">
        <v>4609</v>
      </c>
      <c r="D4473" t="s">
        <v>4444</v>
      </c>
      <c r="E4473" t="s">
        <v>4455</v>
      </c>
      <c r="F4473">
        <v>3772</v>
      </c>
      <c r="G4473">
        <v>1</v>
      </c>
      <c r="H4473" t="s">
        <v>16</v>
      </c>
      <c r="I4473" s="1">
        <v>-2677800</v>
      </c>
      <c r="J4473" s="1">
        <v>-5305500</v>
      </c>
      <c r="K4473">
        <v>470</v>
      </c>
      <c r="L4473">
        <v>92</v>
      </c>
      <c r="M4473" t="s">
        <v>16</v>
      </c>
    </row>
    <row r="4474" spans="1:13" x14ac:dyDescent="0.35">
      <c r="A4474">
        <v>421100</v>
      </c>
      <c r="B4474">
        <v>38199</v>
      </c>
      <c r="C4474" t="s">
        <v>4610</v>
      </c>
      <c r="D4474" t="s">
        <v>4444</v>
      </c>
      <c r="E4474" t="s">
        <v>4462</v>
      </c>
      <c r="F4474">
        <v>9126</v>
      </c>
      <c r="G4474">
        <v>1</v>
      </c>
      <c r="H4474" t="s">
        <v>16</v>
      </c>
      <c r="I4474" s="1">
        <v>-2710300</v>
      </c>
      <c r="J4474" s="1">
        <v>-5340200</v>
      </c>
      <c r="K4474">
        <v>235</v>
      </c>
      <c r="L4474">
        <v>200</v>
      </c>
      <c r="M4474" t="s">
        <v>16</v>
      </c>
    </row>
    <row r="4475" spans="1:13" x14ac:dyDescent="0.35">
      <c r="A4475">
        <v>421105</v>
      </c>
      <c r="B4475">
        <v>51853</v>
      </c>
      <c r="C4475" t="s">
        <v>4611</v>
      </c>
      <c r="D4475" t="s">
        <v>4444</v>
      </c>
      <c r="E4475" t="s">
        <v>4445</v>
      </c>
      <c r="F4475">
        <v>8854</v>
      </c>
      <c r="G4475">
        <v>1</v>
      </c>
      <c r="H4475" t="s">
        <v>16</v>
      </c>
      <c r="I4475" s="1">
        <v>-2722300</v>
      </c>
      <c r="J4475" s="1">
        <v>-5098000</v>
      </c>
      <c r="K4475">
        <v>942</v>
      </c>
      <c r="L4475">
        <v>162</v>
      </c>
      <c r="M4475" t="s">
        <v>16</v>
      </c>
    </row>
    <row r="4476" spans="1:13" x14ac:dyDescent="0.35">
      <c r="A4476">
        <v>421110</v>
      </c>
      <c r="B4476">
        <v>38202</v>
      </c>
      <c r="C4476" t="s">
        <v>3798</v>
      </c>
      <c r="D4476" t="s">
        <v>4444</v>
      </c>
      <c r="E4476" t="s">
        <v>4494</v>
      </c>
      <c r="F4476">
        <v>8113</v>
      </c>
      <c r="G4476">
        <v>4</v>
      </c>
      <c r="H4476" t="s">
        <v>4475</v>
      </c>
      <c r="I4476" s="1">
        <v>-2646200</v>
      </c>
      <c r="J4476" s="1">
        <v>-5023100</v>
      </c>
      <c r="K4476">
        <v>820</v>
      </c>
      <c r="L4476">
        <v>561</v>
      </c>
      <c r="M4476" t="s">
        <v>16</v>
      </c>
    </row>
    <row r="4477" spans="1:13" x14ac:dyDescent="0.35">
      <c r="A4477">
        <v>421120</v>
      </c>
      <c r="B4477">
        <v>38210</v>
      </c>
      <c r="C4477" t="s">
        <v>4612</v>
      </c>
      <c r="D4477" t="s">
        <v>4444</v>
      </c>
      <c r="E4477" t="s">
        <v>4525</v>
      </c>
      <c r="F4477">
        <v>15426</v>
      </c>
      <c r="G4477">
        <v>4</v>
      </c>
      <c r="H4477" t="s">
        <v>4526</v>
      </c>
      <c r="I4477" s="1">
        <v>-2865100</v>
      </c>
      <c r="J4477" s="1">
        <v>-4921000</v>
      </c>
      <c r="K4477">
        <v>18</v>
      </c>
      <c r="L4477">
        <v>82</v>
      </c>
      <c r="M4477" t="s">
        <v>16</v>
      </c>
    </row>
    <row r="4478" spans="1:13" x14ac:dyDescent="0.35">
      <c r="A4478">
        <v>421125</v>
      </c>
      <c r="B4478">
        <v>51861</v>
      </c>
      <c r="C4478" t="s">
        <v>4613</v>
      </c>
      <c r="D4478" t="s">
        <v>4444</v>
      </c>
      <c r="E4478" t="s">
        <v>4477</v>
      </c>
      <c r="F4478">
        <v>2727</v>
      </c>
      <c r="G4478">
        <v>1</v>
      </c>
      <c r="H4478" t="s">
        <v>16</v>
      </c>
      <c r="I4478" s="1">
        <v>-2880100</v>
      </c>
      <c r="J4478" s="1">
        <v>-4972100</v>
      </c>
      <c r="K4478">
        <v>90</v>
      </c>
      <c r="L4478">
        <v>256</v>
      </c>
      <c r="M4478" t="s">
        <v>16</v>
      </c>
    </row>
    <row r="4479" spans="1:13" x14ac:dyDescent="0.35">
      <c r="A4479">
        <v>421130</v>
      </c>
      <c r="B4479">
        <v>38229</v>
      </c>
      <c r="C4479" t="s">
        <v>4614</v>
      </c>
      <c r="D4479" t="s">
        <v>4444</v>
      </c>
      <c r="E4479" t="s">
        <v>4487</v>
      </c>
      <c r="F4479">
        <v>52638</v>
      </c>
      <c r="G4479">
        <v>4</v>
      </c>
      <c r="H4479" t="s">
        <v>4488</v>
      </c>
      <c r="I4479" s="1">
        <v>-2689900</v>
      </c>
      <c r="J4479" s="1">
        <v>-4865400</v>
      </c>
      <c r="K4479">
        <v>12</v>
      </c>
      <c r="L4479">
        <v>111</v>
      </c>
      <c r="M4479" t="s">
        <v>16</v>
      </c>
    </row>
    <row r="4480" spans="1:13" x14ac:dyDescent="0.35">
      <c r="A4480">
        <v>421140</v>
      </c>
      <c r="B4480">
        <v>38237</v>
      </c>
      <c r="C4480" t="s">
        <v>4615</v>
      </c>
      <c r="D4480" t="s">
        <v>4444</v>
      </c>
      <c r="E4480" t="s">
        <v>4455</v>
      </c>
      <c r="F4480">
        <v>4118</v>
      </c>
      <c r="G4480">
        <v>1</v>
      </c>
      <c r="H4480" t="s">
        <v>16</v>
      </c>
      <c r="I4480" s="1">
        <v>-2690300</v>
      </c>
      <c r="J4480" s="1">
        <v>-5290600</v>
      </c>
      <c r="K4480">
        <v>462</v>
      </c>
      <c r="L4480">
        <v>64</v>
      </c>
      <c r="M4480" t="s">
        <v>16</v>
      </c>
    </row>
    <row r="4481" spans="1:13" x14ac:dyDescent="0.35">
      <c r="A4481">
        <v>421145</v>
      </c>
      <c r="B4481">
        <v>51870</v>
      </c>
      <c r="C4481" t="s">
        <v>4616</v>
      </c>
      <c r="D4481" t="s">
        <v>4444</v>
      </c>
      <c r="E4481" t="s">
        <v>4455</v>
      </c>
      <c r="F4481">
        <v>4117</v>
      </c>
      <c r="G4481">
        <v>1</v>
      </c>
      <c r="H4481" t="s">
        <v>16</v>
      </c>
      <c r="I4481" s="1">
        <v>-2694000</v>
      </c>
      <c r="J4481" s="1">
        <v>-5281200</v>
      </c>
      <c r="K4481">
        <v>350</v>
      </c>
      <c r="L4481">
        <v>137</v>
      </c>
      <c r="M4481" t="s">
        <v>16</v>
      </c>
    </row>
    <row r="4482" spans="1:13" x14ac:dyDescent="0.35">
      <c r="A4482">
        <v>421150</v>
      </c>
      <c r="B4482">
        <v>38245</v>
      </c>
      <c r="C4482" t="s">
        <v>4617</v>
      </c>
      <c r="D4482" t="s">
        <v>4444</v>
      </c>
      <c r="E4482" t="s">
        <v>4464</v>
      </c>
      <c r="F4482">
        <v>11325</v>
      </c>
      <c r="G4482">
        <v>4</v>
      </c>
      <c r="H4482" t="s">
        <v>4458</v>
      </c>
      <c r="I4482" s="1">
        <v>-2728600</v>
      </c>
      <c r="J4482" s="1">
        <v>-4893000</v>
      </c>
      <c r="K4482">
        <v>30</v>
      </c>
      <c r="L4482">
        <v>402</v>
      </c>
      <c r="M4482" t="s">
        <v>16</v>
      </c>
    </row>
    <row r="4483" spans="1:13" x14ac:dyDescent="0.35">
      <c r="A4483">
        <v>421160</v>
      </c>
      <c r="B4483">
        <v>38253</v>
      </c>
      <c r="C4483" t="s">
        <v>4618</v>
      </c>
      <c r="D4483" t="s">
        <v>4444</v>
      </c>
      <c r="E4483" t="s">
        <v>4525</v>
      </c>
      <c r="F4483">
        <v>12536</v>
      </c>
      <c r="G4483">
        <v>4</v>
      </c>
      <c r="H4483" t="s">
        <v>4526</v>
      </c>
      <c r="I4483" s="1">
        <v>-2863700</v>
      </c>
      <c r="J4483" s="1">
        <v>-4949800</v>
      </c>
      <c r="K4483">
        <v>74</v>
      </c>
      <c r="L4483">
        <v>293</v>
      </c>
      <c r="M4483" t="s">
        <v>16</v>
      </c>
    </row>
    <row r="4484" spans="1:13" x14ac:dyDescent="0.35">
      <c r="A4484">
        <v>421165</v>
      </c>
      <c r="B4484">
        <v>51888</v>
      </c>
      <c r="C4484" t="s">
        <v>2259</v>
      </c>
      <c r="D4484" t="s">
        <v>4444</v>
      </c>
      <c r="E4484" t="s">
        <v>4455</v>
      </c>
      <c r="F4484">
        <v>2902</v>
      </c>
      <c r="G4484">
        <v>1</v>
      </c>
      <c r="H4484" t="s">
        <v>16</v>
      </c>
      <c r="I4484" s="1">
        <v>-2644400</v>
      </c>
      <c r="J4484" s="1">
        <v>-5283400</v>
      </c>
      <c r="K4484">
        <v>710</v>
      </c>
      <c r="L4484">
        <v>151</v>
      </c>
      <c r="M4484" t="s">
        <v>16</v>
      </c>
    </row>
    <row r="4485" spans="1:13" x14ac:dyDescent="0.35">
      <c r="A4485">
        <v>421170</v>
      </c>
      <c r="B4485">
        <v>38261</v>
      </c>
      <c r="C4485" t="s">
        <v>4619</v>
      </c>
      <c r="D4485" t="s">
        <v>4444</v>
      </c>
      <c r="E4485" t="s">
        <v>4479</v>
      </c>
      <c r="F4485">
        <v>20859</v>
      </c>
      <c r="G4485">
        <v>4</v>
      </c>
      <c r="H4485" t="s">
        <v>4480</v>
      </c>
      <c r="I4485" s="1">
        <v>-2835900</v>
      </c>
      <c r="J4485" s="1">
        <v>-4929100</v>
      </c>
      <c r="K4485">
        <v>132</v>
      </c>
      <c r="L4485">
        <v>549</v>
      </c>
      <c r="M4485" t="s">
        <v>16</v>
      </c>
    </row>
    <row r="4486" spans="1:13" x14ac:dyDescent="0.35">
      <c r="A4486">
        <v>421175</v>
      </c>
      <c r="B4486">
        <v>39080</v>
      </c>
      <c r="C4486" t="s">
        <v>4620</v>
      </c>
      <c r="D4486" t="s">
        <v>4444</v>
      </c>
      <c r="E4486" t="s">
        <v>4466</v>
      </c>
      <c r="F4486">
        <v>15693</v>
      </c>
      <c r="G4486">
        <v>1</v>
      </c>
      <c r="H4486" t="s">
        <v>16</v>
      </c>
      <c r="I4486" s="1">
        <v>-2748300</v>
      </c>
      <c r="J4486" s="1">
        <v>-5012200</v>
      </c>
      <c r="K4486">
        <v>884</v>
      </c>
      <c r="L4486">
        <v>846</v>
      </c>
      <c r="M4486" t="s">
        <v>16</v>
      </c>
    </row>
    <row r="4487" spans="1:13" x14ac:dyDescent="0.35">
      <c r="A4487">
        <v>421180</v>
      </c>
      <c r="B4487">
        <v>38270</v>
      </c>
      <c r="C4487" t="s">
        <v>4621</v>
      </c>
      <c r="D4487" t="s">
        <v>4444</v>
      </c>
      <c r="E4487" t="s">
        <v>4453</v>
      </c>
      <c r="F4487">
        <v>7095</v>
      </c>
      <c r="G4487">
        <v>1</v>
      </c>
      <c r="H4487" t="s">
        <v>16</v>
      </c>
      <c r="I4487" s="1">
        <v>-2734100</v>
      </c>
      <c r="J4487" s="1">
        <v>-5161800</v>
      </c>
      <c r="K4487">
        <v>485</v>
      </c>
      <c r="L4487">
        <v>206</v>
      </c>
      <c r="M4487" t="s">
        <v>16</v>
      </c>
    </row>
    <row r="4488" spans="1:13" x14ac:dyDescent="0.35">
      <c r="A4488">
        <v>421185</v>
      </c>
      <c r="B4488">
        <v>51896</v>
      </c>
      <c r="C4488" t="s">
        <v>3833</v>
      </c>
      <c r="D4488" t="s">
        <v>4444</v>
      </c>
      <c r="E4488" t="s">
        <v>4447</v>
      </c>
      <c r="F4488">
        <v>2152</v>
      </c>
      <c r="G4488">
        <v>1</v>
      </c>
      <c r="H4488" t="s">
        <v>16</v>
      </c>
      <c r="I4488" s="1">
        <v>-2669400</v>
      </c>
      <c r="J4488" s="1">
        <v>-5231200</v>
      </c>
      <c r="K4488">
        <v>758</v>
      </c>
      <c r="L4488">
        <v>189</v>
      </c>
      <c r="M4488" t="s">
        <v>16</v>
      </c>
    </row>
    <row r="4489" spans="1:13" x14ac:dyDescent="0.35">
      <c r="A4489">
        <v>421187</v>
      </c>
      <c r="B4489">
        <v>58564</v>
      </c>
      <c r="C4489" t="s">
        <v>4622</v>
      </c>
      <c r="D4489" t="s">
        <v>4444</v>
      </c>
      <c r="E4489" t="s">
        <v>4461</v>
      </c>
      <c r="F4489">
        <v>1821</v>
      </c>
      <c r="G4489">
        <v>1</v>
      </c>
      <c r="H4489" t="s">
        <v>16</v>
      </c>
      <c r="I4489" s="1">
        <v>-2725200</v>
      </c>
      <c r="J4489" s="1">
        <v>-5249800</v>
      </c>
      <c r="K4489">
        <v>425</v>
      </c>
      <c r="L4489">
        <v>85</v>
      </c>
      <c r="M4489" t="s">
        <v>16</v>
      </c>
    </row>
    <row r="4490" spans="1:13" x14ac:dyDescent="0.35">
      <c r="A4490">
        <v>421189</v>
      </c>
      <c r="B4490">
        <v>58572</v>
      </c>
      <c r="C4490" t="s">
        <v>4623</v>
      </c>
      <c r="D4490" t="s">
        <v>4444</v>
      </c>
      <c r="E4490" t="s">
        <v>4466</v>
      </c>
      <c r="F4490">
        <v>2297</v>
      </c>
      <c r="G4490">
        <v>1</v>
      </c>
      <c r="H4490" t="s">
        <v>16</v>
      </c>
      <c r="I4490" s="1">
        <v>-2792900</v>
      </c>
      <c r="J4490" s="1">
        <v>-5010500</v>
      </c>
      <c r="K4490">
        <v>1144</v>
      </c>
      <c r="L4490">
        <v>742</v>
      </c>
      <c r="M4490" t="s">
        <v>16</v>
      </c>
    </row>
    <row r="4491" spans="1:13" x14ac:dyDescent="0.35">
      <c r="A4491">
        <v>421190</v>
      </c>
      <c r="B4491">
        <v>38288</v>
      </c>
      <c r="C4491" t="s">
        <v>4624</v>
      </c>
      <c r="D4491" t="s">
        <v>4444</v>
      </c>
      <c r="E4491" t="s">
        <v>4468</v>
      </c>
      <c r="F4491">
        <v>122471</v>
      </c>
      <c r="G4491">
        <v>4</v>
      </c>
      <c r="H4491" t="s">
        <v>4458</v>
      </c>
      <c r="I4491" s="1">
        <v>-2764500</v>
      </c>
      <c r="J4491" s="1">
        <v>-4866800</v>
      </c>
      <c r="K4491">
        <v>3</v>
      </c>
      <c r="L4491">
        <v>394</v>
      </c>
      <c r="M4491" t="s">
        <v>16</v>
      </c>
    </row>
    <row r="4492" spans="1:13" x14ac:dyDescent="0.35">
      <c r="A4492">
        <v>421200</v>
      </c>
      <c r="B4492">
        <v>38296</v>
      </c>
      <c r="C4492" t="s">
        <v>4625</v>
      </c>
      <c r="D4492" t="s">
        <v>4444</v>
      </c>
      <c r="E4492" t="s">
        <v>4462</v>
      </c>
      <c r="F4492">
        <v>7942</v>
      </c>
      <c r="G4492">
        <v>1</v>
      </c>
      <c r="H4492" t="s">
        <v>16</v>
      </c>
      <c r="I4492" s="1">
        <v>-2634800</v>
      </c>
      <c r="J4492" s="1">
        <v>-5327800</v>
      </c>
      <c r="K4492">
        <v>870</v>
      </c>
      <c r="L4492">
        <v>331</v>
      </c>
      <c r="M4492" t="s">
        <v>16</v>
      </c>
    </row>
    <row r="4493" spans="1:13" x14ac:dyDescent="0.35">
      <c r="A4493">
        <v>421205</v>
      </c>
      <c r="B4493">
        <v>58580</v>
      </c>
      <c r="C4493" t="s">
        <v>4311</v>
      </c>
      <c r="D4493" t="s">
        <v>4444</v>
      </c>
      <c r="E4493" t="s">
        <v>4466</v>
      </c>
      <c r="F4493">
        <v>2334</v>
      </c>
      <c r="G4493">
        <v>1</v>
      </c>
      <c r="H4493" t="s">
        <v>16</v>
      </c>
      <c r="I4493" s="1">
        <v>-2758300</v>
      </c>
      <c r="J4493" s="1">
        <v>-5015900</v>
      </c>
      <c r="K4493">
        <v>0</v>
      </c>
      <c r="L4493">
        <v>292</v>
      </c>
      <c r="M4493" t="s">
        <v>16</v>
      </c>
    </row>
    <row r="4494" spans="1:13" x14ac:dyDescent="0.35">
      <c r="A4494">
        <v>421210</v>
      </c>
      <c r="B4494">
        <v>38300</v>
      </c>
      <c r="C4494" t="s">
        <v>4626</v>
      </c>
      <c r="D4494" t="s">
        <v>4444</v>
      </c>
      <c r="E4494" t="s">
        <v>4455</v>
      </c>
      <c r="F4494">
        <v>16061</v>
      </c>
      <c r="G4494">
        <v>1</v>
      </c>
      <c r="H4494" t="s">
        <v>16</v>
      </c>
      <c r="I4494" s="1">
        <v>-2706800</v>
      </c>
      <c r="J4494" s="1">
        <v>-5316100</v>
      </c>
      <c r="K4494">
        <v>406</v>
      </c>
      <c r="L4494">
        <v>350</v>
      </c>
      <c r="M4494" t="s">
        <v>16</v>
      </c>
    </row>
    <row r="4495" spans="1:13" x14ac:dyDescent="0.35">
      <c r="A4495">
        <v>421220</v>
      </c>
      <c r="B4495">
        <v>38318</v>
      </c>
      <c r="C4495" t="s">
        <v>4627</v>
      </c>
      <c r="D4495" t="s">
        <v>4444</v>
      </c>
      <c r="E4495" t="s">
        <v>4494</v>
      </c>
      <c r="F4495">
        <v>17056</v>
      </c>
      <c r="G4495">
        <v>4</v>
      </c>
      <c r="H4495" t="s">
        <v>4475</v>
      </c>
      <c r="I4495" s="1">
        <v>-2637000</v>
      </c>
      <c r="J4495" s="1">
        <v>-5014400</v>
      </c>
      <c r="K4495">
        <v>788</v>
      </c>
      <c r="L4495">
        <v>759</v>
      </c>
      <c r="M4495" t="s">
        <v>16</v>
      </c>
    </row>
    <row r="4496" spans="1:13" x14ac:dyDescent="0.35">
      <c r="A4496">
        <v>421223</v>
      </c>
      <c r="B4496">
        <v>51900</v>
      </c>
      <c r="C4496" t="s">
        <v>3841</v>
      </c>
      <c r="D4496" t="s">
        <v>4444</v>
      </c>
      <c r="E4496" t="s">
        <v>4462</v>
      </c>
      <c r="F4496">
        <v>4195</v>
      </c>
      <c r="G4496">
        <v>1</v>
      </c>
      <c r="H4496" t="s">
        <v>16</v>
      </c>
      <c r="I4496" s="1">
        <v>-2661400</v>
      </c>
      <c r="J4496" s="1">
        <v>-5367200</v>
      </c>
      <c r="K4496">
        <v>520</v>
      </c>
      <c r="L4496">
        <v>178</v>
      </c>
      <c r="M4496" t="s">
        <v>16</v>
      </c>
    </row>
    <row r="4497" spans="1:13" x14ac:dyDescent="0.35">
      <c r="A4497">
        <v>421225</v>
      </c>
      <c r="B4497">
        <v>51918</v>
      </c>
      <c r="C4497" t="s">
        <v>4628</v>
      </c>
      <c r="D4497" t="s">
        <v>4444</v>
      </c>
      <c r="E4497" t="s">
        <v>4477</v>
      </c>
      <c r="F4497">
        <v>5313</v>
      </c>
      <c r="G4497">
        <v>1</v>
      </c>
      <c r="H4497" t="s">
        <v>16</v>
      </c>
      <c r="I4497" s="1">
        <v>-2931600</v>
      </c>
      <c r="J4497" s="1">
        <v>-4972400</v>
      </c>
      <c r="K4497">
        <v>10</v>
      </c>
      <c r="L4497">
        <v>95</v>
      </c>
      <c r="M4497" t="s">
        <v>16</v>
      </c>
    </row>
    <row r="4498" spans="1:13" x14ac:dyDescent="0.35">
      <c r="A4498">
        <v>421227</v>
      </c>
      <c r="B4498">
        <v>51926</v>
      </c>
      <c r="C4498" t="s">
        <v>4629</v>
      </c>
      <c r="D4498" t="s">
        <v>4444</v>
      </c>
      <c r="E4498" t="s">
        <v>4447</v>
      </c>
      <c r="F4498">
        <v>4472</v>
      </c>
      <c r="G4498">
        <v>1</v>
      </c>
      <c r="H4498" t="s">
        <v>16</v>
      </c>
      <c r="I4498" s="1">
        <v>-2678000</v>
      </c>
      <c r="J4498" s="1">
        <v>-5205900</v>
      </c>
      <c r="K4498">
        <v>800</v>
      </c>
      <c r="L4498">
        <v>614</v>
      </c>
      <c r="M4498" t="s">
        <v>16</v>
      </c>
    </row>
    <row r="4499" spans="1:13" x14ac:dyDescent="0.35">
      <c r="A4499">
        <v>421230</v>
      </c>
      <c r="B4499">
        <v>38326</v>
      </c>
      <c r="C4499" t="s">
        <v>4630</v>
      </c>
      <c r="D4499" t="s">
        <v>4444</v>
      </c>
      <c r="E4499" t="s">
        <v>4468</v>
      </c>
      <c r="F4499">
        <v>6830</v>
      </c>
      <c r="G4499">
        <v>4</v>
      </c>
      <c r="H4499" t="s">
        <v>4458</v>
      </c>
      <c r="I4499" s="1">
        <v>-2796200</v>
      </c>
      <c r="J4499" s="1">
        <v>-4868400</v>
      </c>
      <c r="K4499">
        <v>2</v>
      </c>
      <c r="L4499">
        <v>450</v>
      </c>
      <c r="M4499" t="s">
        <v>16</v>
      </c>
    </row>
    <row r="4500" spans="1:13" x14ac:dyDescent="0.35">
      <c r="A4500">
        <v>421240</v>
      </c>
      <c r="B4500">
        <v>38334</v>
      </c>
      <c r="C4500" t="s">
        <v>4631</v>
      </c>
      <c r="D4500" t="s">
        <v>4444</v>
      </c>
      <c r="E4500" t="s">
        <v>4479</v>
      </c>
      <c r="F4500">
        <v>4817</v>
      </c>
      <c r="G4500">
        <v>4</v>
      </c>
      <c r="H4500" t="s">
        <v>4480</v>
      </c>
      <c r="I4500" s="1">
        <v>-2843600</v>
      </c>
      <c r="J4500" s="1">
        <v>-4918500</v>
      </c>
      <c r="K4500">
        <v>39</v>
      </c>
      <c r="L4500">
        <v>171</v>
      </c>
      <c r="M4500" t="s">
        <v>16</v>
      </c>
    </row>
    <row r="4501" spans="1:13" x14ac:dyDescent="0.35">
      <c r="A4501">
        <v>421250</v>
      </c>
      <c r="B4501">
        <v>38342</v>
      </c>
      <c r="C4501" t="s">
        <v>4632</v>
      </c>
      <c r="D4501" t="s">
        <v>4444</v>
      </c>
      <c r="E4501" t="s">
        <v>4487</v>
      </c>
      <c r="F4501">
        <v>20868</v>
      </c>
      <c r="G4501">
        <v>4</v>
      </c>
      <c r="H4501" t="s">
        <v>4488</v>
      </c>
      <c r="I4501" s="1">
        <v>-2676900</v>
      </c>
      <c r="J4501" s="1">
        <v>-4864600</v>
      </c>
      <c r="K4501">
        <v>20</v>
      </c>
      <c r="L4501">
        <v>58</v>
      </c>
      <c r="M4501" t="s">
        <v>16</v>
      </c>
    </row>
    <row r="4502" spans="1:13" x14ac:dyDescent="0.35">
      <c r="A4502">
        <v>421260</v>
      </c>
      <c r="B4502">
        <v>38350</v>
      </c>
      <c r="C4502" t="s">
        <v>4633</v>
      </c>
      <c r="D4502" t="s">
        <v>4444</v>
      </c>
      <c r="E4502" t="s">
        <v>4461</v>
      </c>
      <c r="F4502">
        <v>2944</v>
      </c>
      <c r="G4502">
        <v>1</v>
      </c>
      <c r="H4502" t="s">
        <v>16</v>
      </c>
      <c r="I4502" s="1">
        <v>-2737300</v>
      </c>
      <c r="J4502" s="1">
        <v>-5190400</v>
      </c>
      <c r="K4502">
        <v>450</v>
      </c>
      <c r="L4502">
        <v>96</v>
      </c>
      <c r="M4502" t="s">
        <v>16</v>
      </c>
    </row>
    <row r="4503" spans="1:13" x14ac:dyDescent="0.35">
      <c r="A4503">
        <v>421270</v>
      </c>
      <c r="B4503">
        <v>38369</v>
      </c>
      <c r="C4503" t="s">
        <v>1740</v>
      </c>
      <c r="D4503" t="s">
        <v>4444</v>
      </c>
      <c r="E4503" t="s">
        <v>4449</v>
      </c>
      <c r="F4503">
        <v>6064</v>
      </c>
      <c r="G4503">
        <v>1</v>
      </c>
      <c r="H4503" t="s">
        <v>16</v>
      </c>
      <c r="I4503" s="1">
        <v>-2753500</v>
      </c>
      <c r="J4503" s="1">
        <v>-4969800</v>
      </c>
      <c r="K4503">
        <v>410</v>
      </c>
      <c r="L4503">
        <v>306</v>
      </c>
      <c r="M4503" t="s">
        <v>16</v>
      </c>
    </row>
    <row r="4504" spans="1:13" x14ac:dyDescent="0.35">
      <c r="A4504">
        <v>421280</v>
      </c>
      <c r="B4504">
        <v>38377</v>
      </c>
      <c r="C4504" t="s">
        <v>4634</v>
      </c>
      <c r="D4504" t="s">
        <v>4444</v>
      </c>
      <c r="E4504" t="s">
        <v>4487</v>
      </c>
      <c r="F4504">
        <v>13760</v>
      </c>
      <c r="G4504">
        <v>4</v>
      </c>
      <c r="H4504" t="s">
        <v>4488</v>
      </c>
      <c r="I4504" s="1">
        <v>-2676400</v>
      </c>
      <c r="J4504" s="1">
        <v>-4867200</v>
      </c>
      <c r="K4504">
        <v>18</v>
      </c>
      <c r="L4504">
        <v>99</v>
      </c>
      <c r="M4504" t="s">
        <v>16</v>
      </c>
    </row>
    <row r="4505" spans="1:13" x14ac:dyDescent="0.35">
      <c r="A4505">
        <v>421290</v>
      </c>
      <c r="B4505">
        <v>38385</v>
      </c>
      <c r="C4505" t="s">
        <v>3868</v>
      </c>
      <c r="D4505" t="s">
        <v>4444</v>
      </c>
      <c r="E4505" t="s">
        <v>4455</v>
      </c>
      <c r="F4505">
        <v>14691</v>
      </c>
      <c r="G4505">
        <v>1</v>
      </c>
      <c r="H4505" t="s">
        <v>16</v>
      </c>
      <c r="I4505" s="1">
        <v>-2684800</v>
      </c>
      <c r="J4505" s="1">
        <v>-5299200</v>
      </c>
      <c r="K4505">
        <v>515</v>
      </c>
      <c r="L4505">
        <v>128</v>
      </c>
      <c r="M4505" t="s">
        <v>16</v>
      </c>
    </row>
    <row r="4506" spans="1:13" x14ac:dyDescent="0.35">
      <c r="A4506">
        <v>421300</v>
      </c>
      <c r="B4506">
        <v>38393</v>
      </c>
      <c r="C4506" t="s">
        <v>4635</v>
      </c>
      <c r="D4506" t="s">
        <v>4444</v>
      </c>
      <c r="E4506" t="s">
        <v>4453</v>
      </c>
      <c r="F4506">
        <v>2912</v>
      </c>
      <c r="G4506">
        <v>1</v>
      </c>
      <c r="H4506" t="s">
        <v>16</v>
      </c>
      <c r="I4506" s="1">
        <v>-2705100</v>
      </c>
      <c r="J4506" s="1">
        <v>-5123100</v>
      </c>
      <c r="K4506">
        <v>696</v>
      </c>
      <c r="L4506">
        <v>65</v>
      </c>
      <c r="M4506" t="s">
        <v>16</v>
      </c>
    </row>
    <row r="4507" spans="1:13" x14ac:dyDescent="0.35">
      <c r="A4507">
        <v>421310</v>
      </c>
      <c r="B4507">
        <v>38407</v>
      </c>
      <c r="C4507" t="s">
        <v>4636</v>
      </c>
      <c r="D4507" t="s">
        <v>4444</v>
      </c>
      <c r="E4507" t="s">
        <v>4461</v>
      </c>
      <c r="F4507">
        <v>4570</v>
      </c>
      <c r="G4507">
        <v>1</v>
      </c>
      <c r="H4507" t="s">
        <v>16</v>
      </c>
      <c r="I4507" s="1">
        <v>-2742000</v>
      </c>
      <c r="J4507" s="1">
        <v>-5177200</v>
      </c>
      <c r="K4507">
        <v>430</v>
      </c>
      <c r="L4507">
        <v>145</v>
      </c>
      <c r="M4507" t="s">
        <v>16</v>
      </c>
    </row>
    <row r="4508" spans="1:13" x14ac:dyDescent="0.35">
      <c r="A4508">
        <v>421315</v>
      </c>
      <c r="B4508">
        <v>51934</v>
      </c>
      <c r="C4508" t="s">
        <v>4637</v>
      </c>
      <c r="D4508" t="s">
        <v>4444</v>
      </c>
      <c r="E4508" t="s">
        <v>4455</v>
      </c>
      <c r="F4508">
        <v>2639</v>
      </c>
      <c r="G4508">
        <v>1</v>
      </c>
      <c r="H4508" t="s">
        <v>16</v>
      </c>
      <c r="I4508" s="1">
        <v>-2707000</v>
      </c>
      <c r="J4508" s="1">
        <v>-5286600</v>
      </c>
      <c r="K4508">
        <v>495</v>
      </c>
      <c r="L4508">
        <v>62</v>
      </c>
      <c r="M4508" t="s">
        <v>16</v>
      </c>
    </row>
    <row r="4509" spans="1:13" x14ac:dyDescent="0.35">
      <c r="A4509">
        <v>421320</v>
      </c>
      <c r="B4509">
        <v>38415</v>
      </c>
      <c r="C4509" t="s">
        <v>4638</v>
      </c>
      <c r="D4509" t="s">
        <v>4444</v>
      </c>
      <c r="E4509" t="s">
        <v>4470</v>
      </c>
      <c r="F4509">
        <v>25261</v>
      </c>
      <c r="G4509">
        <v>4</v>
      </c>
      <c r="H4509" t="s">
        <v>4471</v>
      </c>
      <c r="I4509" s="1">
        <v>-2674100</v>
      </c>
      <c r="J4509" s="1">
        <v>-4917700</v>
      </c>
      <c r="K4509">
        <v>85</v>
      </c>
      <c r="L4509">
        <v>215</v>
      </c>
      <c r="M4509" t="s">
        <v>16</v>
      </c>
    </row>
    <row r="4510" spans="1:13" x14ac:dyDescent="0.35">
      <c r="A4510">
        <v>421330</v>
      </c>
      <c r="B4510">
        <v>38423</v>
      </c>
      <c r="C4510" t="s">
        <v>4639</v>
      </c>
      <c r="D4510" t="s">
        <v>4444</v>
      </c>
      <c r="E4510" t="s">
        <v>4445</v>
      </c>
      <c r="F4510">
        <v>5080</v>
      </c>
      <c r="G4510">
        <v>1</v>
      </c>
      <c r="H4510" t="s">
        <v>16</v>
      </c>
      <c r="I4510" s="1">
        <v>-2748400</v>
      </c>
      <c r="J4510" s="1">
        <v>-5038000</v>
      </c>
      <c r="K4510">
        <v>856</v>
      </c>
      <c r="L4510">
        <v>566</v>
      </c>
      <c r="M4510" t="s">
        <v>16</v>
      </c>
    </row>
    <row r="4511" spans="1:13" x14ac:dyDescent="0.35">
      <c r="A4511">
        <v>421335</v>
      </c>
      <c r="B4511">
        <v>51942</v>
      </c>
      <c r="C4511" t="s">
        <v>4640</v>
      </c>
      <c r="D4511" t="s">
        <v>4444</v>
      </c>
      <c r="E4511" t="s">
        <v>4445</v>
      </c>
      <c r="F4511">
        <v>3500</v>
      </c>
      <c r="G4511">
        <v>1</v>
      </c>
      <c r="H4511" t="s">
        <v>16</v>
      </c>
      <c r="I4511" s="1">
        <v>-2715800</v>
      </c>
      <c r="J4511" s="1">
        <v>-5046400</v>
      </c>
      <c r="K4511">
        <v>962</v>
      </c>
      <c r="L4511">
        <v>400</v>
      </c>
      <c r="M4511" t="s">
        <v>16</v>
      </c>
    </row>
    <row r="4512" spans="1:13" x14ac:dyDescent="0.35">
      <c r="A4512">
        <v>421340</v>
      </c>
      <c r="B4512">
        <v>38431</v>
      </c>
      <c r="C4512" t="s">
        <v>4641</v>
      </c>
      <c r="D4512" t="s">
        <v>4444</v>
      </c>
      <c r="E4512" t="s">
        <v>4447</v>
      </c>
      <c r="F4512">
        <v>11210</v>
      </c>
      <c r="G4512">
        <v>1</v>
      </c>
      <c r="H4512" t="s">
        <v>16</v>
      </c>
      <c r="I4512" s="1">
        <v>-2687200</v>
      </c>
      <c r="J4512" s="1">
        <v>-5201600</v>
      </c>
      <c r="K4512">
        <v>798</v>
      </c>
      <c r="L4512">
        <v>564</v>
      </c>
      <c r="M4512" t="s">
        <v>16</v>
      </c>
    </row>
    <row r="4513" spans="1:13" x14ac:dyDescent="0.35">
      <c r="A4513">
        <v>421350</v>
      </c>
      <c r="B4513">
        <v>38440</v>
      </c>
      <c r="C4513" t="s">
        <v>4642</v>
      </c>
      <c r="D4513" t="s">
        <v>4444</v>
      </c>
      <c r="E4513" t="s">
        <v>4487</v>
      </c>
      <c r="F4513">
        <v>13232</v>
      </c>
      <c r="G4513">
        <v>4</v>
      </c>
      <c r="H4513" t="s">
        <v>4488</v>
      </c>
      <c r="I4513" s="1">
        <v>-2715800</v>
      </c>
      <c r="J4513" s="1">
        <v>-4855300</v>
      </c>
      <c r="K4513">
        <v>1</v>
      </c>
      <c r="L4513">
        <v>92</v>
      </c>
      <c r="M4513" t="s">
        <v>16</v>
      </c>
    </row>
    <row r="4514" spans="1:13" x14ac:dyDescent="0.35">
      <c r="A4514">
        <v>421360</v>
      </c>
      <c r="B4514">
        <v>38458</v>
      </c>
      <c r="C4514" t="s">
        <v>4643</v>
      </c>
      <c r="D4514" t="s">
        <v>4444</v>
      </c>
      <c r="E4514" t="s">
        <v>4494</v>
      </c>
      <c r="F4514">
        <v>32256</v>
      </c>
      <c r="G4514">
        <v>1</v>
      </c>
      <c r="H4514" t="s">
        <v>16</v>
      </c>
      <c r="I4514" s="1">
        <v>-2623800</v>
      </c>
      <c r="J4514" s="1">
        <v>-5107800</v>
      </c>
      <c r="K4514">
        <v>795</v>
      </c>
      <c r="L4514">
        <v>851</v>
      </c>
      <c r="M4514" t="s">
        <v>16</v>
      </c>
    </row>
    <row r="4515" spans="1:13" x14ac:dyDescent="0.35">
      <c r="A4515">
        <v>421370</v>
      </c>
      <c r="B4515">
        <v>38466</v>
      </c>
      <c r="C4515" t="s">
        <v>4644</v>
      </c>
      <c r="D4515" t="s">
        <v>4444</v>
      </c>
      <c r="E4515" t="s">
        <v>4451</v>
      </c>
      <c r="F4515">
        <v>13722</v>
      </c>
      <c r="G4515">
        <v>1</v>
      </c>
      <c r="H4515" t="s">
        <v>16</v>
      </c>
      <c r="I4515" s="1">
        <v>-2725800</v>
      </c>
      <c r="J4515" s="1">
        <v>-4993400</v>
      </c>
      <c r="K4515">
        <v>354</v>
      </c>
      <c r="L4515">
        <v>359</v>
      </c>
      <c r="M4515" t="s">
        <v>16</v>
      </c>
    </row>
    <row r="4516" spans="1:13" x14ac:dyDescent="0.35">
      <c r="A4516">
        <v>421380</v>
      </c>
      <c r="B4516">
        <v>38474</v>
      </c>
      <c r="C4516" t="s">
        <v>3895</v>
      </c>
      <c r="D4516" t="s">
        <v>4444</v>
      </c>
      <c r="E4516" t="s">
        <v>4477</v>
      </c>
      <c r="F4516">
        <v>7120</v>
      </c>
      <c r="G4516">
        <v>1</v>
      </c>
      <c r="H4516" t="s">
        <v>16</v>
      </c>
      <c r="I4516" s="1">
        <v>-2919700</v>
      </c>
      <c r="J4516" s="1">
        <v>-4995000</v>
      </c>
      <c r="K4516">
        <v>45</v>
      </c>
      <c r="L4516">
        <v>278</v>
      </c>
      <c r="M4516" t="s">
        <v>16</v>
      </c>
    </row>
    <row r="4517" spans="1:13" x14ac:dyDescent="0.35">
      <c r="A4517">
        <v>421390</v>
      </c>
      <c r="B4517">
        <v>38482</v>
      </c>
      <c r="C4517" t="s">
        <v>4645</v>
      </c>
      <c r="D4517" t="s">
        <v>4444</v>
      </c>
      <c r="E4517" t="s">
        <v>4461</v>
      </c>
      <c r="F4517">
        <v>1757</v>
      </c>
      <c r="G4517">
        <v>1</v>
      </c>
      <c r="H4517" t="s">
        <v>16</v>
      </c>
      <c r="I4517" s="1">
        <v>-2722300</v>
      </c>
      <c r="J4517" s="1">
        <v>-5180700</v>
      </c>
      <c r="K4517">
        <v>650</v>
      </c>
      <c r="L4517">
        <v>76</v>
      </c>
      <c r="M4517" t="s">
        <v>16</v>
      </c>
    </row>
    <row r="4518" spans="1:13" x14ac:dyDescent="0.35">
      <c r="A4518">
        <v>421400</v>
      </c>
      <c r="B4518">
        <v>38490</v>
      </c>
      <c r="C4518" t="s">
        <v>4646</v>
      </c>
      <c r="D4518" t="s">
        <v>4444</v>
      </c>
      <c r="E4518" t="s">
        <v>4451</v>
      </c>
      <c r="F4518">
        <v>13651</v>
      </c>
      <c r="G4518">
        <v>1</v>
      </c>
      <c r="H4518" t="s">
        <v>16</v>
      </c>
      <c r="I4518" s="1">
        <v>-2705100</v>
      </c>
      <c r="J4518" s="1">
        <v>-4962300</v>
      </c>
      <c r="K4518">
        <v>255</v>
      </c>
      <c r="L4518">
        <v>295</v>
      </c>
      <c r="M4518" t="s">
        <v>16</v>
      </c>
    </row>
    <row r="4519" spans="1:13" x14ac:dyDescent="0.35">
      <c r="A4519">
        <v>421410</v>
      </c>
      <c r="B4519">
        <v>38504</v>
      </c>
      <c r="C4519" t="s">
        <v>4647</v>
      </c>
      <c r="D4519" t="s">
        <v>4444</v>
      </c>
      <c r="E4519" t="s">
        <v>4451</v>
      </c>
      <c r="F4519">
        <v>2259</v>
      </c>
      <c r="G4519">
        <v>1</v>
      </c>
      <c r="H4519" t="s">
        <v>16</v>
      </c>
      <c r="I4519" s="1">
        <v>-2727700</v>
      </c>
      <c r="J4519" s="1">
        <v>-4939000</v>
      </c>
      <c r="K4519">
        <v>390</v>
      </c>
      <c r="L4519">
        <v>224</v>
      </c>
      <c r="M4519" t="s">
        <v>16</v>
      </c>
    </row>
    <row r="4520" spans="1:13" x14ac:dyDescent="0.35">
      <c r="A4520">
        <v>421415</v>
      </c>
      <c r="B4520">
        <v>58599</v>
      </c>
      <c r="C4520" t="s">
        <v>4648</v>
      </c>
      <c r="D4520" t="s">
        <v>4444</v>
      </c>
      <c r="E4520" t="s">
        <v>4462</v>
      </c>
      <c r="F4520">
        <v>2604</v>
      </c>
      <c r="G4520">
        <v>1</v>
      </c>
      <c r="H4520" t="s">
        <v>16</v>
      </c>
      <c r="I4520" s="1">
        <v>-2644200</v>
      </c>
      <c r="J4520" s="1">
        <v>-5359800</v>
      </c>
      <c r="K4520">
        <v>588</v>
      </c>
      <c r="L4520">
        <v>86</v>
      </c>
      <c r="M4520" t="s">
        <v>16</v>
      </c>
    </row>
    <row r="4521" spans="1:13" x14ac:dyDescent="0.35">
      <c r="A4521">
        <v>421420</v>
      </c>
      <c r="B4521">
        <v>38512</v>
      </c>
      <c r="C4521" t="s">
        <v>4649</v>
      </c>
      <c r="D4521" t="s">
        <v>4444</v>
      </c>
      <c r="E4521" t="s">
        <v>4455</v>
      </c>
      <c r="F4521">
        <v>10871</v>
      </c>
      <c r="G4521">
        <v>1</v>
      </c>
      <c r="H4521" t="s">
        <v>16</v>
      </c>
      <c r="I4521" s="1">
        <v>-2672600</v>
      </c>
      <c r="J4521" s="1">
        <v>-5272100</v>
      </c>
      <c r="K4521">
        <v>425</v>
      </c>
      <c r="L4521">
        <v>279</v>
      </c>
      <c r="M4521" t="s">
        <v>16</v>
      </c>
    </row>
    <row r="4522" spans="1:13" x14ac:dyDescent="0.35">
      <c r="A4522">
        <v>421430</v>
      </c>
      <c r="B4522">
        <v>38520</v>
      </c>
      <c r="C4522" t="s">
        <v>4650</v>
      </c>
      <c r="D4522" t="s">
        <v>4444</v>
      </c>
      <c r="E4522" t="s">
        <v>3184</v>
      </c>
      <c r="F4522">
        <v>2772</v>
      </c>
      <c r="G4522">
        <v>4</v>
      </c>
      <c r="H4522" t="s">
        <v>4458</v>
      </c>
      <c r="I4522" s="1">
        <v>-2767300</v>
      </c>
      <c r="J4522" s="1">
        <v>-4902200</v>
      </c>
      <c r="K4522">
        <v>810</v>
      </c>
      <c r="L4522">
        <v>286</v>
      </c>
      <c r="M4522" t="s">
        <v>16</v>
      </c>
    </row>
    <row r="4523" spans="1:13" x14ac:dyDescent="0.35">
      <c r="A4523">
        <v>421440</v>
      </c>
      <c r="B4523">
        <v>38539</v>
      </c>
      <c r="C4523" t="s">
        <v>4651</v>
      </c>
      <c r="D4523" t="s">
        <v>4444</v>
      </c>
      <c r="E4523" t="s">
        <v>4453</v>
      </c>
      <c r="F4523">
        <v>6054</v>
      </c>
      <c r="G4523">
        <v>1</v>
      </c>
      <c r="H4523" t="s">
        <v>16</v>
      </c>
      <c r="I4523" s="1">
        <v>-2689900</v>
      </c>
      <c r="J4523" s="1">
        <v>-5107400</v>
      </c>
      <c r="K4523">
        <v>830</v>
      </c>
      <c r="L4523">
        <v>317</v>
      </c>
      <c r="M4523" t="s">
        <v>16</v>
      </c>
    </row>
    <row r="4524" spans="1:13" x14ac:dyDescent="0.35">
      <c r="A4524">
        <v>421450</v>
      </c>
      <c r="B4524">
        <v>38547</v>
      </c>
      <c r="C4524" t="s">
        <v>4652</v>
      </c>
      <c r="D4524" t="s">
        <v>4444</v>
      </c>
      <c r="E4524" t="s">
        <v>4451</v>
      </c>
      <c r="F4524">
        <v>6042</v>
      </c>
      <c r="G4524">
        <v>1</v>
      </c>
      <c r="H4524" t="s">
        <v>16</v>
      </c>
      <c r="I4524" s="1">
        <v>-2694900</v>
      </c>
      <c r="J4524" s="1">
        <v>-5014100</v>
      </c>
      <c r="K4524">
        <v>570</v>
      </c>
      <c r="L4524">
        <v>506</v>
      </c>
      <c r="M4524" t="s">
        <v>16</v>
      </c>
    </row>
    <row r="4525" spans="1:13" x14ac:dyDescent="0.35">
      <c r="A4525">
        <v>421460</v>
      </c>
      <c r="B4525">
        <v>38555</v>
      </c>
      <c r="C4525" t="s">
        <v>4653</v>
      </c>
      <c r="D4525" t="s">
        <v>4444</v>
      </c>
      <c r="E4525" t="s">
        <v>4451</v>
      </c>
      <c r="F4525">
        <v>6795</v>
      </c>
      <c r="G4525">
        <v>1</v>
      </c>
      <c r="H4525" t="s">
        <v>16</v>
      </c>
      <c r="I4525" s="1">
        <v>-2719300</v>
      </c>
      <c r="J4525" s="1">
        <v>-4979700</v>
      </c>
      <c r="K4525">
        <v>350</v>
      </c>
      <c r="L4525">
        <v>245</v>
      </c>
      <c r="M4525" t="s">
        <v>16</v>
      </c>
    </row>
    <row r="4526" spans="1:13" x14ac:dyDescent="0.35">
      <c r="A4526">
        <v>421470</v>
      </c>
      <c r="B4526">
        <v>38563</v>
      </c>
      <c r="C4526" t="s">
        <v>4654</v>
      </c>
      <c r="D4526" t="s">
        <v>4444</v>
      </c>
      <c r="E4526" t="s">
        <v>4470</v>
      </c>
      <c r="F4526">
        <v>9685</v>
      </c>
      <c r="G4526">
        <v>4</v>
      </c>
      <c r="H4526" t="s">
        <v>4471</v>
      </c>
      <c r="I4526" s="1">
        <v>-2673800</v>
      </c>
      <c r="J4526" s="1">
        <v>-4927400</v>
      </c>
      <c r="K4526">
        <v>85</v>
      </c>
      <c r="L4526">
        <v>555</v>
      </c>
      <c r="M4526" t="s">
        <v>16</v>
      </c>
    </row>
    <row r="4527" spans="1:13" x14ac:dyDescent="0.35">
      <c r="A4527">
        <v>421480</v>
      </c>
      <c r="B4527">
        <v>38571</v>
      </c>
      <c r="C4527" t="s">
        <v>4451</v>
      </c>
      <c r="D4527" t="s">
        <v>4444</v>
      </c>
      <c r="E4527" t="s">
        <v>4451</v>
      </c>
      <c r="F4527">
        <v>56919</v>
      </c>
      <c r="G4527">
        <v>2</v>
      </c>
      <c r="H4527" t="s">
        <v>16</v>
      </c>
      <c r="I4527" s="1">
        <v>-2721400</v>
      </c>
      <c r="J4527" s="1">
        <v>-4964300</v>
      </c>
      <c r="K4527">
        <v>341</v>
      </c>
      <c r="L4527">
        <v>258</v>
      </c>
      <c r="M4527" t="s">
        <v>16</v>
      </c>
    </row>
    <row r="4528" spans="1:13" x14ac:dyDescent="0.35">
      <c r="A4528">
        <v>421490</v>
      </c>
      <c r="B4528">
        <v>38580</v>
      </c>
      <c r="C4528" t="s">
        <v>4655</v>
      </c>
      <c r="D4528" t="s">
        <v>4444</v>
      </c>
      <c r="E4528" t="s">
        <v>4479</v>
      </c>
      <c r="F4528">
        <v>4468</v>
      </c>
      <c r="G4528">
        <v>4</v>
      </c>
      <c r="H4528" t="s">
        <v>4480</v>
      </c>
      <c r="I4528" s="1">
        <v>-2813100</v>
      </c>
      <c r="J4528" s="1">
        <v>-4910500</v>
      </c>
      <c r="K4528">
        <v>130</v>
      </c>
      <c r="L4528">
        <v>300</v>
      </c>
      <c r="M4528" t="s">
        <v>16</v>
      </c>
    </row>
    <row r="4529" spans="1:13" x14ac:dyDescent="0.35">
      <c r="A4529">
        <v>421500</v>
      </c>
      <c r="B4529">
        <v>38598</v>
      </c>
      <c r="C4529" t="s">
        <v>4656</v>
      </c>
      <c r="D4529" t="s">
        <v>4444</v>
      </c>
      <c r="E4529" t="s">
        <v>4512</v>
      </c>
      <c r="F4529">
        <v>42237</v>
      </c>
      <c r="G4529">
        <v>4</v>
      </c>
      <c r="H4529" t="s">
        <v>4475</v>
      </c>
      <c r="I4529" s="1">
        <v>-2625400</v>
      </c>
      <c r="J4529" s="1">
        <v>-4951800</v>
      </c>
      <c r="K4529">
        <v>790</v>
      </c>
      <c r="L4529">
        <v>908</v>
      </c>
      <c r="M4529" t="s">
        <v>16</v>
      </c>
    </row>
    <row r="4530" spans="1:13" x14ac:dyDescent="0.35">
      <c r="A4530">
        <v>421505</v>
      </c>
      <c r="B4530">
        <v>51950</v>
      </c>
      <c r="C4530" t="s">
        <v>4657</v>
      </c>
      <c r="D4530" t="s">
        <v>4444</v>
      </c>
      <c r="E4530" t="s">
        <v>4466</v>
      </c>
      <c r="F4530">
        <v>2433</v>
      </c>
      <c r="G4530">
        <v>1</v>
      </c>
      <c r="H4530" t="s">
        <v>16</v>
      </c>
      <c r="I4530" s="1">
        <v>-2786100</v>
      </c>
      <c r="J4530" s="1">
        <v>-4977900</v>
      </c>
      <c r="K4530">
        <v>860</v>
      </c>
      <c r="L4530">
        <v>282</v>
      </c>
      <c r="M4530" t="s">
        <v>16</v>
      </c>
    </row>
    <row r="4531" spans="1:13" x14ac:dyDescent="0.35">
      <c r="A4531">
        <v>421507</v>
      </c>
      <c r="B4531">
        <v>51969</v>
      </c>
      <c r="C4531" t="s">
        <v>4658</v>
      </c>
      <c r="D4531" t="s">
        <v>4444</v>
      </c>
      <c r="E4531" t="s">
        <v>4462</v>
      </c>
      <c r="F4531">
        <v>4998</v>
      </c>
      <c r="G4531">
        <v>1</v>
      </c>
      <c r="H4531" t="s">
        <v>16</v>
      </c>
      <c r="I4531" s="1">
        <v>-2706700</v>
      </c>
      <c r="J4531" s="1">
        <v>-5332200</v>
      </c>
      <c r="K4531">
        <v>236</v>
      </c>
      <c r="L4531">
        <v>190</v>
      </c>
      <c r="M4531" t="s">
        <v>16</v>
      </c>
    </row>
    <row r="4532" spans="1:13" x14ac:dyDescent="0.35">
      <c r="A4532">
        <v>421510</v>
      </c>
      <c r="B4532">
        <v>38601</v>
      </c>
      <c r="C4532" t="s">
        <v>4659</v>
      </c>
      <c r="D4532" t="s">
        <v>4444</v>
      </c>
      <c r="E4532" t="s">
        <v>4470</v>
      </c>
      <c r="F4532">
        <v>10773</v>
      </c>
      <c r="G4532">
        <v>4</v>
      </c>
      <c r="H4532" t="s">
        <v>4471</v>
      </c>
      <c r="I4532" s="1">
        <v>-2692300</v>
      </c>
      <c r="J4532" s="1">
        <v>-4936600</v>
      </c>
      <c r="K4532">
        <v>106</v>
      </c>
      <c r="L4532">
        <v>130</v>
      </c>
      <c r="M4532" t="s">
        <v>16</v>
      </c>
    </row>
    <row r="4533" spans="1:13" x14ac:dyDescent="0.35">
      <c r="A4533">
        <v>421520</v>
      </c>
      <c r="B4533">
        <v>38610</v>
      </c>
      <c r="C4533" t="s">
        <v>4660</v>
      </c>
      <c r="D4533" t="s">
        <v>4444</v>
      </c>
      <c r="E4533" t="s">
        <v>4462</v>
      </c>
      <c r="F4533">
        <v>5738</v>
      </c>
      <c r="G4533">
        <v>1</v>
      </c>
      <c r="H4533" t="s">
        <v>16</v>
      </c>
      <c r="I4533" s="1">
        <v>-2667600</v>
      </c>
      <c r="J4533" s="1">
        <v>-5331400</v>
      </c>
      <c r="K4533">
        <v>425</v>
      </c>
      <c r="L4533">
        <v>223</v>
      </c>
      <c r="M4533" t="s">
        <v>16</v>
      </c>
    </row>
    <row r="4534" spans="1:13" x14ac:dyDescent="0.35">
      <c r="A4534">
        <v>421530</v>
      </c>
      <c r="B4534">
        <v>38628</v>
      </c>
      <c r="C4534" t="s">
        <v>4661</v>
      </c>
      <c r="D4534" t="s">
        <v>4444</v>
      </c>
      <c r="E4534" t="s">
        <v>4451</v>
      </c>
      <c r="F4534">
        <v>7432</v>
      </c>
      <c r="G4534">
        <v>1</v>
      </c>
      <c r="H4534" t="s">
        <v>16</v>
      </c>
      <c r="I4534" s="1">
        <v>-2698000</v>
      </c>
      <c r="J4534" s="1">
        <v>-5000000</v>
      </c>
      <c r="K4534">
        <v>500</v>
      </c>
      <c r="L4534">
        <v>179</v>
      </c>
      <c r="M4534" t="s">
        <v>16</v>
      </c>
    </row>
    <row r="4535" spans="1:13" x14ac:dyDescent="0.35">
      <c r="A4535">
        <v>421535</v>
      </c>
      <c r="B4535">
        <v>58602</v>
      </c>
      <c r="C4535" t="s">
        <v>3938</v>
      </c>
      <c r="D4535" t="s">
        <v>4444</v>
      </c>
      <c r="E4535" t="s">
        <v>4455</v>
      </c>
      <c r="F4535">
        <v>4072</v>
      </c>
      <c r="G4535">
        <v>1</v>
      </c>
      <c r="H4535" t="s">
        <v>16</v>
      </c>
      <c r="I4535" s="1">
        <v>-2660900</v>
      </c>
      <c r="J4535" s="1">
        <v>-5305600</v>
      </c>
      <c r="K4535">
        <v>620</v>
      </c>
      <c r="L4535">
        <v>156</v>
      </c>
      <c r="M4535" t="s">
        <v>16</v>
      </c>
    </row>
    <row r="4536" spans="1:13" x14ac:dyDescent="0.35">
      <c r="A4536">
        <v>421540</v>
      </c>
      <c r="B4536">
        <v>38636</v>
      </c>
      <c r="C4536" t="s">
        <v>4662</v>
      </c>
      <c r="D4536" t="s">
        <v>4444</v>
      </c>
      <c r="E4536" t="s">
        <v>4453</v>
      </c>
      <c r="F4536">
        <v>4172</v>
      </c>
      <c r="G4536">
        <v>1</v>
      </c>
      <c r="H4536" t="s">
        <v>16</v>
      </c>
      <c r="I4536" s="1">
        <v>-2690500</v>
      </c>
      <c r="J4536" s="1">
        <v>-5140600</v>
      </c>
      <c r="K4536">
        <v>820</v>
      </c>
      <c r="L4536">
        <v>105</v>
      </c>
      <c r="M4536" t="s">
        <v>16</v>
      </c>
    </row>
    <row r="4537" spans="1:13" x14ac:dyDescent="0.35">
      <c r="A4537">
        <v>421545</v>
      </c>
      <c r="B4537">
        <v>51977</v>
      </c>
      <c r="C4537" t="s">
        <v>4663</v>
      </c>
      <c r="D4537" t="s">
        <v>4444</v>
      </c>
      <c r="E4537" t="s">
        <v>4479</v>
      </c>
      <c r="F4537">
        <v>10300</v>
      </c>
      <c r="G4537">
        <v>4</v>
      </c>
      <c r="H4537" t="s">
        <v>4480</v>
      </c>
      <c r="I4537" s="1">
        <v>-2863800</v>
      </c>
      <c r="J4537" s="1">
        <v>-4912900</v>
      </c>
      <c r="K4537">
        <v>50</v>
      </c>
      <c r="L4537">
        <v>83</v>
      </c>
      <c r="M4537" t="s">
        <v>16</v>
      </c>
    </row>
    <row r="4538" spans="1:13" x14ac:dyDescent="0.35">
      <c r="A4538">
        <v>421550</v>
      </c>
      <c r="B4538">
        <v>38644</v>
      </c>
      <c r="C4538" t="s">
        <v>1561</v>
      </c>
      <c r="D4538" t="s">
        <v>4444</v>
      </c>
      <c r="E4538" t="s">
        <v>4445</v>
      </c>
      <c r="F4538">
        <v>15311</v>
      </c>
      <c r="G4538">
        <v>1</v>
      </c>
      <c r="H4538" t="s">
        <v>16</v>
      </c>
      <c r="I4538" s="1">
        <v>-2696100</v>
      </c>
      <c r="J4538" s="1">
        <v>-5042700</v>
      </c>
      <c r="K4538">
        <v>1100</v>
      </c>
      <c r="L4538">
        <v>1145</v>
      </c>
      <c r="M4538" t="s">
        <v>16</v>
      </c>
    </row>
    <row r="4539" spans="1:13" x14ac:dyDescent="0.35">
      <c r="A4539">
        <v>421555</v>
      </c>
      <c r="B4539">
        <v>51985</v>
      </c>
      <c r="C4539" t="s">
        <v>718</v>
      </c>
      <c r="D4539" t="s">
        <v>4444</v>
      </c>
      <c r="E4539" t="s">
        <v>4462</v>
      </c>
      <c r="F4539">
        <v>2437</v>
      </c>
      <c r="G4539">
        <v>1</v>
      </c>
      <c r="H4539" t="s">
        <v>16</v>
      </c>
      <c r="I4539" s="1">
        <v>-2693800</v>
      </c>
      <c r="J4539" s="1">
        <v>-5361900</v>
      </c>
      <c r="K4539">
        <v>530</v>
      </c>
      <c r="L4539">
        <v>80</v>
      </c>
      <c r="M4539" t="s">
        <v>16</v>
      </c>
    </row>
    <row r="4540" spans="1:13" x14ac:dyDescent="0.35">
      <c r="A4540">
        <v>421560</v>
      </c>
      <c r="B4540">
        <v>38652</v>
      </c>
      <c r="C4540" t="s">
        <v>1961</v>
      </c>
      <c r="D4540" t="s">
        <v>4444</v>
      </c>
      <c r="E4540" t="s">
        <v>4479</v>
      </c>
      <c r="F4540">
        <v>2031</v>
      </c>
      <c r="G4540">
        <v>4</v>
      </c>
      <c r="H4540" t="s">
        <v>4480</v>
      </c>
      <c r="I4540" s="1">
        <v>-2803900</v>
      </c>
      <c r="J4540" s="1">
        <v>-4912800</v>
      </c>
      <c r="K4540">
        <v>240</v>
      </c>
      <c r="L4540">
        <v>202</v>
      </c>
      <c r="M4540" t="s">
        <v>16</v>
      </c>
    </row>
    <row r="4541" spans="1:13" x14ac:dyDescent="0.35">
      <c r="A4541">
        <v>421565</v>
      </c>
      <c r="B4541">
        <v>47430</v>
      </c>
      <c r="C4541" t="s">
        <v>4664</v>
      </c>
      <c r="D4541" t="s">
        <v>4444</v>
      </c>
      <c r="E4541" t="s">
        <v>4477</v>
      </c>
      <c r="F4541">
        <v>7949</v>
      </c>
      <c r="G4541">
        <v>1</v>
      </c>
      <c r="H4541" t="s">
        <v>16</v>
      </c>
      <c r="I4541" s="1">
        <v>-2913600</v>
      </c>
      <c r="J4541" s="1">
        <v>-4970000</v>
      </c>
      <c r="K4541">
        <v>30</v>
      </c>
      <c r="L4541">
        <v>151</v>
      </c>
      <c r="M4541" t="s">
        <v>16</v>
      </c>
    </row>
    <row r="4542" spans="1:13" x14ac:dyDescent="0.35">
      <c r="A4542">
        <v>421567</v>
      </c>
      <c r="B4542">
        <v>51993</v>
      </c>
      <c r="C4542" t="s">
        <v>1754</v>
      </c>
      <c r="D4542" t="s">
        <v>4444</v>
      </c>
      <c r="E4542" t="s">
        <v>4494</v>
      </c>
      <c r="F4542">
        <v>9025</v>
      </c>
      <c r="G4542">
        <v>1</v>
      </c>
      <c r="H4542" t="s">
        <v>16</v>
      </c>
      <c r="I4542" s="1">
        <v>-2677900</v>
      </c>
      <c r="J4542" s="1">
        <v>-5000800</v>
      </c>
      <c r="K4542">
        <v>610</v>
      </c>
      <c r="L4542">
        <v>716</v>
      </c>
      <c r="M4542" t="s">
        <v>16</v>
      </c>
    </row>
    <row r="4543" spans="1:13" x14ac:dyDescent="0.35">
      <c r="A4543">
        <v>421568</v>
      </c>
      <c r="B4543">
        <v>58610</v>
      </c>
      <c r="C4543" t="s">
        <v>4665</v>
      </c>
      <c r="D4543" t="s">
        <v>4444</v>
      </c>
      <c r="E4543" t="s">
        <v>4455</v>
      </c>
      <c r="F4543">
        <v>3044</v>
      </c>
      <c r="G4543">
        <v>1</v>
      </c>
      <c r="H4543" t="s">
        <v>16</v>
      </c>
      <c r="I4543" s="1">
        <v>-2661900</v>
      </c>
      <c r="J4543" s="1">
        <v>-5320200</v>
      </c>
      <c r="K4543">
        <v>400</v>
      </c>
      <c r="L4543">
        <v>118</v>
      </c>
      <c r="M4543" t="s">
        <v>16</v>
      </c>
    </row>
    <row r="4544" spans="1:13" x14ac:dyDescent="0.35">
      <c r="A4544">
        <v>421569</v>
      </c>
      <c r="B4544">
        <v>58629</v>
      </c>
      <c r="C4544" t="s">
        <v>4666</v>
      </c>
      <c r="D4544" t="s">
        <v>4444</v>
      </c>
      <c r="E4544" t="s">
        <v>4455</v>
      </c>
      <c r="F4544">
        <v>1450</v>
      </c>
      <c r="G4544">
        <v>1</v>
      </c>
      <c r="H4544" t="s">
        <v>16</v>
      </c>
      <c r="I4544" s="1">
        <v>-2663900</v>
      </c>
      <c r="J4544" s="1">
        <v>-5268500</v>
      </c>
      <c r="K4544">
        <v>450</v>
      </c>
      <c r="L4544">
        <v>73</v>
      </c>
      <c r="M4544" t="s">
        <v>16</v>
      </c>
    </row>
    <row r="4545" spans="1:13" x14ac:dyDescent="0.35">
      <c r="A4545">
        <v>421570</v>
      </c>
      <c r="B4545">
        <v>38660</v>
      </c>
      <c r="C4545" t="s">
        <v>4667</v>
      </c>
      <c r="D4545" t="s">
        <v>4444</v>
      </c>
      <c r="E4545" t="s">
        <v>4468</v>
      </c>
      <c r="F4545">
        <v>17602</v>
      </c>
      <c r="G4545">
        <v>4</v>
      </c>
      <c r="H4545" t="s">
        <v>4458</v>
      </c>
      <c r="I4545" s="1">
        <v>-2768800</v>
      </c>
      <c r="J4545" s="1">
        <v>-4877900</v>
      </c>
      <c r="K4545">
        <v>18</v>
      </c>
      <c r="L4545">
        <v>310</v>
      </c>
      <c r="M4545" t="s">
        <v>16</v>
      </c>
    </row>
    <row r="4546" spans="1:13" x14ac:dyDescent="0.35">
      <c r="A4546">
        <v>421575</v>
      </c>
      <c r="B4546">
        <v>58637</v>
      </c>
      <c r="C4546" t="s">
        <v>4668</v>
      </c>
      <c r="D4546" t="s">
        <v>4444</v>
      </c>
      <c r="E4546" t="s">
        <v>4455</v>
      </c>
      <c r="F4546">
        <v>2653</v>
      </c>
      <c r="G4546">
        <v>1</v>
      </c>
      <c r="H4546" t="s">
        <v>16</v>
      </c>
      <c r="I4546" s="1">
        <v>-2647500</v>
      </c>
      <c r="J4546" s="1">
        <v>-5296400</v>
      </c>
      <c r="K4546">
        <v>540</v>
      </c>
      <c r="L4546">
        <v>144</v>
      </c>
      <c r="M4546" t="s">
        <v>16</v>
      </c>
    </row>
    <row r="4547" spans="1:13" x14ac:dyDescent="0.35">
      <c r="A4547">
        <v>421580</v>
      </c>
      <c r="B4547">
        <v>38679</v>
      </c>
      <c r="C4547" t="s">
        <v>4669</v>
      </c>
      <c r="D4547" t="s">
        <v>4444</v>
      </c>
      <c r="E4547" t="s">
        <v>4512</v>
      </c>
      <c r="F4547">
        <v>72548</v>
      </c>
      <c r="G4547">
        <v>4</v>
      </c>
      <c r="H4547" t="s">
        <v>4475</v>
      </c>
      <c r="I4547" s="1">
        <v>-2625000</v>
      </c>
      <c r="J4547" s="1">
        <v>-4937900</v>
      </c>
      <c r="K4547">
        <v>838</v>
      </c>
      <c r="L4547">
        <v>495</v>
      </c>
      <c r="M4547" t="s">
        <v>16</v>
      </c>
    </row>
    <row r="4548" spans="1:13" x14ac:dyDescent="0.35">
      <c r="A4548">
        <v>421590</v>
      </c>
      <c r="B4548">
        <v>38687</v>
      </c>
      <c r="C4548" t="s">
        <v>4670</v>
      </c>
      <c r="D4548" t="s">
        <v>4444</v>
      </c>
      <c r="E4548" t="s">
        <v>3184</v>
      </c>
      <c r="F4548">
        <v>3178</v>
      </c>
      <c r="G4548">
        <v>4</v>
      </c>
      <c r="H4548" t="s">
        <v>4458</v>
      </c>
      <c r="I4548" s="1">
        <v>-2790100</v>
      </c>
      <c r="J4548" s="1">
        <v>-4892900</v>
      </c>
      <c r="K4548">
        <v>410</v>
      </c>
      <c r="L4548">
        <v>461</v>
      </c>
      <c r="M4548" t="s">
        <v>16</v>
      </c>
    </row>
    <row r="4549" spans="1:13" x14ac:dyDescent="0.35">
      <c r="A4549">
        <v>421600</v>
      </c>
      <c r="B4549">
        <v>38695</v>
      </c>
      <c r="C4549" t="s">
        <v>3976</v>
      </c>
      <c r="D4549" t="s">
        <v>4444</v>
      </c>
      <c r="E4549" t="s">
        <v>4455</v>
      </c>
      <c r="F4549">
        <v>10372</v>
      </c>
      <c r="G4549">
        <v>1</v>
      </c>
      <c r="H4549" t="s">
        <v>16</v>
      </c>
      <c r="I4549" s="1">
        <v>-2707800</v>
      </c>
      <c r="J4549" s="1">
        <v>-5300400</v>
      </c>
      <c r="K4549">
        <v>264</v>
      </c>
      <c r="L4549">
        <v>158</v>
      </c>
      <c r="M4549" t="s">
        <v>16</v>
      </c>
    </row>
    <row r="4550" spans="1:13" x14ac:dyDescent="0.35">
      <c r="A4550">
        <v>421605</v>
      </c>
      <c r="B4550">
        <v>52000</v>
      </c>
      <c r="C4550" t="s">
        <v>4671</v>
      </c>
      <c r="D4550" t="s">
        <v>4444</v>
      </c>
      <c r="E4550" t="s">
        <v>4445</v>
      </c>
      <c r="F4550">
        <v>4850</v>
      </c>
      <c r="G4550">
        <v>1</v>
      </c>
      <c r="H4550" t="s">
        <v>16</v>
      </c>
      <c r="I4550" s="1">
        <v>-2726700</v>
      </c>
      <c r="J4550" s="1">
        <v>-5044100</v>
      </c>
      <c r="K4550">
        <v>1025</v>
      </c>
      <c r="L4550">
        <v>348</v>
      </c>
      <c r="M4550" t="s">
        <v>16</v>
      </c>
    </row>
    <row r="4551" spans="1:13" x14ac:dyDescent="0.35">
      <c r="A4551">
        <v>421610</v>
      </c>
      <c r="B4551">
        <v>38709</v>
      </c>
      <c r="C4551" t="s">
        <v>1964</v>
      </c>
      <c r="D4551" t="s">
        <v>4444</v>
      </c>
      <c r="E4551" t="s">
        <v>4447</v>
      </c>
      <c r="F4551">
        <v>9346</v>
      </c>
      <c r="G4551">
        <v>1</v>
      </c>
      <c r="H4551" t="s">
        <v>16</v>
      </c>
      <c r="I4551" s="1">
        <v>-2655800</v>
      </c>
      <c r="J4551" s="1">
        <v>-5253200</v>
      </c>
      <c r="K4551">
        <v>635</v>
      </c>
      <c r="L4551">
        <v>383</v>
      </c>
      <c r="M4551" t="s">
        <v>16</v>
      </c>
    </row>
    <row r="4552" spans="1:13" x14ac:dyDescent="0.35">
      <c r="A4552">
        <v>421620</v>
      </c>
      <c r="B4552">
        <v>38717</v>
      </c>
      <c r="C4552" t="s">
        <v>4672</v>
      </c>
      <c r="D4552" t="s">
        <v>4444</v>
      </c>
      <c r="E4552" t="s">
        <v>4474</v>
      </c>
      <c r="F4552">
        <v>37613</v>
      </c>
      <c r="G4552">
        <v>4</v>
      </c>
      <c r="H4552" t="s">
        <v>4475</v>
      </c>
      <c r="I4552" s="1">
        <v>-2624300</v>
      </c>
      <c r="J4552" s="1">
        <v>-4863800</v>
      </c>
      <c r="K4552">
        <v>9</v>
      </c>
      <c r="L4552">
        <v>492</v>
      </c>
      <c r="M4552" t="s">
        <v>16</v>
      </c>
    </row>
    <row r="4553" spans="1:13" x14ac:dyDescent="0.35">
      <c r="A4553">
        <v>421625</v>
      </c>
      <c r="B4553">
        <v>53635</v>
      </c>
      <c r="C4553" t="s">
        <v>4673</v>
      </c>
      <c r="D4553" t="s">
        <v>4444</v>
      </c>
      <c r="E4553" t="s">
        <v>4462</v>
      </c>
      <c r="F4553">
        <v>6020</v>
      </c>
      <c r="G4553">
        <v>1</v>
      </c>
      <c r="H4553" t="s">
        <v>16</v>
      </c>
      <c r="I4553" s="1">
        <v>-2709800</v>
      </c>
      <c r="J4553" s="1">
        <v>-5359400</v>
      </c>
      <c r="K4553">
        <v>320</v>
      </c>
      <c r="L4553">
        <v>163</v>
      </c>
      <c r="M4553" t="s">
        <v>16</v>
      </c>
    </row>
    <row r="4554" spans="1:13" x14ac:dyDescent="0.35">
      <c r="A4554">
        <v>421630</v>
      </c>
      <c r="B4554">
        <v>38725</v>
      </c>
      <c r="C4554" t="s">
        <v>735</v>
      </c>
      <c r="D4554" t="s">
        <v>4444</v>
      </c>
      <c r="E4554" t="s">
        <v>4464</v>
      </c>
      <c r="F4554">
        <v>22089</v>
      </c>
      <c r="G4554">
        <v>4</v>
      </c>
      <c r="H4554" t="s">
        <v>4458</v>
      </c>
      <c r="I4554" s="1">
        <v>-2727600</v>
      </c>
      <c r="J4554" s="1">
        <v>-4884900</v>
      </c>
      <c r="K4554">
        <v>30</v>
      </c>
      <c r="L4554">
        <v>220</v>
      </c>
      <c r="M4554" t="s">
        <v>16</v>
      </c>
    </row>
    <row r="4555" spans="1:13" x14ac:dyDescent="0.35">
      <c r="A4555">
        <v>421635</v>
      </c>
      <c r="B4555">
        <v>52027</v>
      </c>
      <c r="C4555" t="s">
        <v>4674</v>
      </c>
      <c r="D4555" t="s">
        <v>4444</v>
      </c>
      <c r="E4555" t="s">
        <v>4487</v>
      </c>
      <c r="F4555">
        <v>3289</v>
      </c>
      <c r="G4555">
        <v>4</v>
      </c>
      <c r="H4555" t="s">
        <v>4475</v>
      </c>
      <c r="I4555" s="1">
        <v>-2661800</v>
      </c>
      <c r="J4555" s="1">
        <v>-4876800</v>
      </c>
      <c r="K4555">
        <v>33</v>
      </c>
      <c r="L4555">
        <v>151</v>
      </c>
      <c r="M4555" t="s">
        <v>16</v>
      </c>
    </row>
    <row r="4556" spans="1:13" x14ac:dyDescent="0.35">
      <c r="A4556">
        <v>421640</v>
      </c>
      <c r="B4556">
        <v>38733</v>
      </c>
      <c r="C4556" t="s">
        <v>4675</v>
      </c>
      <c r="D4556" t="s">
        <v>4444</v>
      </c>
      <c r="E4556" t="s">
        <v>4477</v>
      </c>
      <c r="F4556">
        <v>6916</v>
      </c>
      <c r="G4556">
        <v>1</v>
      </c>
      <c r="H4556" t="s">
        <v>16</v>
      </c>
      <c r="I4556" s="1">
        <v>-2922300</v>
      </c>
      <c r="J4556" s="1">
        <v>-4981000</v>
      </c>
      <c r="K4556">
        <v>15</v>
      </c>
      <c r="L4556">
        <v>182</v>
      </c>
      <c r="M4556" t="s">
        <v>16</v>
      </c>
    </row>
    <row r="4557" spans="1:13" x14ac:dyDescent="0.35">
      <c r="A4557">
        <v>421650</v>
      </c>
      <c r="B4557">
        <v>38741</v>
      </c>
      <c r="C4557" t="s">
        <v>4676</v>
      </c>
      <c r="D4557" t="s">
        <v>4444</v>
      </c>
      <c r="E4557" t="s">
        <v>4466</v>
      </c>
      <c r="F4557">
        <v>24058</v>
      </c>
      <c r="G4557">
        <v>1</v>
      </c>
      <c r="H4557" t="s">
        <v>16</v>
      </c>
      <c r="I4557" s="1">
        <v>-2829400</v>
      </c>
      <c r="J4557" s="1">
        <v>-4993200</v>
      </c>
      <c r="K4557">
        <v>1353</v>
      </c>
      <c r="L4557">
        <v>1885</v>
      </c>
      <c r="M4557" t="s">
        <v>16</v>
      </c>
    </row>
    <row r="4558" spans="1:13" x14ac:dyDescent="0.35">
      <c r="A4558">
        <v>421660</v>
      </c>
      <c r="B4558">
        <v>38750</v>
      </c>
      <c r="C4558" t="s">
        <v>4677</v>
      </c>
      <c r="D4558" t="s">
        <v>4444</v>
      </c>
      <c r="E4558" t="s">
        <v>4468</v>
      </c>
      <c r="F4558">
        <v>196887</v>
      </c>
      <c r="G4558">
        <v>4</v>
      </c>
      <c r="H4558" t="s">
        <v>4458</v>
      </c>
      <c r="I4558" s="1">
        <v>-2761500</v>
      </c>
      <c r="J4558" s="1">
        <v>-4862800</v>
      </c>
      <c r="K4558">
        <v>8</v>
      </c>
      <c r="L4558">
        <v>113</v>
      </c>
      <c r="M4558" t="s">
        <v>16</v>
      </c>
    </row>
    <row r="4559" spans="1:13" x14ac:dyDescent="0.35">
      <c r="A4559">
        <v>421670</v>
      </c>
      <c r="B4559">
        <v>38768</v>
      </c>
      <c r="C4559" t="s">
        <v>4678</v>
      </c>
      <c r="D4559" t="s">
        <v>4444</v>
      </c>
      <c r="E4559" t="s">
        <v>4462</v>
      </c>
      <c r="F4559">
        <v>13699</v>
      </c>
      <c r="G4559">
        <v>1</v>
      </c>
      <c r="H4559" t="s">
        <v>16</v>
      </c>
      <c r="I4559" s="1">
        <v>-2645500</v>
      </c>
      <c r="J4559" s="1">
        <v>-5349400</v>
      </c>
      <c r="K4559">
        <v>731</v>
      </c>
      <c r="L4559">
        <v>279</v>
      </c>
      <c r="M4559" t="s">
        <v>16</v>
      </c>
    </row>
    <row r="4560" spans="1:13" x14ac:dyDescent="0.35">
      <c r="A4560">
        <v>421680</v>
      </c>
      <c r="B4560">
        <v>38776</v>
      </c>
      <c r="C4560" t="s">
        <v>4679</v>
      </c>
      <c r="D4560" t="s">
        <v>4444</v>
      </c>
      <c r="E4560" t="s">
        <v>4466</v>
      </c>
      <c r="F4560">
        <v>10304</v>
      </c>
      <c r="G4560">
        <v>1</v>
      </c>
      <c r="H4560" t="s">
        <v>16</v>
      </c>
      <c r="I4560" s="1">
        <v>-2766300</v>
      </c>
      <c r="J4560" s="1">
        <v>-5058000</v>
      </c>
      <c r="K4560">
        <v>879</v>
      </c>
      <c r="L4560">
        <v>946</v>
      </c>
      <c r="M4560" t="s">
        <v>16</v>
      </c>
    </row>
    <row r="4561" spans="1:13" x14ac:dyDescent="0.35">
      <c r="A4561">
        <v>421690</v>
      </c>
      <c r="B4561">
        <v>38784</v>
      </c>
      <c r="C4561" t="s">
        <v>4680</v>
      </c>
      <c r="D4561" t="s">
        <v>4444</v>
      </c>
      <c r="E4561" t="s">
        <v>4455</v>
      </c>
      <c r="F4561">
        <v>21799</v>
      </c>
      <c r="G4561">
        <v>1</v>
      </c>
      <c r="H4561" t="s">
        <v>16</v>
      </c>
      <c r="I4561" s="1">
        <v>-2635900</v>
      </c>
      <c r="J4561" s="1">
        <v>-5285100</v>
      </c>
      <c r="K4561">
        <v>893</v>
      </c>
      <c r="L4561">
        <v>369</v>
      </c>
      <c r="M4561" t="s">
        <v>16</v>
      </c>
    </row>
    <row r="4562" spans="1:13" x14ac:dyDescent="0.35">
      <c r="A4562">
        <v>421700</v>
      </c>
      <c r="B4562">
        <v>38792</v>
      </c>
      <c r="C4562" t="s">
        <v>4681</v>
      </c>
      <c r="D4562" t="s">
        <v>4444</v>
      </c>
      <c r="E4562" t="s">
        <v>4479</v>
      </c>
      <c r="F4562">
        <v>10246</v>
      </c>
      <c r="G4562">
        <v>4</v>
      </c>
      <c r="H4562" t="s">
        <v>4480</v>
      </c>
      <c r="I4562" s="1">
        <v>-2832600</v>
      </c>
      <c r="J4562" s="1">
        <v>-4917700</v>
      </c>
      <c r="K4562">
        <v>50</v>
      </c>
      <c r="L4562">
        <v>107</v>
      </c>
      <c r="M4562" t="s">
        <v>16</v>
      </c>
    </row>
    <row r="4563" spans="1:13" x14ac:dyDescent="0.35">
      <c r="A4563">
        <v>421710</v>
      </c>
      <c r="B4563">
        <v>38806</v>
      </c>
      <c r="C4563" t="s">
        <v>4682</v>
      </c>
      <c r="D4563" t="s">
        <v>4444</v>
      </c>
      <c r="E4563" t="s">
        <v>4479</v>
      </c>
      <c r="F4563">
        <v>3194</v>
      </c>
      <c r="G4563">
        <v>4</v>
      </c>
      <c r="H4563" t="s">
        <v>4480</v>
      </c>
      <c r="I4563" s="1">
        <v>-2816500</v>
      </c>
      <c r="J4563" s="1">
        <v>-4897900</v>
      </c>
      <c r="K4563">
        <v>38</v>
      </c>
      <c r="L4563">
        <v>224</v>
      </c>
      <c r="M4563" t="s">
        <v>16</v>
      </c>
    </row>
    <row r="4564" spans="1:13" x14ac:dyDescent="0.35">
      <c r="A4564">
        <v>421715</v>
      </c>
      <c r="B4564">
        <v>53643</v>
      </c>
      <c r="C4564" t="s">
        <v>4683</v>
      </c>
      <c r="D4564" t="s">
        <v>4444</v>
      </c>
      <c r="E4564" t="s">
        <v>4455</v>
      </c>
      <c r="F4564">
        <v>1972</v>
      </c>
      <c r="G4564">
        <v>1</v>
      </c>
      <c r="H4564" t="s">
        <v>16</v>
      </c>
      <c r="I4564" s="1">
        <v>-2669000</v>
      </c>
      <c r="J4564" s="1">
        <v>-5325100</v>
      </c>
      <c r="K4564">
        <v>468</v>
      </c>
      <c r="L4564">
        <v>71</v>
      </c>
      <c r="M4564" t="s">
        <v>16</v>
      </c>
    </row>
    <row r="4565" spans="1:13" x14ac:dyDescent="0.35">
      <c r="A4565">
        <v>421720</v>
      </c>
      <c r="B4565">
        <v>38814</v>
      </c>
      <c r="C4565" t="s">
        <v>4684</v>
      </c>
      <c r="D4565" t="s">
        <v>4444</v>
      </c>
      <c r="E4565" t="s">
        <v>4462</v>
      </c>
      <c r="F4565">
        <v>33806</v>
      </c>
      <c r="G4565">
        <v>1</v>
      </c>
      <c r="H4565" t="s">
        <v>16</v>
      </c>
      <c r="I4565" s="1">
        <v>-2672500</v>
      </c>
      <c r="J4565" s="1">
        <v>-5351800</v>
      </c>
      <c r="K4565">
        <v>645</v>
      </c>
      <c r="L4565">
        <v>234</v>
      </c>
      <c r="M4565" t="s">
        <v>16</v>
      </c>
    </row>
    <row r="4566" spans="1:13" x14ac:dyDescent="0.35">
      <c r="A4566">
        <v>421725</v>
      </c>
      <c r="B4566">
        <v>56634</v>
      </c>
      <c r="C4566" t="s">
        <v>4685</v>
      </c>
      <c r="D4566" t="s">
        <v>4444</v>
      </c>
      <c r="E4566" t="s">
        <v>4468</v>
      </c>
      <c r="F4566">
        <v>4765</v>
      </c>
      <c r="G4566">
        <v>4</v>
      </c>
      <c r="H4566" t="s">
        <v>4458</v>
      </c>
      <c r="I4566" s="1">
        <v>-2756600</v>
      </c>
      <c r="J4566" s="1">
        <v>-4880500</v>
      </c>
      <c r="K4566">
        <v>230</v>
      </c>
      <c r="L4566">
        <v>139</v>
      </c>
      <c r="M4566" t="s">
        <v>16</v>
      </c>
    </row>
    <row r="4567" spans="1:13" x14ac:dyDescent="0.35">
      <c r="A4567">
        <v>421730</v>
      </c>
      <c r="B4567">
        <v>38822</v>
      </c>
      <c r="C4567" t="s">
        <v>4686</v>
      </c>
      <c r="D4567" t="s">
        <v>4444</v>
      </c>
      <c r="E4567" t="s">
        <v>4455</v>
      </c>
      <c r="F4567">
        <v>8587</v>
      </c>
      <c r="G4567">
        <v>1</v>
      </c>
      <c r="H4567" t="s">
        <v>16</v>
      </c>
      <c r="I4567" s="1">
        <v>-2692400</v>
      </c>
      <c r="J4567" s="1">
        <v>-5300300</v>
      </c>
      <c r="K4567">
        <v>280</v>
      </c>
      <c r="L4567">
        <v>205</v>
      </c>
      <c r="M4567" t="s">
        <v>16</v>
      </c>
    </row>
    <row r="4568" spans="1:13" x14ac:dyDescent="0.35">
      <c r="A4568">
        <v>421740</v>
      </c>
      <c r="B4568">
        <v>38830</v>
      </c>
      <c r="C4568" t="s">
        <v>4687</v>
      </c>
      <c r="D4568" t="s">
        <v>4444</v>
      </c>
      <c r="E4568" t="s">
        <v>4474</v>
      </c>
      <c r="F4568">
        <v>12776</v>
      </c>
      <c r="G4568">
        <v>4</v>
      </c>
      <c r="H4568" t="s">
        <v>4475</v>
      </c>
      <c r="I4568" s="1">
        <v>-2641300</v>
      </c>
      <c r="J4568" s="1">
        <v>-4907300</v>
      </c>
      <c r="K4568">
        <v>38</v>
      </c>
      <c r="L4568">
        <v>143</v>
      </c>
      <c r="M4568" t="s">
        <v>16</v>
      </c>
    </row>
    <row r="4569" spans="1:13" x14ac:dyDescent="0.35">
      <c r="A4569">
        <v>421750</v>
      </c>
      <c r="B4569">
        <v>38849</v>
      </c>
      <c r="C4569" t="s">
        <v>4688</v>
      </c>
      <c r="D4569" t="s">
        <v>4444</v>
      </c>
      <c r="E4569" t="s">
        <v>4461</v>
      </c>
      <c r="F4569">
        <v>17121</v>
      </c>
      <c r="G4569">
        <v>1</v>
      </c>
      <c r="H4569" t="s">
        <v>16</v>
      </c>
      <c r="I4569" s="1">
        <v>-2714900</v>
      </c>
      <c r="J4569" s="1">
        <v>-5231100</v>
      </c>
      <c r="K4569">
        <v>550</v>
      </c>
      <c r="L4569">
        <v>312</v>
      </c>
      <c r="M4569" t="s">
        <v>16</v>
      </c>
    </row>
    <row r="4570" spans="1:13" x14ac:dyDescent="0.35">
      <c r="A4570">
        <v>421755</v>
      </c>
      <c r="B4570">
        <v>47449</v>
      </c>
      <c r="C4570" t="s">
        <v>4689</v>
      </c>
      <c r="D4570" t="s">
        <v>4444</v>
      </c>
      <c r="E4570" t="s">
        <v>4455</v>
      </c>
      <c r="F4570">
        <v>3200</v>
      </c>
      <c r="G4570">
        <v>1</v>
      </c>
      <c r="H4570" t="s">
        <v>16</v>
      </c>
      <c r="I4570" s="1">
        <v>-2672900</v>
      </c>
      <c r="J4570" s="1">
        <v>-5304200</v>
      </c>
      <c r="K4570">
        <v>648</v>
      </c>
      <c r="L4570">
        <v>90</v>
      </c>
      <c r="M4570" t="s">
        <v>16</v>
      </c>
    </row>
    <row r="4571" spans="1:13" x14ac:dyDescent="0.35">
      <c r="A4571">
        <v>421760</v>
      </c>
      <c r="B4571">
        <v>38857</v>
      </c>
      <c r="C4571" t="s">
        <v>4690</v>
      </c>
      <c r="D4571" t="s">
        <v>4444</v>
      </c>
      <c r="E4571" t="s">
        <v>4525</v>
      </c>
      <c r="F4571">
        <v>12470</v>
      </c>
      <c r="G4571">
        <v>4</v>
      </c>
      <c r="H4571" t="s">
        <v>4526</v>
      </c>
      <c r="I4571" s="1">
        <v>-2859800</v>
      </c>
      <c r="J4571" s="1">
        <v>-4942400</v>
      </c>
      <c r="K4571">
        <v>147</v>
      </c>
      <c r="L4571">
        <v>262</v>
      </c>
      <c r="M4571" t="s">
        <v>16</v>
      </c>
    </row>
    <row r="4572" spans="1:13" x14ac:dyDescent="0.35">
      <c r="A4572">
        <v>421770</v>
      </c>
      <c r="B4572">
        <v>38865</v>
      </c>
      <c r="C4572" t="s">
        <v>4691</v>
      </c>
      <c r="D4572" t="s">
        <v>4444</v>
      </c>
      <c r="E4572" t="s">
        <v>4477</v>
      </c>
      <c r="F4572">
        <v>24424</v>
      </c>
      <c r="G4572">
        <v>1</v>
      </c>
      <c r="H4572" t="s">
        <v>16</v>
      </c>
      <c r="I4572" s="1">
        <v>-2910400</v>
      </c>
      <c r="J4572" s="1">
        <v>-4962900</v>
      </c>
      <c r="K4572">
        <v>15</v>
      </c>
      <c r="L4572">
        <v>142</v>
      </c>
      <c r="M4572" t="s">
        <v>16</v>
      </c>
    </row>
    <row r="4573" spans="1:13" x14ac:dyDescent="0.35">
      <c r="A4573">
        <v>421775</v>
      </c>
      <c r="B4573">
        <v>53651</v>
      </c>
      <c r="C4573" t="s">
        <v>4692</v>
      </c>
      <c r="D4573" t="s">
        <v>4444</v>
      </c>
      <c r="E4573" t="s">
        <v>4455</v>
      </c>
      <c r="F4573">
        <v>3061</v>
      </c>
      <c r="G4573">
        <v>1</v>
      </c>
      <c r="H4573" t="s">
        <v>16</v>
      </c>
      <c r="I4573" s="1">
        <v>-2673600</v>
      </c>
      <c r="J4573" s="1">
        <v>-5296500</v>
      </c>
      <c r="K4573">
        <v>418</v>
      </c>
      <c r="L4573">
        <v>112</v>
      </c>
      <c r="M4573" t="s">
        <v>16</v>
      </c>
    </row>
    <row r="4574" spans="1:13" x14ac:dyDescent="0.35">
      <c r="A4574">
        <v>421780</v>
      </c>
      <c r="B4574">
        <v>38873</v>
      </c>
      <c r="C4574" t="s">
        <v>4693</v>
      </c>
      <c r="D4574" t="s">
        <v>4444</v>
      </c>
      <c r="E4574" t="s">
        <v>4451</v>
      </c>
      <c r="F4574">
        <v>16838</v>
      </c>
      <c r="G4574">
        <v>1</v>
      </c>
      <c r="H4574" t="s">
        <v>16</v>
      </c>
      <c r="I4574" s="1">
        <v>-2711600</v>
      </c>
      <c r="J4574" s="1">
        <v>-4999800</v>
      </c>
      <c r="K4574">
        <v>359</v>
      </c>
      <c r="L4574">
        <v>693</v>
      </c>
      <c r="M4574" t="s">
        <v>16</v>
      </c>
    </row>
    <row r="4575" spans="1:13" x14ac:dyDescent="0.35">
      <c r="A4575">
        <v>421790</v>
      </c>
      <c r="B4575">
        <v>38881</v>
      </c>
      <c r="C4575" t="s">
        <v>1377</v>
      </c>
      <c r="D4575" t="s">
        <v>4444</v>
      </c>
      <c r="E4575" t="s">
        <v>4453</v>
      </c>
      <c r="F4575">
        <v>8410</v>
      </c>
      <c r="G4575">
        <v>1</v>
      </c>
      <c r="H4575" t="s">
        <v>16</v>
      </c>
      <c r="I4575" s="1">
        <v>-2710500</v>
      </c>
      <c r="J4575" s="1">
        <v>-5124700</v>
      </c>
      <c r="K4575">
        <v>641</v>
      </c>
      <c r="L4575">
        <v>389</v>
      </c>
      <c r="M4575" t="s">
        <v>16</v>
      </c>
    </row>
    <row r="4576" spans="1:13" x14ac:dyDescent="0.35">
      <c r="A4576">
        <v>421795</v>
      </c>
      <c r="B4576">
        <v>58645</v>
      </c>
      <c r="C4576" t="s">
        <v>4694</v>
      </c>
      <c r="D4576" t="s">
        <v>4444</v>
      </c>
      <c r="E4576" t="s">
        <v>4455</v>
      </c>
      <c r="F4576">
        <v>1741</v>
      </c>
      <c r="G4576">
        <v>1</v>
      </c>
      <c r="H4576" t="s">
        <v>16</v>
      </c>
      <c r="I4576" s="1">
        <v>-2668800</v>
      </c>
      <c r="J4576" s="1">
        <v>-5315800</v>
      </c>
      <c r="K4576">
        <v>732</v>
      </c>
      <c r="L4576">
        <v>57</v>
      </c>
      <c r="M4576" t="s">
        <v>16</v>
      </c>
    </row>
    <row r="4577" spans="1:13" x14ac:dyDescent="0.35">
      <c r="A4577">
        <v>421800</v>
      </c>
      <c r="B4577">
        <v>38890</v>
      </c>
      <c r="C4577" t="s">
        <v>4464</v>
      </c>
      <c r="D4577" t="s">
        <v>4444</v>
      </c>
      <c r="E4577" t="s">
        <v>4464</v>
      </c>
      <c r="F4577">
        <v>27804</v>
      </c>
      <c r="G4577">
        <v>4</v>
      </c>
      <c r="H4577" t="s">
        <v>4458</v>
      </c>
      <c r="I4577" s="1">
        <v>-2724100</v>
      </c>
      <c r="J4577" s="1">
        <v>-4863400</v>
      </c>
      <c r="K4577">
        <v>2</v>
      </c>
      <c r="L4577">
        <v>276</v>
      </c>
      <c r="M4577" t="s">
        <v>16</v>
      </c>
    </row>
    <row r="4578" spans="1:13" x14ac:dyDescent="0.35">
      <c r="A4578">
        <v>421810</v>
      </c>
      <c r="B4578">
        <v>38903</v>
      </c>
      <c r="C4578" t="s">
        <v>4695</v>
      </c>
      <c r="D4578" t="s">
        <v>4444</v>
      </c>
      <c r="E4578" t="s">
        <v>4477</v>
      </c>
      <c r="F4578">
        <v>5133</v>
      </c>
      <c r="G4578">
        <v>1</v>
      </c>
      <c r="H4578" t="s">
        <v>16</v>
      </c>
      <c r="I4578" s="1">
        <v>-2883000</v>
      </c>
      <c r="J4578" s="1">
        <v>-4984700</v>
      </c>
      <c r="K4578">
        <v>123</v>
      </c>
      <c r="L4578">
        <v>333</v>
      </c>
      <c r="M4578" t="s">
        <v>16</v>
      </c>
    </row>
    <row r="4579" spans="1:13" x14ac:dyDescent="0.35">
      <c r="A4579">
        <v>421820</v>
      </c>
      <c r="B4579">
        <v>38911</v>
      </c>
      <c r="C4579" t="s">
        <v>4696</v>
      </c>
      <c r="D4579" t="s">
        <v>4444</v>
      </c>
      <c r="E4579" t="s">
        <v>4470</v>
      </c>
      <c r="F4579">
        <v>33326</v>
      </c>
      <c r="G4579">
        <v>4</v>
      </c>
      <c r="H4579" t="s">
        <v>4471</v>
      </c>
      <c r="I4579" s="1">
        <v>-2682300</v>
      </c>
      <c r="J4579" s="1">
        <v>-4927200</v>
      </c>
      <c r="K4579">
        <v>68</v>
      </c>
      <c r="L4579">
        <v>127</v>
      </c>
      <c r="M4579" t="s">
        <v>16</v>
      </c>
    </row>
    <row r="4580" spans="1:13" x14ac:dyDescent="0.35">
      <c r="A4580">
        <v>421825</v>
      </c>
      <c r="B4580">
        <v>47457</v>
      </c>
      <c r="C4580" t="s">
        <v>4697</v>
      </c>
      <c r="D4580" t="s">
        <v>4444</v>
      </c>
      <c r="E4580" t="s">
        <v>4494</v>
      </c>
      <c r="F4580">
        <v>6979</v>
      </c>
      <c r="G4580">
        <v>1</v>
      </c>
      <c r="H4580" t="s">
        <v>16</v>
      </c>
      <c r="I4580" s="1">
        <v>-2661500</v>
      </c>
      <c r="J4580" s="1">
        <v>-5067400</v>
      </c>
      <c r="K4580">
        <v>925</v>
      </c>
      <c r="L4580">
        <v>596</v>
      </c>
      <c r="M4580" t="s">
        <v>16</v>
      </c>
    </row>
    <row r="4581" spans="1:13" x14ac:dyDescent="0.35">
      <c r="A4581">
        <v>421830</v>
      </c>
      <c r="B4581">
        <v>38920</v>
      </c>
      <c r="C4581" t="s">
        <v>4698</v>
      </c>
      <c r="D4581" t="s">
        <v>4444</v>
      </c>
      <c r="E4581" t="s">
        <v>4494</v>
      </c>
      <c r="F4581">
        <v>17937</v>
      </c>
      <c r="G4581">
        <v>1</v>
      </c>
      <c r="H4581" t="s">
        <v>16</v>
      </c>
      <c r="I4581" s="1">
        <v>-2610600</v>
      </c>
      <c r="J4581" s="1">
        <v>-5032200</v>
      </c>
      <c r="K4581">
        <v>802</v>
      </c>
      <c r="L4581">
        <v>438</v>
      </c>
      <c r="M4581" t="s">
        <v>16</v>
      </c>
    </row>
    <row r="4582" spans="1:13" x14ac:dyDescent="0.35">
      <c r="A4582">
        <v>421835</v>
      </c>
      <c r="B4582">
        <v>58653</v>
      </c>
      <c r="C4582" t="s">
        <v>4699</v>
      </c>
      <c r="D4582" t="s">
        <v>4444</v>
      </c>
      <c r="E4582" t="s">
        <v>4525</v>
      </c>
      <c r="F4582">
        <v>3498</v>
      </c>
      <c r="G4582">
        <v>4</v>
      </c>
      <c r="H4582" t="s">
        <v>4526</v>
      </c>
      <c r="I4582" s="1">
        <v>-2851600</v>
      </c>
      <c r="J4582" s="1">
        <v>-4945800</v>
      </c>
      <c r="K4582">
        <v>147</v>
      </c>
      <c r="L4582">
        <v>157</v>
      </c>
      <c r="M4582" t="s">
        <v>16</v>
      </c>
    </row>
    <row r="4583" spans="1:13" x14ac:dyDescent="0.35">
      <c r="A4583">
        <v>421840</v>
      </c>
      <c r="B4583">
        <v>38938</v>
      </c>
      <c r="C4583" t="s">
        <v>4700</v>
      </c>
      <c r="D4583" t="s">
        <v>4444</v>
      </c>
      <c r="E4583" t="s">
        <v>4479</v>
      </c>
      <c r="F4583">
        <v>6599</v>
      </c>
      <c r="G4583">
        <v>4</v>
      </c>
      <c r="H4583" t="s">
        <v>4480</v>
      </c>
      <c r="I4583" s="1">
        <v>-2855900</v>
      </c>
      <c r="J4583" s="1">
        <v>-4914800</v>
      </c>
      <c r="K4583">
        <v>190</v>
      </c>
      <c r="L4583">
        <v>161</v>
      </c>
      <c r="M4583" t="s">
        <v>16</v>
      </c>
    </row>
    <row r="4584" spans="1:13" x14ac:dyDescent="0.35">
      <c r="A4584">
        <v>421850</v>
      </c>
      <c r="B4584">
        <v>38946</v>
      </c>
      <c r="C4584" t="s">
        <v>4701</v>
      </c>
      <c r="D4584" t="s">
        <v>4444</v>
      </c>
      <c r="E4584" t="s">
        <v>4453</v>
      </c>
      <c r="F4584">
        <v>5641</v>
      </c>
      <c r="G4584">
        <v>1</v>
      </c>
      <c r="H4584" t="s">
        <v>16</v>
      </c>
      <c r="I4584" s="1">
        <v>-2700200</v>
      </c>
      <c r="J4584" s="1">
        <v>-5140600</v>
      </c>
      <c r="K4584">
        <v>796</v>
      </c>
      <c r="L4584">
        <v>185</v>
      </c>
      <c r="M4584" t="s">
        <v>16</v>
      </c>
    </row>
    <row r="4585" spans="1:13" x14ac:dyDescent="0.35">
      <c r="A4585">
        <v>421860</v>
      </c>
      <c r="B4585">
        <v>38954</v>
      </c>
      <c r="C4585" t="s">
        <v>4702</v>
      </c>
      <c r="D4585" t="s">
        <v>4444</v>
      </c>
      <c r="E4585" t="s">
        <v>4451</v>
      </c>
      <c r="F4585">
        <v>6221</v>
      </c>
      <c r="G4585">
        <v>1</v>
      </c>
      <c r="H4585" t="s">
        <v>16</v>
      </c>
      <c r="I4585" s="1">
        <v>-2729900</v>
      </c>
      <c r="J4585" s="1">
        <v>-4979000</v>
      </c>
      <c r="K4585">
        <v>350</v>
      </c>
      <c r="L4585">
        <v>102</v>
      </c>
      <c r="M4585" t="s">
        <v>16</v>
      </c>
    </row>
    <row r="4586" spans="1:13" x14ac:dyDescent="0.35">
      <c r="A4586">
        <v>421870</v>
      </c>
      <c r="B4586">
        <v>38962</v>
      </c>
      <c r="C4586" t="s">
        <v>4703</v>
      </c>
      <c r="D4586" t="s">
        <v>4444</v>
      </c>
      <c r="E4586" t="s">
        <v>4479</v>
      </c>
      <c r="F4586">
        <v>92569</v>
      </c>
      <c r="G4586">
        <v>4</v>
      </c>
      <c r="H4586" t="s">
        <v>4480</v>
      </c>
      <c r="I4586" s="1">
        <v>-2846700</v>
      </c>
      <c r="J4586" s="1">
        <v>-4900700</v>
      </c>
      <c r="K4586">
        <v>9</v>
      </c>
      <c r="L4586">
        <v>300</v>
      </c>
      <c r="M4586" t="s">
        <v>16</v>
      </c>
    </row>
    <row r="4587" spans="1:13" x14ac:dyDescent="0.35">
      <c r="A4587">
        <v>421875</v>
      </c>
      <c r="B4587">
        <v>48283</v>
      </c>
      <c r="C4587" t="s">
        <v>4704</v>
      </c>
      <c r="D4587" t="s">
        <v>4444</v>
      </c>
      <c r="E4587" t="s">
        <v>4462</v>
      </c>
      <c r="F4587">
        <v>4650</v>
      </c>
      <c r="G4587">
        <v>1</v>
      </c>
      <c r="H4587" t="s">
        <v>16</v>
      </c>
      <c r="I4587" s="1">
        <v>-2696900</v>
      </c>
      <c r="J4587" s="1">
        <v>-5363900</v>
      </c>
      <c r="K4587">
        <v>430</v>
      </c>
      <c r="L4587">
        <v>132</v>
      </c>
      <c r="M4587" t="s">
        <v>16</v>
      </c>
    </row>
    <row r="4588" spans="1:13" x14ac:dyDescent="0.35">
      <c r="A4588">
        <v>421880</v>
      </c>
      <c r="B4588">
        <v>38970</v>
      </c>
      <c r="C4588" t="s">
        <v>4431</v>
      </c>
      <c r="D4588" t="s">
        <v>4444</v>
      </c>
      <c r="E4588" t="s">
        <v>4477</v>
      </c>
      <c r="F4588">
        <v>11031</v>
      </c>
      <c r="G4588">
        <v>1</v>
      </c>
      <c r="H4588" t="s">
        <v>16</v>
      </c>
      <c r="I4588" s="1">
        <v>-2892600</v>
      </c>
      <c r="J4588" s="1">
        <v>-4967900</v>
      </c>
      <c r="K4588">
        <v>38</v>
      </c>
      <c r="L4588">
        <v>233</v>
      </c>
      <c r="M4588" t="s">
        <v>16</v>
      </c>
    </row>
    <row r="4589" spans="1:13" x14ac:dyDescent="0.35">
      <c r="A4589">
        <v>421885</v>
      </c>
      <c r="B4589">
        <v>47465</v>
      </c>
      <c r="C4589" t="s">
        <v>4705</v>
      </c>
      <c r="D4589" t="s">
        <v>4444</v>
      </c>
      <c r="E4589" t="s">
        <v>4455</v>
      </c>
      <c r="F4589">
        <v>3058</v>
      </c>
      <c r="G4589">
        <v>1</v>
      </c>
      <c r="H4589" t="s">
        <v>16</v>
      </c>
      <c r="I4589" s="1">
        <v>-2676100</v>
      </c>
      <c r="J4589" s="1">
        <v>-5285500</v>
      </c>
      <c r="K4589">
        <v>462</v>
      </c>
      <c r="L4589">
        <v>93</v>
      </c>
      <c r="M4589" t="s">
        <v>16</v>
      </c>
    </row>
    <row r="4590" spans="1:13" x14ac:dyDescent="0.35">
      <c r="A4590">
        <v>421890</v>
      </c>
      <c r="B4590">
        <v>38989</v>
      </c>
      <c r="C4590" t="s">
        <v>4706</v>
      </c>
      <c r="D4590" t="s">
        <v>4444</v>
      </c>
      <c r="E4590" t="s">
        <v>4466</v>
      </c>
      <c r="F4590">
        <v>10439</v>
      </c>
      <c r="G4590">
        <v>1</v>
      </c>
      <c r="H4590" t="s">
        <v>16</v>
      </c>
      <c r="I4590" s="1">
        <v>-2801500</v>
      </c>
      <c r="J4590" s="1">
        <v>-4959200</v>
      </c>
      <c r="K4590">
        <v>915</v>
      </c>
      <c r="L4590">
        <v>1019</v>
      </c>
      <c r="M4590" t="s">
        <v>16</v>
      </c>
    </row>
    <row r="4591" spans="1:13" x14ac:dyDescent="0.35">
      <c r="A4591">
        <v>421895</v>
      </c>
      <c r="B4591">
        <v>47473</v>
      </c>
      <c r="C4591" t="s">
        <v>4707</v>
      </c>
      <c r="D4591" t="s">
        <v>4444</v>
      </c>
      <c r="E4591" t="s">
        <v>4466</v>
      </c>
      <c r="F4591">
        <v>2501</v>
      </c>
      <c r="G4591">
        <v>1</v>
      </c>
      <c r="H4591" t="s">
        <v>16</v>
      </c>
      <c r="I4591" s="1">
        <v>-2795300</v>
      </c>
      <c r="J4591" s="1">
        <v>-4987300</v>
      </c>
      <c r="K4591">
        <v>1350</v>
      </c>
      <c r="L4591">
        <v>353</v>
      </c>
      <c r="M4591" t="s">
        <v>16</v>
      </c>
    </row>
    <row r="4592" spans="1:13" x14ac:dyDescent="0.35">
      <c r="A4592">
        <v>421900</v>
      </c>
      <c r="B4592">
        <v>38997</v>
      </c>
      <c r="C4592" t="s">
        <v>4708</v>
      </c>
      <c r="D4592" t="s">
        <v>4444</v>
      </c>
      <c r="E4592" t="s">
        <v>4525</v>
      </c>
      <c r="F4592">
        <v>18588</v>
      </c>
      <c r="G4592">
        <v>4</v>
      </c>
      <c r="H4592" t="s">
        <v>4526</v>
      </c>
      <c r="I4592" s="1">
        <v>-2851800</v>
      </c>
      <c r="J4592" s="1">
        <v>-4932100</v>
      </c>
      <c r="K4592">
        <v>49</v>
      </c>
      <c r="L4592">
        <v>240</v>
      </c>
      <c r="M4592" t="s">
        <v>16</v>
      </c>
    </row>
    <row r="4593" spans="1:13" x14ac:dyDescent="0.35">
      <c r="A4593">
        <v>421910</v>
      </c>
      <c r="B4593">
        <v>39004</v>
      </c>
      <c r="C4593" t="s">
        <v>4709</v>
      </c>
      <c r="D4593" t="s">
        <v>4444</v>
      </c>
      <c r="E4593" t="s">
        <v>4447</v>
      </c>
      <c r="F4593">
        <v>3560</v>
      </c>
      <c r="G4593">
        <v>1</v>
      </c>
      <c r="H4593" t="s">
        <v>16</v>
      </c>
      <c r="I4593" s="1">
        <v>-2686400</v>
      </c>
      <c r="J4593" s="1">
        <v>-5215500</v>
      </c>
      <c r="K4593">
        <v>890</v>
      </c>
      <c r="L4593">
        <v>166</v>
      </c>
      <c r="M4593" t="s">
        <v>16</v>
      </c>
    </row>
    <row r="4594" spans="1:13" x14ac:dyDescent="0.35">
      <c r="A4594">
        <v>421915</v>
      </c>
      <c r="B4594">
        <v>52035</v>
      </c>
      <c r="C4594" t="s">
        <v>4050</v>
      </c>
      <c r="D4594" t="s">
        <v>4444</v>
      </c>
      <c r="E4594" t="s">
        <v>4445</v>
      </c>
      <c r="F4594">
        <v>3110</v>
      </c>
      <c r="G4594">
        <v>1</v>
      </c>
      <c r="H4594" t="s">
        <v>16</v>
      </c>
      <c r="I4594" s="1">
        <v>-2748900</v>
      </c>
      <c r="J4594" s="1">
        <v>-5097500</v>
      </c>
      <c r="K4594">
        <v>768</v>
      </c>
      <c r="L4594">
        <v>350</v>
      </c>
      <c r="M4594" t="s">
        <v>16</v>
      </c>
    </row>
    <row r="4595" spans="1:13" x14ac:dyDescent="0.35">
      <c r="A4595">
        <v>421917</v>
      </c>
      <c r="B4595">
        <v>52043</v>
      </c>
      <c r="C4595" t="s">
        <v>3218</v>
      </c>
      <c r="D4595" t="s">
        <v>4444</v>
      </c>
      <c r="E4595" t="s">
        <v>4453</v>
      </c>
      <c r="F4595">
        <v>4321</v>
      </c>
      <c r="G4595">
        <v>1</v>
      </c>
      <c r="H4595" t="s">
        <v>16</v>
      </c>
      <c r="I4595" s="1">
        <v>-2700700</v>
      </c>
      <c r="J4595" s="1">
        <v>-5174000</v>
      </c>
      <c r="K4595">
        <v>880</v>
      </c>
      <c r="L4595">
        <v>298</v>
      </c>
      <c r="M4595" t="s">
        <v>16</v>
      </c>
    </row>
    <row r="4596" spans="1:13" x14ac:dyDescent="0.35">
      <c r="A4596">
        <v>421920</v>
      </c>
      <c r="B4596">
        <v>39012</v>
      </c>
      <c r="C4596" t="s">
        <v>4710</v>
      </c>
      <c r="D4596" t="s">
        <v>4444</v>
      </c>
      <c r="E4596" t="s">
        <v>4449</v>
      </c>
      <c r="F4596">
        <v>5981</v>
      </c>
      <c r="G4596">
        <v>1</v>
      </c>
      <c r="H4596" t="s">
        <v>16</v>
      </c>
      <c r="I4596" s="1">
        <v>-2739200</v>
      </c>
      <c r="J4596" s="1">
        <v>-4935600</v>
      </c>
      <c r="K4596">
        <v>370</v>
      </c>
      <c r="L4596">
        <v>339</v>
      </c>
      <c r="M4596" t="s">
        <v>16</v>
      </c>
    </row>
    <row r="4597" spans="1:13" x14ac:dyDescent="0.35">
      <c r="A4597">
        <v>421930</v>
      </c>
      <c r="B4597">
        <v>39020</v>
      </c>
      <c r="C4597" t="s">
        <v>4711</v>
      </c>
      <c r="D4597" t="s">
        <v>4444</v>
      </c>
      <c r="E4597" t="s">
        <v>4453</v>
      </c>
      <c r="F4597">
        <v>50000</v>
      </c>
      <c r="G4597">
        <v>2</v>
      </c>
      <c r="H4597" t="s">
        <v>16</v>
      </c>
      <c r="I4597" s="1">
        <v>-2700800</v>
      </c>
      <c r="J4597" s="1">
        <v>-5115200</v>
      </c>
      <c r="K4597">
        <v>750</v>
      </c>
      <c r="L4597">
        <v>377</v>
      </c>
      <c r="M4597" t="s">
        <v>16</v>
      </c>
    </row>
    <row r="4598" spans="1:13" x14ac:dyDescent="0.35">
      <c r="A4598">
        <v>421935</v>
      </c>
      <c r="B4598">
        <v>47481</v>
      </c>
      <c r="C4598" t="s">
        <v>4712</v>
      </c>
      <c r="D4598" t="s">
        <v>4444</v>
      </c>
      <c r="E4598" t="s">
        <v>4451</v>
      </c>
      <c r="F4598">
        <v>5563</v>
      </c>
      <c r="G4598">
        <v>1</v>
      </c>
      <c r="H4598" t="s">
        <v>16</v>
      </c>
      <c r="I4598" s="1">
        <v>-2688100</v>
      </c>
      <c r="J4598" s="1">
        <v>-4983300</v>
      </c>
      <c r="K4598">
        <v>370</v>
      </c>
      <c r="L4598">
        <v>371</v>
      </c>
      <c r="M4598" t="s">
        <v>16</v>
      </c>
    </row>
    <row r="4599" spans="1:13" x14ac:dyDescent="0.35">
      <c r="A4599">
        <v>421940</v>
      </c>
      <c r="B4599">
        <v>39039</v>
      </c>
      <c r="C4599" t="s">
        <v>4713</v>
      </c>
      <c r="D4599" t="s">
        <v>4444</v>
      </c>
      <c r="E4599" t="s">
        <v>4451</v>
      </c>
      <c r="F4599">
        <v>3431</v>
      </c>
      <c r="G4599">
        <v>1</v>
      </c>
      <c r="H4599" t="s">
        <v>16</v>
      </c>
      <c r="I4599" s="1">
        <v>-2692600</v>
      </c>
      <c r="J4599" s="1">
        <v>-4979600</v>
      </c>
      <c r="K4599">
        <v>370</v>
      </c>
      <c r="L4599">
        <v>150</v>
      </c>
      <c r="M4599" t="s">
        <v>16</v>
      </c>
    </row>
    <row r="4600" spans="1:13" x14ac:dyDescent="0.35">
      <c r="A4600">
        <v>421950</v>
      </c>
      <c r="B4600">
        <v>39047</v>
      </c>
      <c r="C4600" t="s">
        <v>4714</v>
      </c>
      <c r="D4600" t="s">
        <v>4444</v>
      </c>
      <c r="E4600" t="s">
        <v>4447</v>
      </c>
      <c r="F4600">
        <v>40228</v>
      </c>
      <c r="G4600">
        <v>1</v>
      </c>
      <c r="H4600" t="s">
        <v>16</v>
      </c>
      <c r="I4600" s="1">
        <v>-2687700</v>
      </c>
      <c r="J4600" s="1">
        <v>-5240400</v>
      </c>
      <c r="K4600">
        <v>800</v>
      </c>
      <c r="L4600">
        <v>377</v>
      </c>
      <c r="M4600" t="s">
        <v>16</v>
      </c>
    </row>
    <row r="4601" spans="1:13" x14ac:dyDescent="0.35">
      <c r="A4601">
        <v>421960</v>
      </c>
      <c r="B4601">
        <v>39055</v>
      </c>
      <c r="C4601" t="s">
        <v>4715</v>
      </c>
      <c r="D4601" t="s">
        <v>4444</v>
      </c>
      <c r="E4601" t="s">
        <v>4461</v>
      </c>
      <c r="F4601">
        <v>4218</v>
      </c>
      <c r="G4601">
        <v>1</v>
      </c>
      <c r="H4601" t="s">
        <v>16</v>
      </c>
      <c r="I4601" s="1">
        <v>-2706900</v>
      </c>
      <c r="J4601" s="1">
        <v>-5234200</v>
      </c>
      <c r="K4601">
        <v>545</v>
      </c>
      <c r="L4601">
        <v>215</v>
      </c>
      <c r="M4601" t="s">
        <v>16</v>
      </c>
    </row>
    <row r="4602" spans="1:13" x14ac:dyDescent="0.35">
      <c r="A4602">
        <v>421970</v>
      </c>
      <c r="B4602">
        <v>39063</v>
      </c>
      <c r="C4602" t="s">
        <v>4716</v>
      </c>
      <c r="D4602" t="s">
        <v>4444</v>
      </c>
      <c r="E4602" t="s">
        <v>4447</v>
      </c>
      <c r="F4602">
        <v>24318</v>
      </c>
      <c r="G4602">
        <v>1</v>
      </c>
      <c r="H4602" t="s">
        <v>16</v>
      </c>
      <c r="I4602" s="1">
        <v>-2696200</v>
      </c>
      <c r="J4602" s="1">
        <v>-5253500</v>
      </c>
      <c r="K4602">
        <v>770</v>
      </c>
      <c r="L4602">
        <v>294</v>
      </c>
      <c r="M4602" t="s">
        <v>16</v>
      </c>
    </row>
    <row r="4603" spans="1:13" x14ac:dyDescent="0.35">
      <c r="A4603">
        <v>421985</v>
      </c>
      <c r="B4603">
        <v>58661</v>
      </c>
      <c r="C4603" t="s">
        <v>4717</v>
      </c>
      <c r="D4603" t="s">
        <v>4444</v>
      </c>
      <c r="E4603" t="s">
        <v>4445</v>
      </c>
      <c r="F4603">
        <v>2868</v>
      </c>
      <c r="G4603">
        <v>1</v>
      </c>
      <c r="H4603" t="s">
        <v>16</v>
      </c>
      <c r="I4603" s="1">
        <v>-2745100</v>
      </c>
      <c r="J4603" s="1">
        <v>-5155500</v>
      </c>
      <c r="K4603">
        <v>680</v>
      </c>
      <c r="L4603">
        <v>190</v>
      </c>
      <c r="M4603" t="s">
        <v>16</v>
      </c>
    </row>
    <row r="4604" spans="1:13" x14ac:dyDescent="0.35">
      <c r="A4604">
        <v>430003</v>
      </c>
      <c r="B4604">
        <v>59641</v>
      </c>
      <c r="C4604" t="s">
        <v>4718</v>
      </c>
      <c r="D4604" t="s">
        <v>4719</v>
      </c>
      <c r="E4604" t="s">
        <v>4720</v>
      </c>
      <c r="F4604">
        <v>4138</v>
      </c>
      <c r="G4604">
        <v>1</v>
      </c>
      <c r="H4604" t="s">
        <v>16</v>
      </c>
      <c r="I4604" s="1">
        <v>-3186800</v>
      </c>
      <c r="J4604" s="1">
        <v>-5416200</v>
      </c>
      <c r="K4604">
        <v>0</v>
      </c>
      <c r="L4604">
        <v>1549</v>
      </c>
      <c r="M4604" t="s">
        <v>16</v>
      </c>
    </row>
    <row r="4605" spans="1:13" x14ac:dyDescent="0.35">
      <c r="A4605">
        <v>430005</v>
      </c>
      <c r="B4605">
        <v>45900</v>
      </c>
      <c r="C4605" t="s">
        <v>4721</v>
      </c>
      <c r="D4605" t="s">
        <v>4719</v>
      </c>
      <c r="E4605" t="s">
        <v>4722</v>
      </c>
      <c r="F4605">
        <v>3565</v>
      </c>
      <c r="G4605">
        <v>1</v>
      </c>
      <c r="H4605" t="s">
        <v>16</v>
      </c>
      <c r="I4605" s="1">
        <v>-2817700</v>
      </c>
      <c r="J4605" s="1">
        <v>-5203400</v>
      </c>
      <c r="K4605">
        <v>650</v>
      </c>
      <c r="L4605">
        <v>291</v>
      </c>
      <c r="M4605" t="s">
        <v>16</v>
      </c>
    </row>
    <row r="4606" spans="1:13" x14ac:dyDescent="0.35">
      <c r="A4606">
        <v>430010</v>
      </c>
      <c r="B4606">
        <v>39217</v>
      </c>
      <c r="C4606" t="s">
        <v>4723</v>
      </c>
      <c r="D4606" t="s">
        <v>4719</v>
      </c>
      <c r="E4606" t="s">
        <v>4724</v>
      </c>
      <c r="F4606">
        <v>16714</v>
      </c>
      <c r="G4606">
        <v>1</v>
      </c>
      <c r="H4606" t="s">
        <v>16</v>
      </c>
      <c r="I4606" s="1">
        <v>-2964500</v>
      </c>
      <c r="J4606" s="1">
        <v>-5324000</v>
      </c>
      <c r="K4606">
        <v>83</v>
      </c>
      <c r="L4606">
        <v>536</v>
      </c>
      <c r="M4606" t="s">
        <v>16</v>
      </c>
    </row>
    <row r="4607" spans="1:13" x14ac:dyDescent="0.35">
      <c r="A4607">
        <v>430020</v>
      </c>
      <c r="B4607">
        <v>39225</v>
      </c>
      <c r="C4607" t="s">
        <v>4725</v>
      </c>
      <c r="D4607" t="s">
        <v>4719</v>
      </c>
      <c r="E4607" t="s">
        <v>4726</v>
      </c>
      <c r="F4607">
        <v>7261</v>
      </c>
      <c r="G4607">
        <v>1</v>
      </c>
      <c r="H4607" t="s">
        <v>16</v>
      </c>
      <c r="I4607" s="1">
        <v>-2823900</v>
      </c>
      <c r="J4607" s="1">
        <v>-5377100</v>
      </c>
      <c r="K4607">
        <v>336</v>
      </c>
      <c r="L4607">
        <v>323</v>
      </c>
      <c r="M4607" t="s">
        <v>16</v>
      </c>
    </row>
    <row r="4608" spans="1:13" x14ac:dyDescent="0.35">
      <c r="A4608">
        <v>430030</v>
      </c>
      <c r="B4608">
        <v>39233</v>
      </c>
      <c r="C4608" t="s">
        <v>4727</v>
      </c>
      <c r="D4608" t="s">
        <v>4719</v>
      </c>
      <c r="E4608" t="s">
        <v>4728</v>
      </c>
      <c r="F4608">
        <v>7357</v>
      </c>
      <c r="G4608">
        <v>1</v>
      </c>
      <c r="H4608" t="s">
        <v>16</v>
      </c>
      <c r="I4608" s="1">
        <v>-2765500</v>
      </c>
      <c r="J4608" s="1">
        <v>-5476400</v>
      </c>
      <c r="K4608">
        <v>311</v>
      </c>
      <c r="L4608">
        <v>314</v>
      </c>
      <c r="M4608" t="s">
        <v>16</v>
      </c>
    </row>
    <row r="4609" spans="1:13" x14ac:dyDescent="0.35">
      <c r="A4609">
        <v>430040</v>
      </c>
      <c r="B4609">
        <v>39241</v>
      </c>
      <c r="C4609" t="s">
        <v>4729</v>
      </c>
      <c r="D4609" t="s">
        <v>4719</v>
      </c>
      <c r="E4609" t="s">
        <v>4730</v>
      </c>
      <c r="F4609">
        <v>78188</v>
      </c>
      <c r="G4609">
        <v>2</v>
      </c>
      <c r="H4609" t="s">
        <v>16</v>
      </c>
      <c r="I4609" s="1">
        <v>-2978300</v>
      </c>
      <c r="J4609" s="1">
        <v>-5579200</v>
      </c>
      <c r="K4609">
        <v>102</v>
      </c>
      <c r="L4609">
        <v>7803</v>
      </c>
      <c r="M4609" t="s">
        <v>16</v>
      </c>
    </row>
    <row r="4610" spans="1:13" x14ac:dyDescent="0.35">
      <c r="A4610">
        <v>430045</v>
      </c>
      <c r="B4610">
        <v>45918</v>
      </c>
      <c r="C4610" t="s">
        <v>4731</v>
      </c>
      <c r="D4610" t="s">
        <v>4719</v>
      </c>
      <c r="E4610" t="s">
        <v>4726</v>
      </c>
      <c r="F4610">
        <v>4789</v>
      </c>
      <c r="G4610">
        <v>1</v>
      </c>
      <c r="H4610" t="s">
        <v>16</v>
      </c>
      <c r="I4610" s="1">
        <v>-2782700</v>
      </c>
      <c r="J4610" s="1">
        <v>-5405700</v>
      </c>
      <c r="K4610">
        <v>383</v>
      </c>
      <c r="L4610">
        <v>172</v>
      </c>
      <c r="M4610" t="s">
        <v>16</v>
      </c>
    </row>
    <row r="4611" spans="1:13" x14ac:dyDescent="0.35">
      <c r="A4611">
        <v>430047</v>
      </c>
      <c r="B4611">
        <v>59854</v>
      </c>
      <c r="C4611" t="s">
        <v>4732</v>
      </c>
      <c r="D4611" t="s">
        <v>4719</v>
      </c>
      <c r="E4611" t="s">
        <v>4733</v>
      </c>
      <c r="F4611">
        <v>2158</v>
      </c>
      <c r="G4611">
        <v>1</v>
      </c>
      <c r="H4611" t="s">
        <v>16</v>
      </c>
      <c r="I4611" s="1">
        <v>-2811300</v>
      </c>
      <c r="J4611" s="1">
        <v>-5290900</v>
      </c>
      <c r="K4611">
        <v>0</v>
      </c>
      <c r="L4611">
        <v>265</v>
      </c>
      <c r="M4611" t="s">
        <v>16</v>
      </c>
    </row>
    <row r="4612" spans="1:13" x14ac:dyDescent="0.35">
      <c r="A4612">
        <v>430050</v>
      </c>
      <c r="B4612">
        <v>39250</v>
      </c>
      <c r="C4612" t="s">
        <v>4734</v>
      </c>
      <c r="D4612" t="s">
        <v>4719</v>
      </c>
      <c r="E4612" t="s">
        <v>4735</v>
      </c>
      <c r="F4612">
        <v>8972</v>
      </c>
      <c r="G4612">
        <v>1</v>
      </c>
      <c r="H4612" t="s">
        <v>16</v>
      </c>
      <c r="I4612" s="1">
        <v>-2724900</v>
      </c>
      <c r="J4612" s="1">
        <v>-5303500</v>
      </c>
      <c r="K4612">
        <v>467</v>
      </c>
      <c r="L4612">
        <v>328</v>
      </c>
      <c r="M4612" t="s">
        <v>16</v>
      </c>
    </row>
    <row r="4613" spans="1:13" x14ac:dyDescent="0.35">
      <c r="A4613">
        <v>430055</v>
      </c>
      <c r="B4613">
        <v>45926</v>
      </c>
      <c r="C4613" t="s">
        <v>171</v>
      </c>
      <c r="D4613" t="s">
        <v>4719</v>
      </c>
      <c r="E4613" t="s">
        <v>4736</v>
      </c>
      <c r="F4613">
        <v>1940</v>
      </c>
      <c r="G4613">
        <v>1</v>
      </c>
      <c r="H4613" t="s">
        <v>16</v>
      </c>
      <c r="I4613" s="1">
        <v>-2877300</v>
      </c>
      <c r="J4613" s="1">
        <v>-5299000</v>
      </c>
      <c r="K4613">
        <v>370</v>
      </c>
      <c r="L4613">
        <v>114</v>
      </c>
      <c r="M4613" t="s">
        <v>16</v>
      </c>
    </row>
    <row r="4614" spans="1:13" x14ac:dyDescent="0.35">
      <c r="A4614">
        <v>430057</v>
      </c>
      <c r="B4614">
        <v>52051</v>
      </c>
      <c r="C4614" t="s">
        <v>4737</v>
      </c>
      <c r="D4614" t="s">
        <v>4719</v>
      </c>
      <c r="E4614" t="s">
        <v>4738</v>
      </c>
      <c r="F4614">
        <v>2934</v>
      </c>
      <c r="G4614">
        <v>1</v>
      </c>
      <c r="H4614" t="s">
        <v>16</v>
      </c>
      <c r="I4614" s="1">
        <v>-2939200</v>
      </c>
      <c r="J4614" s="1">
        <v>-5131200</v>
      </c>
      <c r="K4614">
        <v>285</v>
      </c>
      <c r="L4614">
        <v>79</v>
      </c>
      <c r="M4614" t="s">
        <v>16</v>
      </c>
    </row>
    <row r="4615" spans="1:13" x14ac:dyDescent="0.35">
      <c r="A4615">
        <v>430060</v>
      </c>
      <c r="B4615">
        <v>39268</v>
      </c>
      <c r="C4615" t="s">
        <v>410</v>
      </c>
      <c r="D4615" t="s">
        <v>4719</v>
      </c>
      <c r="E4615" t="s">
        <v>4739</v>
      </c>
      <c r="F4615">
        <v>207142</v>
      </c>
      <c r="G4615">
        <v>4</v>
      </c>
      <c r="H4615" t="s">
        <v>4740</v>
      </c>
      <c r="I4615" s="1">
        <v>-2999000</v>
      </c>
      <c r="J4615" s="1">
        <v>-5108400</v>
      </c>
      <c r="K4615">
        <v>17</v>
      </c>
      <c r="L4615">
        <v>70</v>
      </c>
      <c r="M4615" t="s">
        <v>16</v>
      </c>
    </row>
    <row r="4616" spans="1:13" x14ac:dyDescent="0.35">
      <c r="A4616">
        <v>430063</v>
      </c>
      <c r="B4616">
        <v>45934</v>
      </c>
      <c r="C4616" t="s">
        <v>4741</v>
      </c>
      <c r="D4616" t="s">
        <v>4719</v>
      </c>
      <c r="E4616" t="s">
        <v>4742</v>
      </c>
      <c r="F4616">
        <v>6232</v>
      </c>
      <c r="G4616">
        <v>1</v>
      </c>
      <c r="H4616" t="s">
        <v>16</v>
      </c>
      <c r="I4616" s="1">
        <v>-3087500</v>
      </c>
      <c r="J4616" s="1">
        <v>-5225300</v>
      </c>
      <c r="K4616">
        <v>140</v>
      </c>
      <c r="L4616">
        <v>506</v>
      </c>
      <c r="M4616" t="s">
        <v>16</v>
      </c>
    </row>
    <row r="4617" spans="1:13" x14ac:dyDescent="0.35">
      <c r="A4617">
        <v>430064</v>
      </c>
      <c r="B4617">
        <v>52060</v>
      </c>
      <c r="C4617" t="s">
        <v>4743</v>
      </c>
      <c r="D4617" t="s">
        <v>4719</v>
      </c>
      <c r="E4617" t="s">
        <v>4735</v>
      </c>
      <c r="F4617">
        <v>8058</v>
      </c>
      <c r="G4617">
        <v>1</v>
      </c>
      <c r="H4617" t="s">
        <v>16</v>
      </c>
      <c r="I4617" s="1">
        <v>-2736100</v>
      </c>
      <c r="J4617" s="1">
        <v>-5318200</v>
      </c>
      <c r="K4617">
        <v>505</v>
      </c>
      <c r="L4617">
        <v>93</v>
      </c>
      <c r="M4617" t="s">
        <v>16</v>
      </c>
    </row>
    <row r="4618" spans="1:13" x14ac:dyDescent="0.35">
      <c r="A4618">
        <v>430066</v>
      </c>
      <c r="B4618">
        <v>45942</v>
      </c>
      <c r="C4618" t="s">
        <v>4744</v>
      </c>
      <c r="D4618" t="s">
        <v>4719</v>
      </c>
      <c r="E4618" t="s">
        <v>4745</v>
      </c>
      <c r="F4618">
        <v>1206</v>
      </c>
      <c r="G4618">
        <v>1</v>
      </c>
      <c r="H4618" t="s">
        <v>16</v>
      </c>
      <c r="I4618" s="1">
        <v>-2863100</v>
      </c>
      <c r="J4618" s="1">
        <v>-5157100</v>
      </c>
      <c r="K4618">
        <v>700</v>
      </c>
      <c r="L4618">
        <v>329</v>
      </c>
      <c r="M4618" t="s">
        <v>16</v>
      </c>
    </row>
    <row r="4619" spans="1:13" x14ac:dyDescent="0.35">
      <c r="A4619">
        <v>430070</v>
      </c>
      <c r="B4619">
        <v>39276</v>
      </c>
      <c r="C4619" t="s">
        <v>4746</v>
      </c>
      <c r="D4619" t="s">
        <v>4719</v>
      </c>
      <c r="E4619" t="s">
        <v>4745</v>
      </c>
      <c r="F4619">
        <v>6163</v>
      </c>
      <c r="G4619">
        <v>1</v>
      </c>
      <c r="H4619" t="s">
        <v>16</v>
      </c>
      <c r="I4619" s="1">
        <v>-2897000</v>
      </c>
      <c r="J4619" s="1">
        <v>-5200500</v>
      </c>
      <c r="K4619">
        <v>411</v>
      </c>
      <c r="L4619">
        <v>242</v>
      </c>
      <c r="M4619" t="s">
        <v>16</v>
      </c>
    </row>
    <row r="4620" spans="1:13" x14ac:dyDescent="0.35">
      <c r="A4620">
        <v>430080</v>
      </c>
      <c r="B4620">
        <v>39284</v>
      </c>
      <c r="C4620" t="s">
        <v>4747</v>
      </c>
      <c r="D4620" t="s">
        <v>4719</v>
      </c>
      <c r="E4620" t="s">
        <v>4748</v>
      </c>
      <c r="F4620">
        <v>13591</v>
      </c>
      <c r="G4620">
        <v>1</v>
      </c>
      <c r="H4620" t="s">
        <v>16</v>
      </c>
      <c r="I4620" s="1">
        <v>-2885800</v>
      </c>
      <c r="J4620" s="1">
        <v>-5128300</v>
      </c>
      <c r="K4620">
        <v>658</v>
      </c>
      <c r="L4620">
        <v>347</v>
      </c>
      <c r="M4620" t="s">
        <v>16</v>
      </c>
    </row>
    <row r="4621" spans="1:13" x14ac:dyDescent="0.35">
      <c r="A4621">
        <v>430085</v>
      </c>
      <c r="B4621">
        <v>52078</v>
      </c>
      <c r="C4621" t="s">
        <v>4749</v>
      </c>
      <c r="D4621" t="s">
        <v>4719</v>
      </c>
      <c r="E4621" t="s">
        <v>4750</v>
      </c>
      <c r="F4621">
        <v>3825</v>
      </c>
      <c r="G4621">
        <v>1</v>
      </c>
      <c r="H4621" t="s">
        <v>16</v>
      </c>
      <c r="I4621" s="1">
        <v>-3091500</v>
      </c>
      <c r="J4621" s="1">
        <v>-5149800</v>
      </c>
      <c r="K4621">
        <v>5</v>
      </c>
      <c r="L4621">
        <v>519</v>
      </c>
      <c r="M4621" t="s">
        <v>16</v>
      </c>
    </row>
    <row r="4622" spans="1:13" x14ac:dyDescent="0.35">
      <c r="A4622">
        <v>430087</v>
      </c>
      <c r="B4622">
        <v>56855</v>
      </c>
      <c r="C4622" t="s">
        <v>4751</v>
      </c>
      <c r="D4622" t="s">
        <v>4719</v>
      </c>
      <c r="E4622" t="s">
        <v>4739</v>
      </c>
      <c r="F4622">
        <v>4781</v>
      </c>
      <c r="G4622">
        <v>4</v>
      </c>
      <c r="H4622" t="s">
        <v>4740</v>
      </c>
      <c r="I4622" s="1">
        <v>-2961400</v>
      </c>
      <c r="J4622" s="1">
        <v>-5092500</v>
      </c>
      <c r="K4622">
        <v>53</v>
      </c>
      <c r="L4622">
        <v>35</v>
      </c>
      <c r="M4622" t="s">
        <v>16</v>
      </c>
    </row>
    <row r="4623" spans="1:13" x14ac:dyDescent="0.35">
      <c r="A4623">
        <v>430090</v>
      </c>
      <c r="B4623">
        <v>39292</v>
      </c>
      <c r="C4623" t="s">
        <v>4752</v>
      </c>
      <c r="D4623" t="s">
        <v>4719</v>
      </c>
      <c r="E4623" t="s">
        <v>4753</v>
      </c>
      <c r="F4623">
        <v>6616</v>
      </c>
      <c r="G4623">
        <v>1</v>
      </c>
      <c r="H4623" t="s">
        <v>16</v>
      </c>
      <c r="I4623" s="1">
        <v>-2739400</v>
      </c>
      <c r="J4623" s="1">
        <v>-5230000</v>
      </c>
      <c r="K4623">
        <v>420</v>
      </c>
      <c r="L4623">
        <v>341</v>
      </c>
      <c r="M4623" t="s">
        <v>16</v>
      </c>
    </row>
    <row r="4624" spans="1:13" x14ac:dyDescent="0.35">
      <c r="A4624">
        <v>430100</v>
      </c>
      <c r="B4624">
        <v>39306</v>
      </c>
      <c r="C4624" t="s">
        <v>4754</v>
      </c>
      <c r="D4624" t="s">
        <v>4719</v>
      </c>
      <c r="E4624" t="s">
        <v>4755</v>
      </c>
      <c r="F4624">
        <v>18079</v>
      </c>
      <c r="G4624">
        <v>1</v>
      </c>
      <c r="H4624" t="s">
        <v>16</v>
      </c>
      <c r="I4624" s="1">
        <v>-2940100</v>
      </c>
      <c r="J4624" s="1">
        <v>-5194500</v>
      </c>
      <c r="K4624">
        <v>54</v>
      </c>
      <c r="L4624">
        <v>157</v>
      </c>
      <c r="M4624" t="s">
        <v>16</v>
      </c>
    </row>
    <row r="4625" spans="1:13" x14ac:dyDescent="0.35">
      <c r="A4625">
        <v>430105</v>
      </c>
      <c r="B4625">
        <v>45950</v>
      </c>
      <c r="C4625" t="s">
        <v>4756</v>
      </c>
      <c r="D4625" t="s">
        <v>4719</v>
      </c>
      <c r="E4625" t="s">
        <v>4757</v>
      </c>
      <c r="F4625">
        <v>6635</v>
      </c>
      <c r="G4625">
        <v>4</v>
      </c>
      <c r="H4625" t="s">
        <v>4758</v>
      </c>
      <c r="I4625" s="1">
        <v>-2955100</v>
      </c>
      <c r="J4625" s="1">
        <v>-4988900</v>
      </c>
      <c r="K4625">
        <v>6</v>
      </c>
      <c r="L4625">
        <v>120</v>
      </c>
      <c r="M4625" t="s">
        <v>16</v>
      </c>
    </row>
    <row r="4626" spans="1:13" x14ac:dyDescent="0.35">
      <c r="A4626">
        <v>430107</v>
      </c>
      <c r="B4626">
        <v>59650</v>
      </c>
      <c r="C4626" t="s">
        <v>4759</v>
      </c>
      <c r="D4626" t="s">
        <v>4719</v>
      </c>
      <c r="E4626" t="s">
        <v>4760</v>
      </c>
      <c r="F4626">
        <v>2734</v>
      </c>
      <c r="G4626">
        <v>4</v>
      </c>
      <c r="H4626" t="s">
        <v>4761</v>
      </c>
      <c r="I4626" s="1">
        <v>-3144200</v>
      </c>
      <c r="J4626" s="1">
        <v>-5242200</v>
      </c>
      <c r="K4626">
        <v>0</v>
      </c>
      <c r="L4626">
        <v>124</v>
      </c>
      <c r="M4626" t="s">
        <v>16</v>
      </c>
    </row>
    <row r="4627" spans="1:13" x14ac:dyDescent="0.35">
      <c r="A4627">
        <v>430110</v>
      </c>
      <c r="B4627">
        <v>39314</v>
      </c>
      <c r="C4627" t="s">
        <v>4762</v>
      </c>
      <c r="D4627" t="s">
        <v>4719</v>
      </c>
      <c r="E4627" t="s">
        <v>4763</v>
      </c>
      <c r="F4627">
        <v>13619</v>
      </c>
      <c r="G4627">
        <v>4</v>
      </c>
      <c r="H4627" t="s">
        <v>4740</v>
      </c>
      <c r="I4627" s="1">
        <v>-3007700</v>
      </c>
      <c r="J4627" s="1">
        <v>-5172900</v>
      </c>
      <c r="K4627">
        <v>69</v>
      </c>
      <c r="L4627">
        <v>425</v>
      </c>
      <c r="M4627" t="s">
        <v>16</v>
      </c>
    </row>
    <row r="4628" spans="1:13" x14ac:dyDescent="0.35">
      <c r="A4628">
        <v>430120</v>
      </c>
      <c r="B4628">
        <v>39322</v>
      </c>
      <c r="C4628" t="s">
        <v>4764</v>
      </c>
      <c r="D4628" t="s">
        <v>4719</v>
      </c>
      <c r="E4628" t="s">
        <v>4765</v>
      </c>
      <c r="F4628">
        <v>12638</v>
      </c>
      <c r="G4628">
        <v>1</v>
      </c>
      <c r="H4628" t="s">
        <v>16</v>
      </c>
      <c r="I4628" s="1">
        <v>-2933300</v>
      </c>
      <c r="J4628" s="1">
        <v>-5309300</v>
      </c>
      <c r="K4628">
        <v>409</v>
      </c>
      <c r="L4628">
        <v>318</v>
      </c>
      <c r="M4628" t="s">
        <v>16</v>
      </c>
    </row>
    <row r="4629" spans="1:13" x14ac:dyDescent="0.35">
      <c r="A4629">
        <v>430130</v>
      </c>
      <c r="B4629">
        <v>39330</v>
      </c>
      <c r="C4629" t="s">
        <v>4766</v>
      </c>
      <c r="D4629" t="s">
        <v>4719</v>
      </c>
      <c r="E4629" t="s">
        <v>4767</v>
      </c>
      <c r="F4629">
        <v>18358</v>
      </c>
      <c r="G4629">
        <v>1</v>
      </c>
      <c r="H4629" t="s">
        <v>16</v>
      </c>
      <c r="I4629" s="1">
        <v>-3223800</v>
      </c>
      <c r="J4629" s="1">
        <v>-5308700</v>
      </c>
      <c r="K4629">
        <v>22</v>
      </c>
      <c r="L4629">
        <v>2518</v>
      </c>
      <c r="M4629" t="s">
        <v>16</v>
      </c>
    </row>
    <row r="4630" spans="1:13" x14ac:dyDescent="0.35">
      <c r="A4630">
        <v>430140</v>
      </c>
      <c r="B4630">
        <v>39349</v>
      </c>
      <c r="C4630" t="s">
        <v>4768</v>
      </c>
      <c r="D4630" t="s">
        <v>4719</v>
      </c>
      <c r="E4630" t="s">
        <v>4745</v>
      </c>
      <c r="F4630">
        <v>10210</v>
      </c>
      <c r="G4630">
        <v>1</v>
      </c>
      <c r="H4630" t="s">
        <v>16</v>
      </c>
      <c r="I4630" s="1">
        <v>-2887200</v>
      </c>
      <c r="J4630" s="1">
        <v>-5217500</v>
      </c>
      <c r="K4630">
        <v>750</v>
      </c>
      <c r="L4630">
        <v>271</v>
      </c>
      <c r="M4630" t="s">
        <v>16</v>
      </c>
    </row>
    <row r="4631" spans="1:13" x14ac:dyDescent="0.35">
      <c r="A4631">
        <v>430150</v>
      </c>
      <c r="B4631">
        <v>39357</v>
      </c>
      <c r="C4631" t="s">
        <v>4769</v>
      </c>
      <c r="D4631" t="s">
        <v>4719</v>
      </c>
      <c r="E4631" t="s">
        <v>4726</v>
      </c>
      <c r="F4631">
        <v>7273</v>
      </c>
      <c r="G4631">
        <v>1</v>
      </c>
      <c r="H4631" t="s">
        <v>16</v>
      </c>
      <c r="I4631" s="1">
        <v>-2851700</v>
      </c>
      <c r="J4631" s="1">
        <v>-5399200</v>
      </c>
      <c r="K4631">
        <v>385</v>
      </c>
      <c r="L4631">
        <v>347</v>
      </c>
      <c r="M4631" t="s">
        <v>16</v>
      </c>
    </row>
    <row r="4632" spans="1:13" x14ac:dyDescent="0.35">
      <c r="A4632">
        <v>430155</v>
      </c>
      <c r="B4632">
        <v>45969</v>
      </c>
      <c r="C4632" t="s">
        <v>4770</v>
      </c>
      <c r="D4632" t="s">
        <v>4719</v>
      </c>
      <c r="E4632" t="s">
        <v>4753</v>
      </c>
      <c r="F4632">
        <v>3715</v>
      </c>
      <c r="G4632">
        <v>1</v>
      </c>
      <c r="H4632" t="s">
        <v>16</v>
      </c>
      <c r="I4632" s="1">
        <v>-2769800</v>
      </c>
      <c r="J4632" s="1">
        <v>-5204900</v>
      </c>
      <c r="K4632">
        <v>600</v>
      </c>
      <c r="L4632">
        <v>158</v>
      </c>
      <c r="M4632" t="s">
        <v>16</v>
      </c>
    </row>
    <row r="4633" spans="1:13" x14ac:dyDescent="0.35">
      <c r="A4633">
        <v>430160</v>
      </c>
      <c r="B4633">
        <v>39365</v>
      </c>
      <c r="C4633" t="s">
        <v>4771</v>
      </c>
      <c r="D4633" t="s">
        <v>4719</v>
      </c>
      <c r="E4633" t="s">
        <v>4720</v>
      </c>
      <c r="F4633">
        <v>112550</v>
      </c>
      <c r="G4633">
        <v>3</v>
      </c>
      <c r="H4633" t="s">
        <v>16</v>
      </c>
      <c r="I4633" s="1">
        <v>-3133100</v>
      </c>
      <c r="J4633" s="1">
        <v>-5410700</v>
      </c>
      <c r="K4633">
        <v>212</v>
      </c>
      <c r="L4633">
        <v>4095</v>
      </c>
      <c r="M4633" t="s">
        <v>16</v>
      </c>
    </row>
    <row r="4634" spans="1:13" x14ac:dyDescent="0.35">
      <c r="A4634">
        <v>430163</v>
      </c>
      <c r="B4634">
        <v>58670</v>
      </c>
      <c r="C4634" t="s">
        <v>4772</v>
      </c>
      <c r="D4634" t="s">
        <v>4719</v>
      </c>
      <c r="E4634" t="s">
        <v>4757</v>
      </c>
      <c r="F4634">
        <v>10517</v>
      </c>
      <c r="G4634">
        <v>4</v>
      </c>
      <c r="H4634" t="s">
        <v>4758</v>
      </c>
      <c r="I4634" s="1">
        <v>-3024700</v>
      </c>
      <c r="J4634" s="1">
        <v>-5023300</v>
      </c>
      <c r="K4634">
        <v>100</v>
      </c>
      <c r="L4634">
        <v>103</v>
      </c>
      <c r="M4634" t="s">
        <v>16</v>
      </c>
    </row>
    <row r="4635" spans="1:13" x14ac:dyDescent="0.35">
      <c r="A4635">
        <v>430165</v>
      </c>
      <c r="B4635">
        <v>45977</v>
      </c>
      <c r="C4635" t="s">
        <v>4773</v>
      </c>
      <c r="D4635" t="s">
        <v>4719</v>
      </c>
      <c r="E4635" t="s">
        <v>4738</v>
      </c>
      <c r="F4635">
        <v>5293</v>
      </c>
      <c r="G4635">
        <v>1</v>
      </c>
      <c r="H4635" t="s">
        <v>16</v>
      </c>
      <c r="I4635" s="1">
        <v>-2937700</v>
      </c>
      <c r="J4635" s="1">
        <v>-5149600</v>
      </c>
      <c r="K4635">
        <v>642</v>
      </c>
      <c r="L4635">
        <v>124</v>
      </c>
      <c r="M4635" t="s">
        <v>16</v>
      </c>
    </row>
    <row r="4636" spans="1:13" x14ac:dyDescent="0.35">
      <c r="A4636">
        <v>430170</v>
      </c>
      <c r="B4636">
        <v>39373</v>
      </c>
      <c r="C4636" t="s">
        <v>4774</v>
      </c>
      <c r="D4636" t="s">
        <v>4719</v>
      </c>
      <c r="E4636" t="s">
        <v>4753</v>
      </c>
      <c r="F4636">
        <v>6519</v>
      </c>
      <c r="G4636">
        <v>1</v>
      </c>
      <c r="H4636" t="s">
        <v>16</v>
      </c>
      <c r="I4636" s="1">
        <v>-2762100</v>
      </c>
      <c r="J4636" s="1">
        <v>-5238000</v>
      </c>
      <c r="K4636">
        <v>687</v>
      </c>
      <c r="L4636">
        <v>259</v>
      </c>
      <c r="M4636" t="s">
        <v>16</v>
      </c>
    </row>
    <row r="4637" spans="1:13" x14ac:dyDescent="0.35">
      <c r="A4637">
        <v>430175</v>
      </c>
      <c r="B4637">
        <v>52086</v>
      </c>
      <c r="C4637" t="s">
        <v>4775</v>
      </c>
      <c r="D4637" t="s">
        <v>4719</v>
      </c>
      <c r="E4637" t="s">
        <v>4763</v>
      </c>
      <c r="F4637">
        <v>6924</v>
      </c>
      <c r="G4637">
        <v>1</v>
      </c>
      <c r="H4637" t="s">
        <v>16</v>
      </c>
      <c r="I4637" s="1">
        <v>-3038800</v>
      </c>
      <c r="J4637" s="1">
        <v>-5173400</v>
      </c>
      <c r="K4637">
        <v>258</v>
      </c>
      <c r="L4637">
        <v>436</v>
      </c>
      <c r="M4637" t="s">
        <v>16</v>
      </c>
    </row>
    <row r="4638" spans="1:13" x14ac:dyDescent="0.35">
      <c r="A4638">
        <v>430180</v>
      </c>
      <c r="B4638">
        <v>39381</v>
      </c>
      <c r="C4638" t="s">
        <v>4106</v>
      </c>
      <c r="D4638" t="s">
        <v>4719</v>
      </c>
      <c r="E4638" t="s">
        <v>4776</v>
      </c>
      <c r="F4638">
        <v>5306</v>
      </c>
      <c r="G4638">
        <v>1</v>
      </c>
      <c r="H4638" t="s">
        <v>16</v>
      </c>
      <c r="I4638" s="1">
        <v>-2767200</v>
      </c>
      <c r="J4638" s="1">
        <v>-5146100</v>
      </c>
      <c r="K4638">
        <v>764</v>
      </c>
      <c r="L4638">
        <v>516</v>
      </c>
      <c r="M4638" t="s">
        <v>16</v>
      </c>
    </row>
    <row r="4639" spans="1:13" x14ac:dyDescent="0.35">
      <c r="A4639">
        <v>430185</v>
      </c>
      <c r="B4639">
        <v>52094</v>
      </c>
      <c r="C4639" t="s">
        <v>4777</v>
      </c>
      <c r="D4639" t="s">
        <v>4719</v>
      </c>
      <c r="E4639" t="s">
        <v>4778</v>
      </c>
      <c r="F4639">
        <v>2969</v>
      </c>
      <c r="G4639">
        <v>1</v>
      </c>
      <c r="H4639" t="s">
        <v>16</v>
      </c>
      <c r="I4639" s="1">
        <v>-2719200</v>
      </c>
      <c r="J4639" s="1">
        <v>-5371000</v>
      </c>
      <c r="K4639">
        <v>194</v>
      </c>
      <c r="L4639">
        <v>64</v>
      </c>
      <c r="M4639" t="s">
        <v>16</v>
      </c>
    </row>
    <row r="4640" spans="1:13" x14ac:dyDescent="0.35">
      <c r="A4640">
        <v>430187</v>
      </c>
      <c r="B4640">
        <v>58688</v>
      </c>
      <c r="C4640" t="s">
        <v>4779</v>
      </c>
      <c r="D4640" t="s">
        <v>4719</v>
      </c>
      <c r="E4640" t="s">
        <v>4730</v>
      </c>
      <c r="F4640">
        <v>3776</v>
      </c>
      <c r="G4640">
        <v>1</v>
      </c>
      <c r="H4640" t="s">
        <v>16</v>
      </c>
      <c r="I4640" s="1">
        <v>-3020700</v>
      </c>
      <c r="J4640" s="1">
        <v>-5755500</v>
      </c>
      <c r="K4640">
        <v>35</v>
      </c>
      <c r="L4640">
        <v>1056</v>
      </c>
      <c r="M4640" t="s">
        <v>16</v>
      </c>
    </row>
    <row r="4641" spans="1:13" x14ac:dyDescent="0.35">
      <c r="A4641">
        <v>430190</v>
      </c>
      <c r="B4641">
        <v>39390</v>
      </c>
      <c r="C4641" t="s">
        <v>4780</v>
      </c>
      <c r="D4641" t="s">
        <v>4719</v>
      </c>
      <c r="E4641" t="s">
        <v>4750</v>
      </c>
      <c r="F4641">
        <v>11478</v>
      </c>
      <c r="G4641">
        <v>1</v>
      </c>
      <c r="H4641" t="s">
        <v>16</v>
      </c>
      <c r="I4641" s="1">
        <v>-3029100</v>
      </c>
      <c r="J4641" s="1">
        <v>-5130100</v>
      </c>
      <c r="K4641">
        <v>5</v>
      </c>
      <c r="L4641">
        <v>730</v>
      </c>
      <c r="M4641" t="s">
        <v>16</v>
      </c>
    </row>
    <row r="4642" spans="1:13" x14ac:dyDescent="0.35">
      <c r="A4642">
        <v>430192</v>
      </c>
      <c r="B4642">
        <v>52108</v>
      </c>
      <c r="C4642" t="s">
        <v>4781</v>
      </c>
      <c r="D4642" t="s">
        <v>4719</v>
      </c>
      <c r="E4642" t="s">
        <v>4753</v>
      </c>
      <c r="F4642">
        <v>2028</v>
      </c>
      <c r="G4642">
        <v>1</v>
      </c>
      <c r="H4642" t="s">
        <v>16</v>
      </c>
      <c r="I4642" s="1">
        <v>-2740900</v>
      </c>
      <c r="J4642" s="1">
        <v>-5241000</v>
      </c>
      <c r="K4642">
        <v>438</v>
      </c>
      <c r="L4642">
        <v>147</v>
      </c>
      <c r="M4642" t="s">
        <v>16</v>
      </c>
    </row>
    <row r="4643" spans="1:13" x14ac:dyDescent="0.35">
      <c r="A4643">
        <v>430195</v>
      </c>
      <c r="B4643">
        <v>52116</v>
      </c>
      <c r="C4643" t="s">
        <v>4782</v>
      </c>
      <c r="D4643" t="s">
        <v>4719</v>
      </c>
      <c r="E4643" t="s">
        <v>4733</v>
      </c>
      <c r="F4643">
        <v>2338</v>
      </c>
      <c r="G4643">
        <v>1</v>
      </c>
      <c r="H4643" t="s">
        <v>16</v>
      </c>
      <c r="I4643" s="1">
        <v>-2792300</v>
      </c>
      <c r="J4643" s="1">
        <v>-5303900</v>
      </c>
      <c r="K4643">
        <v>385</v>
      </c>
      <c r="L4643">
        <v>60</v>
      </c>
      <c r="M4643" t="s">
        <v>16</v>
      </c>
    </row>
    <row r="4644" spans="1:13" x14ac:dyDescent="0.35">
      <c r="A4644">
        <v>430200</v>
      </c>
      <c r="B4644">
        <v>39403</v>
      </c>
      <c r="C4644" t="s">
        <v>4783</v>
      </c>
      <c r="D4644" t="s">
        <v>4719</v>
      </c>
      <c r="E4644" t="s">
        <v>1596</v>
      </c>
      <c r="F4644">
        <v>11450</v>
      </c>
      <c r="G4644">
        <v>1</v>
      </c>
      <c r="H4644" t="s">
        <v>16</v>
      </c>
      <c r="I4644" s="1">
        <v>-2909300</v>
      </c>
      <c r="J4644" s="1">
        <v>-5258300</v>
      </c>
      <c r="K4644">
        <v>627</v>
      </c>
      <c r="L4644">
        <v>648</v>
      </c>
      <c r="M4644" t="s">
        <v>16</v>
      </c>
    </row>
    <row r="4645" spans="1:13" x14ac:dyDescent="0.35">
      <c r="A4645">
        <v>430205</v>
      </c>
      <c r="B4645">
        <v>58696</v>
      </c>
      <c r="C4645" t="s">
        <v>4784</v>
      </c>
      <c r="D4645" t="s">
        <v>4719</v>
      </c>
      <c r="E4645" t="s">
        <v>4753</v>
      </c>
      <c r="F4645">
        <v>2256</v>
      </c>
      <c r="G4645">
        <v>1</v>
      </c>
      <c r="H4645" t="s">
        <v>16</v>
      </c>
      <c r="I4645" s="1">
        <v>-2751000</v>
      </c>
      <c r="J4645" s="1">
        <v>-5259800</v>
      </c>
      <c r="K4645">
        <v>675</v>
      </c>
      <c r="L4645">
        <v>132</v>
      </c>
      <c r="M4645" t="s">
        <v>16</v>
      </c>
    </row>
    <row r="4646" spans="1:13" x14ac:dyDescent="0.35">
      <c r="A4646">
        <v>430210</v>
      </c>
      <c r="B4646">
        <v>39411</v>
      </c>
      <c r="C4646" t="s">
        <v>4785</v>
      </c>
      <c r="D4646" t="s">
        <v>4719</v>
      </c>
      <c r="E4646" t="s">
        <v>4748</v>
      </c>
      <c r="F4646">
        <v>100643</v>
      </c>
      <c r="G4646">
        <v>4</v>
      </c>
      <c r="H4646" t="s">
        <v>4786</v>
      </c>
      <c r="I4646" s="1">
        <v>-2917100</v>
      </c>
      <c r="J4646" s="1">
        <v>-5151900</v>
      </c>
      <c r="K4646">
        <v>691</v>
      </c>
      <c r="L4646">
        <v>382</v>
      </c>
      <c r="M4646" t="s">
        <v>16</v>
      </c>
    </row>
    <row r="4647" spans="1:13" x14ac:dyDescent="0.35">
      <c r="A4647">
        <v>430215</v>
      </c>
      <c r="B4647">
        <v>52124</v>
      </c>
      <c r="C4647" t="s">
        <v>4787</v>
      </c>
      <c r="D4647" t="s">
        <v>4719</v>
      </c>
      <c r="E4647" t="s">
        <v>4733</v>
      </c>
      <c r="F4647">
        <v>2066</v>
      </c>
      <c r="G4647">
        <v>1</v>
      </c>
      <c r="H4647" t="s">
        <v>16</v>
      </c>
      <c r="I4647" s="1">
        <v>-2766300</v>
      </c>
      <c r="J4647" s="1">
        <v>-5331400</v>
      </c>
      <c r="K4647">
        <v>596</v>
      </c>
      <c r="L4647">
        <v>195</v>
      </c>
      <c r="M4647" t="s">
        <v>16</v>
      </c>
    </row>
    <row r="4648" spans="1:13" x14ac:dyDescent="0.35">
      <c r="A4648">
        <v>430220</v>
      </c>
      <c r="B4648">
        <v>39420</v>
      </c>
      <c r="C4648" t="s">
        <v>4788</v>
      </c>
      <c r="D4648" t="s">
        <v>4719</v>
      </c>
      <c r="E4648" t="s">
        <v>4778</v>
      </c>
      <c r="F4648">
        <v>6468</v>
      </c>
      <c r="G4648">
        <v>1</v>
      </c>
      <c r="H4648" t="s">
        <v>16</v>
      </c>
      <c r="I4648" s="1">
        <v>-2766900</v>
      </c>
      <c r="J4648" s="1">
        <v>-5411000</v>
      </c>
      <c r="K4648">
        <v>291</v>
      </c>
      <c r="L4648">
        <v>108</v>
      </c>
      <c r="M4648" t="s">
        <v>16</v>
      </c>
    </row>
    <row r="4649" spans="1:13" x14ac:dyDescent="0.35">
      <c r="A4649">
        <v>430222</v>
      </c>
      <c r="B4649">
        <v>59668</v>
      </c>
      <c r="C4649" t="s">
        <v>4789</v>
      </c>
      <c r="D4649" t="s">
        <v>4719</v>
      </c>
      <c r="E4649" t="s">
        <v>4736</v>
      </c>
      <c r="F4649">
        <v>2447</v>
      </c>
      <c r="G4649">
        <v>1</v>
      </c>
      <c r="H4649" t="s">
        <v>16</v>
      </c>
      <c r="I4649" s="1">
        <v>-2860700</v>
      </c>
      <c r="J4649" s="1">
        <v>-5381500</v>
      </c>
      <c r="K4649">
        <v>0</v>
      </c>
      <c r="L4649">
        <v>701</v>
      </c>
      <c r="M4649" t="s">
        <v>16</v>
      </c>
    </row>
    <row r="4650" spans="1:13" x14ac:dyDescent="0.35">
      <c r="A4650">
        <v>430223</v>
      </c>
      <c r="B4650">
        <v>59676</v>
      </c>
      <c r="C4650" t="s">
        <v>4790</v>
      </c>
      <c r="D4650" t="s">
        <v>4719</v>
      </c>
      <c r="E4650" t="s">
        <v>4736</v>
      </c>
      <c r="F4650">
        <v>2447</v>
      </c>
      <c r="G4650">
        <v>1</v>
      </c>
      <c r="H4650" t="s">
        <v>16</v>
      </c>
      <c r="I4650" s="1">
        <v>-2881900</v>
      </c>
      <c r="J4650" s="1">
        <v>-5338700</v>
      </c>
      <c r="K4650">
        <v>0</v>
      </c>
      <c r="L4650">
        <v>503</v>
      </c>
      <c r="M4650" t="s">
        <v>16</v>
      </c>
    </row>
    <row r="4651" spans="1:13" x14ac:dyDescent="0.35">
      <c r="A4651">
        <v>430225</v>
      </c>
      <c r="B4651">
        <v>58700</v>
      </c>
      <c r="C4651" t="s">
        <v>4791</v>
      </c>
      <c r="D4651" t="s">
        <v>4719</v>
      </c>
      <c r="E4651" t="s">
        <v>4748</v>
      </c>
      <c r="F4651">
        <v>2663</v>
      </c>
      <c r="G4651">
        <v>1</v>
      </c>
      <c r="H4651" t="s">
        <v>16</v>
      </c>
      <c r="I4651" s="1">
        <v>-2935100</v>
      </c>
      <c r="J4651" s="1">
        <v>-5167600</v>
      </c>
      <c r="K4651">
        <v>460</v>
      </c>
      <c r="L4651">
        <v>94</v>
      </c>
      <c r="M4651" t="s">
        <v>16</v>
      </c>
    </row>
    <row r="4652" spans="1:13" x14ac:dyDescent="0.35">
      <c r="A4652">
        <v>430230</v>
      </c>
      <c r="B4652">
        <v>39438</v>
      </c>
      <c r="C4652" t="s">
        <v>819</v>
      </c>
      <c r="D4652" t="s">
        <v>4719</v>
      </c>
      <c r="E4652" t="s">
        <v>4792</v>
      </c>
      <c r="F4652">
        <v>11843</v>
      </c>
      <c r="G4652">
        <v>1</v>
      </c>
      <c r="H4652" t="s">
        <v>16</v>
      </c>
      <c r="I4652" s="1">
        <v>-2866800</v>
      </c>
      <c r="J4652" s="1">
        <v>-5041700</v>
      </c>
      <c r="K4652">
        <v>1046</v>
      </c>
      <c r="L4652">
        <v>2625</v>
      </c>
      <c r="M4652" t="s">
        <v>16</v>
      </c>
    </row>
    <row r="4653" spans="1:13" x14ac:dyDescent="0.35">
      <c r="A4653">
        <v>430235</v>
      </c>
      <c r="B4653">
        <v>41530</v>
      </c>
      <c r="C4653" t="s">
        <v>4793</v>
      </c>
      <c r="D4653" t="s">
        <v>4719</v>
      </c>
      <c r="E4653" t="s">
        <v>4738</v>
      </c>
      <c r="F4653">
        <v>10910</v>
      </c>
      <c r="G4653">
        <v>1</v>
      </c>
      <c r="H4653" t="s">
        <v>16</v>
      </c>
      <c r="I4653" s="1">
        <v>-2948900</v>
      </c>
      <c r="J4653" s="1">
        <v>-5135300</v>
      </c>
      <c r="K4653">
        <v>37</v>
      </c>
      <c r="L4653">
        <v>88</v>
      </c>
      <c r="M4653" t="s">
        <v>16</v>
      </c>
    </row>
    <row r="4654" spans="1:13" x14ac:dyDescent="0.35">
      <c r="A4654">
        <v>430237</v>
      </c>
      <c r="B4654">
        <v>52132</v>
      </c>
      <c r="C4654" t="s">
        <v>4794</v>
      </c>
      <c r="D4654" t="s">
        <v>4719</v>
      </c>
      <c r="E4654" t="s">
        <v>4778</v>
      </c>
      <c r="F4654">
        <v>2441</v>
      </c>
      <c r="G4654">
        <v>1</v>
      </c>
      <c r="H4654" t="s">
        <v>16</v>
      </c>
      <c r="I4654" s="1">
        <v>-2754400</v>
      </c>
      <c r="J4654" s="1">
        <v>-5386600</v>
      </c>
      <c r="K4654">
        <v>480</v>
      </c>
      <c r="L4654">
        <v>88</v>
      </c>
      <c r="M4654" t="s">
        <v>16</v>
      </c>
    </row>
    <row r="4655" spans="1:13" x14ac:dyDescent="0.35">
      <c r="A4655">
        <v>430240</v>
      </c>
      <c r="B4655">
        <v>39446</v>
      </c>
      <c r="C4655" t="s">
        <v>4795</v>
      </c>
      <c r="D4655" t="s">
        <v>4719</v>
      </c>
      <c r="E4655" t="s">
        <v>4755</v>
      </c>
      <c r="F4655">
        <v>11130</v>
      </c>
      <c r="G4655">
        <v>1</v>
      </c>
      <c r="H4655" t="s">
        <v>16</v>
      </c>
      <c r="I4655" s="1">
        <v>-2960900</v>
      </c>
      <c r="J4655" s="1">
        <v>-5194300</v>
      </c>
      <c r="K4655">
        <v>35</v>
      </c>
      <c r="L4655">
        <v>102</v>
      </c>
      <c r="M4655" t="s">
        <v>16</v>
      </c>
    </row>
    <row r="4656" spans="1:13" x14ac:dyDescent="0.35">
      <c r="A4656">
        <v>430245</v>
      </c>
      <c r="B4656">
        <v>45985</v>
      </c>
      <c r="C4656" t="s">
        <v>4796</v>
      </c>
      <c r="D4656" t="s">
        <v>4719</v>
      </c>
      <c r="E4656" t="s">
        <v>4755</v>
      </c>
      <c r="F4656">
        <v>7825</v>
      </c>
      <c r="G4656">
        <v>1</v>
      </c>
      <c r="H4656" t="s">
        <v>16</v>
      </c>
      <c r="I4656" s="1">
        <v>-2930400</v>
      </c>
      <c r="J4656" s="1">
        <v>-5242900</v>
      </c>
      <c r="K4656">
        <v>518</v>
      </c>
      <c r="L4656">
        <v>265</v>
      </c>
      <c r="M4656" t="s">
        <v>16</v>
      </c>
    </row>
    <row r="4657" spans="1:13" x14ac:dyDescent="0.35">
      <c r="A4657">
        <v>430250</v>
      </c>
      <c r="B4657">
        <v>39454</v>
      </c>
      <c r="C4657" t="s">
        <v>4797</v>
      </c>
      <c r="D4657" t="s">
        <v>4719</v>
      </c>
      <c r="E4657" t="s">
        <v>4798</v>
      </c>
      <c r="F4657">
        <v>7652</v>
      </c>
      <c r="G4657">
        <v>1</v>
      </c>
      <c r="H4657" t="s">
        <v>16</v>
      </c>
      <c r="I4657" s="1">
        <v>-2873000</v>
      </c>
      <c r="J4657" s="1">
        <v>-5490000</v>
      </c>
      <c r="K4657">
        <v>228</v>
      </c>
      <c r="L4657">
        <v>1596</v>
      </c>
      <c r="M4657" t="s">
        <v>16</v>
      </c>
    </row>
    <row r="4658" spans="1:13" x14ac:dyDescent="0.35">
      <c r="A4658">
        <v>430258</v>
      </c>
      <c r="B4658">
        <v>59862</v>
      </c>
      <c r="C4658" t="s">
        <v>4799</v>
      </c>
      <c r="D4658" t="s">
        <v>4719</v>
      </c>
      <c r="E4658" t="s">
        <v>4726</v>
      </c>
      <c r="F4658">
        <v>2296</v>
      </c>
      <c r="G4658">
        <v>1</v>
      </c>
      <c r="H4658" t="s">
        <v>16</v>
      </c>
      <c r="I4658" s="1">
        <v>-2836800</v>
      </c>
      <c r="J4658" s="1">
        <v>-5377100</v>
      </c>
      <c r="K4658">
        <v>0</v>
      </c>
      <c r="L4658">
        <v>201</v>
      </c>
      <c r="M4658" t="s">
        <v>16</v>
      </c>
    </row>
    <row r="4659" spans="1:13" x14ac:dyDescent="0.35">
      <c r="A4659">
        <v>430260</v>
      </c>
      <c r="B4659">
        <v>39462</v>
      </c>
      <c r="C4659" t="s">
        <v>4800</v>
      </c>
      <c r="D4659" t="s">
        <v>4719</v>
      </c>
      <c r="E4659" t="s">
        <v>4778</v>
      </c>
      <c r="F4659">
        <v>3826</v>
      </c>
      <c r="G4659">
        <v>1</v>
      </c>
      <c r="H4659" t="s">
        <v>16</v>
      </c>
      <c r="I4659" s="1">
        <v>-2761400</v>
      </c>
      <c r="J4659" s="1">
        <v>-5373900</v>
      </c>
      <c r="K4659">
        <v>430</v>
      </c>
      <c r="L4659">
        <v>128</v>
      </c>
      <c r="M4659" t="s">
        <v>16</v>
      </c>
    </row>
    <row r="4660" spans="1:13" x14ac:dyDescent="0.35">
      <c r="A4660">
        <v>430265</v>
      </c>
      <c r="B4660">
        <v>45993</v>
      </c>
      <c r="C4660" t="s">
        <v>4801</v>
      </c>
      <c r="D4660" t="s">
        <v>4719</v>
      </c>
      <c r="E4660" t="s">
        <v>4738</v>
      </c>
      <c r="F4660">
        <v>4701</v>
      </c>
      <c r="G4660">
        <v>1</v>
      </c>
      <c r="H4660" t="s">
        <v>16</v>
      </c>
      <c r="I4660" s="1">
        <v>-2955100</v>
      </c>
      <c r="J4660" s="1">
        <v>-5159300</v>
      </c>
      <c r="K4660">
        <v>90</v>
      </c>
      <c r="L4660">
        <v>109</v>
      </c>
      <c r="M4660" t="s">
        <v>16</v>
      </c>
    </row>
    <row r="4661" spans="1:13" x14ac:dyDescent="0.35">
      <c r="A4661">
        <v>430270</v>
      </c>
      <c r="B4661">
        <v>39470</v>
      </c>
      <c r="C4661" t="s">
        <v>4802</v>
      </c>
      <c r="D4661" t="s">
        <v>4719</v>
      </c>
      <c r="E4661" t="s">
        <v>4763</v>
      </c>
      <c r="F4661">
        <v>19717</v>
      </c>
      <c r="G4661">
        <v>1</v>
      </c>
      <c r="H4661" t="s">
        <v>16</v>
      </c>
      <c r="I4661" s="1">
        <v>-3012000</v>
      </c>
      <c r="J4661" s="1">
        <v>-5196200</v>
      </c>
      <c r="K4661">
        <v>71</v>
      </c>
      <c r="L4661">
        <v>768</v>
      </c>
      <c r="M4661" t="s">
        <v>16</v>
      </c>
    </row>
    <row r="4662" spans="1:13" x14ac:dyDescent="0.35">
      <c r="A4662">
        <v>430280</v>
      </c>
      <c r="B4662">
        <v>39489</v>
      </c>
      <c r="C4662" t="s">
        <v>4803</v>
      </c>
      <c r="D4662" t="s">
        <v>4719</v>
      </c>
      <c r="E4662" t="s">
        <v>4742</v>
      </c>
      <c r="F4662">
        <v>32574</v>
      </c>
      <c r="G4662">
        <v>1</v>
      </c>
      <c r="H4662" t="s">
        <v>16</v>
      </c>
      <c r="I4662" s="1">
        <v>-3051200</v>
      </c>
      <c r="J4662" s="1">
        <v>-5349100</v>
      </c>
      <c r="K4662">
        <v>444</v>
      </c>
      <c r="L4662">
        <v>3047</v>
      </c>
      <c r="M4662" t="s">
        <v>16</v>
      </c>
    </row>
    <row r="4663" spans="1:13" x14ac:dyDescent="0.35">
      <c r="A4663">
        <v>430290</v>
      </c>
      <c r="B4663">
        <v>39497</v>
      </c>
      <c r="C4663" t="s">
        <v>4804</v>
      </c>
      <c r="D4663" t="s">
        <v>4719</v>
      </c>
      <c r="E4663" t="s">
        <v>1329</v>
      </c>
      <c r="F4663">
        <v>13629</v>
      </c>
      <c r="G4663">
        <v>1</v>
      </c>
      <c r="H4663" t="s">
        <v>16</v>
      </c>
      <c r="I4663" s="1">
        <v>-2988400</v>
      </c>
      <c r="J4663" s="1">
        <v>-5482500</v>
      </c>
      <c r="K4663">
        <v>103</v>
      </c>
      <c r="L4663">
        <v>2370</v>
      </c>
      <c r="M4663" t="s">
        <v>16</v>
      </c>
    </row>
    <row r="4664" spans="1:13" x14ac:dyDescent="0.35">
      <c r="A4664">
        <v>430300</v>
      </c>
      <c r="B4664">
        <v>39500</v>
      </c>
      <c r="C4664" t="s">
        <v>4805</v>
      </c>
      <c r="D4664" t="s">
        <v>4719</v>
      </c>
      <c r="E4664" t="s">
        <v>4805</v>
      </c>
      <c r="F4664">
        <v>84629</v>
      </c>
      <c r="G4664">
        <v>2</v>
      </c>
      <c r="H4664" t="s">
        <v>16</v>
      </c>
      <c r="I4664" s="1">
        <v>-3003900</v>
      </c>
      <c r="J4664" s="1">
        <v>-5289400</v>
      </c>
      <c r="K4664">
        <v>68</v>
      </c>
      <c r="L4664">
        <v>3735</v>
      </c>
      <c r="M4664" t="s">
        <v>16</v>
      </c>
    </row>
    <row r="4665" spans="1:13" x14ac:dyDescent="0.35">
      <c r="A4665">
        <v>430310</v>
      </c>
      <c r="B4665">
        <v>39519</v>
      </c>
      <c r="C4665" t="s">
        <v>437</v>
      </c>
      <c r="D4665" t="s">
        <v>4719</v>
      </c>
      <c r="E4665" t="s">
        <v>4739</v>
      </c>
      <c r="F4665">
        <v>112603</v>
      </c>
      <c r="G4665">
        <v>4</v>
      </c>
      <c r="H4665" t="s">
        <v>4740</v>
      </c>
      <c r="I4665" s="1">
        <v>-2995100</v>
      </c>
      <c r="J4665" s="1">
        <v>-5109400</v>
      </c>
      <c r="K4665">
        <v>23</v>
      </c>
      <c r="L4665">
        <v>43</v>
      </c>
      <c r="M4665" t="s">
        <v>16</v>
      </c>
    </row>
    <row r="4666" spans="1:13" x14ac:dyDescent="0.35">
      <c r="A4666">
        <v>430320</v>
      </c>
      <c r="B4666">
        <v>39527</v>
      </c>
      <c r="C4666" t="s">
        <v>4806</v>
      </c>
      <c r="D4666" t="s">
        <v>4719</v>
      </c>
      <c r="E4666" t="s">
        <v>4776</v>
      </c>
      <c r="F4666">
        <v>4824</v>
      </c>
      <c r="G4666">
        <v>1</v>
      </c>
      <c r="H4666" t="s">
        <v>16</v>
      </c>
      <c r="I4666" s="1">
        <v>-2777000</v>
      </c>
      <c r="J4666" s="1">
        <v>-5166000</v>
      </c>
      <c r="K4666">
        <v>623</v>
      </c>
      <c r="L4666">
        <v>203</v>
      </c>
      <c r="M4666" t="s">
        <v>16</v>
      </c>
    </row>
    <row r="4667" spans="1:13" x14ac:dyDescent="0.35">
      <c r="A4667">
        <v>430330</v>
      </c>
      <c r="B4667">
        <v>39535</v>
      </c>
      <c r="C4667" t="s">
        <v>4807</v>
      </c>
      <c r="D4667" t="s">
        <v>4719</v>
      </c>
      <c r="E4667" t="s">
        <v>4808</v>
      </c>
      <c r="F4667">
        <v>5080</v>
      </c>
      <c r="G4667">
        <v>1</v>
      </c>
      <c r="H4667" t="s">
        <v>16</v>
      </c>
      <c r="I4667" s="1">
        <v>-2828800</v>
      </c>
      <c r="J4667" s="1">
        <v>-5463800</v>
      </c>
      <c r="K4667">
        <v>286</v>
      </c>
      <c r="L4667">
        <v>258</v>
      </c>
      <c r="M4667" t="s">
        <v>16</v>
      </c>
    </row>
    <row r="4668" spans="1:13" x14ac:dyDescent="0.35">
      <c r="A4668">
        <v>430340</v>
      </c>
      <c r="B4668">
        <v>39543</v>
      </c>
      <c r="C4668" t="s">
        <v>1452</v>
      </c>
      <c r="D4668" t="s">
        <v>4719</v>
      </c>
      <c r="E4668" t="s">
        <v>4735</v>
      </c>
      <c r="F4668">
        <v>5184</v>
      </c>
      <c r="G4668">
        <v>1</v>
      </c>
      <c r="H4668" t="s">
        <v>16</v>
      </c>
      <c r="I4668" s="1">
        <v>-2727400</v>
      </c>
      <c r="J4668" s="1">
        <v>-5343200</v>
      </c>
      <c r="K4668">
        <v>583</v>
      </c>
      <c r="L4668">
        <v>189</v>
      </c>
      <c r="M4668" t="s">
        <v>16</v>
      </c>
    </row>
    <row r="4669" spans="1:13" x14ac:dyDescent="0.35">
      <c r="A4669">
        <v>430350</v>
      </c>
      <c r="B4669">
        <v>39551</v>
      </c>
      <c r="C4669" t="s">
        <v>4809</v>
      </c>
      <c r="D4669" t="s">
        <v>4719</v>
      </c>
      <c r="E4669" t="s">
        <v>4750</v>
      </c>
      <c r="F4669">
        <v>60563</v>
      </c>
      <c r="G4669">
        <v>2</v>
      </c>
      <c r="H4669" t="s">
        <v>16</v>
      </c>
      <c r="I4669" s="1">
        <v>-3085100</v>
      </c>
      <c r="J4669" s="1">
        <v>-5181200</v>
      </c>
      <c r="K4669">
        <v>39</v>
      </c>
      <c r="L4669">
        <v>1679</v>
      </c>
      <c r="M4669" t="s">
        <v>16</v>
      </c>
    </row>
    <row r="4670" spans="1:13" x14ac:dyDescent="0.35">
      <c r="A4670">
        <v>430355</v>
      </c>
      <c r="B4670">
        <v>46000</v>
      </c>
      <c r="C4670" t="s">
        <v>4810</v>
      </c>
      <c r="D4670" t="s">
        <v>4719</v>
      </c>
      <c r="E4670" t="s">
        <v>4722</v>
      </c>
      <c r="F4670">
        <v>2471</v>
      </c>
      <c r="G4670">
        <v>1</v>
      </c>
      <c r="H4670" t="s">
        <v>16</v>
      </c>
      <c r="I4670" s="1">
        <v>-2858700</v>
      </c>
      <c r="J4670" s="1">
        <v>-5220200</v>
      </c>
      <c r="K4670">
        <v>432</v>
      </c>
      <c r="L4670">
        <v>138</v>
      </c>
      <c r="M4670" t="s">
        <v>16</v>
      </c>
    </row>
    <row r="4671" spans="1:13" x14ac:dyDescent="0.35">
      <c r="A4671">
        <v>430360</v>
      </c>
      <c r="B4671">
        <v>39560</v>
      </c>
      <c r="C4671" t="s">
        <v>4811</v>
      </c>
      <c r="D4671" t="s">
        <v>4719</v>
      </c>
      <c r="E4671" t="s">
        <v>4792</v>
      </c>
      <c r="F4671">
        <v>6959</v>
      </c>
      <c r="G4671">
        <v>1</v>
      </c>
      <c r="H4671" t="s">
        <v>16</v>
      </c>
      <c r="I4671" s="1">
        <v>-2904800</v>
      </c>
      <c r="J4671" s="1">
        <v>-5014500</v>
      </c>
      <c r="K4671">
        <v>1031</v>
      </c>
      <c r="L4671">
        <v>1212</v>
      </c>
      <c r="M4671" t="s">
        <v>16</v>
      </c>
    </row>
    <row r="4672" spans="1:13" x14ac:dyDescent="0.35">
      <c r="A4672">
        <v>430367</v>
      </c>
      <c r="B4672">
        <v>52140</v>
      </c>
      <c r="C4672" t="s">
        <v>4812</v>
      </c>
      <c r="D4672" t="s">
        <v>4719</v>
      </c>
      <c r="E4672" t="s">
        <v>4792</v>
      </c>
      <c r="F4672">
        <v>3205</v>
      </c>
      <c r="G4672">
        <v>1</v>
      </c>
      <c r="H4672" t="s">
        <v>16</v>
      </c>
      <c r="I4672" s="1">
        <v>-2879500</v>
      </c>
      <c r="J4672" s="1">
        <v>-5109300</v>
      </c>
      <c r="K4672">
        <v>770</v>
      </c>
      <c r="L4672">
        <v>538</v>
      </c>
      <c r="M4672" t="s">
        <v>16</v>
      </c>
    </row>
    <row r="4673" spans="1:13" x14ac:dyDescent="0.35">
      <c r="A4673">
        <v>430370</v>
      </c>
      <c r="B4673">
        <v>39578</v>
      </c>
      <c r="C4673" t="s">
        <v>4813</v>
      </c>
      <c r="D4673" t="s">
        <v>4719</v>
      </c>
      <c r="E4673" t="s">
        <v>4808</v>
      </c>
      <c r="F4673">
        <v>6342</v>
      </c>
      <c r="G4673">
        <v>1</v>
      </c>
      <c r="H4673" t="s">
        <v>16</v>
      </c>
      <c r="I4673" s="1">
        <v>-2798900</v>
      </c>
      <c r="J4673" s="1">
        <v>-5483900</v>
      </c>
      <c r="K4673">
        <v>163</v>
      </c>
      <c r="L4673">
        <v>225</v>
      </c>
      <c r="M4673" t="s">
        <v>16</v>
      </c>
    </row>
    <row r="4674" spans="1:13" x14ac:dyDescent="0.35">
      <c r="A4674">
        <v>430380</v>
      </c>
      <c r="B4674">
        <v>39586</v>
      </c>
      <c r="C4674" t="s">
        <v>4814</v>
      </c>
      <c r="D4674" t="s">
        <v>4719</v>
      </c>
      <c r="E4674" t="s">
        <v>4753</v>
      </c>
      <c r="F4674">
        <v>5588</v>
      </c>
      <c r="G4674">
        <v>1</v>
      </c>
      <c r="H4674" t="s">
        <v>16</v>
      </c>
      <c r="I4674" s="1">
        <v>-2771600</v>
      </c>
      <c r="J4674" s="1">
        <v>-5262800</v>
      </c>
      <c r="K4674">
        <v>583</v>
      </c>
      <c r="L4674">
        <v>261</v>
      </c>
      <c r="M4674" t="s">
        <v>16</v>
      </c>
    </row>
    <row r="4675" spans="1:13" x14ac:dyDescent="0.35">
      <c r="A4675">
        <v>430390</v>
      </c>
      <c r="B4675">
        <v>39594</v>
      </c>
      <c r="C4675" t="s">
        <v>4815</v>
      </c>
      <c r="D4675" t="s">
        <v>4719</v>
      </c>
      <c r="E4675" t="s">
        <v>4739</v>
      </c>
      <c r="F4675">
        <v>56595</v>
      </c>
      <c r="G4675">
        <v>4</v>
      </c>
      <c r="H4675" t="s">
        <v>4740</v>
      </c>
      <c r="I4675" s="1">
        <v>-2967900</v>
      </c>
      <c r="J4675" s="1">
        <v>-5105300</v>
      </c>
      <c r="K4675">
        <v>29</v>
      </c>
      <c r="L4675">
        <v>61</v>
      </c>
      <c r="M4675" t="s">
        <v>16</v>
      </c>
    </row>
    <row r="4676" spans="1:13" x14ac:dyDescent="0.35">
      <c r="A4676">
        <v>430400</v>
      </c>
      <c r="B4676">
        <v>39608</v>
      </c>
      <c r="C4676" t="s">
        <v>4816</v>
      </c>
      <c r="D4676" t="s">
        <v>4719</v>
      </c>
      <c r="E4676" t="s">
        <v>4778</v>
      </c>
      <c r="F4676">
        <v>5581</v>
      </c>
      <c r="G4676">
        <v>1</v>
      </c>
      <c r="H4676" t="s">
        <v>16</v>
      </c>
      <c r="I4676" s="1">
        <v>-2767500</v>
      </c>
      <c r="J4676" s="1">
        <v>-5380300</v>
      </c>
      <c r="K4676">
        <v>437</v>
      </c>
      <c r="L4676">
        <v>222</v>
      </c>
      <c r="M4676" t="s">
        <v>16</v>
      </c>
    </row>
    <row r="4677" spans="1:13" x14ac:dyDescent="0.35">
      <c r="A4677">
        <v>430410</v>
      </c>
      <c r="B4677">
        <v>46019</v>
      </c>
      <c r="C4677" t="s">
        <v>4817</v>
      </c>
      <c r="D4677" t="s">
        <v>4719</v>
      </c>
      <c r="E4677" t="s">
        <v>4736</v>
      </c>
      <c r="F4677">
        <v>3564</v>
      </c>
      <c r="G4677">
        <v>1</v>
      </c>
      <c r="H4677" t="s">
        <v>16</v>
      </c>
      <c r="I4677" s="1">
        <v>-2888600</v>
      </c>
      <c r="J4677" s="1">
        <v>-5299900</v>
      </c>
      <c r="K4677">
        <v>513</v>
      </c>
      <c r="L4677">
        <v>237</v>
      </c>
      <c r="M4677" t="s">
        <v>16</v>
      </c>
    </row>
    <row r="4678" spans="1:13" x14ac:dyDescent="0.35">
      <c r="A4678">
        <v>430420</v>
      </c>
      <c r="B4678">
        <v>39616</v>
      </c>
      <c r="C4678" t="s">
        <v>4818</v>
      </c>
      <c r="D4678" t="s">
        <v>4719</v>
      </c>
      <c r="E4678" t="s">
        <v>4765</v>
      </c>
      <c r="F4678">
        <v>29444</v>
      </c>
      <c r="G4678">
        <v>1</v>
      </c>
      <c r="H4678" t="s">
        <v>16</v>
      </c>
      <c r="I4678" s="1">
        <v>-2966900</v>
      </c>
      <c r="J4678" s="1">
        <v>-5278900</v>
      </c>
      <c r="K4678">
        <v>57</v>
      </c>
      <c r="L4678">
        <v>943</v>
      </c>
      <c r="M4678" t="s">
        <v>16</v>
      </c>
    </row>
    <row r="4679" spans="1:13" x14ac:dyDescent="0.35">
      <c r="A4679">
        <v>430430</v>
      </c>
      <c r="B4679">
        <v>39624</v>
      </c>
      <c r="C4679" t="s">
        <v>4819</v>
      </c>
      <c r="D4679" t="s">
        <v>4719</v>
      </c>
      <c r="E4679" t="s">
        <v>4728</v>
      </c>
      <c r="F4679">
        <v>6634</v>
      </c>
      <c r="G4679">
        <v>1</v>
      </c>
      <c r="H4679" t="s">
        <v>16</v>
      </c>
      <c r="I4679" s="1">
        <v>-2795200</v>
      </c>
      <c r="J4679" s="1">
        <v>-5475200</v>
      </c>
      <c r="K4679">
        <v>321</v>
      </c>
      <c r="L4679">
        <v>246</v>
      </c>
      <c r="M4679" t="s">
        <v>16</v>
      </c>
    </row>
    <row r="4680" spans="1:13" x14ac:dyDescent="0.35">
      <c r="A4680">
        <v>430435</v>
      </c>
      <c r="B4680">
        <v>52159</v>
      </c>
      <c r="C4680" t="s">
        <v>4820</v>
      </c>
      <c r="D4680" t="s">
        <v>4719</v>
      </c>
      <c r="E4680" t="s">
        <v>4742</v>
      </c>
      <c r="F4680">
        <v>50000</v>
      </c>
      <c r="G4680">
        <v>1</v>
      </c>
      <c r="H4680" t="s">
        <v>16</v>
      </c>
      <c r="I4680" s="1">
        <v>-3155800</v>
      </c>
      <c r="J4680" s="1">
        <v>-5367300</v>
      </c>
      <c r="K4680">
        <v>220</v>
      </c>
      <c r="L4680">
        <v>933</v>
      </c>
      <c r="M4680" t="s">
        <v>16</v>
      </c>
    </row>
    <row r="4681" spans="1:13" x14ac:dyDescent="0.35">
      <c r="A4681">
        <v>430440</v>
      </c>
      <c r="B4681">
        <v>39632</v>
      </c>
      <c r="C4681" t="s">
        <v>4821</v>
      </c>
      <c r="D4681" t="s">
        <v>4719</v>
      </c>
      <c r="E4681" t="s">
        <v>4822</v>
      </c>
      <c r="F4681">
        <v>38318</v>
      </c>
      <c r="G4681">
        <v>1</v>
      </c>
      <c r="H4681" t="s">
        <v>16</v>
      </c>
      <c r="I4681" s="1">
        <v>-2936600</v>
      </c>
      <c r="J4681" s="1">
        <v>-5081600</v>
      </c>
      <c r="K4681">
        <v>837</v>
      </c>
      <c r="L4681">
        <v>254</v>
      </c>
      <c r="M4681" t="s">
        <v>16</v>
      </c>
    </row>
    <row r="4682" spans="1:13" x14ac:dyDescent="0.35">
      <c r="A4682">
        <v>430450</v>
      </c>
      <c r="B4682">
        <v>39640</v>
      </c>
      <c r="C4682" t="s">
        <v>4823</v>
      </c>
      <c r="D4682" t="s">
        <v>4719</v>
      </c>
      <c r="E4682" t="s">
        <v>4760</v>
      </c>
      <c r="F4682">
        <v>53547</v>
      </c>
      <c r="G4682">
        <v>2</v>
      </c>
      <c r="H4682" t="s">
        <v>16</v>
      </c>
      <c r="I4682" s="1">
        <v>-3139500</v>
      </c>
      <c r="J4682" s="1">
        <v>-5267600</v>
      </c>
      <c r="K4682">
        <v>386</v>
      </c>
      <c r="L4682">
        <v>3525</v>
      </c>
      <c r="M4682" t="s">
        <v>16</v>
      </c>
    </row>
    <row r="4683" spans="1:13" x14ac:dyDescent="0.35">
      <c r="A4683">
        <v>430460</v>
      </c>
      <c r="B4683">
        <v>39659</v>
      </c>
      <c r="C4683" t="s">
        <v>4824</v>
      </c>
      <c r="D4683" t="s">
        <v>4719</v>
      </c>
      <c r="E4683" t="s">
        <v>4739</v>
      </c>
      <c r="F4683">
        <v>326458</v>
      </c>
      <c r="G4683">
        <v>4</v>
      </c>
      <c r="H4683" t="s">
        <v>4740</v>
      </c>
      <c r="I4683" s="1">
        <v>-2991800</v>
      </c>
      <c r="J4683" s="1">
        <v>-5118400</v>
      </c>
      <c r="K4683">
        <v>8</v>
      </c>
      <c r="L4683">
        <v>131</v>
      </c>
      <c r="M4683" t="s">
        <v>16</v>
      </c>
    </row>
    <row r="4684" spans="1:13" x14ac:dyDescent="0.35">
      <c r="A4684">
        <v>430461</v>
      </c>
      <c r="B4684">
        <v>59870</v>
      </c>
      <c r="C4684" t="s">
        <v>4825</v>
      </c>
      <c r="D4684" t="s">
        <v>4719</v>
      </c>
      <c r="E4684" t="s">
        <v>4755</v>
      </c>
      <c r="F4684">
        <v>1941</v>
      </c>
      <c r="G4684">
        <v>1</v>
      </c>
      <c r="H4684" t="s">
        <v>16</v>
      </c>
      <c r="I4684" s="1">
        <v>-2932300</v>
      </c>
      <c r="J4684" s="1">
        <v>-5223400</v>
      </c>
      <c r="K4684">
        <v>0</v>
      </c>
      <c r="L4684">
        <v>82</v>
      </c>
      <c r="M4684" t="s">
        <v>16</v>
      </c>
    </row>
    <row r="4685" spans="1:13" x14ac:dyDescent="0.35">
      <c r="A4685">
        <v>430462</v>
      </c>
      <c r="B4685">
        <v>59889</v>
      </c>
      <c r="C4685" t="s">
        <v>4826</v>
      </c>
      <c r="D4685" t="s">
        <v>4719</v>
      </c>
      <c r="E4685" t="s">
        <v>4792</v>
      </c>
      <c r="F4685">
        <v>1837</v>
      </c>
      <c r="G4685">
        <v>1</v>
      </c>
      <c r="H4685" t="s">
        <v>16</v>
      </c>
      <c r="I4685" s="1">
        <v>-2812800</v>
      </c>
      <c r="J4685" s="1">
        <v>-5139500</v>
      </c>
      <c r="K4685">
        <v>0</v>
      </c>
      <c r="L4685">
        <v>527</v>
      </c>
      <c r="M4685" t="s">
        <v>16</v>
      </c>
    </row>
    <row r="4686" spans="1:13" x14ac:dyDescent="0.35">
      <c r="A4686">
        <v>430463</v>
      </c>
      <c r="B4686">
        <v>41548</v>
      </c>
      <c r="C4686" t="s">
        <v>4827</v>
      </c>
      <c r="D4686" t="s">
        <v>4719</v>
      </c>
      <c r="E4686" t="s">
        <v>4757</v>
      </c>
      <c r="F4686">
        <v>37405</v>
      </c>
      <c r="G4686">
        <v>4</v>
      </c>
      <c r="H4686" t="s">
        <v>4758</v>
      </c>
      <c r="I4686" s="1">
        <v>-2976100</v>
      </c>
      <c r="J4686" s="1">
        <v>-5003000</v>
      </c>
      <c r="K4686">
        <v>6</v>
      </c>
      <c r="L4686">
        <v>97</v>
      </c>
      <c r="M4686" t="s">
        <v>16</v>
      </c>
    </row>
    <row r="4687" spans="1:13" x14ac:dyDescent="0.35">
      <c r="A4687">
        <v>430465</v>
      </c>
      <c r="B4687">
        <v>59684</v>
      </c>
      <c r="C4687" t="s">
        <v>4828</v>
      </c>
      <c r="D4687" t="s">
        <v>4719</v>
      </c>
      <c r="E4687" t="s">
        <v>4829</v>
      </c>
      <c r="F4687">
        <v>3180</v>
      </c>
      <c r="G4687">
        <v>1</v>
      </c>
      <c r="H4687" t="s">
        <v>16</v>
      </c>
      <c r="I4687" s="1">
        <v>-2892500</v>
      </c>
      <c r="J4687" s="1">
        <v>-5469200</v>
      </c>
      <c r="K4687">
        <v>0</v>
      </c>
      <c r="L4687">
        <v>1022</v>
      </c>
      <c r="M4687" t="s">
        <v>16</v>
      </c>
    </row>
    <row r="4688" spans="1:13" x14ac:dyDescent="0.35">
      <c r="A4688">
        <v>430466</v>
      </c>
      <c r="B4688">
        <v>41556</v>
      </c>
      <c r="C4688" t="s">
        <v>4830</v>
      </c>
      <c r="D4688" t="s">
        <v>4719</v>
      </c>
      <c r="E4688" t="s">
        <v>4760</v>
      </c>
      <c r="F4688">
        <v>23655</v>
      </c>
      <c r="G4688">
        <v>4</v>
      </c>
      <c r="H4688" t="s">
        <v>4761</v>
      </c>
      <c r="I4688" s="1">
        <v>-3176300</v>
      </c>
      <c r="J4688" s="1">
        <v>-5248400</v>
      </c>
      <c r="K4688">
        <v>21</v>
      </c>
      <c r="L4688">
        <v>785</v>
      </c>
      <c r="M4688" t="s">
        <v>16</v>
      </c>
    </row>
    <row r="4689" spans="1:13" x14ac:dyDescent="0.35">
      <c r="A4689">
        <v>430467</v>
      </c>
      <c r="B4689">
        <v>58718</v>
      </c>
      <c r="C4689" t="s">
        <v>4831</v>
      </c>
      <c r="D4689" t="s">
        <v>4719</v>
      </c>
      <c r="E4689" t="s">
        <v>4757</v>
      </c>
      <c r="F4689">
        <v>3339</v>
      </c>
      <c r="G4689">
        <v>4</v>
      </c>
      <c r="H4689" t="s">
        <v>4758</v>
      </c>
      <c r="I4689" s="1">
        <v>-3014500</v>
      </c>
      <c r="J4689" s="1">
        <v>-5051500</v>
      </c>
      <c r="K4689">
        <v>12</v>
      </c>
      <c r="L4689">
        <v>417</v>
      </c>
      <c r="M4689" t="s">
        <v>16</v>
      </c>
    </row>
    <row r="4690" spans="1:13" x14ac:dyDescent="0.35">
      <c r="A4690">
        <v>430468</v>
      </c>
      <c r="B4690">
        <v>46027</v>
      </c>
      <c r="C4690" t="s">
        <v>4832</v>
      </c>
      <c r="D4690" t="s">
        <v>4719</v>
      </c>
      <c r="E4690" t="s">
        <v>4738</v>
      </c>
      <c r="F4690">
        <v>10950</v>
      </c>
      <c r="G4690">
        <v>4</v>
      </c>
      <c r="H4690" t="s">
        <v>4740</v>
      </c>
      <c r="I4690" s="1">
        <v>-2970000</v>
      </c>
      <c r="J4690" s="1">
        <v>-5132500</v>
      </c>
      <c r="K4690">
        <v>69</v>
      </c>
      <c r="L4690">
        <v>184</v>
      </c>
      <c r="M4690" t="s">
        <v>16</v>
      </c>
    </row>
    <row r="4691" spans="1:13" x14ac:dyDescent="0.35">
      <c r="A4691">
        <v>430469</v>
      </c>
      <c r="B4691">
        <v>52167</v>
      </c>
      <c r="C4691" t="s">
        <v>4833</v>
      </c>
      <c r="D4691" t="s">
        <v>4719</v>
      </c>
      <c r="E4691" t="s">
        <v>4755</v>
      </c>
      <c r="F4691">
        <v>2595</v>
      </c>
      <c r="G4691">
        <v>1</v>
      </c>
      <c r="H4691" t="s">
        <v>16</v>
      </c>
      <c r="I4691" s="1">
        <v>-2926900</v>
      </c>
      <c r="J4691" s="1">
        <v>-5198900</v>
      </c>
      <c r="K4691">
        <v>465</v>
      </c>
      <c r="L4691">
        <v>74</v>
      </c>
      <c r="M4691" t="s">
        <v>16</v>
      </c>
    </row>
    <row r="4692" spans="1:13" x14ac:dyDescent="0.35">
      <c r="A4692">
        <v>430470</v>
      </c>
      <c r="B4692">
        <v>39667</v>
      </c>
      <c r="C4692" t="s">
        <v>4733</v>
      </c>
      <c r="D4692" t="s">
        <v>4719</v>
      </c>
      <c r="E4692" t="s">
        <v>4733</v>
      </c>
      <c r="F4692">
        <v>58196</v>
      </c>
      <c r="G4692">
        <v>2</v>
      </c>
      <c r="H4692" t="s">
        <v>16</v>
      </c>
      <c r="I4692" s="1">
        <v>-2828400</v>
      </c>
      <c r="J4692" s="1">
        <v>-5278600</v>
      </c>
      <c r="K4692">
        <v>603</v>
      </c>
      <c r="L4692">
        <v>665</v>
      </c>
      <c r="M4692" t="s">
        <v>16</v>
      </c>
    </row>
    <row r="4693" spans="1:13" x14ac:dyDescent="0.35">
      <c r="A4693">
        <v>430471</v>
      </c>
      <c r="B4693">
        <v>58726</v>
      </c>
      <c r="C4693" t="s">
        <v>4834</v>
      </c>
      <c r="D4693" t="s">
        <v>4719</v>
      </c>
      <c r="E4693" t="s">
        <v>4757</v>
      </c>
      <c r="F4693">
        <v>7131</v>
      </c>
      <c r="G4693">
        <v>4</v>
      </c>
      <c r="H4693" t="s">
        <v>4758</v>
      </c>
      <c r="I4693" s="1">
        <v>-2979000</v>
      </c>
      <c r="J4693" s="1">
        <v>-5043500</v>
      </c>
      <c r="K4693">
        <v>38</v>
      </c>
      <c r="L4693">
        <v>294</v>
      </c>
      <c r="M4693" t="s">
        <v>16</v>
      </c>
    </row>
    <row r="4694" spans="1:13" x14ac:dyDescent="0.35">
      <c r="A4694">
        <v>430480</v>
      </c>
      <c r="B4694">
        <v>39675</v>
      </c>
      <c r="C4694" t="s">
        <v>4835</v>
      </c>
      <c r="D4694" t="s">
        <v>4719</v>
      </c>
      <c r="E4694" t="s">
        <v>4748</v>
      </c>
      <c r="F4694">
        <v>23960</v>
      </c>
      <c r="G4694">
        <v>4</v>
      </c>
      <c r="H4694" t="s">
        <v>4786</v>
      </c>
      <c r="I4694" s="1">
        <v>-2929800</v>
      </c>
      <c r="J4694" s="1">
        <v>-5150400</v>
      </c>
      <c r="K4694">
        <v>676</v>
      </c>
      <c r="L4694">
        <v>229</v>
      </c>
      <c r="M4694" t="s">
        <v>16</v>
      </c>
    </row>
    <row r="4695" spans="1:13" x14ac:dyDescent="0.35">
      <c r="A4695">
        <v>430485</v>
      </c>
      <c r="B4695">
        <v>52175</v>
      </c>
      <c r="C4695" t="s">
        <v>4836</v>
      </c>
      <c r="D4695" t="s">
        <v>4719</v>
      </c>
      <c r="E4695" t="s">
        <v>4753</v>
      </c>
      <c r="F4695">
        <v>1719</v>
      </c>
      <c r="G4695">
        <v>1</v>
      </c>
      <c r="H4695" t="s">
        <v>16</v>
      </c>
      <c r="I4695" s="1">
        <v>-2771800</v>
      </c>
      <c r="J4695" s="1">
        <v>-5191400</v>
      </c>
      <c r="K4695">
        <v>447</v>
      </c>
      <c r="L4695">
        <v>83</v>
      </c>
      <c r="M4695" t="s">
        <v>16</v>
      </c>
    </row>
    <row r="4696" spans="1:13" x14ac:dyDescent="0.35">
      <c r="A4696">
        <v>430490</v>
      </c>
      <c r="B4696">
        <v>39683</v>
      </c>
      <c r="C4696" t="s">
        <v>4837</v>
      </c>
      <c r="D4696" t="s">
        <v>4719</v>
      </c>
      <c r="E4696" t="s">
        <v>4722</v>
      </c>
      <c r="F4696">
        <v>8381</v>
      </c>
      <c r="G4696">
        <v>1</v>
      </c>
      <c r="H4696" t="s">
        <v>16</v>
      </c>
      <c r="I4696" s="1">
        <v>-2856100</v>
      </c>
      <c r="J4696" s="1">
        <v>-5197800</v>
      </c>
      <c r="K4696">
        <v>608</v>
      </c>
      <c r="L4696">
        <v>271</v>
      </c>
      <c r="M4696" t="s">
        <v>16</v>
      </c>
    </row>
    <row r="4697" spans="1:13" x14ac:dyDescent="0.35">
      <c r="A4697">
        <v>430495</v>
      </c>
      <c r="B4697">
        <v>46035</v>
      </c>
      <c r="C4697" t="s">
        <v>4838</v>
      </c>
      <c r="D4697" t="s">
        <v>4719</v>
      </c>
      <c r="E4697" t="s">
        <v>4722</v>
      </c>
      <c r="F4697">
        <v>2989</v>
      </c>
      <c r="G4697">
        <v>1</v>
      </c>
      <c r="H4697" t="s">
        <v>16</v>
      </c>
      <c r="I4697" s="1">
        <v>-2826900</v>
      </c>
      <c r="J4697" s="1">
        <v>-5169000</v>
      </c>
      <c r="K4697">
        <v>786</v>
      </c>
      <c r="L4697">
        <v>235</v>
      </c>
      <c r="M4697" t="s">
        <v>16</v>
      </c>
    </row>
    <row r="4698" spans="1:13" x14ac:dyDescent="0.35">
      <c r="A4698">
        <v>430500</v>
      </c>
      <c r="B4698">
        <v>39691</v>
      </c>
      <c r="C4698" t="s">
        <v>4839</v>
      </c>
      <c r="D4698" t="s">
        <v>4719</v>
      </c>
      <c r="E4698" t="s">
        <v>4798</v>
      </c>
      <c r="F4698">
        <v>9499</v>
      </c>
      <c r="G4698">
        <v>1</v>
      </c>
      <c r="H4698" t="s">
        <v>16</v>
      </c>
      <c r="I4698" s="1">
        <v>-2825000</v>
      </c>
      <c r="J4698" s="1">
        <v>-5401200</v>
      </c>
      <c r="K4698">
        <v>315</v>
      </c>
      <c r="L4698">
        <v>583</v>
      </c>
      <c r="M4698" t="s">
        <v>16</v>
      </c>
    </row>
    <row r="4699" spans="1:13" x14ac:dyDescent="0.35">
      <c r="A4699">
        <v>430510</v>
      </c>
      <c r="B4699">
        <v>39705</v>
      </c>
      <c r="C4699" t="s">
        <v>4748</v>
      </c>
      <c r="D4699" t="s">
        <v>4719</v>
      </c>
      <c r="E4699" t="s">
        <v>4748</v>
      </c>
      <c r="F4699">
        <v>399038</v>
      </c>
      <c r="G4699">
        <v>4</v>
      </c>
      <c r="H4699" t="s">
        <v>4786</v>
      </c>
      <c r="I4699" s="1">
        <v>-2916800</v>
      </c>
      <c r="J4699" s="1">
        <v>-5117900</v>
      </c>
      <c r="K4699">
        <v>817</v>
      </c>
      <c r="L4699">
        <v>1643</v>
      </c>
      <c r="M4699" t="s">
        <v>16</v>
      </c>
    </row>
    <row r="4700" spans="1:13" x14ac:dyDescent="0.35">
      <c r="A4700">
        <v>430511</v>
      </c>
      <c r="B4700">
        <v>52183</v>
      </c>
      <c r="C4700" t="s">
        <v>443</v>
      </c>
      <c r="D4700" t="s">
        <v>4719</v>
      </c>
      <c r="E4700" t="s">
        <v>4753</v>
      </c>
      <c r="F4700">
        <v>3026</v>
      </c>
      <c r="G4700">
        <v>1</v>
      </c>
      <c r="H4700" t="s">
        <v>16</v>
      </c>
      <c r="I4700" s="1">
        <v>-2776100</v>
      </c>
      <c r="J4700" s="1">
        <v>-5199900</v>
      </c>
      <c r="K4700">
        <v>600</v>
      </c>
      <c r="L4700">
        <v>134</v>
      </c>
      <c r="M4700" t="s">
        <v>16</v>
      </c>
    </row>
    <row r="4701" spans="1:13" x14ac:dyDescent="0.35">
      <c r="A4701">
        <v>430512</v>
      </c>
      <c r="B4701">
        <v>58734</v>
      </c>
      <c r="C4701" t="s">
        <v>4840</v>
      </c>
      <c r="D4701" t="s">
        <v>4719</v>
      </c>
      <c r="E4701" t="s">
        <v>4760</v>
      </c>
      <c r="F4701">
        <v>6629</v>
      </c>
      <c r="G4701">
        <v>1</v>
      </c>
      <c r="H4701" t="s">
        <v>16</v>
      </c>
      <c r="I4701" s="1">
        <v>-3185600</v>
      </c>
      <c r="J4701" s="1">
        <v>-5281300</v>
      </c>
      <c r="K4701">
        <v>50</v>
      </c>
      <c r="L4701">
        <v>451</v>
      </c>
      <c r="M4701" t="s">
        <v>16</v>
      </c>
    </row>
    <row r="4702" spans="1:13" x14ac:dyDescent="0.35">
      <c r="A4702">
        <v>430513</v>
      </c>
      <c r="B4702">
        <v>46043</v>
      </c>
      <c r="C4702" t="s">
        <v>4841</v>
      </c>
      <c r="D4702" t="s">
        <v>4719</v>
      </c>
      <c r="E4702" t="s">
        <v>4805</v>
      </c>
      <c r="F4702">
        <v>4465</v>
      </c>
      <c r="G4702">
        <v>1</v>
      </c>
      <c r="H4702" t="s">
        <v>16</v>
      </c>
      <c r="I4702" s="1">
        <v>-2965400</v>
      </c>
      <c r="J4702" s="1">
        <v>-5293400</v>
      </c>
      <c r="K4702">
        <v>83</v>
      </c>
      <c r="L4702">
        <v>154</v>
      </c>
      <c r="M4702" t="s">
        <v>16</v>
      </c>
    </row>
    <row r="4703" spans="1:13" x14ac:dyDescent="0.35">
      <c r="A4703">
        <v>430515</v>
      </c>
      <c r="B4703">
        <v>46051</v>
      </c>
      <c r="C4703" t="s">
        <v>4842</v>
      </c>
      <c r="D4703" t="s">
        <v>4719</v>
      </c>
      <c r="E4703" t="s">
        <v>4733</v>
      </c>
      <c r="F4703">
        <v>2577</v>
      </c>
      <c r="G4703">
        <v>1</v>
      </c>
      <c r="H4703" t="s">
        <v>16</v>
      </c>
      <c r="I4703" s="1">
        <v>-2760600</v>
      </c>
      <c r="J4703" s="1">
        <v>-5316700</v>
      </c>
      <c r="K4703">
        <v>405</v>
      </c>
      <c r="L4703">
        <v>73</v>
      </c>
      <c r="M4703" t="s">
        <v>16</v>
      </c>
    </row>
    <row r="4704" spans="1:13" x14ac:dyDescent="0.35">
      <c r="A4704">
        <v>430517</v>
      </c>
      <c r="B4704">
        <v>46060</v>
      </c>
      <c r="C4704" t="s">
        <v>4843</v>
      </c>
      <c r="D4704" t="s">
        <v>4719</v>
      </c>
      <c r="E4704" t="s">
        <v>4750</v>
      </c>
      <c r="F4704">
        <v>9233</v>
      </c>
      <c r="G4704">
        <v>1</v>
      </c>
      <c r="H4704" t="s">
        <v>16</v>
      </c>
      <c r="I4704" s="1">
        <v>-3059000</v>
      </c>
      <c r="J4704" s="1">
        <v>-5173900</v>
      </c>
      <c r="K4704">
        <v>405</v>
      </c>
      <c r="L4704">
        <v>324</v>
      </c>
      <c r="M4704" t="s">
        <v>16</v>
      </c>
    </row>
    <row r="4705" spans="1:13" x14ac:dyDescent="0.35">
      <c r="A4705">
        <v>430520</v>
      </c>
      <c r="B4705">
        <v>39713</v>
      </c>
      <c r="C4705" t="s">
        <v>4808</v>
      </c>
      <c r="D4705" t="s">
        <v>4719</v>
      </c>
      <c r="E4705" t="s">
        <v>4808</v>
      </c>
      <c r="F4705">
        <v>12484</v>
      </c>
      <c r="G4705">
        <v>1</v>
      </c>
      <c r="H4705" t="s">
        <v>16</v>
      </c>
      <c r="I4705" s="1">
        <v>-2814900</v>
      </c>
      <c r="J4705" s="1">
        <v>-5473800</v>
      </c>
      <c r="K4705">
        <v>211</v>
      </c>
      <c r="L4705">
        <v>177</v>
      </c>
      <c r="M4705" t="s">
        <v>16</v>
      </c>
    </row>
    <row r="4706" spans="1:13" x14ac:dyDescent="0.35">
      <c r="A4706">
        <v>430530</v>
      </c>
      <c r="B4706">
        <v>39721</v>
      </c>
      <c r="C4706" t="s">
        <v>4844</v>
      </c>
      <c r="D4706" t="s">
        <v>4719</v>
      </c>
      <c r="E4706" t="s">
        <v>4733</v>
      </c>
      <c r="F4706">
        <v>9440</v>
      </c>
      <c r="G4706">
        <v>1</v>
      </c>
      <c r="H4706" t="s">
        <v>16</v>
      </c>
      <c r="I4706" s="1">
        <v>-2805500</v>
      </c>
      <c r="J4706" s="1">
        <v>-5306800</v>
      </c>
      <c r="K4706">
        <v>436</v>
      </c>
      <c r="L4706">
        <v>684</v>
      </c>
      <c r="M4706" t="s">
        <v>16</v>
      </c>
    </row>
    <row r="4707" spans="1:13" x14ac:dyDescent="0.35">
      <c r="A4707">
        <v>430535</v>
      </c>
      <c r="B4707">
        <v>41564</v>
      </c>
      <c r="C4707" t="s">
        <v>4845</v>
      </c>
      <c r="D4707" t="s">
        <v>4719</v>
      </c>
      <c r="E4707" t="s">
        <v>4763</v>
      </c>
      <c r="F4707">
        <v>33705</v>
      </c>
      <c r="G4707">
        <v>4</v>
      </c>
      <c r="H4707" t="s">
        <v>4740</v>
      </c>
      <c r="I4707" s="1">
        <v>-2995500</v>
      </c>
      <c r="J4707" s="1">
        <v>-5162500</v>
      </c>
      <c r="K4707">
        <v>30</v>
      </c>
      <c r="L4707">
        <v>216</v>
      </c>
      <c r="M4707" t="s">
        <v>16</v>
      </c>
    </row>
    <row r="4708" spans="1:13" x14ac:dyDescent="0.35">
      <c r="A4708">
        <v>430537</v>
      </c>
      <c r="B4708">
        <v>53660</v>
      </c>
      <c r="C4708" t="s">
        <v>4846</v>
      </c>
      <c r="D4708" t="s">
        <v>4719</v>
      </c>
      <c r="E4708" t="s">
        <v>4722</v>
      </c>
      <c r="F4708">
        <v>3581</v>
      </c>
      <c r="G4708">
        <v>1</v>
      </c>
      <c r="H4708" t="s">
        <v>16</v>
      </c>
      <c r="I4708" s="1">
        <v>-2795200</v>
      </c>
      <c r="J4708" s="1">
        <v>-5201500</v>
      </c>
      <c r="K4708">
        <v>665</v>
      </c>
      <c r="L4708">
        <v>198</v>
      </c>
      <c r="M4708" t="s">
        <v>16</v>
      </c>
    </row>
    <row r="4709" spans="1:13" x14ac:dyDescent="0.35">
      <c r="A4709">
        <v>430540</v>
      </c>
      <c r="B4709">
        <v>39730</v>
      </c>
      <c r="C4709" t="s">
        <v>4847</v>
      </c>
      <c r="D4709" t="s">
        <v>4719</v>
      </c>
      <c r="E4709" t="s">
        <v>4726</v>
      </c>
      <c r="F4709">
        <v>4078</v>
      </c>
      <c r="G4709">
        <v>1</v>
      </c>
      <c r="H4709" t="s">
        <v>16</v>
      </c>
      <c r="I4709" s="1">
        <v>-2792300</v>
      </c>
      <c r="J4709" s="1">
        <v>-5394100</v>
      </c>
      <c r="K4709">
        <v>483</v>
      </c>
      <c r="L4709">
        <v>396</v>
      </c>
      <c r="M4709" t="s">
        <v>16</v>
      </c>
    </row>
    <row r="4710" spans="1:13" x14ac:dyDescent="0.35">
      <c r="A4710">
        <v>430543</v>
      </c>
      <c r="B4710">
        <v>58742</v>
      </c>
      <c r="C4710" t="s">
        <v>4848</v>
      </c>
      <c r="D4710" t="s">
        <v>4719</v>
      </c>
      <c r="E4710" t="s">
        <v>4849</v>
      </c>
      <c r="F4710">
        <v>5278</v>
      </c>
      <c r="G4710">
        <v>1</v>
      </c>
      <c r="H4710" t="s">
        <v>16</v>
      </c>
      <c r="I4710" s="1">
        <v>-3369100</v>
      </c>
      <c r="J4710" s="1">
        <v>-5345700</v>
      </c>
      <c r="K4710">
        <v>22</v>
      </c>
      <c r="L4710">
        <v>203</v>
      </c>
      <c r="M4710" t="s">
        <v>16</v>
      </c>
    </row>
    <row r="4711" spans="1:13" x14ac:dyDescent="0.35">
      <c r="A4711">
        <v>430544</v>
      </c>
      <c r="B4711">
        <v>58750</v>
      </c>
      <c r="C4711" t="s">
        <v>4850</v>
      </c>
      <c r="D4711" t="s">
        <v>4719</v>
      </c>
      <c r="E4711" t="s">
        <v>4750</v>
      </c>
      <c r="F4711">
        <v>4874</v>
      </c>
      <c r="G4711">
        <v>1</v>
      </c>
      <c r="H4711" t="s">
        <v>16</v>
      </c>
      <c r="I4711" s="1">
        <v>-3075800</v>
      </c>
      <c r="J4711" s="1">
        <v>-5197800</v>
      </c>
      <c r="K4711">
        <v>219</v>
      </c>
      <c r="L4711">
        <v>219</v>
      </c>
      <c r="M4711" t="s">
        <v>16</v>
      </c>
    </row>
    <row r="4712" spans="1:13" x14ac:dyDescent="0.35">
      <c r="A4712">
        <v>430545</v>
      </c>
      <c r="B4712">
        <v>46078</v>
      </c>
      <c r="C4712" t="s">
        <v>4851</v>
      </c>
      <c r="D4712" t="s">
        <v>4719</v>
      </c>
      <c r="E4712" t="s">
        <v>4757</v>
      </c>
      <c r="F4712">
        <v>10883</v>
      </c>
      <c r="G4712">
        <v>4</v>
      </c>
      <c r="H4712" t="s">
        <v>4758</v>
      </c>
      <c r="I4712" s="1">
        <v>-3016100</v>
      </c>
      <c r="J4712" s="1">
        <v>-5023400</v>
      </c>
      <c r="K4712">
        <v>60</v>
      </c>
      <c r="L4712">
        <v>246</v>
      </c>
      <c r="M4712" t="s">
        <v>16</v>
      </c>
    </row>
    <row r="4713" spans="1:13" x14ac:dyDescent="0.35">
      <c r="A4713">
        <v>430550</v>
      </c>
      <c r="B4713">
        <v>39748</v>
      </c>
      <c r="C4713" t="s">
        <v>4852</v>
      </c>
      <c r="D4713" t="s">
        <v>4719</v>
      </c>
      <c r="E4713" t="s">
        <v>4722</v>
      </c>
      <c r="F4713">
        <v>4945</v>
      </c>
      <c r="G4713">
        <v>1</v>
      </c>
      <c r="H4713" t="s">
        <v>16</v>
      </c>
      <c r="I4713" s="1">
        <v>-2834400</v>
      </c>
      <c r="J4713" s="1">
        <v>-5187600</v>
      </c>
      <c r="K4713">
        <v>753</v>
      </c>
      <c r="L4713">
        <v>273</v>
      </c>
      <c r="M4713" t="s">
        <v>16</v>
      </c>
    </row>
    <row r="4714" spans="1:13" x14ac:dyDescent="0.35">
      <c r="A4714">
        <v>430558</v>
      </c>
      <c r="B4714">
        <v>52191</v>
      </c>
      <c r="C4714" t="s">
        <v>620</v>
      </c>
      <c r="D4714" t="s">
        <v>4719</v>
      </c>
      <c r="E4714" t="s">
        <v>4755</v>
      </c>
      <c r="F4714">
        <v>2404</v>
      </c>
      <c r="G4714">
        <v>1</v>
      </c>
      <c r="H4714" t="s">
        <v>16</v>
      </c>
      <c r="I4714" s="1">
        <v>-2938800</v>
      </c>
      <c r="J4714" s="1">
        <v>-5187000</v>
      </c>
      <c r="K4714">
        <v>80</v>
      </c>
      <c r="L4714">
        <v>58</v>
      </c>
      <c r="M4714" t="s">
        <v>16</v>
      </c>
    </row>
    <row r="4715" spans="1:13" x14ac:dyDescent="0.35">
      <c r="A4715">
        <v>430560</v>
      </c>
      <c r="B4715">
        <v>39756</v>
      </c>
      <c r="C4715" t="s">
        <v>4159</v>
      </c>
      <c r="D4715" t="s">
        <v>4719</v>
      </c>
      <c r="E4715" t="s">
        <v>4853</v>
      </c>
      <c r="F4715">
        <v>3744</v>
      </c>
      <c r="G4715">
        <v>1</v>
      </c>
      <c r="H4715" t="s">
        <v>16</v>
      </c>
      <c r="I4715" s="1">
        <v>-2852400</v>
      </c>
      <c r="J4715" s="1">
        <v>-5299400</v>
      </c>
      <c r="K4715">
        <v>428</v>
      </c>
      <c r="L4715">
        <v>286</v>
      </c>
      <c r="M4715" t="s">
        <v>16</v>
      </c>
    </row>
    <row r="4716" spans="1:13" x14ac:dyDescent="0.35">
      <c r="A4716">
        <v>430570</v>
      </c>
      <c r="B4716">
        <v>39764</v>
      </c>
      <c r="C4716" t="s">
        <v>4854</v>
      </c>
      <c r="D4716" t="s">
        <v>4719</v>
      </c>
      <c r="E4716" t="s">
        <v>4726</v>
      </c>
      <c r="F4716">
        <v>6607</v>
      </c>
      <c r="G4716">
        <v>1</v>
      </c>
      <c r="H4716" t="s">
        <v>16</v>
      </c>
      <c r="I4716" s="1">
        <v>-2820800</v>
      </c>
      <c r="J4716" s="1">
        <v>-5348700</v>
      </c>
      <c r="K4716">
        <v>451</v>
      </c>
      <c r="L4716">
        <v>465</v>
      </c>
      <c r="M4716" t="s">
        <v>16</v>
      </c>
    </row>
    <row r="4717" spans="1:13" x14ac:dyDescent="0.35">
      <c r="A4717">
        <v>430580</v>
      </c>
      <c r="B4717">
        <v>39772</v>
      </c>
      <c r="C4717" t="s">
        <v>4855</v>
      </c>
      <c r="D4717" t="s">
        <v>4719</v>
      </c>
      <c r="E4717" t="s">
        <v>4735</v>
      </c>
      <c r="F4717">
        <v>9842</v>
      </c>
      <c r="G4717">
        <v>1</v>
      </c>
      <c r="H4717" t="s">
        <v>16</v>
      </c>
      <c r="I4717" s="1">
        <v>-2773500</v>
      </c>
      <c r="J4717" s="1">
        <v>-5299200</v>
      </c>
      <c r="K4717">
        <v>501</v>
      </c>
      <c r="L4717">
        <v>202</v>
      </c>
      <c r="M4717" t="s">
        <v>16</v>
      </c>
    </row>
    <row r="4718" spans="1:13" x14ac:dyDescent="0.35">
      <c r="A4718">
        <v>430583</v>
      </c>
      <c r="B4718">
        <v>59692</v>
      </c>
      <c r="C4718" t="s">
        <v>4856</v>
      </c>
      <c r="D4718" t="s">
        <v>4719</v>
      </c>
      <c r="E4718" t="s">
        <v>4755</v>
      </c>
      <c r="F4718">
        <v>1566</v>
      </c>
      <c r="G4718">
        <v>1</v>
      </c>
      <c r="H4718" t="s">
        <v>16</v>
      </c>
      <c r="I4718" s="1">
        <v>-2917800</v>
      </c>
      <c r="J4718" s="1">
        <v>-5209300</v>
      </c>
      <c r="K4718">
        <v>0</v>
      </c>
      <c r="L4718">
        <v>112</v>
      </c>
      <c r="M4718" t="s">
        <v>16</v>
      </c>
    </row>
    <row r="4719" spans="1:13" x14ac:dyDescent="0.35">
      <c r="A4719">
        <v>430585</v>
      </c>
      <c r="B4719">
        <v>52205</v>
      </c>
      <c r="C4719" t="s">
        <v>4857</v>
      </c>
      <c r="D4719" t="s">
        <v>4719</v>
      </c>
      <c r="E4719" t="s">
        <v>4733</v>
      </c>
      <c r="F4719">
        <v>3106</v>
      </c>
      <c r="G4719">
        <v>1</v>
      </c>
      <c r="H4719" t="s">
        <v>16</v>
      </c>
      <c r="I4719" s="1">
        <v>-2811900</v>
      </c>
      <c r="J4719" s="1">
        <v>-5278300</v>
      </c>
      <c r="K4719">
        <v>601</v>
      </c>
      <c r="L4719">
        <v>275</v>
      </c>
      <c r="M4719" t="s">
        <v>16</v>
      </c>
    </row>
    <row r="4720" spans="1:13" x14ac:dyDescent="0.35">
      <c r="A4720">
        <v>430587</v>
      </c>
      <c r="B4720">
        <v>52213</v>
      </c>
      <c r="C4720" t="s">
        <v>4858</v>
      </c>
      <c r="D4720" t="s">
        <v>4719</v>
      </c>
      <c r="E4720" t="s">
        <v>4726</v>
      </c>
      <c r="F4720">
        <v>2441</v>
      </c>
      <c r="G4720">
        <v>1</v>
      </c>
      <c r="H4720" t="s">
        <v>16</v>
      </c>
      <c r="I4720" s="1">
        <v>-2838300</v>
      </c>
      <c r="J4720" s="1">
        <v>-5406600</v>
      </c>
      <c r="K4720">
        <v>311</v>
      </c>
      <c r="L4720">
        <v>162</v>
      </c>
      <c r="M4720" t="s">
        <v>16</v>
      </c>
    </row>
    <row r="4721" spans="1:13" x14ac:dyDescent="0.35">
      <c r="A4721">
        <v>430590</v>
      </c>
      <c r="B4721">
        <v>39780</v>
      </c>
      <c r="C4721" t="s">
        <v>4859</v>
      </c>
      <c r="D4721" t="s">
        <v>4719</v>
      </c>
      <c r="E4721" t="s">
        <v>4726</v>
      </c>
      <c r="F4721">
        <v>7873</v>
      </c>
      <c r="G4721">
        <v>1</v>
      </c>
      <c r="H4721" t="s">
        <v>16</v>
      </c>
      <c r="I4721" s="1">
        <v>-2771600</v>
      </c>
      <c r="J4721" s="1">
        <v>-5370100</v>
      </c>
      <c r="K4721">
        <v>468</v>
      </c>
      <c r="L4721">
        <v>492</v>
      </c>
      <c r="M4721" t="s">
        <v>16</v>
      </c>
    </row>
    <row r="4722" spans="1:13" x14ac:dyDescent="0.35">
      <c r="A4722">
        <v>430593</v>
      </c>
      <c r="B4722">
        <v>59706</v>
      </c>
      <c r="C4722" t="s">
        <v>4860</v>
      </c>
      <c r="D4722" t="s">
        <v>4719</v>
      </c>
      <c r="E4722" t="s">
        <v>4748</v>
      </c>
      <c r="F4722">
        <v>1658</v>
      </c>
      <c r="G4722">
        <v>1</v>
      </c>
      <c r="H4722" t="s">
        <v>16</v>
      </c>
      <c r="I4722" s="1">
        <v>-2927300</v>
      </c>
      <c r="J4722" s="1">
        <v>-5168700</v>
      </c>
      <c r="K4722">
        <v>0</v>
      </c>
      <c r="L4722">
        <v>105</v>
      </c>
      <c r="M4722" t="s">
        <v>16</v>
      </c>
    </row>
    <row r="4723" spans="1:13" x14ac:dyDescent="0.35">
      <c r="A4723">
        <v>430595</v>
      </c>
      <c r="B4723">
        <v>41572</v>
      </c>
      <c r="C4723" t="s">
        <v>4861</v>
      </c>
      <c r="D4723" t="s">
        <v>4719</v>
      </c>
      <c r="E4723" t="s">
        <v>4748</v>
      </c>
      <c r="F4723">
        <v>4577</v>
      </c>
      <c r="G4723">
        <v>1</v>
      </c>
      <c r="H4723" t="s">
        <v>16</v>
      </c>
      <c r="I4723" s="1">
        <v>-2899400</v>
      </c>
      <c r="J4723" s="1">
        <v>-5169600</v>
      </c>
      <c r="K4723">
        <v>609</v>
      </c>
      <c r="L4723">
        <v>172</v>
      </c>
      <c r="M4723" t="s">
        <v>16</v>
      </c>
    </row>
    <row r="4724" spans="1:13" x14ac:dyDescent="0.35">
      <c r="A4724">
        <v>430597</v>
      </c>
      <c r="B4724">
        <v>53678</v>
      </c>
      <c r="C4724" t="s">
        <v>4862</v>
      </c>
      <c r="D4724" t="s">
        <v>4719</v>
      </c>
      <c r="E4724" t="s">
        <v>4722</v>
      </c>
      <c r="F4724">
        <v>2916</v>
      </c>
      <c r="G4724">
        <v>1</v>
      </c>
      <c r="H4724" t="s">
        <v>16</v>
      </c>
      <c r="I4724" s="1">
        <v>-2812700</v>
      </c>
      <c r="J4724" s="1">
        <v>-5229600</v>
      </c>
      <c r="K4724">
        <v>721</v>
      </c>
      <c r="L4724">
        <v>422</v>
      </c>
      <c r="M4724" t="s">
        <v>16</v>
      </c>
    </row>
    <row r="4725" spans="1:13" x14ac:dyDescent="0.35">
      <c r="A4725">
        <v>430600</v>
      </c>
      <c r="B4725">
        <v>39799</v>
      </c>
      <c r="C4725" t="s">
        <v>4863</v>
      </c>
      <c r="D4725" t="s">
        <v>4719</v>
      </c>
      <c r="E4725" t="s">
        <v>4778</v>
      </c>
      <c r="F4725">
        <v>14726</v>
      </c>
      <c r="G4725">
        <v>1</v>
      </c>
      <c r="H4725" t="s">
        <v>16</v>
      </c>
      <c r="I4725" s="1">
        <v>-2750000</v>
      </c>
      <c r="J4725" s="1">
        <v>-5410100</v>
      </c>
      <c r="K4725">
        <v>410</v>
      </c>
      <c r="L4725">
        <v>362</v>
      </c>
      <c r="M4725" t="s">
        <v>16</v>
      </c>
    </row>
    <row r="4726" spans="1:13" x14ac:dyDescent="0.35">
      <c r="A4726">
        <v>430605</v>
      </c>
      <c r="B4726">
        <v>46086</v>
      </c>
      <c r="C4726" t="s">
        <v>4864</v>
      </c>
      <c r="D4726" t="s">
        <v>4719</v>
      </c>
      <c r="E4726" t="s">
        <v>4760</v>
      </c>
      <c r="F4726">
        <v>7026</v>
      </c>
      <c r="G4726">
        <v>1</v>
      </c>
      <c r="H4726" t="s">
        <v>16</v>
      </c>
      <c r="I4726" s="1">
        <v>-3100300</v>
      </c>
      <c r="J4726" s="1">
        <v>-5205000</v>
      </c>
      <c r="K4726">
        <v>500</v>
      </c>
      <c r="L4726">
        <v>681</v>
      </c>
      <c r="M4726" t="s">
        <v>16</v>
      </c>
    </row>
    <row r="4727" spans="1:13" x14ac:dyDescent="0.35">
      <c r="A4727">
        <v>430607</v>
      </c>
      <c r="B4727">
        <v>58769</v>
      </c>
      <c r="C4727" t="s">
        <v>4865</v>
      </c>
      <c r="D4727" t="s">
        <v>4719</v>
      </c>
      <c r="E4727" t="s">
        <v>4735</v>
      </c>
      <c r="F4727">
        <v>2967</v>
      </c>
      <c r="G4727">
        <v>1</v>
      </c>
      <c r="H4727" t="s">
        <v>16</v>
      </c>
      <c r="I4727" s="1">
        <v>-2745400</v>
      </c>
      <c r="J4727" s="1">
        <v>-5324600</v>
      </c>
      <c r="K4727">
        <v>369</v>
      </c>
      <c r="L4727">
        <v>97</v>
      </c>
      <c r="M4727" t="s">
        <v>16</v>
      </c>
    </row>
    <row r="4728" spans="1:13" x14ac:dyDescent="0.35">
      <c r="A4728">
        <v>430610</v>
      </c>
      <c r="B4728">
        <v>39802</v>
      </c>
      <c r="C4728" t="s">
        <v>4736</v>
      </c>
      <c r="D4728" t="s">
        <v>4719</v>
      </c>
      <c r="E4728" t="s">
        <v>4736</v>
      </c>
      <c r="F4728">
        <v>63450</v>
      </c>
      <c r="G4728">
        <v>2</v>
      </c>
      <c r="H4728" t="s">
        <v>16</v>
      </c>
      <c r="I4728" s="1">
        <v>-2863900</v>
      </c>
      <c r="J4728" s="1">
        <v>-5360600</v>
      </c>
      <c r="K4728">
        <v>452</v>
      </c>
      <c r="L4728">
        <v>1360</v>
      </c>
      <c r="M4728" t="s">
        <v>16</v>
      </c>
    </row>
    <row r="4729" spans="1:13" x14ac:dyDescent="0.35">
      <c r="A4729">
        <v>430613</v>
      </c>
      <c r="B4729">
        <v>59897</v>
      </c>
      <c r="C4729" t="s">
        <v>4866</v>
      </c>
      <c r="D4729" t="s">
        <v>4719</v>
      </c>
      <c r="E4729" t="s">
        <v>4753</v>
      </c>
      <c r="F4729">
        <v>2273</v>
      </c>
      <c r="G4729">
        <v>1</v>
      </c>
      <c r="H4729" t="s">
        <v>16</v>
      </c>
      <c r="I4729" s="1">
        <v>-2766800</v>
      </c>
      <c r="J4729" s="1">
        <v>-5264900</v>
      </c>
      <c r="K4729">
        <v>0</v>
      </c>
      <c r="L4729">
        <v>165</v>
      </c>
      <c r="M4729" t="s">
        <v>16</v>
      </c>
    </row>
    <row r="4730" spans="1:13" x14ac:dyDescent="0.35">
      <c r="A4730">
        <v>430620</v>
      </c>
      <c r="B4730">
        <v>39810</v>
      </c>
      <c r="C4730" t="s">
        <v>77</v>
      </c>
      <c r="D4730" t="s">
        <v>4719</v>
      </c>
      <c r="E4730" t="s">
        <v>4755</v>
      </c>
      <c r="F4730">
        <v>12171</v>
      </c>
      <c r="G4730">
        <v>1</v>
      </c>
      <c r="H4730" t="s">
        <v>16</v>
      </c>
      <c r="I4730" s="1">
        <v>-2951300</v>
      </c>
      <c r="J4730" s="1">
        <v>-5198500</v>
      </c>
      <c r="K4730">
        <v>37</v>
      </c>
      <c r="L4730">
        <v>155</v>
      </c>
      <c r="M4730" t="s">
        <v>16</v>
      </c>
    </row>
    <row r="4731" spans="1:13" x14ac:dyDescent="0.35">
      <c r="A4731">
        <v>430630</v>
      </c>
      <c r="B4731">
        <v>39829</v>
      </c>
      <c r="C4731" t="s">
        <v>4867</v>
      </c>
      <c r="D4731" t="s">
        <v>4719</v>
      </c>
      <c r="E4731" t="s">
        <v>4722</v>
      </c>
      <c r="F4731">
        <v>4704</v>
      </c>
      <c r="G4731">
        <v>1</v>
      </c>
      <c r="H4731" t="s">
        <v>16</v>
      </c>
      <c r="I4731" s="1">
        <v>-2838800</v>
      </c>
      <c r="J4731" s="1">
        <v>-5184800</v>
      </c>
      <c r="K4731">
        <v>682</v>
      </c>
      <c r="L4731">
        <v>174</v>
      </c>
      <c r="M4731" t="s">
        <v>16</v>
      </c>
    </row>
    <row r="4732" spans="1:13" x14ac:dyDescent="0.35">
      <c r="A4732">
        <v>430632</v>
      </c>
      <c r="B4732">
        <v>52221</v>
      </c>
      <c r="C4732" t="s">
        <v>4868</v>
      </c>
      <c r="D4732" t="s">
        <v>4719</v>
      </c>
      <c r="E4732" t="s">
        <v>4778</v>
      </c>
      <c r="F4732">
        <v>3378</v>
      </c>
      <c r="G4732">
        <v>1</v>
      </c>
      <c r="H4732" t="s">
        <v>16</v>
      </c>
      <c r="I4732" s="1">
        <v>-2726500</v>
      </c>
      <c r="J4732" s="1">
        <v>-5386100</v>
      </c>
      <c r="K4732">
        <v>485</v>
      </c>
      <c r="L4732">
        <v>361</v>
      </c>
      <c r="M4732" t="s">
        <v>16</v>
      </c>
    </row>
    <row r="4733" spans="1:13" x14ac:dyDescent="0.35">
      <c r="A4733">
        <v>430635</v>
      </c>
      <c r="B4733">
        <v>46094</v>
      </c>
      <c r="C4733" t="s">
        <v>4869</v>
      </c>
      <c r="D4733" t="s">
        <v>4719</v>
      </c>
      <c r="E4733" t="s">
        <v>4798</v>
      </c>
      <c r="F4733">
        <v>2968</v>
      </c>
      <c r="G4733">
        <v>1</v>
      </c>
      <c r="H4733" t="s">
        <v>16</v>
      </c>
      <c r="I4733" s="1">
        <v>-2821300</v>
      </c>
      <c r="J4733" s="1">
        <v>-5506800</v>
      </c>
      <c r="K4733">
        <v>178</v>
      </c>
      <c r="L4733">
        <v>216</v>
      </c>
      <c r="M4733" t="s">
        <v>16</v>
      </c>
    </row>
    <row r="4734" spans="1:13" x14ac:dyDescent="0.35">
      <c r="A4734">
        <v>430637</v>
      </c>
      <c r="B4734">
        <v>58777</v>
      </c>
      <c r="C4734" t="s">
        <v>4870</v>
      </c>
      <c r="D4734" t="s">
        <v>4719</v>
      </c>
      <c r="E4734" t="s">
        <v>1329</v>
      </c>
      <c r="F4734">
        <v>3129</v>
      </c>
      <c r="G4734">
        <v>1</v>
      </c>
      <c r="H4734" t="s">
        <v>16</v>
      </c>
      <c r="I4734" s="1">
        <v>-2970600</v>
      </c>
      <c r="J4734" s="1">
        <v>-5420800</v>
      </c>
      <c r="K4734">
        <v>127</v>
      </c>
      <c r="L4734">
        <v>602</v>
      </c>
      <c r="M4734" t="s">
        <v>16</v>
      </c>
    </row>
    <row r="4735" spans="1:13" x14ac:dyDescent="0.35">
      <c r="A4735">
        <v>430640</v>
      </c>
      <c r="B4735">
        <v>39837</v>
      </c>
      <c r="C4735" t="s">
        <v>4871</v>
      </c>
      <c r="D4735" t="s">
        <v>4719</v>
      </c>
      <c r="E4735" t="s">
        <v>4822</v>
      </c>
      <c r="F4735">
        <v>24815</v>
      </c>
      <c r="G4735">
        <v>4</v>
      </c>
      <c r="H4735" t="s">
        <v>4740</v>
      </c>
      <c r="I4735" s="1">
        <v>-2958000</v>
      </c>
      <c r="J4735" s="1">
        <v>-5108500</v>
      </c>
      <c r="K4735">
        <v>166</v>
      </c>
      <c r="L4735">
        <v>65</v>
      </c>
      <c r="M4735" t="s">
        <v>16</v>
      </c>
    </row>
    <row r="4736" spans="1:13" x14ac:dyDescent="0.35">
      <c r="A4736">
        <v>430642</v>
      </c>
      <c r="B4736">
        <v>52230</v>
      </c>
      <c r="C4736" t="s">
        <v>4872</v>
      </c>
      <c r="D4736" t="s">
        <v>4719</v>
      </c>
      <c r="E4736" t="s">
        <v>4735</v>
      </c>
      <c r="F4736">
        <v>2362</v>
      </c>
      <c r="G4736">
        <v>1</v>
      </c>
      <c r="H4736" t="s">
        <v>16</v>
      </c>
      <c r="I4736" s="1">
        <v>-2765900</v>
      </c>
      <c r="J4736" s="1">
        <v>-5353100</v>
      </c>
      <c r="K4736">
        <v>527</v>
      </c>
      <c r="L4736">
        <v>225</v>
      </c>
      <c r="M4736" t="s">
        <v>16</v>
      </c>
    </row>
    <row r="4737" spans="1:13" x14ac:dyDescent="0.35">
      <c r="A4737">
        <v>430645</v>
      </c>
      <c r="B4737">
        <v>46108</v>
      </c>
      <c r="C4737" t="s">
        <v>4873</v>
      </c>
      <c r="D4737" t="s">
        <v>4719</v>
      </c>
      <c r="E4737" t="s">
        <v>4745</v>
      </c>
      <c r="F4737">
        <v>3334</v>
      </c>
      <c r="G4737">
        <v>1</v>
      </c>
      <c r="H4737" t="s">
        <v>16</v>
      </c>
      <c r="I4737" s="1">
        <v>-2898400</v>
      </c>
      <c r="J4737" s="1">
        <v>-5183600</v>
      </c>
      <c r="K4737">
        <v>450</v>
      </c>
      <c r="L4737">
        <v>133</v>
      </c>
      <c r="M4737" t="s">
        <v>16</v>
      </c>
    </row>
    <row r="4738" spans="1:13" x14ac:dyDescent="0.35">
      <c r="A4738">
        <v>430650</v>
      </c>
      <c r="B4738">
        <v>39845</v>
      </c>
      <c r="C4738" t="s">
        <v>4874</v>
      </c>
      <c r="D4738" t="s">
        <v>4719</v>
      </c>
      <c r="E4738" t="s">
        <v>4750</v>
      </c>
      <c r="F4738">
        <v>14504</v>
      </c>
      <c r="G4738">
        <v>1</v>
      </c>
      <c r="H4738" t="s">
        <v>16</v>
      </c>
      <c r="I4738" s="1">
        <v>-3070400</v>
      </c>
      <c r="J4738" s="1">
        <v>-5210800</v>
      </c>
      <c r="K4738">
        <v>154</v>
      </c>
      <c r="L4738">
        <v>1260</v>
      </c>
      <c r="M4738" t="s">
        <v>16</v>
      </c>
    </row>
    <row r="4739" spans="1:13" x14ac:dyDescent="0.35">
      <c r="A4739">
        <v>430655</v>
      </c>
      <c r="B4739">
        <v>58785</v>
      </c>
      <c r="C4739" t="s">
        <v>4875</v>
      </c>
      <c r="D4739" t="s">
        <v>4719</v>
      </c>
      <c r="E4739" t="s">
        <v>4757</v>
      </c>
      <c r="F4739">
        <v>2728</v>
      </c>
      <c r="G4739">
        <v>4</v>
      </c>
      <c r="H4739" t="s">
        <v>4758</v>
      </c>
      <c r="I4739" s="1">
        <v>-2936900</v>
      </c>
      <c r="J4739" s="1">
        <v>-4985000</v>
      </c>
      <c r="K4739">
        <v>37</v>
      </c>
      <c r="L4739">
        <v>78</v>
      </c>
      <c r="M4739" t="s">
        <v>16</v>
      </c>
    </row>
    <row r="4740" spans="1:13" x14ac:dyDescent="0.35">
      <c r="A4740">
        <v>430660</v>
      </c>
      <c r="B4740">
        <v>39853</v>
      </c>
      <c r="C4740" t="s">
        <v>4876</v>
      </c>
      <c r="D4740" t="s">
        <v>4719</v>
      </c>
      <c r="E4740" t="s">
        <v>4720</v>
      </c>
      <c r="F4740">
        <v>38148</v>
      </c>
      <c r="G4740">
        <v>1</v>
      </c>
      <c r="H4740" t="s">
        <v>16</v>
      </c>
      <c r="I4740" s="1">
        <v>-3098300</v>
      </c>
      <c r="J4740" s="1">
        <v>-5467300</v>
      </c>
      <c r="K4740">
        <v>141</v>
      </c>
      <c r="L4740">
        <v>5192</v>
      </c>
      <c r="M4740" t="s">
        <v>16</v>
      </c>
    </row>
    <row r="4741" spans="1:13" x14ac:dyDescent="0.35">
      <c r="A4741">
        <v>430670</v>
      </c>
      <c r="B4741">
        <v>39861</v>
      </c>
      <c r="C4741" t="s">
        <v>4877</v>
      </c>
      <c r="D4741" t="s">
        <v>4719</v>
      </c>
      <c r="E4741" t="s">
        <v>4724</v>
      </c>
      <c r="F4741">
        <v>3572</v>
      </c>
      <c r="G4741">
        <v>1</v>
      </c>
      <c r="H4741" t="s">
        <v>16</v>
      </c>
      <c r="I4741" s="1">
        <v>-2962200</v>
      </c>
      <c r="J4741" s="1">
        <v>-5335700</v>
      </c>
      <c r="K4741">
        <v>49</v>
      </c>
      <c r="L4741">
        <v>114</v>
      </c>
      <c r="M4741" t="s">
        <v>16</v>
      </c>
    </row>
    <row r="4742" spans="1:13" x14ac:dyDescent="0.35">
      <c r="A4742">
        <v>430673</v>
      </c>
      <c r="B4742">
        <v>46116</v>
      </c>
      <c r="C4742" t="s">
        <v>4878</v>
      </c>
      <c r="D4742" t="s">
        <v>4719</v>
      </c>
      <c r="E4742" t="s">
        <v>4778</v>
      </c>
      <c r="F4742">
        <v>5494</v>
      </c>
      <c r="G4742">
        <v>1</v>
      </c>
      <c r="H4742" t="s">
        <v>16</v>
      </c>
      <c r="I4742" s="1">
        <v>-2750600</v>
      </c>
      <c r="J4742" s="1">
        <v>-5436100</v>
      </c>
      <c r="K4742">
        <v>282</v>
      </c>
      <c r="L4742">
        <v>256</v>
      </c>
      <c r="M4742" t="s">
        <v>16</v>
      </c>
    </row>
    <row r="4743" spans="1:13" x14ac:dyDescent="0.35">
      <c r="A4743">
        <v>430675</v>
      </c>
      <c r="B4743">
        <v>58793</v>
      </c>
      <c r="C4743" t="s">
        <v>4879</v>
      </c>
      <c r="D4743" t="s">
        <v>4719</v>
      </c>
      <c r="E4743" t="s">
        <v>4755</v>
      </c>
      <c r="F4743">
        <v>2053</v>
      </c>
      <c r="G4743">
        <v>1</v>
      </c>
      <c r="H4743" t="s">
        <v>16</v>
      </c>
      <c r="I4743" s="1">
        <v>-2908600</v>
      </c>
      <c r="J4743" s="1">
        <v>-5199200</v>
      </c>
      <c r="K4743">
        <v>499</v>
      </c>
      <c r="L4743">
        <v>108</v>
      </c>
      <c r="M4743" t="s">
        <v>16</v>
      </c>
    </row>
    <row r="4744" spans="1:13" x14ac:dyDescent="0.35">
      <c r="A4744">
        <v>430676</v>
      </c>
      <c r="B4744">
        <v>46124</v>
      </c>
      <c r="C4744" t="s">
        <v>4880</v>
      </c>
      <c r="D4744" t="s">
        <v>4719</v>
      </c>
      <c r="E4744" t="s">
        <v>4739</v>
      </c>
      <c r="F4744">
        <v>31316</v>
      </c>
      <c r="G4744">
        <v>4</v>
      </c>
      <c r="H4744" t="s">
        <v>4740</v>
      </c>
      <c r="I4744" s="1">
        <v>-3008400</v>
      </c>
      <c r="J4744" s="1">
        <v>-5161600</v>
      </c>
      <c r="K4744">
        <v>19</v>
      </c>
      <c r="L4744">
        <v>509</v>
      </c>
      <c r="M4744" t="s">
        <v>16</v>
      </c>
    </row>
    <row r="4745" spans="1:13" x14ac:dyDescent="0.35">
      <c r="A4745">
        <v>430680</v>
      </c>
      <c r="B4745">
        <v>39870</v>
      </c>
      <c r="C4745" t="s">
        <v>4881</v>
      </c>
      <c r="D4745" t="s">
        <v>4719</v>
      </c>
      <c r="E4745" t="s">
        <v>4755</v>
      </c>
      <c r="F4745">
        <v>19536</v>
      </c>
      <c r="G4745">
        <v>1</v>
      </c>
      <c r="H4745" t="s">
        <v>16</v>
      </c>
      <c r="I4745" s="1">
        <v>-2923600</v>
      </c>
      <c r="J4745" s="1">
        <v>-5187000</v>
      </c>
      <c r="K4745">
        <v>58</v>
      </c>
      <c r="L4745">
        <v>139</v>
      </c>
      <c r="M4745" t="s">
        <v>16</v>
      </c>
    </row>
    <row r="4746" spans="1:13" x14ac:dyDescent="0.35">
      <c r="A4746">
        <v>430690</v>
      </c>
      <c r="B4746">
        <v>39888</v>
      </c>
      <c r="C4746" t="s">
        <v>4882</v>
      </c>
      <c r="D4746" t="s">
        <v>4719</v>
      </c>
      <c r="E4746" t="s">
        <v>4742</v>
      </c>
      <c r="F4746">
        <v>24152</v>
      </c>
      <c r="G4746">
        <v>1</v>
      </c>
      <c r="H4746" t="s">
        <v>16</v>
      </c>
      <c r="I4746" s="1">
        <v>-3054400</v>
      </c>
      <c r="J4746" s="1">
        <v>-5252200</v>
      </c>
      <c r="K4746">
        <v>432</v>
      </c>
      <c r="L4746">
        <v>3438</v>
      </c>
      <c r="M4746" t="s">
        <v>16</v>
      </c>
    </row>
    <row r="4747" spans="1:13" x14ac:dyDescent="0.35">
      <c r="A4747">
        <v>430692</v>
      </c>
      <c r="B4747">
        <v>52248</v>
      </c>
      <c r="C4747" t="s">
        <v>4883</v>
      </c>
      <c r="D4747" t="s">
        <v>4719</v>
      </c>
      <c r="E4747" t="s">
        <v>4735</v>
      </c>
      <c r="F4747">
        <v>1584</v>
      </c>
      <c r="G4747">
        <v>1</v>
      </c>
      <c r="H4747" t="s">
        <v>16</v>
      </c>
      <c r="I4747" s="1">
        <v>-2770800</v>
      </c>
      <c r="J4747" s="1">
        <v>-5291300</v>
      </c>
      <c r="K4747">
        <v>506</v>
      </c>
      <c r="L4747">
        <v>71</v>
      </c>
      <c r="M4747" t="s">
        <v>16</v>
      </c>
    </row>
    <row r="4748" spans="1:13" x14ac:dyDescent="0.35">
      <c r="A4748">
        <v>430693</v>
      </c>
      <c r="B4748">
        <v>46132</v>
      </c>
      <c r="C4748" t="s">
        <v>4884</v>
      </c>
      <c r="D4748" t="s">
        <v>4719</v>
      </c>
      <c r="E4748" t="s">
        <v>4798</v>
      </c>
      <c r="F4748">
        <v>9126</v>
      </c>
      <c r="G4748">
        <v>1</v>
      </c>
      <c r="H4748" t="s">
        <v>16</v>
      </c>
      <c r="I4748" s="1">
        <v>-2836000</v>
      </c>
      <c r="J4748" s="1">
        <v>-5426800</v>
      </c>
      <c r="K4748">
        <v>215</v>
      </c>
      <c r="L4748">
        <v>552</v>
      </c>
      <c r="M4748" t="s">
        <v>16</v>
      </c>
    </row>
    <row r="4749" spans="1:13" x14ac:dyDescent="0.35">
      <c r="A4749">
        <v>430695</v>
      </c>
      <c r="B4749">
        <v>46140</v>
      </c>
      <c r="C4749" t="s">
        <v>4885</v>
      </c>
      <c r="D4749" t="s">
        <v>4719</v>
      </c>
      <c r="E4749" t="s">
        <v>4753</v>
      </c>
      <c r="F4749">
        <v>3101</v>
      </c>
      <c r="G4749">
        <v>1</v>
      </c>
      <c r="H4749" t="s">
        <v>16</v>
      </c>
      <c r="I4749" s="1">
        <v>-2752800</v>
      </c>
      <c r="J4749" s="1">
        <v>-5273300</v>
      </c>
      <c r="K4749">
        <v>605</v>
      </c>
      <c r="L4749">
        <v>120</v>
      </c>
      <c r="M4749" t="s">
        <v>16</v>
      </c>
    </row>
    <row r="4750" spans="1:13" x14ac:dyDescent="0.35">
      <c r="A4750">
        <v>430697</v>
      </c>
      <c r="B4750">
        <v>46159</v>
      </c>
      <c r="C4750" t="s">
        <v>4886</v>
      </c>
      <c r="D4750" t="s">
        <v>4719</v>
      </c>
      <c r="E4750" t="s">
        <v>4753</v>
      </c>
      <c r="F4750">
        <v>2881</v>
      </c>
      <c r="G4750">
        <v>1</v>
      </c>
      <c r="H4750" t="s">
        <v>16</v>
      </c>
      <c r="I4750" s="1">
        <v>-2785500</v>
      </c>
      <c r="J4750" s="1">
        <v>-5230200</v>
      </c>
      <c r="K4750">
        <v>763</v>
      </c>
      <c r="L4750">
        <v>151</v>
      </c>
      <c r="M4750" t="s">
        <v>16</v>
      </c>
    </row>
    <row r="4751" spans="1:13" x14ac:dyDescent="0.35">
      <c r="A4751">
        <v>430700</v>
      </c>
      <c r="B4751">
        <v>39896</v>
      </c>
      <c r="C4751" t="s">
        <v>4753</v>
      </c>
      <c r="D4751" t="s">
        <v>4719</v>
      </c>
      <c r="E4751" t="s">
        <v>4753</v>
      </c>
      <c r="F4751">
        <v>92945</v>
      </c>
      <c r="G4751">
        <v>2</v>
      </c>
      <c r="H4751" t="s">
        <v>16</v>
      </c>
      <c r="I4751" s="1">
        <v>-2763400</v>
      </c>
      <c r="J4751" s="1">
        <v>-5227400</v>
      </c>
      <c r="K4751">
        <v>783</v>
      </c>
      <c r="L4751">
        <v>430</v>
      </c>
      <c r="M4751" t="s">
        <v>16</v>
      </c>
    </row>
    <row r="4752" spans="1:13" x14ac:dyDescent="0.35">
      <c r="A4752">
        <v>430705</v>
      </c>
      <c r="B4752">
        <v>46167</v>
      </c>
      <c r="C4752" t="s">
        <v>4887</v>
      </c>
      <c r="D4752" t="s">
        <v>4719</v>
      </c>
      <c r="E4752" t="s">
        <v>4722</v>
      </c>
      <c r="F4752">
        <v>3010</v>
      </c>
      <c r="G4752">
        <v>1</v>
      </c>
      <c r="H4752" t="s">
        <v>16</v>
      </c>
      <c r="I4752" s="1">
        <v>-2849900</v>
      </c>
      <c r="J4752" s="1">
        <v>-5257300</v>
      </c>
      <c r="K4752">
        <v>493</v>
      </c>
      <c r="L4752">
        <v>239</v>
      </c>
      <c r="M4752" t="s">
        <v>16</v>
      </c>
    </row>
    <row r="4753" spans="1:13" x14ac:dyDescent="0.35">
      <c r="A4753">
        <v>430710</v>
      </c>
      <c r="B4753">
        <v>39900</v>
      </c>
      <c r="C4753" t="s">
        <v>4888</v>
      </c>
      <c r="D4753" t="s">
        <v>4719</v>
      </c>
      <c r="E4753" t="s">
        <v>4767</v>
      </c>
      <c r="F4753">
        <v>6873</v>
      </c>
      <c r="G4753">
        <v>1</v>
      </c>
      <c r="H4753" t="s">
        <v>16</v>
      </c>
      <c r="I4753" s="1">
        <v>-3202400</v>
      </c>
      <c r="J4753" s="1">
        <v>-5339600</v>
      </c>
      <c r="K4753">
        <v>287</v>
      </c>
      <c r="L4753">
        <v>1758</v>
      </c>
      <c r="M4753" t="s">
        <v>16</v>
      </c>
    </row>
    <row r="4754" spans="1:13" x14ac:dyDescent="0.35">
      <c r="A4754">
        <v>430720</v>
      </c>
      <c r="B4754">
        <v>39918</v>
      </c>
      <c r="C4754" t="s">
        <v>4889</v>
      </c>
      <c r="D4754" t="s">
        <v>4719</v>
      </c>
      <c r="E4754" t="s">
        <v>4753</v>
      </c>
      <c r="F4754">
        <v>5294</v>
      </c>
      <c r="G4754">
        <v>1</v>
      </c>
      <c r="H4754" t="s">
        <v>16</v>
      </c>
      <c r="I4754" s="1">
        <v>-2739100</v>
      </c>
      <c r="J4754" s="1">
        <v>-5257100</v>
      </c>
      <c r="K4754">
        <v>763</v>
      </c>
      <c r="L4754">
        <v>285</v>
      </c>
      <c r="M4754" t="s">
        <v>16</v>
      </c>
    </row>
    <row r="4755" spans="1:13" x14ac:dyDescent="0.35">
      <c r="A4755">
        <v>430730</v>
      </c>
      <c r="B4755">
        <v>39926</v>
      </c>
      <c r="C4755" t="s">
        <v>4890</v>
      </c>
      <c r="D4755" t="s">
        <v>4719</v>
      </c>
      <c r="E4755" t="s">
        <v>4735</v>
      </c>
      <c r="F4755">
        <v>8212</v>
      </c>
      <c r="G4755">
        <v>1</v>
      </c>
      <c r="H4755" t="s">
        <v>16</v>
      </c>
      <c r="I4755" s="1">
        <v>-2754900</v>
      </c>
      <c r="J4755" s="1">
        <v>-5350400</v>
      </c>
      <c r="K4755">
        <v>425</v>
      </c>
      <c r="L4755">
        <v>363</v>
      </c>
      <c r="M4755" t="s">
        <v>16</v>
      </c>
    </row>
    <row r="4756" spans="1:13" x14ac:dyDescent="0.35">
      <c r="A4756">
        <v>430740</v>
      </c>
      <c r="B4756">
        <v>39934</v>
      </c>
      <c r="C4756" t="s">
        <v>4891</v>
      </c>
      <c r="D4756" t="s">
        <v>4719</v>
      </c>
      <c r="E4756" t="s">
        <v>4792</v>
      </c>
      <c r="F4756">
        <v>3234</v>
      </c>
      <c r="G4756">
        <v>1</v>
      </c>
      <c r="H4756" t="s">
        <v>16</v>
      </c>
      <c r="I4756" s="1">
        <v>-2805400</v>
      </c>
      <c r="J4756" s="1">
        <v>-5119000</v>
      </c>
      <c r="K4756">
        <v>956</v>
      </c>
      <c r="L4756">
        <v>833</v>
      </c>
      <c r="M4756" t="s">
        <v>16</v>
      </c>
    </row>
    <row r="4757" spans="1:13" x14ac:dyDescent="0.35">
      <c r="A4757">
        <v>430745</v>
      </c>
      <c r="B4757">
        <v>58807</v>
      </c>
      <c r="C4757" t="s">
        <v>4892</v>
      </c>
      <c r="D4757" t="s">
        <v>4719</v>
      </c>
      <c r="E4757" t="s">
        <v>4778</v>
      </c>
      <c r="F4757">
        <v>3445</v>
      </c>
      <c r="G4757">
        <v>1</v>
      </c>
      <c r="H4757" t="s">
        <v>16</v>
      </c>
      <c r="I4757" s="1">
        <v>-2735500</v>
      </c>
      <c r="J4757" s="1">
        <v>-5399200</v>
      </c>
      <c r="K4757">
        <v>387</v>
      </c>
      <c r="L4757">
        <v>148</v>
      </c>
      <c r="M4757" t="s">
        <v>16</v>
      </c>
    </row>
    <row r="4758" spans="1:13" x14ac:dyDescent="0.35">
      <c r="A4758">
        <v>430750</v>
      </c>
      <c r="B4758">
        <v>39942</v>
      </c>
      <c r="C4758" t="s">
        <v>4893</v>
      </c>
      <c r="D4758" t="s">
        <v>4719</v>
      </c>
      <c r="E4758" t="s">
        <v>4736</v>
      </c>
      <c r="F4758">
        <v>14991</v>
      </c>
      <c r="G4758">
        <v>1</v>
      </c>
      <c r="H4758" t="s">
        <v>16</v>
      </c>
      <c r="I4758" s="1">
        <v>-2872500</v>
      </c>
      <c r="J4758" s="1">
        <v>-5285000</v>
      </c>
      <c r="K4758">
        <v>357</v>
      </c>
      <c r="L4758">
        <v>783</v>
      </c>
      <c r="M4758" t="s">
        <v>16</v>
      </c>
    </row>
    <row r="4759" spans="1:13" x14ac:dyDescent="0.35">
      <c r="A4759">
        <v>430755</v>
      </c>
      <c r="B4759">
        <v>46175</v>
      </c>
      <c r="C4759" t="s">
        <v>4894</v>
      </c>
      <c r="D4759" t="s">
        <v>4719</v>
      </c>
      <c r="E4759" t="s">
        <v>4753</v>
      </c>
      <c r="F4759">
        <v>6086</v>
      </c>
      <c r="G4759">
        <v>1</v>
      </c>
      <c r="H4759" t="s">
        <v>16</v>
      </c>
      <c r="I4759" s="1">
        <v>-2791100</v>
      </c>
      <c r="J4759" s="1">
        <v>-5226000</v>
      </c>
      <c r="K4759">
        <v>680</v>
      </c>
      <c r="L4759">
        <v>100</v>
      </c>
      <c r="M4759" t="s">
        <v>16</v>
      </c>
    </row>
    <row r="4760" spans="1:13" x14ac:dyDescent="0.35">
      <c r="A4760">
        <v>430760</v>
      </c>
      <c r="B4760">
        <v>39950</v>
      </c>
      <c r="C4760" t="s">
        <v>4895</v>
      </c>
      <c r="D4760" t="s">
        <v>4719</v>
      </c>
      <c r="E4760" t="s">
        <v>4739</v>
      </c>
      <c r="F4760">
        <v>40740</v>
      </c>
      <c r="G4760">
        <v>4</v>
      </c>
      <c r="H4760" t="s">
        <v>4740</v>
      </c>
      <c r="I4760" s="1">
        <v>-2964800</v>
      </c>
      <c r="J4760" s="1">
        <v>-5117400</v>
      </c>
      <c r="K4760">
        <v>44</v>
      </c>
      <c r="L4760">
        <v>52</v>
      </c>
      <c r="M4760" t="s">
        <v>16</v>
      </c>
    </row>
    <row r="4761" spans="1:13" x14ac:dyDescent="0.35">
      <c r="A4761">
        <v>430770</v>
      </c>
      <c r="B4761">
        <v>39969</v>
      </c>
      <c r="C4761" t="s">
        <v>4896</v>
      </c>
      <c r="D4761" t="s">
        <v>4719</v>
      </c>
      <c r="E4761" t="s">
        <v>4739</v>
      </c>
      <c r="F4761">
        <v>78816</v>
      </c>
      <c r="G4761">
        <v>4</v>
      </c>
      <c r="H4761" t="s">
        <v>4740</v>
      </c>
      <c r="I4761" s="1">
        <v>-2986100</v>
      </c>
      <c r="J4761" s="1">
        <v>-5117900</v>
      </c>
      <c r="K4761">
        <v>11</v>
      </c>
      <c r="L4761">
        <v>27</v>
      </c>
      <c r="M4761" t="s">
        <v>16</v>
      </c>
    </row>
    <row r="4762" spans="1:13" x14ac:dyDescent="0.35">
      <c r="A4762">
        <v>430780</v>
      </c>
      <c r="B4762">
        <v>39977</v>
      </c>
      <c r="C4762" t="s">
        <v>4897</v>
      </c>
      <c r="D4762" t="s">
        <v>4719</v>
      </c>
      <c r="E4762" t="s">
        <v>4755</v>
      </c>
      <c r="F4762">
        <v>29071</v>
      </c>
      <c r="G4762">
        <v>1</v>
      </c>
      <c r="H4762" t="s">
        <v>16</v>
      </c>
      <c r="I4762" s="1">
        <v>-2950200</v>
      </c>
      <c r="J4762" s="1">
        <v>-5196600</v>
      </c>
      <c r="K4762">
        <v>39</v>
      </c>
      <c r="L4762">
        <v>184</v>
      </c>
      <c r="M4762" t="s">
        <v>16</v>
      </c>
    </row>
    <row r="4763" spans="1:13" x14ac:dyDescent="0.35">
      <c r="A4763">
        <v>430781</v>
      </c>
      <c r="B4763">
        <v>58815</v>
      </c>
      <c r="C4763" t="s">
        <v>4898</v>
      </c>
      <c r="D4763" t="s">
        <v>4719</v>
      </c>
      <c r="E4763" t="s">
        <v>4765</v>
      </c>
      <c r="F4763">
        <v>3659</v>
      </c>
      <c r="G4763">
        <v>1</v>
      </c>
      <c r="H4763" t="s">
        <v>16</v>
      </c>
      <c r="I4763" s="1">
        <v>-2917700</v>
      </c>
      <c r="J4763" s="1">
        <v>-5315900</v>
      </c>
      <c r="K4763">
        <v>394</v>
      </c>
      <c r="L4763">
        <v>281</v>
      </c>
      <c r="M4763" t="s">
        <v>16</v>
      </c>
    </row>
    <row r="4764" spans="1:13" x14ac:dyDescent="0.35">
      <c r="A4764">
        <v>430783</v>
      </c>
      <c r="B4764">
        <v>46183</v>
      </c>
      <c r="C4764" t="s">
        <v>4899</v>
      </c>
      <c r="D4764" t="s">
        <v>4719</v>
      </c>
      <c r="E4764" t="s">
        <v>4798</v>
      </c>
      <c r="F4764">
        <v>3057</v>
      </c>
      <c r="G4764">
        <v>1</v>
      </c>
      <c r="H4764" t="s">
        <v>16</v>
      </c>
      <c r="I4764" s="1">
        <v>-2852500</v>
      </c>
      <c r="J4764" s="1">
        <v>-5414900</v>
      </c>
      <c r="K4764">
        <v>315</v>
      </c>
      <c r="L4764">
        <v>419</v>
      </c>
      <c r="M4764" t="s">
        <v>16</v>
      </c>
    </row>
    <row r="4765" spans="1:13" x14ac:dyDescent="0.35">
      <c r="A4765">
        <v>430786</v>
      </c>
      <c r="B4765">
        <v>46191</v>
      </c>
      <c r="C4765" t="s">
        <v>4900</v>
      </c>
      <c r="D4765" t="s">
        <v>4719</v>
      </c>
      <c r="E4765" t="s">
        <v>4748</v>
      </c>
      <c r="F4765">
        <v>2508</v>
      </c>
      <c r="G4765">
        <v>1</v>
      </c>
      <c r="H4765" t="s">
        <v>16</v>
      </c>
      <c r="I4765" s="1">
        <v>-2888100</v>
      </c>
      <c r="J4765" s="1">
        <v>-5169800</v>
      </c>
      <c r="K4765">
        <v>610</v>
      </c>
      <c r="L4765">
        <v>134</v>
      </c>
      <c r="M4765" t="s">
        <v>16</v>
      </c>
    </row>
    <row r="4766" spans="1:13" x14ac:dyDescent="0.35">
      <c r="A4766">
        <v>430790</v>
      </c>
      <c r="B4766">
        <v>39985</v>
      </c>
      <c r="C4766" t="s">
        <v>4901</v>
      </c>
      <c r="D4766" t="s">
        <v>4719</v>
      </c>
      <c r="E4766" t="s">
        <v>4748</v>
      </c>
      <c r="F4766">
        <v>59871</v>
      </c>
      <c r="G4766">
        <v>4</v>
      </c>
      <c r="H4766" t="s">
        <v>4786</v>
      </c>
      <c r="I4766" s="1">
        <v>-2922500</v>
      </c>
      <c r="J4766" s="1">
        <v>-5134800</v>
      </c>
      <c r="K4766">
        <v>783</v>
      </c>
      <c r="L4766">
        <v>361</v>
      </c>
      <c r="M4766" t="s">
        <v>16</v>
      </c>
    </row>
    <row r="4767" spans="1:13" x14ac:dyDescent="0.35">
      <c r="A4767">
        <v>430800</v>
      </c>
      <c r="B4767">
        <v>39993</v>
      </c>
      <c r="C4767" t="s">
        <v>4902</v>
      </c>
      <c r="D4767" t="s">
        <v>4719</v>
      </c>
      <c r="E4767" t="s">
        <v>4724</v>
      </c>
      <c r="F4767">
        <v>6343</v>
      </c>
      <c r="G4767">
        <v>1</v>
      </c>
      <c r="H4767" t="s">
        <v>16</v>
      </c>
      <c r="I4767" s="1">
        <v>-2957500</v>
      </c>
      <c r="J4767" s="1">
        <v>-5344500</v>
      </c>
      <c r="K4767">
        <v>53</v>
      </c>
      <c r="L4767">
        <v>169</v>
      </c>
      <c r="M4767" t="s">
        <v>16</v>
      </c>
    </row>
    <row r="4768" spans="1:13" x14ac:dyDescent="0.35">
      <c r="A4768">
        <v>430805</v>
      </c>
      <c r="B4768">
        <v>46205</v>
      </c>
      <c r="C4768" t="s">
        <v>4903</v>
      </c>
      <c r="D4768" t="s">
        <v>4719</v>
      </c>
      <c r="E4768" t="s">
        <v>4753</v>
      </c>
      <c r="F4768">
        <v>2613</v>
      </c>
      <c r="G4768">
        <v>1</v>
      </c>
      <c r="H4768" t="s">
        <v>16</v>
      </c>
      <c r="I4768" s="1">
        <v>-2742400</v>
      </c>
      <c r="J4768" s="1">
        <v>-5267300</v>
      </c>
      <c r="K4768">
        <v>742</v>
      </c>
      <c r="L4768">
        <v>143</v>
      </c>
      <c r="M4768" t="s">
        <v>16</v>
      </c>
    </row>
    <row r="4769" spans="1:13" x14ac:dyDescent="0.35">
      <c r="A4769">
        <v>430807</v>
      </c>
      <c r="B4769">
        <v>56863</v>
      </c>
      <c r="C4769" t="s">
        <v>4904</v>
      </c>
      <c r="D4769" t="s">
        <v>4719</v>
      </c>
      <c r="E4769" t="s">
        <v>4755</v>
      </c>
      <c r="F4769">
        <v>3068</v>
      </c>
      <c r="G4769">
        <v>1</v>
      </c>
      <c r="H4769" t="s">
        <v>16</v>
      </c>
      <c r="I4769" s="1">
        <v>-2958900</v>
      </c>
      <c r="J4769" s="1">
        <v>-5182500</v>
      </c>
      <c r="K4769">
        <v>145</v>
      </c>
      <c r="L4769">
        <v>84</v>
      </c>
      <c r="M4769" t="s">
        <v>16</v>
      </c>
    </row>
    <row r="4770" spans="1:13" x14ac:dyDescent="0.35">
      <c r="A4770">
        <v>430810</v>
      </c>
      <c r="B4770">
        <v>40002</v>
      </c>
      <c r="C4770" t="s">
        <v>4905</v>
      </c>
      <c r="D4770" t="s">
        <v>4719</v>
      </c>
      <c r="E4770" t="s">
        <v>4738</v>
      </c>
      <c r="F4770">
        <v>11679</v>
      </c>
      <c r="G4770">
        <v>1</v>
      </c>
      <c r="H4770" t="s">
        <v>16</v>
      </c>
      <c r="I4770" s="1">
        <v>-2945100</v>
      </c>
      <c r="J4770" s="1">
        <v>-5130600</v>
      </c>
      <c r="K4770">
        <v>68</v>
      </c>
      <c r="L4770">
        <v>96</v>
      </c>
      <c r="M4770" t="s">
        <v>16</v>
      </c>
    </row>
    <row r="4771" spans="1:13" x14ac:dyDescent="0.35">
      <c r="A4771">
        <v>430820</v>
      </c>
      <c r="B4771">
        <v>40010</v>
      </c>
      <c r="C4771" t="s">
        <v>4906</v>
      </c>
      <c r="D4771" t="s">
        <v>4719</v>
      </c>
      <c r="E4771" t="s">
        <v>4748</v>
      </c>
      <c r="F4771">
        <v>25307</v>
      </c>
      <c r="G4771">
        <v>4</v>
      </c>
      <c r="H4771" t="s">
        <v>4786</v>
      </c>
      <c r="I4771" s="1">
        <v>-2902900</v>
      </c>
      <c r="J4771" s="1">
        <v>-5118200</v>
      </c>
      <c r="K4771">
        <v>756</v>
      </c>
      <c r="L4771">
        <v>272</v>
      </c>
      <c r="M4771" t="s">
        <v>16</v>
      </c>
    </row>
    <row r="4772" spans="1:13" x14ac:dyDescent="0.35">
      <c r="A4772">
        <v>430825</v>
      </c>
      <c r="B4772">
        <v>58823</v>
      </c>
      <c r="C4772" t="s">
        <v>4907</v>
      </c>
      <c r="D4772" t="s">
        <v>4719</v>
      </c>
      <c r="E4772" t="s">
        <v>4753</v>
      </c>
      <c r="F4772">
        <v>2148</v>
      </c>
      <c r="G4772">
        <v>1</v>
      </c>
      <c r="H4772" t="s">
        <v>16</v>
      </c>
      <c r="I4772" s="1">
        <v>-2786100</v>
      </c>
      <c r="J4772" s="1">
        <v>-5208400</v>
      </c>
      <c r="K4772">
        <v>662</v>
      </c>
      <c r="L4772">
        <v>168</v>
      </c>
      <c r="M4772" t="s">
        <v>16</v>
      </c>
    </row>
    <row r="4773" spans="1:13" x14ac:dyDescent="0.35">
      <c r="A4773">
        <v>430830</v>
      </c>
      <c r="B4773">
        <v>40029</v>
      </c>
      <c r="C4773" t="s">
        <v>4908</v>
      </c>
      <c r="D4773" t="s">
        <v>4719</v>
      </c>
      <c r="E4773" t="s">
        <v>1596</v>
      </c>
      <c r="F4773">
        <v>11074</v>
      </c>
      <c r="G4773">
        <v>1</v>
      </c>
      <c r="H4773" t="s">
        <v>16</v>
      </c>
      <c r="I4773" s="1">
        <v>-2898300</v>
      </c>
      <c r="J4773" s="1">
        <v>-5234600</v>
      </c>
      <c r="K4773">
        <v>773</v>
      </c>
      <c r="L4773">
        <v>583</v>
      </c>
      <c r="M4773" t="s">
        <v>16</v>
      </c>
    </row>
    <row r="4774" spans="1:13" x14ac:dyDescent="0.35">
      <c r="A4774">
        <v>430840</v>
      </c>
      <c r="B4774">
        <v>40037</v>
      </c>
      <c r="C4774" t="s">
        <v>4909</v>
      </c>
      <c r="D4774" t="s">
        <v>4719</v>
      </c>
      <c r="E4774" t="s">
        <v>4724</v>
      </c>
      <c r="F4774">
        <v>7116</v>
      </c>
      <c r="G4774">
        <v>1</v>
      </c>
      <c r="H4774" t="s">
        <v>16</v>
      </c>
      <c r="I4774" s="1">
        <v>-3000000</v>
      </c>
      <c r="J4774" s="1">
        <v>-5349900</v>
      </c>
      <c r="K4774">
        <v>129</v>
      </c>
      <c r="L4774">
        <v>581</v>
      </c>
      <c r="M4774" t="s">
        <v>16</v>
      </c>
    </row>
    <row r="4775" spans="1:13" x14ac:dyDescent="0.35">
      <c r="A4775">
        <v>430843</v>
      </c>
      <c r="B4775">
        <v>59714</v>
      </c>
      <c r="C4775" t="s">
        <v>4910</v>
      </c>
      <c r="D4775" t="s">
        <v>4719</v>
      </c>
      <c r="E4775" t="s">
        <v>4755</v>
      </c>
      <c r="F4775">
        <v>2548</v>
      </c>
      <c r="G4775">
        <v>1</v>
      </c>
      <c r="H4775" t="s">
        <v>16</v>
      </c>
      <c r="I4775" s="1">
        <v>-2938200</v>
      </c>
      <c r="J4775" s="1">
        <v>-5209100</v>
      </c>
      <c r="K4775">
        <v>0</v>
      </c>
      <c r="L4775">
        <v>93</v>
      </c>
      <c r="M4775" t="s">
        <v>16</v>
      </c>
    </row>
    <row r="4776" spans="1:13" x14ac:dyDescent="0.35">
      <c r="A4776">
        <v>430845</v>
      </c>
      <c r="B4776">
        <v>41580</v>
      </c>
      <c r="C4776" t="s">
        <v>4911</v>
      </c>
      <c r="D4776" t="s">
        <v>4719</v>
      </c>
      <c r="E4776" t="s">
        <v>4736</v>
      </c>
      <c r="F4776">
        <v>4597</v>
      </c>
      <c r="G4776">
        <v>1</v>
      </c>
      <c r="H4776" t="s">
        <v>16</v>
      </c>
      <c r="I4776" s="1">
        <v>-2879700</v>
      </c>
      <c r="J4776" s="1">
        <v>-5322300</v>
      </c>
      <c r="K4776">
        <v>406</v>
      </c>
      <c r="L4776">
        <v>650</v>
      </c>
      <c r="M4776" t="s">
        <v>16</v>
      </c>
    </row>
    <row r="4777" spans="1:13" x14ac:dyDescent="0.35">
      <c r="A4777">
        <v>430850</v>
      </c>
      <c r="B4777">
        <v>40045</v>
      </c>
      <c r="C4777" t="s">
        <v>4735</v>
      </c>
      <c r="D4777" t="s">
        <v>4719</v>
      </c>
      <c r="E4777" t="s">
        <v>4735</v>
      </c>
      <c r="F4777">
        <v>27308</v>
      </c>
      <c r="G4777">
        <v>1</v>
      </c>
      <c r="H4777" t="s">
        <v>16</v>
      </c>
      <c r="I4777" s="1">
        <v>-2735900</v>
      </c>
      <c r="J4777" s="1">
        <v>-5339400</v>
      </c>
      <c r="K4777">
        <v>522</v>
      </c>
      <c r="L4777">
        <v>264</v>
      </c>
      <c r="M4777" t="s">
        <v>16</v>
      </c>
    </row>
    <row r="4778" spans="1:13" x14ac:dyDescent="0.35">
      <c r="A4778">
        <v>430860</v>
      </c>
      <c r="B4778">
        <v>40053</v>
      </c>
      <c r="C4778" t="s">
        <v>4912</v>
      </c>
      <c r="D4778" t="s">
        <v>4719</v>
      </c>
      <c r="E4778" t="s">
        <v>4748</v>
      </c>
      <c r="F4778">
        <v>28791</v>
      </c>
      <c r="G4778">
        <v>4</v>
      </c>
      <c r="H4778" t="s">
        <v>4786</v>
      </c>
      <c r="I4778" s="1">
        <v>-2925600</v>
      </c>
      <c r="J4778" s="1">
        <v>-5153400</v>
      </c>
      <c r="K4778">
        <v>617</v>
      </c>
      <c r="L4778">
        <v>167</v>
      </c>
      <c r="M4778" t="s">
        <v>16</v>
      </c>
    </row>
    <row r="4779" spans="1:13" x14ac:dyDescent="0.35">
      <c r="A4779">
        <v>430865</v>
      </c>
      <c r="B4779">
        <v>52256</v>
      </c>
      <c r="C4779" t="s">
        <v>4913</v>
      </c>
      <c r="D4779" t="s">
        <v>4719</v>
      </c>
      <c r="E4779" t="s">
        <v>4730</v>
      </c>
      <c r="F4779">
        <v>3457</v>
      </c>
      <c r="G4779">
        <v>1</v>
      </c>
      <c r="H4779" t="s">
        <v>16</v>
      </c>
      <c r="I4779" s="1">
        <v>-2818400</v>
      </c>
      <c r="J4779" s="1">
        <v>-5563900</v>
      </c>
      <c r="K4779">
        <v>69</v>
      </c>
      <c r="L4779">
        <v>799</v>
      </c>
      <c r="M4779" t="s">
        <v>16</v>
      </c>
    </row>
    <row r="4780" spans="1:13" x14ac:dyDescent="0.35">
      <c r="A4780">
        <v>430870</v>
      </c>
      <c r="B4780">
        <v>40061</v>
      </c>
      <c r="C4780" t="s">
        <v>4914</v>
      </c>
      <c r="D4780" t="s">
        <v>4719</v>
      </c>
      <c r="E4780" t="s">
        <v>4753</v>
      </c>
      <c r="F4780">
        <v>6108</v>
      </c>
      <c r="G4780">
        <v>1</v>
      </c>
      <c r="H4780" t="s">
        <v>16</v>
      </c>
      <c r="I4780" s="1">
        <v>-2758400</v>
      </c>
      <c r="J4780" s="1">
        <v>-5209400</v>
      </c>
      <c r="K4780">
        <v>787</v>
      </c>
      <c r="L4780">
        <v>204</v>
      </c>
      <c r="M4780" t="s">
        <v>16</v>
      </c>
    </row>
    <row r="4781" spans="1:13" x14ac:dyDescent="0.35">
      <c r="A4781">
        <v>430880</v>
      </c>
      <c r="B4781">
        <v>40070</v>
      </c>
      <c r="C4781" t="s">
        <v>4915</v>
      </c>
      <c r="D4781" t="s">
        <v>4719</v>
      </c>
      <c r="E4781" t="s">
        <v>4763</v>
      </c>
      <c r="F4781">
        <v>8782</v>
      </c>
      <c r="G4781">
        <v>1</v>
      </c>
      <c r="H4781" t="s">
        <v>16</v>
      </c>
      <c r="I4781" s="1">
        <v>-2990500</v>
      </c>
      <c r="J4781" s="1">
        <v>-5176000</v>
      </c>
      <c r="K4781">
        <v>35</v>
      </c>
      <c r="L4781">
        <v>494</v>
      </c>
      <c r="M4781" t="s">
        <v>16</v>
      </c>
    </row>
    <row r="4782" spans="1:13" x14ac:dyDescent="0.35">
      <c r="A4782">
        <v>430885</v>
      </c>
      <c r="B4782">
        <v>52264</v>
      </c>
      <c r="C4782" t="s">
        <v>4916</v>
      </c>
      <c r="D4782" t="s">
        <v>4719</v>
      </c>
      <c r="E4782" t="s">
        <v>4722</v>
      </c>
      <c r="F4782">
        <v>1579</v>
      </c>
      <c r="G4782">
        <v>1</v>
      </c>
      <c r="H4782" t="s">
        <v>16</v>
      </c>
      <c r="I4782" s="1">
        <v>-2843000</v>
      </c>
      <c r="J4782" s="1">
        <v>-5203600</v>
      </c>
      <c r="K4782">
        <v>774</v>
      </c>
      <c r="L4782">
        <v>184</v>
      </c>
      <c r="M4782" t="s">
        <v>16</v>
      </c>
    </row>
    <row r="4783" spans="1:13" x14ac:dyDescent="0.35">
      <c r="A4783">
        <v>430890</v>
      </c>
      <c r="B4783">
        <v>40096</v>
      </c>
      <c r="C4783" t="s">
        <v>4917</v>
      </c>
      <c r="D4783" t="s">
        <v>4719</v>
      </c>
      <c r="E4783" t="s">
        <v>4753</v>
      </c>
      <c r="F4783">
        <v>15961</v>
      </c>
      <c r="G4783">
        <v>1</v>
      </c>
      <c r="H4783" t="s">
        <v>16</v>
      </c>
      <c r="I4783" s="1">
        <v>-2789000</v>
      </c>
      <c r="J4783" s="1">
        <v>-5222800</v>
      </c>
      <c r="K4783">
        <v>637</v>
      </c>
      <c r="L4783">
        <v>286</v>
      </c>
      <c r="M4783" t="s">
        <v>16</v>
      </c>
    </row>
    <row r="4784" spans="1:13" x14ac:dyDescent="0.35">
      <c r="A4784">
        <v>430900</v>
      </c>
      <c r="B4784">
        <v>40100</v>
      </c>
      <c r="C4784" t="s">
        <v>4918</v>
      </c>
      <c r="D4784" t="s">
        <v>4719</v>
      </c>
      <c r="E4784" t="s">
        <v>4798</v>
      </c>
      <c r="F4784">
        <v>17070</v>
      </c>
      <c r="G4784">
        <v>1</v>
      </c>
      <c r="H4784" t="s">
        <v>16</v>
      </c>
      <c r="I4784" s="1">
        <v>-2802800</v>
      </c>
      <c r="J4784" s="1">
        <v>-5435000</v>
      </c>
      <c r="K4784">
        <v>429</v>
      </c>
      <c r="L4784">
        <v>855</v>
      </c>
      <c r="M4784" t="s">
        <v>16</v>
      </c>
    </row>
    <row r="4785" spans="1:13" x14ac:dyDescent="0.35">
      <c r="A4785">
        <v>430905</v>
      </c>
      <c r="B4785">
        <v>46213</v>
      </c>
      <c r="C4785" t="s">
        <v>4919</v>
      </c>
      <c r="D4785" t="s">
        <v>4719</v>
      </c>
      <c r="E4785" t="s">
        <v>4739</v>
      </c>
      <c r="F4785">
        <v>6908</v>
      </c>
      <c r="G4785">
        <v>4</v>
      </c>
      <c r="H4785" t="s">
        <v>4740</v>
      </c>
      <c r="I4785" s="1">
        <v>-2988100</v>
      </c>
      <c r="J4785" s="1">
        <v>-5076700</v>
      </c>
      <c r="K4785">
        <v>58</v>
      </c>
      <c r="L4785">
        <v>323</v>
      </c>
      <c r="M4785" t="s">
        <v>16</v>
      </c>
    </row>
    <row r="4786" spans="1:13" x14ac:dyDescent="0.35">
      <c r="A4786">
        <v>430910</v>
      </c>
      <c r="B4786">
        <v>40118</v>
      </c>
      <c r="C4786" t="s">
        <v>4920</v>
      </c>
      <c r="D4786" t="s">
        <v>4719</v>
      </c>
      <c r="E4786" t="s">
        <v>4822</v>
      </c>
      <c r="F4786">
        <v>31652</v>
      </c>
      <c r="G4786">
        <v>1</v>
      </c>
      <c r="H4786" t="s">
        <v>16</v>
      </c>
      <c r="I4786" s="1">
        <v>-2937900</v>
      </c>
      <c r="J4786" s="1">
        <v>-5087400</v>
      </c>
      <c r="K4786">
        <v>825</v>
      </c>
      <c r="L4786">
        <v>237</v>
      </c>
      <c r="M4786" t="s">
        <v>16</v>
      </c>
    </row>
    <row r="4787" spans="1:13" x14ac:dyDescent="0.35">
      <c r="A4787">
        <v>430912</v>
      </c>
      <c r="B4787">
        <v>52272</v>
      </c>
      <c r="C4787" t="s">
        <v>4921</v>
      </c>
      <c r="D4787" t="s">
        <v>4719</v>
      </c>
      <c r="E4787" t="s">
        <v>4735</v>
      </c>
      <c r="F4787">
        <v>2370</v>
      </c>
      <c r="G4787">
        <v>1</v>
      </c>
      <c r="H4787" t="s">
        <v>16</v>
      </c>
      <c r="I4787" s="1">
        <v>-2744400</v>
      </c>
      <c r="J4787" s="1">
        <v>-5291800</v>
      </c>
      <c r="K4787">
        <v>520</v>
      </c>
      <c r="L4787">
        <v>131</v>
      </c>
      <c r="M4787" t="s">
        <v>16</v>
      </c>
    </row>
    <row r="4788" spans="1:13" x14ac:dyDescent="0.35">
      <c r="A4788">
        <v>430915</v>
      </c>
      <c r="B4788">
        <v>53686</v>
      </c>
      <c r="C4788" t="s">
        <v>4922</v>
      </c>
      <c r="D4788" t="s">
        <v>4719</v>
      </c>
      <c r="E4788" t="s">
        <v>4765</v>
      </c>
      <c r="F4788">
        <v>3911</v>
      </c>
      <c r="G4788">
        <v>1</v>
      </c>
      <c r="H4788" t="s">
        <v>16</v>
      </c>
      <c r="I4788" s="1">
        <v>-2926800</v>
      </c>
      <c r="J4788" s="1">
        <v>-5257900</v>
      </c>
      <c r="K4788">
        <v>463</v>
      </c>
      <c r="L4788">
        <v>217</v>
      </c>
      <c r="M4788" t="s">
        <v>16</v>
      </c>
    </row>
    <row r="4789" spans="1:13" x14ac:dyDescent="0.35">
      <c r="A4789">
        <v>430920</v>
      </c>
      <c r="B4789">
        <v>40126</v>
      </c>
      <c r="C4789" t="s">
        <v>4923</v>
      </c>
      <c r="D4789" t="s">
        <v>4719</v>
      </c>
      <c r="E4789" t="s">
        <v>4739</v>
      </c>
      <c r="F4789">
        <v>261150</v>
      </c>
      <c r="G4789">
        <v>4</v>
      </c>
      <c r="H4789" t="s">
        <v>4740</v>
      </c>
      <c r="I4789" s="1">
        <v>-2994400</v>
      </c>
      <c r="J4789" s="1">
        <v>-5099200</v>
      </c>
      <c r="K4789">
        <v>26</v>
      </c>
      <c r="L4789">
        <v>463</v>
      </c>
      <c r="M4789" t="s">
        <v>16</v>
      </c>
    </row>
    <row r="4790" spans="1:13" x14ac:dyDescent="0.35">
      <c r="A4790">
        <v>430925</v>
      </c>
      <c r="B4790">
        <v>46221</v>
      </c>
      <c r="C4790" t="s">
        <v>4924</v>
      </c>
      <c r="D4790" t="s">
        <v>4719</v>
      </c>
      <c r="E4790" t="s">
        <v>4745</v>
      </c>
      <c r="F4790">
        <v>1669</v>
      </c>
      <c r="G4790">
        <v>1</v>
      </c>
      <c r="H4790" t="s">
        <v>16</v>
      </c>
      <c r="I4790" s="1">
        <v>-2854100</v>
      </c>
      <c r="J4790" s="1">
        <v>-5169000</v>
      </c>
      <c r="K4790">
        <v>720</v>
      </c>
      <c r="L4790">
        <v>148</v>
      </c>
      <c r="M4790" t="s">
        <v>16</v>
      </c>
    </row>
    <row r="4791" spans="1:13" x14ac:dyDescent="0.35">
      <c r="A4791">
        <v>430930</v>
      </c>
      <c r="B4791">
        <v>40134</v>
      </c>
      <c r="C4791" t="s">
        <v>4925</v>
      </c>
      <c r="D4791" t="s">
        <v>4719</v>
      </c>
      <c r="E4791" t="s">
        <v>4739</v>
      </c>
      <c r="F4791">
        <v>93578</v>
      </c>
      <c r="G4791">
        <v>4</v>
      </c>
      <c r="H4791" t="s">
        <v>4740</v>
      </c>
      <c r="I4791" s="1">
        <v>-3011400</v>
      </c>
      <c r="J4791" s="1">
        <v>-5132500</v>
      </c>
      <c r="K4791">
        <v>23</v>
      </c>
      <c r="L4791">
        <v>376</v>
      </c>
      <c r="M4791" t="s">
        <v>16</v>
      </c>
    </row>
    <row r="4792" spans="1:13" x14ac:dyDescent="0.35">
      <c r="A4792">
        <v>430940</v>
      </c>
      <c r="B4792">
        <v>40142</v>
      </c>
      <c r="C4792" t="s">
        <v>4926</v>
      </c>
      <c r="D4792" t="s">
        <v>4719</v>
      </c>
      <c r="E4792" t="s">
        <v>4745</v>
      </c>
      <c r="F4792">
        <v>21421</v>
      </c>
      <c r="G4792">
        <v>1</v>
      </c>
      <c r="H4792" t="s">
        <v>16</v>
      </c>
      <c r="I4792" s="1">
        <v>-2884600</v>
      </c>
      <c r="J4792" s="1">
        <v>-5189000</v>
      </c>
      <c r="K4792">
        <v>478</v>
      </c>
      <c r="L4792">
        <v>297</v>
      </c>
      <c r="M4792" t="s">
        <v>16</v>
      </c>
    </row>
    <row r="4793" spans="1:13" x14ac:dyDescent="0.35">
      <c r="A4793">
        <v>430950</v>
      </c>
      <c r="B4793">
        <v>40150</v>
      </c>
      <c r="C4793" t="s">
        <v>4927</v>
      </c>
      <c r="D4793" t="s">
        <v>4719</v>
      </c>
      <c r="E4793" t="s">
        <v>4808</v>
      </c>
      <c r="F4793">
        <v>8331</v>
      </c>
      <c r="G4793">
        <v>1</v>
      </c>
      <c r="H4793" t="s">
        <v>16</v>
      </c>
      <c r="I4793" s="1">
        <v>-2814100</v>
      </c>
      <c r="J4793" s="1">
        <v>-5455800</v>
      </c>
      <c r="K4793">
        <v>267</v>
      </c>
      <c r="L4793">
        <v>290</v>
      </c>
      <c r="M4793" t="s">
        <v>16</v>
      </c>
    </row>
    <row r="4794" spans="1:13" x14ac:dyDescent="0.35">
      <c r="A4794">
        <v>430955</v>
      </c>
      <c r="B4794">
        <v>46230</v>
      </c>
      <c r="C4794" t="s">
        <v>4928</v>
      </c>
      <c r="D4794" t="s">
        <v>4719</v>
      </c>
      <c r="E4794" t="s">
        <v>4738</v>
      </c>
      <c r="F4794">
        <v>3658</v>
      </c>
      <c r="G4794">
        <v>1</v>
      </c>
      <c r="H4794" t="s">
        <v>16</v>
      </c>
      <c r="I4794" s="1">
        <v>-2954800</v>
      </c>
      <c r="J4794" s="1">
        <v>-5142600</v>
      </c>
      <c r="K4794">
        <v>126</v>
      </c>
      <c r="L4794">
        <v>44</v>
      </c>
      <c r="M4794" t="s">
        <v>16</v>
      </c>
    </row>
    <row r="4795" spans="1:13" x14ac:dyDescent="0.35">
      <c r="A4795">
        <v>430957</v>
      </c>
      <c r="B4795">
        <v>58831</v>
      </c>
      <c r="C4795" t="s">
        <v>4929</v>
      </c>
      <c r="D4795" t="s">
        <v>4719</v>
      </c>
      <c r="E4795" t="s">
        <v>4765</v>
      </c>
      <c r="F4795">
        <v>2825</v>
      </c>
      <c r="G4795">
        <v>1</v>
      </c>
      <c r="H4795" t="s">
        <v>16</v>
      </c>
      <c r="I4795" s="1">
        <v>-2940700</v>
      </c>
      <c r="J4795" s="1">
        <v>-5265300</v>
      </c>
      <c r="K4795">
        <v>530</v>
      </c>
      <c r="L4795">
        <v>118</v>
      </c>
      <c r="M4795" t="s">
        <v>16</v>
      </c>
    </row>
    <row r="4796" spans="1:13" x14ac:dyDescent="0.35">
      <c r="A4796">
        <v>430960</v>
      </c>
      <c r="B4796">
        <v>40169</v>
      </c>
      <c r="C4796" t="s">
        <v>4930</v>
      </c>
      <c r="D4796" t="s">
        <v>4719</v>
      </c>
      <c r="E4796" t="s">
        <v>4778</v>
      </c>
      <c r="F4796">
        <v>18305</v>
      </c>
      <c r="G4796">
        <v>1</v>
      </c>
      <c r="H4796" t="s">
        <v>16</v>
      </c>
      <c r="I4796" s="1">
        <v>-2762600</v>
      </c>
      <c r="J4796" s="1">
        <v>-5430800</v>
      </c>
      <c r="K4796">
        <v>343</v>
      </c>
      <c r="L4796">
        <v>228</v>
      </c>
      <c r="M4796" t="s">
        <v>16</v>
      </c>
    </row>
    <row r="4797" spans="1:13" x14ac:dyDescent="0.35">
      <c r="A4797">
        <v>430965</v>
      </c>
      <c r="B4797">
        <v>52299</v>
      </c>
      <c r="C4797" t="s">
        <v>4931</v>
      </c>
      <c r="D4797" t="s">
        <v>4719</v>
      </c>
      <c r="E4797" t="s">
        <v>4720</v>
      </c>
      <c r="F4797">
        <v>6030</v>
      </c>
      <c r="G4797">
        <v>1</v>
      </c>
      <c r="H4797" t="s">
        <v>16</v>
      </c>
      <c r="I4797" s="1">
        <v>-3140400</v>
      </c>
      <c r="J4797" s="1">
        <v>-5386900</v>
      </c>
      <c r="K4797">
        <v>196</v>
      </c>
      <c r="L4797">
        <v>822</v>
      </c>
      <c r="M4797" t="s">
        <v>16</v>
      </c>
    </row>
    <row r="4798" spans="1:13" x14ac:dyDescent="0.35">
      <c r="A4798">
        <v>430970</v>
      </c>
      <c r="B4798">
        <v>40177</v>
      </c>
      <c r="C4798" t="s">
        <v>130</v>
      </c>
      <c r="D4798" t="s">
        <v>4719</v>
      </c>
      <c r="E4798" t="s">
        <v>4778</v>
      </c>
      <c r="F4798">
        <v>4923</v>
      </c>
      <c r="G4798">
        <v>1</v>
      </c>
      <c r="H4798" t="s">
        <v>16</v>
      </c>
      <c r="I4798" s="1">
        <v>-2756300</v>
      </c>
      <c r="J4798" s="1">
        <v>-5397400</v>
      </c>
      <c r="K4798">
        <v>466</v>
      </c>
      <c r="L4798">
        <v>135</v>
      </c>
      <c r="M4798" t="s">
        <v>16</v>
      </c>
    </row>
    <row r="4799" spans="1:13" x14ac:dyDescent="0.35">
      <c r="A4799">
        <v>430975</v>
      </c>
      <c r="B4799">
        <v>46248</v>
      </c>
      <c r="C4799" t="s">
        <v>4932</v>
      </c>
      <c r="D4799" t="s">
        <v>4719</v>
      </c>
      <c r="E4799" t="s">
        <v>4765</v>
      </c>
      <c r="F4799">
        <v>4331</v>
      </c>
      <c r="G4799">
        <v>1</v>
      </c>
      <c r="H4799" t="s">
        <v>16</v>
      </c>
      <c r="I4799" s="1">
        <v>-2941900</v>
      </c>
      <c r="J4799" s="1">
        <v>-5313500</v>
      </c>
      <c r="K4799">
        <v>317</v>
      </c>
      <c r="L4799">
        <v>193</v>
      </c>
      <c r="M4799" t="s">
        <v>16</v>
      </c>
    </row>
    <row r="4800" spans="1:13" x14ac:dyDescent="0.35">
      <c r="A4800">
        <v>430980</v>
      </c>
      <c r="B4800">
        <v>40185</v>
      </c>
      <c r="C4800" t="s">
        <v>4933</v>
      </c>
      <c r="D4800" t="s">
        <v>4719</v>
      </c>
      <c r="E4800" t="s">
        <v>4776</v>
      </c>
      <c r="F4800">
        <v>4681</v>
      </c>
      <c r="G4800">
        <v>1</v>
      </c>
      <c r="H4800" t="s">
        <v>16</v>
      </c>
      <c r="I4800" s="1">
        <v>-2805700</v>
      </c>
      <c r="J4800" s="1">
        <v>-5185500</v>
      </c>
      <c r="K4800">
        <v>620</v>
      </c>
      <c r="L4800">
        <v>350</v>
      </c>
      <c r="M4800" t="s">
        <v>16</v>
      </c>
    </row>
    <row r="4801" spans="1:13" x14ac:dyDescent="0.35">
      <c r="A4801">
        <v>430990</v>
      </c>
      <c r="B4801">
        <v>40193</v>
      </c>
      <c r="C4801" t="s">
        <v>4934</v>
      </c>
      <c r="D4801" t="s">
        <v>4719</v>
      </c>
      <c r="E4801" t="s">
        <v>4722</v>
      </c>
      <c r="F4801">
        <v>7094</v>
      </c>
      <c r="G4801">
        <v>1</v>
      </c>
      <c r="H4801" t="s">
        <v>16</v>
      </c>
      <c r="I4801" s="1">
        <v>-2837000</v>
      </c>
      <c r="J4801" s="1">
        <v>-5163600</v>
      </c>
      <c r="K4801">
        <v>776</v>
      </c>
      <c r="L4801">
        <v>300</v>
      </c>
      <c r="M4801" t="s">
        <v>16</v>
      </c>
    </row>
    <row r="4802" spans="1:13" x14ac:dyDescent="0.35">
      <c r="A4802">
        <v>430995</v>
      </c>
      <c r="B4802">
        <v>46256</v>
      </c>
      <c r="C4802" t="s">
        <v>4935</v>
      </c>
      <c r="D4802" t="s">
        <v>4719</v>
      </c>
      <c r="E4802" t="s">
        <v>1596</v>
      </c>
      <c r="F4802">
        <v>4182</v>
      </c>
      <c r="G4802">
        <v>1</v>
      </c>
      <c r="H4802" t="s">
        <v>16</v>
      </c>
      <c r="I4802" s="1">
        <v>-2862400</v>
      </c>
      <c r="J4802" s="1">
        <v>-5251100</v>
      </c>
      <c r="K4802">
        <v>641</v>
      </c>
      <c r="L4802">
        <v>307</v>
      </c>
      <c r="M4802" t="s">
        <v>16</v>
      </c>
    </row>
    <row r="4803" spans="1:13" x14ac:dyDescent="0.35">
      <c r="A4803">
        <v>431000</v>
      </c>
      <c r="B4803">
        <v>40207</v>
      </c>
      <c r="C4803" t="s">
        <v>4936</v>
      </c>
      <c r="D4803" t="s">
        <v>4719</v>
      </c>
      <c r="E4803" t="s">
        <v>4736</v>
      </c>
      <c r="F4803">
        <v>18690</v>
      </c>
      <c r="G4803">
        <v>1</v>
      </c>
      <c r="H4803" t="s">
        <v>16</v>
      </c>
      <c r="I4803" s="1">
        <v>-2862800</v>
      </c>
      <c r="J4803" s="1">
        <v>-5309000</v>
      </c>
      <c r="K4803">
        <v>416</v>
      </c>
      <c r="L4803">
        <v>611</v>
      </c>
      <c r="M4803" t="s">
        <v>16</v>
      </c>
    </row>
    <row r="4804" spans="1:13" x14ac:dyDescent="0.35">
      <c r="A4804">
        <v>431010</v>
      </c>
      <c r="B4804">
        <v>40215</v>
      </c>
      <c r="C4804" t="s">
        <v>4937</v>
      </c>
      <c r="D4804" t="s">
        <v>4719</v>
      </c>
      <c r="E4804" t="s">
        <v>4822</v>
      </c>
      <c r="F4804">
        <v>31113</v>
      </c>
      <c r="G4804">
        <v>1</v>
      </c>
      <c r="H4804" t="s">
        <v>16</v>
      </c>
      <c r="I4804" s="1">
        <v>-2957400</v>
      </c>
      <c r="J4804" s="1">
        <v>-5079000</v>
      </c>
      <c r="K4804">
        <v>18</v>
      </c>
      <c r="L4804">
        <v>136</v>
      </c>
      <c r="M4804" t="s">
        <v>16</v>
      </c>
    </row>
    <row r="4805" spans="1:13" x14ac:dyDescent="0.35">
      <c r="A4805">
        <v>431020</v>
      </c>
      <c r="B4805">
        <v>40223</v>
      </c>
      <c r="C4805" t="s">
        <v>4938</v>
      </c>
      <c r="D4805" t="s">
        <v>4719</v>
      </c>
      <c r="E4805" t="s">
        <v>4726</v>
      </c>
      <c r="F4805">
        <v>76739</v>
      </c>
      <c r="G4805">
        <v>2</v>
      </c>
      <c r="H4805" t="s">
        <v>16</v>
      </c>
      <c r="I4805" s="1">
        <v>-2838800</v>
      </c>
      <c r="J4805" s="1">
        <v>-5391500</v>
      </c>
      <c r="K4805">
        <v>328</v>
      </c>
      <c r="L4805">
        <v>689</v>
      </c>
      <c r="M4805" t="s">
        <v>16</v>
      </c>
    </row>
    <row r="4806" spans="1:13" x14ac:dyDescent="0.35">
      <c r="A4806">
        <v>431030</v>
      </c>
      <c r="B4806">
        <v>40231</v>
      </c>
      <c r="C4806" t="s">
        <v>4939</v>
      </c>
      <c r="D4806" t="s">
        <v>4719</v>
      </c>
      <c r="E4806" t="s">
        <v>4745</v>
      </c>
      <c r="F4806">
        <v>4202</v>
      </c>
      <c r="G4806">
        <v>1</v>
      </c>
      <c r="H4806" t="s">
        <v>16</v>
      </c>
      <c r="I4806" s="1">
        <v>-2892700</v>
      </c>
      <c r="J4806" s="1">
        <v>-5212400</v>
      </c>
      <c r="K4806">
        <v>683</v>
      </c>
      <c r="L4806">
        <v>116</v>
      </c>
      <c r="M4806" t="s">
        <v>16</v>
      </c>
    </row>
    <row r="4807" spans="1:13" x14ac:dyDescent="0.35">
      <c r="A4807">
        <v>431033</v>
      </c>
      <c r="B4807">
        <v>46264</v>
      </c>
      <c r="C4807" t="s">
        <v>4940</v>
      </c>
      <c r="D4807" t="s">
        <v>4719</v>
      </c>
      <c r="E4807" t="s">
        <v>4757</v>
      </c>
      <c r="F4807">
        <v>14940</v>
      </c>
      <c r="G4807">
        <v>4</v>
      </c>
      <c r="H4807" t="s">
        <v>4758</v>
      </c>
      <c r="I4807" s="1">
        <v>-2997500</v>
      </c>
      <c r="J4807" s="1">
        <v>-5012800</v>
      </c>
      <c r="K4807">
        <v>500</v>
      </c>
      <c r="L4807">
        <v>39</v>
      </c>
      <c r="M4807" t="s">
        <v>16</v>
      </c>
    </row>
    <row r="4808" spans="1:13" x14ac:dyDescent="0.35">
      <c r="A4808">
        <v>431036</v>
      </c>
      <c r="B4808">
        <v>46272</v>
      </c>
      <c r="C4808" t="s">
        <v>4941</v>
      </c>
      <c r="D4808" t="s">
        <v>4719</v>
      </c>
      <c r="E4808" t="s">
        <v>4755</v>
      </c>
      <c r="F4808">
        <v>3013</v>
      </c>
      <c r="G4808">
        <v>1</v>
      </c>
      <c r="H4808" t="s">
        <v>16</v>
      </c>
      <c r="I4808" s="1">
        <v>-2935500</v>
      </c>
      <c r="J4808" s="1">
        <v>-5177700</v>
      </c>
      <c r="K4808">
        <v>100</v>
      </c>
      <c r="L4808">
        <v>73</v>
      </c>
      <c r="M4808" t="s">
        <v>16</v>
      </c>
    </row>
    <row r="4809" spans="1:13" x14ac:dyDescent="0.35">
      <c r="A4809">
        <v>431040</v>
      </c>
      <c r="B4809">
        <v>40240</v>
      </c>
      <c r="C4809" t="s">
        <v>1111</v>
      </c>
      <c r="D4809" t="s">
        <v>4719</v>
      </c>
      <c r="E4809" t="s">
        <v>4728</v>
      </c>
      <c r="F4809">
        <v>6679</v>
      </c>
      <c r="G4809">
        <v>1</v>
      </c>
      <c r="H4809" t="s">
        <v>16</v>
      </c>
      <c r="I4809" s="1">
        <v>-2783300</v>
      </c>
      <c r="J4809" s="1">
        <v>-5418800</v>
      </c>
      <c r="K4809">
        <v>372</v>
      </c>
      <c r="L4809">
        <v>357</v>
      </c>
      <c r="M4809" t="s">
        <v>16</v>
      </c>
    </row>
    <row r="4810" spans="1:13" x14ac:dyDescent="0.35">
      <c r="A4810">
        <v>431041</v>
      </c>
      <c r="B4810">
        <v>52302</v>
      </c>
      <c r="C4810" t="s">
        <v>4942</v>
      </c>
      <c r="D4810" t="s">
        <v>4719</v>
      </c>
      <c r="E4810" t="s">
        <v>4726</v>
      </c>
      <c r="F4810">
        <v>2290</v>
      </c>
      <c r="G4810">
        <v>1</v>
      </c>
      <c r="H4810" t="s">
        <v>16</v>
      </c>
      <c r="I4810" s="1">
        <v>-2788300</v>
      </c>
      <c r="J4810" s="1">
        <v>-5401700</v>
      </c>
      <c r="K4810">
        <v>358</v>
      </c>
      <c r="L4810">
        <v>114</v>
      </c>
      <c r="M4810" t="s">
        <v>16</v>
      </c>
    </row>
    <row r="4811" spans="1:13" x14ac:dyDescent="0.35">
      <c r="A4811">
        <v>431043</v>
      </c>
      <c r="B4811">
        <v>46280</v>
      </c>
      <c r="C4811" t="s">
        <v>4943</v>
      </c>
      <c r="D4811" t="s">
        <v>4719</v>
      </c>
      <c r="E4811" t="s">
        <v>4792</v>
      </c>
      <c r="F4811">
        <v>5875</v>
      </c>
      <c r="G4811">
        <v>1</v>
      </c>
      <c r="H4811" t="s">
        <v>16</v>
      </c>
      <c r="I4811" s="1">
        <v>-2882000</v>
      </c>
      <c r="J4811" s="1">
        <v>-5127900</v>
      </c>
      <c r="K4811">
        <v>750</v>
      </c>
      <c r="L4811">
        <v>599</v>
      </c>
      <c r="M4811" t="s">
        <v>16</v>
      </c>
    </row>
    <row r="4812" spans="1:13" x14ac:dyDescent="0.35">
      <c r="A4812">
        <v>431046</v>
      </c>
      <c r="B4812">
        <v>46299</v>
      </c>
      <c r="C4812" t="s">
        <v>4944</v>
      </c>
      <c r="D4812" t="s">
        <v>4719</v>
      </c>
      <c r="E4812" t="s">
        <v>4753</v>
      </c>
      <c r="F4812">
        <v>1983</v>
      </c>
      <c r="G4812">
        <v>1</v>
      </c>
      <c r="H4812" t="s">
        <v>16</v>
      </c>
      <c r="I4812" s="1">
        <v>-2793700</v>
      </c>
      <c r="J4812" s="1">
        <v>-5242600</v>
      </c>
      <c r="K4812">
        <v>650</v>
      </c>
      <c r="L4812">
        <v>159</v>
      </c>
      <c r="M4812" t="s">
        <v>16</v>
      </c>
    </row>
    <row r="4813" spans="1:13" x14ac:dyDescent="0.35">
      <c r="A4813">
        <v>431050</v>
      </c>
      <c r="B4813">
        <v>40258</v>
      </c>
      <c r="C4813" t="s">
        <v>4945</v>
      </c>
      <c r="D4813" t="s">
        <v>4719</v>
      </c>
      <c r="E4813" t="s">
        <v>4735</v>
      </c>
      <c r="F4813">
        <v>8468</v>
      </c>
      <c r="G4813">
        <v>1</v>
      </c>
      <c r="H4813" t="s">
        <v>16</v>
      </c>
      <c r="I4813" s="1">
        <v>-2719400</v>
      </c>
      <c r="J4813" s="1">
        <v>-5325100</v>
      </c>
      <c r="K4813">
        <v>235</v>
      </c>
      <c r="L4813">
        <v>182</v>
      </c>
      <c r="M4813" t="s">
        <v>16</v>
      </c>
    </row>
    <row r="4814" spans="1:13" x14ac:dyDescent="0.35">
      <c r="A4814">
        <v>431053</v>
      </c>
      <c r="B4814">
        <v>58840</v>
      </c>
      <c r="C4814" t="s">
        <v>4946</v>
      </c>
      <c r="D4814" t="s">
        <v>4719</v>
      </c>
      <c r="E4814" t="s">
        <v>1329</v>
      </c>
      <c r="F4814">
        <v>4633</v>
      </c>
      <c r="G4814">
        <v>1</v>
      </c>
      <c r="H4814" t="s">
        <v>16</v>
      </c>
      <c r="I4814" s="1">
        <v>-2961000</v>
      </c>
      <c r="J4814" s="1">
        <v>-5376500</v>
      </c>
      <c r="K4814">
        <v>425</v>
      </c>
      <c r="L4814">
        <v>171</v>
      </c>
      <c r="M4814" t="s">
        <v>16</v>
      </c>
    </row>
    <row r="4815" spans="1:13" x14ac:dyDescent="0.35">
      <c r="A4815">
        <v>431055</v>
      </c>
      <c r="B4815">
        <v>46302</v>
      </c>
      <c r="C4815" t="s">
        <v>4947</v>
      </c>
      <c r="D4815" t="s">
        <v>4719</v>
      </c>
      <c r="E4815" t="s">
        <v>4829</v>
      </c>
      <c r="F4815">
        <v>3568</v>
      </c>
      <c r="G4815">
        <v>1</v>
      </c>
      <c r="H4815" t="s">
        <v>16</v>
      </c>
      <c r="I4815" s="1">
        <v>-2878700</v>
      </c>
      <c r="J4815" s="1">
        <v>-5525100</v>
      </c>
      <c r="K4815">
        <v>160</v>
      </c>
      <c r="L4815">
        <v>1118</v>
      </c>
      <c r="M4815" t="s">
        <v>16</v>
      </c>
    </row>
    <row r="4816" spans="1:13" x14ac:dyDescent="0.35">
      <c r="A4816">
        <v>431057</v>
      </c>
      <c r="B4816">
        <v>52310</v>
      </c>
      <c r="C4816" t="s">
        <v>4948</v>
      </c>
      <c r="D4816" t="s">
        <v>4719</v>
      </c>
      <c r="E4816" t="s">
        <v>4745</v>
      </c>
      <c r="F4816">
        <v>2454</v>
      </c>
      <c r="G4816">
        <v>1</v>
      </c>
      <c r="H4816" t="s">
        <v>16</v>
      </c>
      <c r="I4816" s="1">
        <v>-2878000</v>
      </c>
      <c r="J4816" s="1">
        <v>-5217200</v>
      </c>
      <c r="K4816">
        <v>660</v>
      </c>
      <c r="L4816">
        <v>184</v>
      </c>
      <c r="M4816" t="s">
        <v>16</v>
      </c>
    </row>
    <row r="4817" spans="1:13" x14ac:dyDescent="0.35">
      <c r="A4817">
        <v>431060</v>
      </c>
      <c r="B4817">
        <v>40266</v>
      </c>
      <c r="C4817" t="s">
        <v>4949</v>
      </c>
      <c r="D4817" t="s">
        <v>4719</v>
      </c>
      <c r="E4817" t="s">
        <v>4730</v>
      </c>
      <c r="F4817">
        <v>36361</v>
      </c>
      <c r="G4817">
        <v>1</v>
      </c>
      <c r="H4817" t="s">
        <v>16</v>
      </c>
      <c r="I4817" s="1">
        <v>-2912500</v>
      </c>
      <c r="J4817" s="1">
        <v>-5655300</v>
      </c>
      <c r="K4817">
        <v>57</v>
      </c>
      <c r="L4817">
        <v>3404</v>
      </c>
      <c r="M4817" t="s">
        <v>16</v>
      </c>
    </row>
    <row r="4818" spans="1:13" x14ac:dyDescent="0.35">
      <c r="A4818">
        <v>431065</v>
      </c>
      <c r="B4818">
        <v>59722</v>
      </c>
      <c r="C4818" t="s">
        <v>4950</v>
      </c>
      <c r="D4818" t="s">
        <v>4719</v>
      </c>
      <c r="E4818" t="s">
        <v>4757</v>
      </c>
      <c r="F4818">
        <v>2677</v>
      </c>
      <c r="G4818">
        <v>4</v>
      </c>
      <c r="H4818" t="s">
        <v>4758</v>
      </c>
      <c r="I4818" s="1">
        <v>-2948800</v>
      </c>
      <c r="J4818" s="1">
        <v>-5010500</v>
      </c>
      <c r="K4818">
        <v>0</v>
      </c>
      <c r="L4818">
        <v>201</v>
      </c>
      <c r="M4818" t="s">
        <v>16</v>
      </c>
    </row>
    <row r="4819" spans="1:13" x14ac:dyDescent="0.35">
      <c r="A4819">
        <v>431070</v>
      </c>
      <c r="B4819">
        <v>40274</v>
      </c>
      <c r="C4819" t="s">
        <v>4951</v>
      </c>
      <c r="D4819" t="s">
        <v>4719</v>
      </c>
      <c r="E4819" t="s">
        <v>4753</v>
      </c>
      <c r="F4819">
        <v>4574</v>
      </c>
      <c r="G4819">
        <v>1</v>
      </c>
      <c r="H4819" t="s">
        <v>16</v>
      </c>
      <c r="I4819" s="1">
        <v>-2738700</v>
      </c>
      <c r="J4819" s="1">
        <v>-5245300</v>
      </c>
      <c r="K4819">
        <v>771</v>
      </c>
      <c r="L4819">
        <v>212</v>
      </c>
      <c r="M4819" t="s">
        <v>16</v>
      </c>
    </row>
    <row r="4820" spans="1:13" x14ac:dyDescent="0.35">
      <c r="A4820">
        <v>431075</v>
      </c>
      <c r="B4820">
        <v>46310</v>
      </c>
      <c r="C4820" t="s">
        <v>4952</v>
      </c>
      <c r="D4820" t="s">
        <v>4719</v>
      </c>
      <c r="E4820" t="s">
        <v>4724</v>
      </c>
      <c r="F4820">
        <v>2378</v>
      </c>
      <c r="G4820">
        <v>1</v>
      </c>
      <c r="H4820" t="s">
        <v>16</v>
      </c>
      <c r="I4820" s="1">
        <v>-2952000</v>
      </c>
      <c r="J4820" s="1">
        <v>-5358100</v>
      </c>
      <c r="K4820">
        <v>120</v>
      </c>
      <c r="L4820">
        <v>122</v>
      </c>
      <c r="M4820" t="s">
        <v>16</v>
      </c>
    </row>
    <row r="4821" spans="1:13" x14ac:dyDescent="0.35">
      <c r="A4821">
        <v>431080</v>
      </c>
      <c r="B4821">
        <v>40282</v>
      </c>
      <c r="C4821" t="s">
        <v>4953</v>
      </c>
      <c r="D4821" t="s">
        <v>4719</v>
      </c>
      <c r="E4821" t="s">
        <v>4822</v>
      </c>
      <c r="F4821">
        <v>18517</v>
      </c>
      <c r="G4821">
        <v>4</v>
      </c>
      <c r="H4821" t="s">
        <v>4740</v>
      </c>
      <c r="I4821" s="1">
        <v>-2959100</v>
      </c>
      <c r="J4821" s="1">
        <v>-5116100</v>
      </c>
      <c r="K4821">
        <v>127</v>
      </c>
      <c r="L4821">
        <v>63</v>
      </c>
      <c r="M4821" t="s">
        <v>16</v>
      </c>
    </row>
    <row r="4822" spans="1:13" x14ac:dyDescent="0.35">
      <c r="A4822">
        <v>431085</v>
      </c>
      <c r="B4822">
        <v>46329</v>
      </c>
      <c r="C4822" t="s">
        <v>4954</v>
      </c>
      <c r="D4822" t="s">
        <v>4719</v>
      </c>
      <c r="E4822" t="s">
        <v>4733</v>
      </c>
      <c r="F4822">
        <v>4173</v>
      </c>
      <c r="G4822">
        <v>1</v>
      </c>
      <c r="H4822" t="s">
        <v>16</v>
      </c>
      <c r="I4822" s="1">
        <v>-2763100</v>
      </c>
      <c r="J4822" s="1">
        <v>-5327700</v>
      </c>
      <c r="K4822">
        <v>561</v>
      </c>
      <c r="L4822">
        <v>128</v>
      </c>
      <c r="M4822" t="s">
        <v>16</v>
      </c>
    </row>
    <row r="4823" spans="1:13" x14ac:dyDescent="0.35">
      <c r="A4823">
        <v>431087</v>
      </c>
      <c r="B4823">
        <v>59730</v>
      </c>
      <c r="C4823" t="s">
        <v>4955</v>
      </c>
      <c r="D4823" t="s">
        <v>4719</v>
      </c>
      <c r="E4823" t="s">
        <v>4736</v>
      </c>
      <c r="F4823">
        <v>2619</v>
      </c>
      <c r="G4823">
        <v>1</v>
      </c>
      <c r="H4823" t="s">
        <v>16</v>
      </c>
      <c r="I4823" s="1">
        <v>-2903400</v>
      </c>
      <c r="J4823" s="1">
        <v>-5305900</v>
      </c>
      <c r="K4823">
        <v>0</v>
      </c>
      <c r="L4823">
        <v>315</v>
      </c>
      <c r="M4823" t="s">
        <v>16</v>
      </c>
    </row>
    <row r="4824" spans="1:13" x14ac:dyDescent="0.35">
      <c r="A4824">
        <v>431090</v>
      </c>
      <c r="B4824">
        <v>40290</v>
      </c>
      <c r="C4824" t="s">
        <v>2812</v>
      </c>
      <c r="D4824" t="s">
        <v>4719</v>
      </c>
      <c r="E4824" t="s">
        <v>4753</v>
      </c>
      <c r="F4824">
        <v>3567</v>
      </c>
      <c r="G4824">
        <v>1</v>
      </c>
      <c r="H4824" t="s">
        <v>16</v>
      </c>
      <c r="I4824" s="1">
        <v>-2772900</v>
      </c>
      <c r="J4824" s="1">
        <v>-5253500</v>
      </c>
      <c r="K4824">
        <v>577</v>
      </c>
      <c r="L4824">
        <v>179</v>
      </c>
      <c r="M4824" t="s">
        <v>16</v>
      </c>
    </row>
    <row r="4825" spans="1:13" x14ac:dyDescent="0.35">
      <c r="A4825">
        <v>431100</v>
      </c>
      <c r="B4825">
        <v>40304</v>
      </c>
      <c r="C4825" t="s">
        <v>4956</v>
      </c>
      <c r="D4825" t="s">
        <v>4719</v>
      </c>
      <c r="E4825" t="s">
        <v>4767</v>
      </c>
      <c r="F4825">
        <v>27944</v>
      </c>
      <c r="G4825">
        <v>1</v>
      </c>
      <c r="H4825" t="s">
        <v>16</v>
      </c>
      <c r="I4825" s="1">
        <v>-3256600</v>
      </c>
      <c r="J4825" s="1">
        <v>-5337600</v>
      </c>
      <c r="K4825">
        <v>26</v>
      </c>
      <c r="L4825">
        <v>2054</v>
      </c>
      <c r="M4825" t="s">
        <v>16</v>
      </c>
    </row>
    <row r="4826" spans="1:13" x14ac:dyDescent="0.35">
      <c r="A4826">
        <v>431110</v>
      </c>
      <c r="B4826">
        <v>40312</v>
      </c>
      <c r="C4826" t="s">
        <v>4957</v>
      </c>
      <c r="D4826" t="s">
        <v>4719</v>
      </c>
      <c r="E4826" t="s">
        <v>1329</v>
      </c>
      <c r="F4826">
        <v>11626</v>
      </c>
      <c r="G4826">
        <v>1</v>
      </c>
      <c r="H4826" t="s">
        <v>16</v>
      </c>
      <c r="I4826" s="1">
        <v>-2949700</v>
      </c>
      <c r="J4826" s="1">
        <v>-5469000</v>
      </c>
      <c r="K4826">
        <v>112</v>
      </c>
      <c r="L4826">
        <v>673</v>
      </c>
      <c r="M4826" t="s">
        <v>16</v>
      </c>
    </row>
    <row r="4827" spans="1:13" x14ac:dyDescent="0.35">
      <c r="A4827">
        <v>431112</v>
      </c>
      <c r="B4827">
        <v>46337</v>
      </c>
      <c r="C4827" t="s">
        <v>4958</v>
      </c>
      <c r="D4827" t="s">
        <v>4719</v>
      </c>
      <c r="E4827" t="s">
        <v>4792</v>
      </c>
      <c r="F4827">
        <v>4404</v>
      </c>
      <c r="G4827">
        <v>1</v>
      </c>
      <c r="H4827" t="s">
        <v>16</v>
      </c>
      <c r="I4827" s="1">
        <v>-2888500</v>
      </c>
      <c r="J4827" s="1">
        <v>-5035800</v>
      </c>
      <c r="K4827">
        <v>927</v>
      </c>
      <c r="L4827">
        <v>907</v>
      </c>
      <c r="M4827" t="s">
        <v>16</v>
      </c>
    </row>
    <row r="4828" spans="1:13" x14ac:dyDescent="0.35">
      <c r="A4828">
        <v>431113</v>
      </c>
      <c r="B4828">
        <v>56782</v>
      </c>
      <c r="C4828" t="s">
        <v>4959</v>
      </c>
      <c r="D4828" t="s">
        <v>4719</v>
      </c>
      <c r="E4828" t="s">
        <v>4829</v>
      </c>
      <c r="F4828">
        <v>3692</v>
      </c>
      <c r="G4828">
        <v>1</v>
      </c>
      <c r="H4828" t="s">
        <v>16</v>
      </c>
      <c r="I4828" s="1">
        <v>-2929100</v>
      </c>
      <c r="J4828" s="1">
        <v>-5422400</v>
      </c>
      <c r="K4828">
        <v>441</v>
      </c>
      <c r="L4828">
        <v>856</v>
      </c>
      <c r="M4828" t="s">
        <v>16</v>
      </c>
    </row>
    <row r="4829" spans="1:13" x14ac:dyDescent="0.35">
      <c r="A4829">
        <v>431115</v>
      </c>
      <c r="B4829">
        <v>6319</v>
      </c>
      <c r="C4829" t="s">
        <v>4960</v>
      </c>
      <c r="D4829" t="s">
        <v>4719</v>
      </c>
      <c r="E4829" t="s">
        <v>4736</v>
      </c>
      <c r="F4829">
        <v>8279</v>
      </c>
      <c r="G4829">
        <v>1</v>
      </c>
      <c r="H4829" t="s">
        <v>16</v>
      </c>
      <c r="I4829" s="1">
        <v>-2864700</v>
      </c>
      <c r="J4829" s="1">
        <v>-5412200</v>
      </c>
      <c r="K4829">
        <v>302</v>
      </c>
      <c r="L4829">
        <v>1235</v>
      </c>
      <c r="M4829" t="s">
        <v>16</v>
      </c>
    </row>
    <row r="4830" spans="1:13" x14ac:dyDescent="0.35">
      <c r="A4830">
        <v>431120</v>
      </c>
      <c r="B4830">
        <v>40320</v>
      </c>
      <c r="C4830" t="s">
        <v>4961</v>
      </c>
      <c r="D4830" t="s">
        <v>4719</v>
      </c>
      <c r="E4830" t="s">
        <v>4829</v>
      </c>
      <c r="F4830">
        <v>19541</v>
      </c>
      <c r="G4830">
        <v>1</v>
      </c>
      <c r="H4830" t="s">
        <v>16</v>
      </c>
      <c r="I4830" s="1">
        <v>-2922700</v>
      </c>
      <c r="J4830" s="1">
        <v>-5368200</v>
      </c>
      <c r="K4830">
        <v>513</v>
      </c>
      <c r="L4830">
        <v>1929</v>
      </c>
      <c r="M4830" t="s">
        <v>16</v>
      </c>
    </row>
    <row r="4831" spans="1:13" x14ac:dyDescent="0.35">
      <c r="A4831">
        <v>431123</v>
      </c>
      <c r="B4831">
        <v>59900</v>
      </c>
      <c r="C4831" t="s">
        <v>4962</v>
      </c>
      <c r="D4831" t="s">
        <v>4719</v>
      </c>
      <c r="E4831" t="s">
        <v>4765</v>
      </c>
      <c r="F4831">
        <v>2617</v>
      </c>
      <c r="G4831">
        <v>1</v>
      </c>
      <c r="H4831" t="s">
        <v>16</v>
      </c>
      <c r="I4831" s="1">
        <v>-2948900</v>
      </c>
      <c r="J4831" s="1">
        <v>-5301300</v>
      </c>
      <c r="K4831">
        <v>0</v>
      </c>
      <c r="L4831">
        <v>108</v>
      </c>
      <c r="M4831" t="s">
        <v>16</v>
      </c>
    </row>
    <row r="4832" spans="1:13" x14ac:dyDescent="0.35">
      <c r="A4832">
        <v>431125</v>
      </c>
      <c r="B4832">
        <v>46345</v>
      </c>
      <c r="C4832" t="s">
        <v>4963</v>
      </c>
      <c r="D4832" t="s">
        <v>4719</v>
      </c>
      <c r="E4832" t="s">
        <v>1596</v>
      </c>
      <c r="F4832">
        <v>6389</v>
      </c>
      <c r="G4832">
        <v>1</v>
      </c>
      <c r="H4832" t="s">
        <v>16</v>
      </c>
      <c r="I4832" s="1">
        <v>-2923500</v>
      </c>
      <c r="J4832" s="1">
        <v>-5279600</v>
      </c>
      <c r="K4832">
        <v>577</v>
      </c>
      <c r="L4832">
        <v>383</v>
      </c>
      <c r="M4832" t="s">
        <v>16</v>
      </c>
    </row>
    <row r="4833" spans="1:13" x14ac:dyDescent="0.35">
      <c r="A4833">
        <v>431127</v>
      </c>
      <c r="B4833">
        <v>52329</v>
      </c>
      <c r="C4833" t="s">
        <v>4964</v>
      </c>
      <c r="D4833" t="s">
        <v>4719</v>
      </c>
      <c r="E4833" t="s">
        <v>4853</v>
      </c>
      <c r="F4833">
        <v>1590</v>
      </c>
      <c r="G4833">
        <v>1</v>
      </c>
      <c r="H4833" t="s">
        <v>16</v>
      </c>
      <c r="I4833" s="1">
        <v>-2857100</v>
      </c>
      <c r="J4833" s="1">
        <v>-5285800</v>
      </c>
      <c r="K4833">
        <v>482</v>
      </c>
      <c r="L4833">
        <v>138</v>
      </c>
      <c r="M4833" t="s">
        <v>16</v>
      </c>
    </row>
    <row r="4834" spans="1:13" x14ac:dyDescent="0.35">
      <c r="A4834">
        <v>431130</v>
      </c>
      <c r="B4834">
        <v>40339</v>
      </c>
      <c r="C4834" t="s">
        <v>4965</v>
      </c>
      <c r="D4834" t="s">
        <v>4719</v>
      </c>
      <c r="E4834" t="s">
        <v>4792</v>
      </c>
      <c r="F4834">
        <v>27434</v>
      </c>
      <c r="G4834">
        <v>1</v>
      </c>
      <c r="H4834" t="s">
        <v>16</v>
      </c>
      <c r="I4834" s="1">
        <v>-2820900</v>
      </c>
      <c r="J4834" s="1">
        <v>-5152600</v>
      </c>
      <c r="K4834">
        <v>801</v>
      </c>
      <c r="L4834">
        <v>1262</v>
      </c>
      <c r="M4834" t="s">
        <v>16</v>
      </c>
    </row>
    <row r="4835" spans="1:13" x14ac:dyDescent="0.35">
      <c r="A4835">
        <v>431140</v>
      </c>
      <c r="B4835">
        <v>40347</v>
      </c>
      <c r="C4835" t="s">
        <v>475</v>
      </c>
      <c r="D4835" t="s">
        <v>4719</v>
      </c>
      <c r="E4835" t="s">
        <v>4755</v>
      </c>
      <c r="F4835">
        <v>67474</v>
      </c>
      <c r="G4835">
        <v>2</v>
      </c>
      <c r="H4835" t="s">
        <v>16</v>
      </c>
      <c r="I4835" s="1">
        <v>-2946700</v>
      </c>
      <c r="J4835" s="1">
        <v>-5196100</v>
      </c>
      <c r="K4835">
        <v>31</v>
      </c>
      <c r="L4835">
        <v>90</v>
      </c>
      <c r="M4835" t="s">
        <v>16</v>
      </c>
    </row>
    <row r="4836" spans="1:13" x14ac:dyDescent="0.35">
      <c r="A4836">
        <v>431142</v>
      </c>
      <c r="B4836">
        <v>52337</v>
      </c>
      <c r="C4836" t="s">
        <v>4966</v>
      </c>
      <c r="D4836" t="s">
        <v>4719</v>
      </c>
      <c r="E4836" t="s">
        <v>4733</v>
      </c>
      <c r="F4836">
        <v>2536</v>
      </c>
      <c r="G4836">
        <v>1</v>
      </c>
      <c r="H4836" t="s">
        <v>16</v>
      </c>
      <c r="I4836" s="1">
        <v>-2768900</v>
      </c>
      <c r="J4836" s="1">
        <v>-5318200</v>
      </c>
      <c r="K4836">
        <v>424</v>
      </c>
      <c r="L4836">
        <v>67</v>
      </c>
      <c r="M4836" t="s">
        <v>16</v>
      </c>
    </row>
    <row r="4837" spans="1:13" x14ac:dyDescent="0.35">
      <c r="A4837">
        <v>431150</v>
      </c>
      <c r="B4837">
        <v>40355</v>
      </c>
      <c r="C4837" t="s">
        <v>4967</v>
      </c>
      <c r="D4837" t="s">
        <v>4719</v>
      </c>
      <c r="E4837" t="s">
        <v>4720</v>
      </c>
      <c r="F4837">
        <v>8115</v>
      </c>
      <c r="G4837">
        <v>1</v>
      </c>
      <c r="H4837" t="s">
        <v>16</v>
      </c>
      <c r="I4837" s="1">
        <v>-3081300</v>
      </c>
      <c r="J4837" s="1">
        <v>-5389500</v>
      </c>
      <c r="K4837">
        <v>277</v>
      </c>
      <c r="L4837">
        <v>2599</v>
      </c>
      <c r="M4837" t="s">
        <v>16</v>
      </c>
    </row>
    <row r="4838" spans="1:13" x14ac:dyDescent="0.35">
      <c r="A4838">
        <v>431160</v>
      </c>
      <c r="B4838">
        <v>40363</v>
      </c>
      <c r="C4838" t="s">
        <v>4968</v>
      </c>
      <c r="D4838" t="s">
        <v>4719</v>
      </c>
      <c r="E4838" t="s">
        <v>4735</v>
      </c>
      <c r="F4838">
        <v>6102</v>
      </c>
      <c r="G4838">
        <v>1</v>
      </c>
      <c r="H4838" t="s">
        <v>16</v>
      </c>
      <c r="I4838" s="1">
        <v>-2760000</v>
      </c>
      <c r="J4838" s="1">
        <v>-5307300</v>
      </c>
      <c r="K4838">
        <v>360</v>
      </c>
      <c r="L4838">
        <v>245</v>
      </c>
      <c r="M4838" t="s">
        <v>16</v>
      </c>
    </row>
    <row r="4839" spans="1:13" x14ac:dyDescent="0.35">
      <c r="A4839">
        <v>431162</v>
      </c>
      <c r="B4839">
        <v>53694</v>
      </c>
      <c r="C4839" t="s">
        <v>4969</v>
      </c>
      <c r="D4839" t="s">
        <v>4719</v>
      </c>
      <c r="E4839" t="s">
        <v>4822</v>
      </c>
      <c r="F4839">
        <v>5279</v>
      </c>
      <c r="G4839">
        <v>1</v>
      </c>
      <c r="H4839" t="s">
        <v>16</v>
      </c>
      <c r="I4839" s="1">
        <v>-2959700</v>
      </c>
      <c r="J4839" s="1">
        <v>-5120900</v>
      </c>
      <c r="K4839">
        <v>40</v>
      </c>
      <c r="L4839">
        <v>33</v>
      </c>
      <c r="M4839" t="s">
        <v>16</v>
      </c>
    </row>
    <row r="4840" spans="1:13" x14ac:dyDescent="0.35">
      <c r="A4840">
        <v>431164</v>
      </c>
      <c r="B4840">
        <v>52345</v>
      </c>
      <c r="C4840" t="s">
        <v>4970</v>
      </c>
      <c r="D4840" t="s">
        <v>4719</v>
      </c>
      <c r="E4840" t="s">
        <v>4738</v>
      </c>
      <c r="F4840">
        <v>1488</v>
      </c>
      <c r="G4840">
        <v>1</v>
      </c>
      <c r="H4840" t="s">
        <v>16</v>
      </c>
      <c r="I4840" s="1">
        <v>-2946800</v>
      </c>
      <c r="J4840" s="1">
        <v>-5120100</v>
      </c>
      <c r="K4840">
        <v>365</v>
      </c>
      <c r="L4840">
        <v>63</v>
      </c>
      <c r="M4840" t="s">
        <v>16</v>
      </c>
    </row>
    <row r="4841" spans="1:13" x14ac:dyDescent="0.35">
      <c r="A4841">
        <v>431170</v>
      </c>
      <c r="B4841">
        <v>40371</v>
      </c>
      <c r="C4841" t="s">
        <v>4971</v>
      </c>
      <c r="D4841" t="s">
        <v>4719</v>
      </c>
      <c r="E4841" t="s">
        <v>4776</v>
      </c>
      <c r="F4841">
        <v>5503</v>
      </c>
      <c r="G4841">
        <v>1</v>
      </c>
      <c r="H4841" t="s">
        <v>16</v>
      </c>
      <c r="I4841" s="1">
        <v>-2756700</v>
      </c>
      <c r="J4841" s="1">
        <v>-5166800</v>
      </c>
      <c r="K4841">
        <v>757</v>
      </c>
      <c r="L4841">
        <v>334</v>
      </c>
      <c r="M4841" t="s">
        <v>16</v>
      </c>
    </row>
    <row r="4842" spans="1:13" x14ac:dyDescent="0.35">
      <c r="A4842">
        <v>431171</v>
      </c>
      <c r="B4842">
        <v>58858</v>
      </c>
      <c r="C4842" t="s">
        <v>4972</v>
      </c>
      <c r="D4842" t="s">
        <v>4719</v>
      </c>
      <c r="E4842" t="s">
        <v>4730</v>
      </c>
      <c r="F4842">
        <v>4415</v>
      </c>
      <c r="G4842">
        <v>1</v>
      </c>
      <c r="H4842" t="s">
        <v>16</v>
      </c>
      <c r="I4842" s="1">
        <v>-2914300</v>
      </c>
      <c r="J4842" s="1">
        <v>-5606500</v>
      </c>
      <c r="K4842">
        <v>110</v>
      </c>
      <c r="L4842">
        <v>1682</v>
      </c>
      <c r="M4842" t="s">
        <v>16</v>
      </c>
    </row>
    <row r="4843" spans="1:13" x14ac:dyDescent="0.35">
      <c r="A4843">
        <v>431173</v>
      </c>
      <c r="B4843">
        <v>58866</v>
      </c>
      <c r="C4843" t="s">
        <v>4973</v>
      </c>
      <c r="D4843" t="s">
        <v>4719</v>
      </c>
      <c r="E4843" t="s">
        <v>4757</v>
      </c>
      <c r="F4843">
        <v>2926</v>
      </c>
      <c r="G4843">
        <v>4</v>
      </c>
      <c r="H4843" t="s">
        <v>4758</v>
      </c>
      <c r="I4843" s="1">
        <v>-2921100</v>
      </c>
      <c r="J4843" s="1">
        <v>-4993500</v>
      </c>
      <c r="K4843">
        <v>37</v>
      </c>
      <c r="L4843">
        <v>157</v>
      </c>
      <c r="M4843" t="s">
        <v>16</v>
      </c>
    </row>
    <row r="4844" spans="1:13" x14ac:dyDescent="0.35">
      <c r="A4844">
        <v>431175</v>
      </c>
      <c r="B4844">
        <v>52353</v>
      </c>
      <c r="C4844" t="s">
        <v>4974</v>
      </c>
      <c r="D4844" t="s">
        <v>4719</v>
      </c>
      <c r="E4844" t="s">
        <v>4730</v>
      </c>
      <c r="F4844">
        <v>6784</v>
      </c>
      <c r="G4844">
        <v>1</v>
      </c>
      <c r="H4844" t="s">
        <v>16</v>
      </c>
      <c r="I4844" s="1">
        <v>-2958900</v>
      </c>
      <c r="J4844" s="1">
        <v>-5548300</v>
      </c>
      <c r="K4844">
        <v>113</v>
      </c>
      <c r="L4844">
        <v>1390</v>
      </c>
      <c r="M4844" t="s">
        <v>16</v>
      </c>
    </row>
    <row r="4845" spans="1:13" x14ac:dyDescent="0.35">
      <c r="A4845">
        <v>431177</v>
      </c>
      <c r="B4845">
        <v>52361</v>
      </c>
      <c r="C4845" t="s">
        <v>4975</v>
      </c>
      <c r="D4845" t="s">
        <v>4719</v>
      </c>
      <c r="E4845" t="s">
        <v>4757</v>
      </c>
      <c r="F4845">
        <v>7374</v>
      </c>
      <c r="G4845">
        <v>4</v>
      </c>
      <c r="H4845" t="s">
        <v>4758</v>
      </c>
      <c r="I4845" s="1">
        <v>-2967500</v>
      </c>
      <c r="J4845" s="1">
        <v>-5020700</v>
      </c>
      <c r="K4845">
        <v>12</v>
      </c>
      <c r="L4845">
        <v>622</v>
      </c>
      <c r="M4845" t="s">
        <v>16</v>
      </c>
    </row>
    <row r="4846" spans="1:13" x14ac:dyDescent="0.35">
      <c r="A4846">
        <v>431179</v>
      </c>
      <c r="B4846">
        <v>52370</v>
      </c>
      <c r="C4846" t="s">
        <v>4976</v>
      </c>
      <c r="D4846" t="s">
        <v>4719</v>
      </c>
      <c r="E4846" t="s">
        <v>4738</v>
      </c>
      <c r="F4846">
        <v>2444</v>
      </c>
      <c r="G4846">
        <v>1</v>
      </c>
      <c r="H4846" t="s">
        <v>16</v>
      </c>
      <c r="I4846" s="1">
        <v>-2954900</v>
      </c>
      <c r="J4846" s="1">
        <v>-5155400</v>
      </c>
      <c r="K4846">
        <v>30</v>
      </c>
      <c r="L4846">
        <v>80</v>
      </c>
      <c r="M4846" t="s">
        <v>16</v>
      </c>
    </row>
    <row r="4847" spans="1:13" x14ac:dyDescent="0.35">
      <c r="A4847">
        <v>431180</v>
      </c>
      <c r="B4847">
        <v>40380</v>
      </c>
      <c r="C4847" t="s">
        <v>4977</v>
      </c>
      <c r="D4847" t="s">
        <v>4719</v>
      </c>
      <c r="E4847" t="s">
        <v>4722</v>
      </c>
      <c r="F4847">
        <v>33778</v>
      </c>
      <c r="G4847">
        <v>1</v>
      </c>
      <c r="H4847" t="s">
        <v>16</v>
      </c>
      <c r="I4847" s="1">
        <v>-2844900</v>
      </c>
      <c r="J4847" s="1">
        <v>-5220000</v>
      </c>
      <c r="K4847">
        <v>571</v>
      </c>
      <c r="L4847">
        <v>649</v>
      </c>
      <c r="M4847" t="s">
        <v>16</v>
      </c>
    </row>
    <row r="4848" spans="1:13" x14ac:dyDescent="0.35">
      <c r="A4848">
        <v>431190</v>
      </c>
      <c r="B4848">
        <v>40398</v>
      </c>
      <c r="C4848" t="s">
        <v>4978</v>
      </c>
      <c r="D4848" t="s">
        <v>4719</v>
      </c>
      <c r="E4848" t="s">
        <v>4753</v>
      </c>
      <c r="F4848">
        <v>5372</v>
      </c>
      <c r="G4848">
        <v>1</v>
      </c>
      <c r="H4848" t="s">
        <v>16</v>
      </c>
      <c r="I4848" s="1">
        <v>-2746200</v>
      </c>
      <c r="J4848" s="1">
        <v>-5190600</v>
      </c>
      <c r="K4848">
        <v>405</v>
      </c>
      <c r="L4848">
        <v>229</v>
      </c>
      <c r="M4848" t="s">
        <v>16</v>
      </c>
    </row>
    <row r="4849" spans="1:13" x14ac:dyDescent="0.35">
      <c r="A4849">
        <v>431198</v>
      </c>
      <c r="B4849">
        <v>52388</v>
      </c>
      <c r="C4849" t="s">
        <v>4979</v>
      </c>
      <c r="D4849" t="s">
        <v>4719</v>
      </c>
      <c r="E4849" t="s">
        <v>4739</v>
      </c>
      <c r="F4849">
        <v>3964</v>
      </c>
      <c r="G4849">
        <v>1</v>
      </c>
      <c r="H4849" t="s">
        <v>16</v>
      </c>
      <c r="I4849" s="1">
        <v>-3035300</v>
      </c>
      <c r="J4849" s="1">
        <v>-5158300</v>
      </c>
      <c r="K4849">
        <v>119</v>
      </c>
      <c r="L4849">
        <v>338</v>
      </c>
      <c r="M4849" t="s">
        <v>16</v>
      </c>
    </row>
    <row r="4850" spans="1:13" x14ac:dyDescent="0.35">
      <c r="A4850">
        <v>431200</v>
      </c>
      <c r="B4850">
        <v>40401</v>
      </c>
      <c r="C4850" t="s">
        <v>4980</v>
      </c>
      <c r="D4850" t="s">
        <v>4719</v>
      </c>
      <c r="E4850" t="s">
        <v>4753</v>
      </c>
      <c r="F4850">
        <v>2284</v>
      </c>
      <c r="G4850">
        <v>1</v>
      </c>
      <c r="H4850" t="s">
        <v>16</v>
      </c>
      <c r="I4850" s="1">
        <v>-2735400</v>
      </c>
      <c r="J4850" s="1">
        <v>-5214700</v>
      </c>
      <c r="K4850">
        <v>475</v>
      </c>
      <c r="L4850">
        <v>99</v>
      </c>
      <c r="M4850" t="s">
        <v>16</v>
      </c>
    </row>
    <row r="4851" spans="1:13" x14ac:dyDescent="0.35">
      <c r="A4851">
        <v>431205</v>
      </c>
      <c r="B4851">
        <v>56871</v>
      </c>
      <c r="C4851" t="s">
        <v>4981</v>
      </c>
      <c r="D4851" t="s">
        <v>4719</v>
      </c>
      <c r="E4851" t="s">
        <v>4755</v>
      </c>
      <c r="F4851">
        <v>4043</v>
      </c>
      <c r="G4851">
        <v>1</v>
      </c>
      <c r="H4851" t="s">
        <v>16</v>
      </c>
      <c r="I4851" s="1">
        <v>-2932800</v>
      </c>
      <c r="J4851" s="1">
        <v>-5209300</v>
      </c>
      <c r="K4851">
        <v>69</v>
      </c>
      <c r="L4851">
        <v>125</v>
      </c>
      <c r="M4851" t="s">
        <v>16</v>
      </c>
    </row>
    <row r="4852" spans="1:13" x14ac:dyDescent="0.35">
      <c r="A4852">
        <v>431210</v>
      </c>
      <c r="B4852">
        <v>40410</v>
      </c>
      <c r="C4852" t="s">
        <v>4982</v>
      </c>
      <c r="D4852" t="s">
        <v>4719</v>
      </c>
      <c r="E4852" t="s">
        <v>1329</v>
      </c>
      <c r="F4852">
        <v>5291</v>
      </c>
      <c r="G4852">
        <v>1</v>
      </c>
      <c r="H4852" t="s">
        <v>16</v>
      </c>
      <c r="I4852" s="1">
        <v>-2956600</v>
      </c>
      <c r="J4852" s="1">
        <v>-5446000</v>
      </c>
      <c r="K4852">
        <v>127</v>
      </c>
      <c r="L4852">
        <v>312</v>
      </c>
      <c r="M4852" t="s">
        <v>16</v>
      </c>
    </row>
    <row r="4853" spans="1:13" x14ac:dyDescent="0.35">
      <c r="A4853">
        <v>431213</v>
      </c>
      <c r="B4853">
        <v>52396</v>
      </c>
      <c r="C4853" t="s">
        <v>4983</v>
      </c>
      <c r="D4853" t="s">
        <v>4719</v>
      </c>
      <c r="E4853" t="s">
        <v>4722</v>
      </c>
      <c r="F4853">
        <v>2608</v>
      </c>
      <c r="G4853">
        <v>1</v>
      </c>
      <c r="H4853" t="s">
        <v>16</v>
      </c>
      <c r="I4853" s="1">
        <v>-2827800</v>
      </c>
      <c r="J4853" s="1">
        <v>-5219200</v>
      </c>
      <c r="K4853">
        <v>740</v>
      </c>
      <c r="L4853">
        <v>238</v>
      </c>
      <c r="M4853" t="s">
        <v>16</v>
      </c>
    </row>
    <row r="4854" spans="1:13" x14ac:dyDescent="0.35">
      <c r="A4854">
        <v>431215</v>
      </c>
      <c r="B4854">
        <v>52400</v>
      </c>
      <c r="C4854" t="s">
        <v>4984</v>
      </c>
      <c r="D4854" t="s">
        <v>4719</v>
      </c>
      <c r="E4854" t="s">
        <v>4765</v>
      </c>
      <c r="F4854">
        <v>3585</v>
      </c>
      <c r="G4854">
        <v>1</v>
      </c>
      <c r="H4854" t="s">
        <v>16</v>
      </c>
      <c r="I4854" s="1">
        <v>-2952400</v>
      </c>
      <c r="J4854" s="1">
        <v>-5212900</v>
      </c>
      <c r="K4854">
        <v>81</v>
      </c>
      <c r="L4854">
        <v>45</v>
      </c>
      <c r="M4854" t="s">
        <v>16</v>
      </c>
    </row>
    <row r="4855" spans="1:13" x14ac:dyDescent="0.35">
      <c r="A4855">
        <v>431217</v>
      </c>
      <c r="B4855">
        <v>59749</v>
      </c>
      <c r="C4855" t="s">
        <v>4985</v>
      </c>
      <c r="D4855" t="s">
        <v>4719</v>
      </c>
      <c r="E4855" t="s">
        <v>4808</v>
      </c>
      <c r="F4855">
        <v>1865</v>
      </c>
      <c r="G4855">
        <v>1</v>
      </c>
      <c r="H4855" t="s">
        <v>16</v>
      </c>
      <c r="I4855" s="1">
        <v>-2825600</v>
      </c>
      <c r="J4855" s="1">
        <v>-5461600</v>
      </c>
      <c r="K4855">
        <v>0</v>
      </c>
      <c r="L4855">
        <v>114</v>
      </c>
      <c r="M4855" t="s">
        <v>16</v>
      </c>
    </row>
    <row r="4856" spans="1:13" x14ac:dyDescent="0.35">
      <c r="A4856">
        <v>431220</v>
      </c>
      <c r="B4856">
        <v>40428</v>
      </c>
      <c r="C4856" t="s">
        <v>4986</v>
      </c>
      <c r="D4856" t="s">
        <v>4719</v>
      </c>
      <c r="E4856" t="s">
        <v>4776</v>
      </c>
      <c r="F4856">
        <v>5059</v>
      </c>
      <c r="G4856">
        <v>1</v>
      </c>
      <c r="H4856" t="s">
        <v>16</v>
      </c>
      <c r="I4856" s="1">
        <v>-2763200</v>
      </c>
      <c r="J4856" s="1">
        <v>-5180300</v>
      </c>
      <c r="K4856">
        <v>583</v>
      </c>
      <c r="L4856">
        <v>208</v>
      </c>
      <c r="M4856" t="s">
        <v>16</v>
      </c>
    </row>
    <row r="4857" spans="1:13" x14ac:dyDescent="0.35">
      <c r="A4857">
        <v>431225</v>
      </c>
      <c r="B4857">
        <v>53708</v>
      </c>
      <c r="C4857" t="s">
        <v>4987</v>
      </c>
      <c r="D4857" t="s">
        <v>4719</v>
      </c>
      <c r="E4857" t="s">
        <v>4763</v>
      </c>
      <c r="F4857">
        <v>7728</v>
      </c>
      <c r="G4857">
        <v>1</v>
      </c>
      <c r="H4857" t="s">
        <v>16</v>
      </c>
      <c r="I4857" s="1">
        <v>-3012700</v>
      </c>
      <c r="J4857" s="1">
        <v>-5204800</v>
      </c>
      <c r="K4857">
        <v>64</v>
      </c>
      <c r="L4857">
        <v>424</v>
      </c>
      <c r="M4857" t="s">
        <v>16</v>
      </c>
    </row>
    <row r="4858" spans="1:13" x14ac:dyDescent="0.35">
      <c r="A4858">
        <v>431230</v>
      </c>
      <c r="B4858">
        <v>40436</v>
      </c>
      <c r="C4858" t="s">
        <v>4988</v>
      </c>
      <c r="D4858" t="s">
        <v>4719</v>
      </c>
      <c r="E4858" t="s">
        <v>4778</v>
      </c>
      <c r="F4858">
        <v>4869</v>
      </c>
      <c r="G4858">
        <v>1</v>
      </c>
      <c r="H4858" t="s">
        <v>16</v>
      </c>
      <c r="I4858" s="1">
        <v>-2749400</v>
      </c>
      <c r="J4858" s="1">
        <v>-5368600</v>
      </c>
      <c r="K4858">
        <v>488</v>
      </c>
      <c r="L4858">
        <v>130</v>
      </c>
      <c r="M4858" t="s">
        <v>16</v>
      </c>
    </row>
    <row r="4859" spans="1:13" x14ac:dyDescent="0.35">
      <c r="A4859">
        <v>431235</v>
      </c>
      <c r="B4859">
        <v>46353</v>
      </c>
      <c r="C4859" t="s">
        <v>4989</v>
      </c>
      <c r="D4859" t="s">
        <v>4719</v>
      </c>
      <c r="E4859" t="s">
        <v>4745</v>
      </c>
      <c r="F4859">
        <v>1583</v>
      </c>
      <c r="G4859">
        <v>1</v>
      </c>
      <c r="H4859" t="s">
        <v>16</v>
      </c>
      <c r="I4859" s="1">
        <v>-2865200</v>
      </c>
      <c r="J4859" s="1">
        <v>-5207000</v>
      </c>
      <c r="K4859">
        <v>449</v>
      </c>
      <c r="L4859">
        <v>82</v>
      </c>
      <c r="M4859" t="s">
        <v>16</v>
      </c>
    </row>
    <row r="4860" spans="1:13" x14ac:dyDescent="0.35">
      <c r="A4860">
        <v>431237</v>
      </c>
      <c r="B4860">
        <v>58874</v>
      </c>
      <c r="C4860" t="s">
        <v>4990</v>
      </c>
      <c r="D4860" t="s">
        <v>4719</v>
      </c>
      <c r="E4860" t="s">
        <v>4792</v>
      </c>
      <c r="F4860">
        <v>3122</v>
      </c>
      <c r="G4860">
        <v>1</v>
      </c>
      <c r="H4860" t="s">
        <v>16</v>
      </c>
      <c r="I4860" s="1">
        <v>-2868300</v>
      </c>
      <c r="J4860" s="1">
        <v>-5078300</v>
      </c>
      <c r="K4860">
        <v>926</v>
      </c>
      <c r="L4860">
        <v>549</v>
      </c>
      <c r="M4860" t="s">
        <v>16</v>
      </c>
    </row>
    <row r="4861" spans="1:13" x14ac:dyDescent="0.35">
      <c r="A4861">
        <v>431238</v>
      </c>
      <c r="B4861">
        <v>52418</v>
      </c>
      <c r="C4861" t="s">
        <v>4991</v>
      </c>
      <c r="D4861" t="s">
        <v>4719</v>
      </c>
      <c r="E4861" t="s">
        <v>4748</v>
      </c>
      <c r="F4861">
        <v>2766</v>
      </c>
      <c r="G4861">
        <v>4</v>
      </c>
      <c r="H4861" t="s">
        <v>4786</v>
      </c>
      <c r="I4861" s="1">
        <v>-2916300</v>
      </c>
      <c r="J4861" s="1">
        <v>-5163200</v>
      </c>
      <c r="K4861">
        <v>645</v>
      </c>
      <c r="L4861">
        <v>68</v>
      </c>
      <c r="M4861" t="s">
        <v>16</v>
      </c>
    </row>
    <row r="4862" spans="1:13" x14ac:dyDescent="0.35">
      <c r="A4862">
        <v>431240</v>
      </c>
      <c r="B4862">
        <v>40444</v>
      </c>
      <c r="C4862" t="s">
        <v>4738</v>
      </c>
      <c r="D4862" t="s">
        <v>4719</v>
      </c>
      <c r="E4862" t="s">
        <v>4738</v>
      </c>
      <c r="F4862">
        <v>56790</v>
      </c>
      <c r="G4862">
        <v>4</v>
      </c>
      <c r="H4862" t="s">
        <v>4740</v>
      </c>
      <c r="I4862" s="1">
        <v>-2968900</v>
      </c>
      <c r="J4862" s="1">
        <v>-5146100</v>
      </c>
      <c r="K4862">
        <v>31</v>
      </c>
      <c r="L4862">
        <v>420</v>
      </c>
      <c r="M4862" t="s">
        <v>16</v>
      </c>
    </row>
    <row r="4863" spans="1:13" x14ac:dyDescent="0.35">
      <c r="A4863">
        <v>431242</v>
      </c>
      <c r="B4863">
        <v>52426</v>
      </c>
      <c r="C4863" t="s">
        <v>4992</v>
      </c>
      <c r="D4863" t="s">
        <v>4719</v>
      </c>
      <c r="E4863" t="s">
        <v>1596</v>
      </c>
      <c r="F4863">
        <v>2578</v>
      </c>
      <c r="G4863">
        <v>1</v>
      </c>
      <c r="H4863" t="s">
        <v>16</v>
      </c>
      <c r="I4863" s="1">
        <v>-2869200</v>
      </c>
      <c r="J4863" s="1">
        <v>-5269200</v>
      </c>
      <c r="K4863">
        <v>410</v>
      </c>
      <c r="L4863">
        <v>146</v>
      </c>
      <c r="M4863" t="s">
        <v>16</v>
      </c>
    </row>
    <row r="4864" spans="1:13" x14ac:dyDescent="0.35">
      <c r="A4864">
        <v>431244</v>
      </c>
      <c r="B4864">
        <v>52434</v>
      </c>
      <c r="C4864" t="s">
        <v>4993</v>
      </c>
      <c r="D4864" t="s">
        <v>4719</v>
      </c>
      <c r="E4864" t="s">
        <v>4757</v>
      </c>
      <c r="F4864">
        <v>3241</v>
      </c>
      <c r="G4864">
        <v>4</v>
      </c>
      <c r="H4864" t="s">
        <v>4758</v>
      </c>
      <c r="I4864" s="1">
        <v>-2936500</v>
      </c>
      <c r="J4864" s="1">
        <v>-4993500</v>
      </c>
      <c r="K4864">
        <v>180</v>
      </c>
      <c r="L4864">
        <v>165</v>
      </c>
      <c r="M4864" t="s">
        <v>16</v>
      </c>
    </row>
    <row r="4865" spans="1:13" x14ac:dyDescent="0.35">
      <c r="A4865">
        <v>431245</v>
      </c>
      <c r="B4865">
        <v>46361</v>
      </c>
      <c r="C4865" t="s">
        <v>4994</v>
      </c>
      <c r="D4865" t="s">
        <v>4719</v>
      </c>
      <c r="E4865" t="s">
        <v>4760</v>
      </c>
      <c r="F4865">
        <v>6199</v>
      </c>
      <c r="G4865">
        <v>1</v>
      </c>
      <c r="H4865" t="s">
        <v>16</v>
      </c>
      <c r="I4865" s="1">
        <v>-3158800</v>
      </c>
      <c r="J4865" s="1">
        <v>-5263300</v>
      </c>
      <c r="K4865">
        <v>245</v>
      </c>
      <c r="L4865">
        <v>244</v>
      </c>
      <c r="M4865" t="s">
        <v>16</v>
      </c>
    </row>
    <row r="4866" spans="1:13" x14ac:dyDescent="0.35">
      <c r="A4866">
        <v>431247</v>
      </c>
      <c r="B4866">
        <v>52442</v>
      </c>
      <c r="C4866" t="s">
        <v>4995</v>
      </c>
      <c r="D4866" t="s">
        <v>4719</v>
      </c>
      <c r="E4866" t="s">
        <v>4822</v>
      </c>
      <c r="F4866">
        <v>5599</v>
      </c>
      <c r="G4866">
        <v>1</v>
      </c>
      <c r="H4866" t="s">
        <v>16</v>
      </c>
      <c r="I4866" s="1">
        <v>-2953800</v>
      </c>
      <c r="J4866" s="1">
        <v>-5108100</v>
      </c>
      <c r="K4866">
        <v>492</v>
      </c>
      <c r="L4866">
        <v>88</v>
      </c>
      <c r="M4866" t="s">
        <v>16</v>
      </c>
    </row>
    <row r="4867" spans="1:13" x14ac:dyDescent="0.35">
      <c r="A4867">
        <v>431250</v>
      </c>
      <c r="B4867">
        <v>40452</v>
      </c>
      <c r="C4867" t="s">
        <v>4996</v>
      </c>
      <c r="D4867" t="s">
        <v>4719</v>
      </c>
      <c r="E4867" t="s">
        <v>4757</v>
      </c>
      <c r="F4867">
        <v>11903</v>
      </c>
      <c r="G4867">
        <v>1</v>
      </c>
      <c r="H4867" t="s">
        <v>16</v>
      </c>
      <c r="I4867" s="1">
        <v>-3110700</v>
      </c>
      <c r="J4867" s="1">
        <v>-5092100</v>
      </c>
      <c r="K4867">
        <v>17</v>
      </c>
      <c r="L4867">
        <v>1983</v>
      </c>
      <c r="M4867" t="s">
        <v>16</v>
      </c>
    </row>
    <row r="4868" spans="1:13" x14ac:dyDescent="0.35">
      <c r="A4868">
        <v>431260</v>
      </c>
      <c r="B4868">
        <v>40460</v>
      </c>
      <c r="C4868" t="s">
        <v>4997</v>
      </c>
      <c r="D4868" t="s">
        <v>4719</v>
      </c>
      <c r="E4868" t="s">
        <v>4755</v>
      </c>
      <c r="F4868">
        <v>4574</v>
      </c>
      <c r="G4868">
        <v>1</v>
      </c>
      <c r="H4868" t="s">
        <v>16</v>
      </c>
      <c r="I4868" s="1">
        <v>-2916500</v>
      </c>
      <c r="J4868" s="1">
        <v>-5186800</v>
      </c>
      <c r="K4868">
        <v>77</v>
      </c>
      <c r="L4868">
        <v>110</v>
      </c>
      <c r="M4868" t="s">
        <v>16</v>
      </c>
    </row>
    <row r="4869" spans="1:13" x14ac:dyDescent="0.35">
      <c r="A4869">
        <v>431261</v>
      </c>
      <c r="B4869">
        <v>58882</v>
      </c>
      <c r="C4869" t="s">
        <v>4998</v>
      </c>
      <c r="D4869" t="s">
        <v>4719</v>
      </c>
      <c r="E4869" t="s">
        <v>4792</v>
      </c>
      <c r="F4869">
        <v>2969</v>
      </c>
      <c r="G4869">
        <v>1</v>
      </c>
      <c r="H4869" t="s">
        <v>16</v>
      </c>
      <c r="I4869" s="1">
        <v>-2831400</v>
      </c>
      <c r="J4869" s="1">
        <v>-5118200</v>
      </c>
      <c r="K4869">
        <v>937</v>
      </c>
      <c r="L4869">
        <v>1193</v>
      </c>
      <c r="M4869" t="s">
        <v>16</v>
      </c>
    </row>
    <row r="4870" spans="1:13" x14ac:dyDescent="0.35">
      <c r="A4870">
        <v>431262</v>
      </c>
      <c r="B4870">
        <v>52450</v>
      </c>
      <c r="C4870" t="s">
        <v>4999</v>
      </c>
      <c r="D4870" t="s">
        <v>4719</v>
      </c>
      <c r="E4870" t="s">
        <v>4722</v>
      </c>
      <c r="F4870">
        <v>1800</v>
      </c>
      <c r="G4870">
        <v>1</v>
      </c>
      <c r="H4870" t="s">
        <v>16</v>
      </c>
      <c r="I4870" s="1">
        <v>-2832900</v>
      </c>
      <c r="J4870" s="1">
        <v>-5176800</v>
      </c>
      <c r="K4870">
        <v>824</v>
      </c>
      <c r="L4870">
        <v>111</v>
      </c>
      <c r="M4870" t="s">
        <v>16</v>
      </c>
    </row>
    <row r="4871" spans="1:13" x14ac:dyDescent="0.35">
      <c r="A4871">
        <v>431265</v>
      </c>
      <c r="B4871">
        <v>40479</v>
      </c>
      <c r="C4871" t="s">
        <v>5000</v>
      </c>
      <c r="D4871" t="s">
        <v>4719</v>
      </c>
      <c r="E4871" t="s">
        <v>4853</v>
      </c>
      <c r="F4871">
        <v>15228</v>
      </c>
      <c r="G4871">
        <v>1</v>
      </c>
      <c r="H4871" t="s">
        <v>16</v>
      </c>
      <c r="I4871" s="1">
        <v>-2845900</v>
      </c>
      <c r="J4871" s="1">
        <v>-5282100</v>
      </c>
      <c r="K4871">
        <v>514</v>
      </c>
      <c r="L4871">
        <v>361</v>
      </c>
      <c r="M4871" t="s">
        <v>16</v>
      </c>
    </row>
    <row r="4872" spans="1:13" x14ac:dyDescent="0.35">
      <c r="A4872">
        <v>431267</v>
      </c>
      <c r="B4872">
        <v>52469</v>
      </c>
      <c r="C4872" t="s">
        <v>5001</v>
      </c>
      <c r="D4872" t="s">
        <v>4719</v>
      </c>
      <c r="E4872" t="s">
        <v>4722</v>
      </c>
      <c r="F4872">
        <v>1759</v>
      </c>
      <c r="G4872">
        <v>1</v>
      </c>
      <c r="H4872" t="s">
        <v>16</v>
      </c>
      <c r="I4872" s="1">
        <v>-2853600</v>
      </c>
      <c r="J4872" s="1">
        <v>-5246400</v>
      </c>
      <c r="K4872">
        <v>567</v>
      </c>
      <c r="L4872">
        <v>155</v>
      </c>
      <c r="M4872" t="s">
        <v>16</v>
      </c>
    </row>
    <row r="4873" spans="1:13" x14ac:dyDescent="0.35">
      <c r="A4873">
        <v>431270</v>
      </c>
      <c r="B4873">
        <v>40487</v>
      </c>
      <c r="C4873" t="s">
        <v>5002</v>
      </c>
      <c r="D4873" t="s">
        <v>4719</v>
      </c>
      <c r="E4873" t="s">
        <v>4735</v>
      </c>
      <c r="F4873">
        <v>12327</v>
      </c>
      <c r="G4873">
        <v>1</v>
      </c>
      <c r="H4873" t="s">
        <v>16</v>
      </c>
      <c r="I4873" s="1">
        <v>-2736200</v>
      </c>
      <c r="J4873" s="1">
        <v>-5277100</v>
      </c>
      <c r="K4873">
        <v>584</v>
      </c>
      <c r="L4873">
        <v>469</v>
      </c>
      <c r="M4873" t="s">
        <v>16</v>
      </c>
    </row>
    <row r="4874" spans="1:13" x14ac:dyDescent="0.35">
      <c r="A4874">
        <v>431275</v>
      </c>
      <c r="B4874">
        <v>46370</v>
      </c>
      <c r="C4874" t="s">
        <v>5003</v>
      </c>
      <c r="D4874" t="s">
        <v>4719</v>
      </c>
      <c r="E4874" t="s">
        <v>4745</v>
      </c>
      <c r="F4874">
        <v>3058</v>
      </c>
      <c r="G4874">
        <v>1</v>
      </c>
      <c r="H4874" t="s">
        <v>16</v>
      </c>
      <c r="I4874" s="1">
        <v>-2867800</v>
      </c>
      <c r="J4874" s="1">
        <v>-5216600</v>
      </c>
      <c r="K4874">
        <v>427</v>
      </c>
      <c r="L4874">
        <v>149</v>
      </c>
      <c r="M4874" t="s">
        <v>16</v>
      </c>
    </row>
    <row r="4875" spans="1:13" x14ac:dyDescent="0.35">
      <c r="A4875">
        <v>431280</v>
      </c>
      <c r="B4875">
        <v>40495</v>
      </c>
      <c r="C4875" t="s">
        <v>5004</v>
      </c>
      <c r="D4875" t="s">
        <v>4719</v>
      </c>
      <c r="E4875" t="s">
        <v>4745</v>
      </c>
      <c r="F4875">
        <v>3775</v>
      </c>
      <c r="G4875">
        <v>1</v>
      </c>
      <c r="H4875" t="s">
        <v>16</v>
      </c>
      <c r="I4875" s="1">
        <v>-2865900</v>
      </c>
      <c r="J4875" s="1">
        <v>-5174500</v>
      </c>
      <c r="K4875">
        <v>597</v>
      </c>
      <c r="L4875">
        <v>74</v>
      </c>
      <c r="M4875" t="s">
        <v>16</v>
      </c>
    </row>
    <row r="4876" spans="1:13" x14ac:dyDescent="0.35">
      <c r="A4876">
        <v>431290</v>
      </c>
      <c r="B4876">
        <v>40509</v>
      </c>
      <c r="C4876" t="s">
        <v>5005</v>
      </c>
      <c r="D4876" t="s">
        <v>4719</v>
      </c>
      <c r="E4876" t="s">
        <v>4745</v>
      </c>
      <c r="F4876">
        <v>8683</v>
      </c>
      <c r="G4876">
        <v>1</v>
      </c>
      <c r="H4876" t="s">
        <v>16</v>
      </c>
      <c r="I4876" s="1">
        <v>-2872400</v>
      </c>
      <c r="J4876" s="1">
        <v>-5170500</v>
      </c>
      <c r="K4876">
        <v>563</v>
      </c>
      <c r="L4876">
        <v>211</v>
      </c>
      <c r="M4876" t="s">
        <v>16</v>
      </c>
    </row>
    <row r="4877" spans="1:13" x14ac:dyDescent="0.35">
      <c r="A4877">
        <v>431295</v>
      </c>
      <c r="B4877">
        <v>52477</v>
      </c>
      <c r="C4877" t="s">
        <v>5006</v>
      </c>
      <c r="D4877" t="s">
        <v>4719</v>
      </c>
      <c r="E4877" t="s">
        <v>4733</v>
      </c>
      <c r="F4877">
        <v>2083</v>
      </c>
      <c r="G4877">
        <v>1</v>
      </c>
      <c r="H4877" t="s">
        <v>16</v>
      </c>
      <c r="I4877" s="1">
        <v>-2799400</v>
      </c>
      <c r="J4877" s="1">
        <v>-5297900</v>
      </c>
      <c r="K4877">
        <v>435</v>
      </c>
      <c r="L4877">
        <v>94</v>
      </c>
      <c r="M4877" t="s">
        <v>16</v>
      </c>
    </row>
    <row r="4878" spans="1:13" x14ac:dyDescent="0.35">
      <c r="A4878">
        <v>431300</v>
      </c>
      <c r="B4878">
        <v>40517</v>
      </c>
      <c r="C4878" t="s">
        <v>5007</v>
      </c>
      <c r="D4878" t="s">
        <v>4719</v>
      </c>
      <c r="E4878" t="s">
        <v>4755</v>
      </c>
      <c r="F4878">
        <v>3162</v>
      </c>
      <c r="G4878">
        <v>1</v>
      </c>
      <c r="H4878" t="s">
        <v>16</v>
      </c>
      <c r="I4878" s="1">
        <v>-2921400</v>
      </c>
      <c r="J4878" s="1">
        <v>-5202800</v>
      </c>
      <c r="K4878">
        <v>322</v>
      </c>
      <c r="L4878">
        <v>102</v>
      </c>
      <c r="M4878" t="s">
        <v>16</v>
      </c>
    </row>
    <row r="4879" spans="1:13" x14ac:dyDescent="0.35">
      <c r="A4879">
        <v>431301</v>
      </c>
      <c r="B4879">
        <v>56693</v>
      </c>
      <c r="C4879" t="s">
        <v>5008</v>
      </c>
      <c r="D4879" t="s">
        <v>4719</v>
      </c>
      <c r="E4879" t="s">
        <v>4778</v>
      </c>
      <c r="F4879">
        <v>2739</v>
      </c>
      <c r="G4879">
        <v>1</v>
      </c>
      <c r="H4879" t="s">
        <v>16</v>
      </c>
      <c r="I4879" s="1">
        <v>-2760700</v>
      </c>
      <c r="J4879" s="1">
        <v>-5410700</v>
      </c>
      <c r="K4879">
        <v>303</v>
      </c>
      <c r="L4879">
        <v>97</v>
      </c>
      <c r="M4879" t="s">
        <v>16</v>
      </c>
    </row>
    <row r="4880" spans="1:13" x14ac:dyDescent="0.35">
      <c r="A4880">
        <v>431303</v>
      </c>
      <c r="B4880">
        <v>46388</v>
      </c>
      <c r="C4880" t="s">
        <v>5009</v>
      </c>
      <c r="D4880" t="s">
        <v>4719</v>
      </c>
      <c r="E4880" t="s">
        <v>1329</v>
      </c>
      <c r="F4880">
        <v>4775</v>
      </c>
      <c r="G4880">
        <v>1</v>
      </c>
      <c r="H4880" t="s">
        <v>16</v>
      </c>
      <c r="I4880" s="1">
        <v>-2941000</v>
      </c>
      <c r="J4880" s="1">
        <v>-5482900</v>
      </c>
      <c r="K4880">
        <v>318</v>
      </c>
      <c r="L4880">
        <v>191</v>
      </c>
      <c r="M4880" t="s">
        <v>16</v>
      </c>
    </row>
    <row r="4881" spans="1:13" x14ac:dyDescent="0.35">
      <c r="A4881">
        <v>431306</v>
      </c>
      <c r="B4881">
        <v>46396</v>
      </c>
      <c r="C4881" t="s">
        <v>5010</v>
      </c>
      <c r="D4881" t="s">
        <v>4719</v>
      </c>
      <c r="E4881" t="s">
        <v>4739</v>
      </c>
      <c r="F4881">
        <v>16688</v>
      </c>
      <c r="G4881">
        <v>4</v>
      </c>
      <c r="H4881" t="s">
        <v>4740</v>
      </c>
      <c r="I4881" s="1">
        <v>-2958300</v>
      </c>
      <c r="J4881" s="1">
        <v>-5090200</v>
      </c>
      <c r="K4881">
        <v>36</v>
      </c>
      <c r="L4881">
        <v>62</v>
      </c>
      <c r="M4881" t="s">
        <v>16</v>
      </c>
    </row>
    <row r="4882" spans="1:13" x14ac:dyDescent="0.35">
      <c r="A4882">
        <v>431308</v>
      </c>
      <c r="B4882">
        <v>52485</v>
      </c>
      <c r="C4882" t="s">
        <v>5011</v>
      </c>
      <c r="D4882" t="s">
        <v>4719</v>
      </c>
      <c r="E4882" t="s">
        <v>4748</v>
      </c>
      <c r="F4882">
        <v>2484</v>
      </c>
      <c r="G4882">
        <v>4</v>
      </c>
      <c r="H4882" t="s">
        <v>4786</v>
      </c>
      <c r="I4882" s="1">
        <v>-2902900</v>
      </c>
      <c r="J4882" s="1">
        <v>-5130700</v>
      </c>
      <c r="K4882">
        <v>638</v>
      </c>
      <c r="L4882">
        <v>103</v>
      </c>
      <c r="M4882" t="s">
        <v>16</v>
      </c>
    </row>
    <row r="4883" spans="1:13" x14ac:dyDescent="0.35">
      <c r="A4883">
        <v>431310</v>
      </c>
      <c r="B4883">
        <v>40525</v>
      </c>
      <c r="C4883" t="s">
        <v>5012</v>
      </c>
      <c r="D4883" t="s">
        <v>4719</v>
      </c>
      <c r="E4883" t="s">
        <v>4724</v>
      </c>
      <c r="F4883">
        <v>6432</v>
      </c>
      <c r="G4883">
        <v>1</v>
      </c>
      <c r="H4883" t="s">
        <v>16</v>
      </c>
      <c r="I4883" s="1">
        <v>-2947200</v>
      </c>
      <c r="J4883" s="1">
        <v>-5346900</v>
      </c>
      <c r="K4883">
        <v>117</v>
      </c>
      <c r="L4883">
        <v>313</v>
      </c>
      <c r="M4883" t="s">
        <v>16</v>
      </c>
    </row>
    <row r="4884" spans="1:13" x14ac:dyDescent="0.35">
      <c r="A4884">
        <v>431320</v>
      </c>
      <c r="B4884">
        <v>40533</v>
      </c>
      <c r="C4884" t="s">
        <v>5013</v>
      </c>
      <c r="D4884" t="s">
        <v>4719</v>
      </c>
      <c r="E4884" t="s">
        <v>4822</v>
      </c>
      <c r="F4884">
        <v>17747</v>
      </c>
      <c r="G4884">
        <v>1</v>
      </c>
      <c r="H4884" t="s">
        <v>16</v>
      </c>
      <c r="I4884" s="1">
        <v>-2937600</v>
      </c>
      <c r="J4884" s="1">
        <v>-5111400</v>
      </c>
      <c r="K4884">
        <v>579</v>
      </c>
      <c r="L4884">
        <v>291</v>
      </c>
      <c r="M4884" t="s">
        <v>16</v>
      </c>
    </row>
    <row r="4885" spans="1:13" x14ac:dyDescent="0.35">
      <c r="A4885">
        <v>431330</v>
      </c>
      <c r="B4885">
        <v>40541</v>
      </c>
      <c r="C4885" t="s">
        <v>5014</v>
      </c>
      <c r="D4885" t="s">
        <v>4719</v>
      </c>
      <c r="E4885" t="s">
        <v>4745</v>
      </c>
      <c r="F4885">
        <v>22257</v>
      </c>
      <c r="G4885">
        <v>1</v>
      </c>
      <c r="H4885" t="s">
        <v>16</v>
      </c>
      <c r="I4885" s="1">
        <v>-2878400</v>
      </c>
      <c r="J4885" s="1">
        <v>-5161000</v>
      </c>
      <c r="K4885">
        <v>662</v>
      </c>
      <c r="L4885">
        <v>258</v>
      </c>
      <c r="M4885" t="s">
        <v>16</v>
      </c>
    </row>
    <row r="4886" spans="1:13" x14ac:dyDescent="0.35">
      <c r="A4886">
        <v>431333</v>
      </c>
      <c r="B4886">
        <v>58890</v>
      </c>
      <c r="C4886" t="s">
        <v>5015</v>
      </c>
      <c r="D4886" t="s">
        <v>4719</v>
      </c>
      <c r="E4886" t="s">
        <v>4726</v>
      </c>
      <c r="F4886">
        <v>2461</v>
      </c>
      <c r="G4886">
        <v>1</v>
      </c>
      <c r="H4886" t="s">
        <v>16</v>
      </c>
      <c r="I4886" s="1">
        <v>-2806400</v>
      </c>
      <c r="J4886" s="1">
        <v>-5369700</v>
      </c>
      <c r="K4886">
        <v>511</v>
      </c>
      <c r="L4886">
        <v>254</v>
      </c>
      <c r="M4886" t="s">
        <v>16</v>
      </c>
    </row>
    <row r="4887" spans="1:13" x14ac:dyDescent="0.35">
      <c r="A4887">
        <v>431335</v>
      </c>
      <c r="B4887">
        <v>46400</v>
      </c>
      <c r="C4887" t="s">
        <v>5016</v>
      </c>
      <c r="D4887" t="s">
        <v>4719</v>
      </c>
      <c r="E4887" t="s">
        <v>4748</v>
      </c>
      <c r="F4887">
        <v>3490</v>
      </c>
      <c r="G4887">
        <v>1</v>
      </c>
      <c r="H4887" t="s">
        <v>16</v>
      </c>
      <c r="I4887" s="1">
        <v>-2899000</v>
      </c>
      <c r="J4887" s="1">
        <v>-5140800</v>
      </c>
      <c r="K4887">
        <v>591</v>
      </c>
      <c r="L4887">
        <v>149</v>
      </c>
      <c r="M4887" t="s">
        <v>16</v>
      </c>
    </row>
    <row r="4888" spans="1:13" x14ac:dyDescent="0.35">
      <c r="A4888">
        <v>431337</v>
      </c>
      <c r="B4888">
        <v>52493</v>
      </c>
      <c r="C4888" t="s">
        <v>946</v>
      </c>
      <c r="D4888" t="s">
        <v>4719</v>
      </c>
      <c r="E4888" t="s">
        <v>4739</v>
      </c>
      <c r="F4888">
        <v>20591</v>
      </c>
      <c r="G4888">
        <v>4</v>
      </c>
      <c r="H4888" t="s">
        <v>4740</v>
      </c>
      <c r="I4888" s="1">
        <v>-2985700</v>
      </c>
      <c r="J4888" s="1">
        <v>-5127400</v>
      </c>
      <c r="K4888">
        <v>63</v>
      </c>
      <c r="L4888">
        <v>217</v>
      </c>
      <c r="M4888" t="s">
        <v>16</v>
      </c>
    </row>
    <row r="4889" spans="1:13" x14ac:dyDescent="0.35">
      <c r="A4889">
        <v>431339</v>
      </c>
      <c r="B4889">
        <v>58904</v>
      </c>
      <c r="C4889" t="s">
        <v>5017</v>
      </c>
      <c r="D4889" t="s">
        <v>4719</v>
      </c>
      <c r="E4889" t="s">
        <v>4805</v>
      </c>
      <c r="F4889">
        <v>3766</v>
      </c>
      <c r="G4889">
        <v>1</v>
      </c>
      <c r="H4889" t="s">
        <v>16</v>
      </c>
      <c r="I4889" s="1">
        <v>-2973500</v>
      </c>
      <c r="J4889" s="1">
        <v>-5294800</v>
      </c>
      <c r="K4889">
        <v>50</v>
      </c>
      <c r="L4889">
        <v>192</v>
      </c>
      <c r="M4889" t="s">
        <v>16</v>
      </c>
    </row>
    <row r="4890" spans="1:13" x14ac:dyDescent="0.35">
      <c r="A4890">
        <v>431340</v>
      </c>
      <c r="B4890">
        <v>40550</v>
      </c>
      <c r="C4890" t="s">
        <v>5018</v>
      </c>
      <c r="D4890" t="s">
        <v>4719</v>
      </c>
      <c r="E4890" t="s">
        <v>4739</v>
      </c>
      <c r="F4890">
        <v>253067</v>
      </c>
      <c r="G4890">
        <v>4</v>
      </c>
      <c r="H4890" t="s">
        <v>4740</v>
      </c>
      <c r="I4890" s="1">
        <v>-2967800</v>
      </c>
      <c r="J4890" s="1">
        <v>-5113100</v>
      </c>
      <c r="K4890">
        <v>57</v>
      </c>
      <c r="L4890">
        <v>223</v>
      </c>
      <c r="M4890" t="s">
        <v>16</v>
      </c>
    </row>
    <row r="4891" spans="1:13" x14ac:dyDescent="0.35">
      <c r="A4891">
        <v>431342</v>
      </c>
      <c r="B4891">
        <v>52507</v>
      </c>
      <c r="C4891" t="s">
        <v>5019</v>
      </c>
      <c r="D4891" t="s">
        <v>4719</v>
      </c>
      <c r="E4891" t="s">
        <v>4728</v>
      </c>
      <c r="F4891">
        <v>4246</v>
      </c>
      <c r="G4891">
        <v>1</v>
      </c>
      <c r="H4891" t="s">
        <v>16</v>
      </c>
      <c r="I4891" s="1">
        <v>-2757400</v>
      </c>
      <c r="J4891" s="1">
        <v>-5450500</v>
      </c>
      <c r="K4891">
        <v>256</v>
      </c>
      <c r="L4891">
        <v>218</v>
      </c>
      <c r="M4891" t="s">
        <v>16</v>
      </c>
    </row>
    <row r="4892" spans="1:13" x14ac:dyDescent="0.35">
      <c r="A4892">
        <v>431344</v>
      </c>
      <c r="B4892">
        <v>52515</v>
      </c>
      <c r="C4892" t="s">
        <v>5020</v>
      </c>
      <c r="D4892" t="s">
        <v>4719</v>
      </c>
      <c r="E4892" t="s">
        <v>4735</v>
      </c>
      <c r="F4892">
        <v>2331</v>
      </c>
      <c r="G4892">
        <v>1</v>
      </c>
      <c r="H4892" t="s">
        <v>16</v>
      </c>
      <c r="I4892" s="1">
        <v>-2756300</v>
      </c>
      <c r="J4892" s="1">
        <v>-5318200</v>
      </c>
      <c r="K4892">
        <v>384</v>
      </c>
      <c r="L4892">
        <v>75</v>
      </c>
      <c r="M4892" t="s">
        <v>16</v>
      </c>
    </row>
    <row r="4893" spans="1:13" x14ac:dyDescent="0.35">
      <c r="A4893">
        <v>431346</v>
      </c>
      <c r="B4893">
        <v>59919</v>
      </c>
      <c r="C4893" t="s">
        <v>5021</v>
      </c>
      <c r="D4893" t="s">
        <v>4719</v>
      </c>
      <c r="E4893" t="s">
        <v>4735</v>
      </c>
      <c r="F4893">
        <v>1858</v>
      </c>
      <c r="G4893">
        <v>1</v>
      </c>
      <c r="H4893" t="s">
        <v>16</v>
      </c>
      <c r="I4893" s="1">
        <v>-2774700</v>
      </c>
      <c r="J4893" s="1">
        <v>-5305400</v>
      </c>
      <c r="K4893">
        <v>0</v>
      </c>
      <c r="L4893">
        <v>80</v>
      </c>
      <c r="M4893" t="s">
        <v>16</v>
      </c>
    </row>
    <row r="4894" spans="1:13" x14ac:dyDescent="0.35">
      <c r="A4894">
        <v>431349</v>
      </c>
      <c r="B4894">
        <v>52523</v>
      </c>
      <c r="C4894" t="s">
        <v>5022</v>
      </c>
      <c r="D4894" t="s">
        <v>4719</v>
      </c>
      <c r="E4894" t="s">
        <v>4733</v>
      </c>
      <c r="F4894">
        <v>3858</v>
      </c>
      <c r="G4894">
        <v>1</v>
      </c>
      <c r="H4894" t="s">
        <v>16</v>
      </c>
      <c r="I4894" s="1">
        <v>-2790900</v>
      </c>
      <c r="J4894" s="1">
        <v>-5310800</v>
      </c>
      <c r="K4894">
        <v>449</v>
      </c>
      <c r="L4894">
        <v>123</v>
      </c>
      <c r="M4894" t="s">
        <v>16</v>
      </c>
    </row>
    <row r="4895" spans="1:13" x14ac:dyDescent="0.35">
      <c r="A4895">
        <v>431350</v>
      </c>
      <c r="B4895">
        <v>40568</v>
      </c>
      <c r="C4895" t="s">
        <v>5023</v>
      </c>
      <c r="D4895" t="s">
        <v>4719</v>
      </c>
      <c r="E4895" t="s">
        <v>4757</v>
      </c>
      <c r="F4895">
        <v>39290</v>
      </c>
      <c r="G4895">
        <v>4</v>
      </c>
      <c r="H4895" t="s">
        <v>4758</v>
      </c>
      <c r="I4895" s="1">
        <v>-2988700</v>
      </c>
      <c r="J4895" s="1">
        <v>-5027000</v>
      </c>
      <c r="K4895">
        <v>16</v>
      </c>
      <c r="L4895">
        <v>663</v>
      </c>
      <c r="M4895" t="s">
        <v>16</v>
      </c>
    </row>
    <row r="4896" spans="1:13" x14ac:dyDescent="0.35">
      <c r="A4896">
        <v>431360</v>
      </c>
      <c r="B4896">
        <v>40576</v>
      </c>
      <c r="C4896" t="s">
        <v>5024</v>
      </c>
      <c r="D4896" t="s">
        <v>4719</v>
      </c>
      <c r="E4896" t="s">
        <v>4776</v>
      </c>
      <c r="F4896">
        <v>4480</v>
      </c>
      <c r="G4896">
        <v>1</v>
      </c>
      <c r="H4896" t="s">
        <v>16</v>
      </c>
      <c r="I4896" s="1">
        <v>-2771100</v>
      </c>
      <c r="J4896" s="1">
        <v>-5176100</v>
      </c>
      <c r="K4896">
        <v>576</v>
      </c>
      <c r="L4896">
        <v>182</v>
      </c>
      <c r="M4896" t="s">
        <v>16</v>
      </c>
    </row>
    <row r="4897" spans="1:13" x14ac:dyDescent="0.35">
      <c r="A4897">
        <v>431365</v>
      </c>
      <c r="B4897">
        <v>7552</v>
      </c>
      <c r="C4897" t="s">
        <v>5025</v>
      </c>
      <c r="D4897" t="s">
        <v>4719</v>
      </c>
      <c r="E4897" t="s">
        <v>4757</v>
      </c>
      <c r="F4897">
        <v>11423</v>
      </c>
      <c r="G4897">
        <v>4</v>
      </c>
      <c r="H4897" t="s">
        <v>4758</v>
      </c>
      <c r="I4897" s="1">
        <v>-3025800</v>
      </c>
      <c r="J4897" s="1">
        <v>-5051000</v>
      </c>
      <c r="K4897">
        <v>9</v>
      </c>
      <c r="L4897">
        <v>946</v>
      </c>
      <c r="M4897" t="s">
        <v>16</v>
      </c>
    </row>
    <row r="4898" spans="1:13" x14ac:dyDescent="0.35">
      <c r="A4898">
        <v>431370</v>
      </c>
      <c r="B4898">
        <v>40584</v>
      </c>
      <c r="C4898" t="s">
        <v>5026</v>
      </c>
      <c r="D4898" t="s">
        <v>4719</v>
      </c>
      <c r="E4898" t="s">
        <v>4733</v>
      </c>
      <c r="F4898">
        <v>33846</v>
      </c>
      <c r="G4898">
        <v>1</v>
      </c>
      <c r="H4898" t="s">
        <v>16</v>
      </c>
      <c r="I4898" s="1">
        <v>-2789900</v>
      </c>
      <c r="J4898" s="1">
        <v>-5331400</v>
      </c>
      <c r="K4898">
        <v>639</v>
      </c>
      <c r="L4898">
        <v>1415</v>
      </c>
      <c r="M4898" t="s">
        <v>16</v>
      </c>
    </row>
    <row r="4899" spans="1:13" x14ac:dyDescent="0.35">
      <c r="A4899">
        <v>431380</v>
      </c>
      <c r="B4899">
        <v>40592</v>
      </c>
      <c r="C4899" t="s">
        <v>5027</v>
      </c>
      <c r="D4899" t="s">
        <v>4719</v>
      </c>
      <c r="E4899" t="s">
        <v>4735</v>
      </c>
      <c r="F4899">
        <v>6905</v>
      </c>
      <c r="G4899">
        <v>1</v>
      </c>
      <c r="H4899" t="s">
        <v>16</v>
      </c>
      <c r="I4899" s="1">
        <v>-2735500</v>
      </c>
      <c r="J4899" s="1">
        <v>-5355500</v>
      </c>
      <c r="K4899">
        <v>516</v>
      </c>
      <c r="L4899">
        <v>144</v>
      </c>
      <c r="M4899" t="s">
        <v>16</v>
      </c>
    </row>
    <row r="4900" spans="1:13" x14ac:dyDescent="0.35">
      <c r="A4900">
        <v>431390</v>
      </c>
      <c r="B4900">
        <v>40606</v>
      </c>
      <c r="C4900" t="s">
        <v>5028</v>
      </c>
      <c r="D4900" t="s">
        <v>4719</v>
      </c>
      <c r="E4900" t="s">
        <v>4726</v>
      </c>
      <c r="F4900">
        <v>36360</v>
      </c>
      <c r="G4900">
        <v>1</v>
      </c>
      <c r="H4900" t="s">
        <v>16</v>
      </c>
      <c r="I4900" s="1">
        <v>-2829300</v>
      </c>
      <c r="J4900" s="1">
        <v>-5350200</v>
      </c>
      <c r="K4900">
        <v>418</v>
      </c>
      <c r="L4900">
        <v>490</v>
      </c>
      <c r="M4900" t="s">
        <v>16</v>
      </c>
    </row>
    <row r="4901" spans="1:13" x14ac:dyDescent="0.35">
      <c r="A4901">
        <v>431395</v>
      </c>
      <c r="B4901">
        <v>46418</v>
      </c>
      <c r="C4901" t="s">
        <v>5029</v>
      </c>
      <c r="D4901" t="s">
        <v>4719</v>
      </c>
      <c r="E4901" t="s">
        <v>4805</v>
      </c>
      <c r="F4901">
        <v>9816</v>
      </c>
      <c r="G4901">
        <v>1</v>
      </c>
      <c r="H4901" t="s">
        <v>16</v>
      </c>
      <c r="I4901" s="1">
        <v>-3019100</v>
      </c>
      <c r="J4901" s="1">
        <v>-5237400</v>
      </c>
      <c r="K4901">
        <v>100</v>
      </c>
      <c r="L4901">
        <v>847</v>
      </c>
      <c r="M4901" t="s">
        <v>16</v>
      </c>
    </row>
    <row r="4902" spans="1:13" x14ac:dyDescent="0.35">
      <c r="A4902">
        <v>431400</v>
      </c>
      <c r="B4902">
        <v>40614</v>
      </c>
      <c r="C4902" t="s">
        <v>5030</v>
      </c>
      <c r="D4902" t="s">
        <v>4719</v>
      </c>
      <c r="E4902" t="s">
        <v>4745</v>
      </c>
      <c r="F4902">
        <v>6577</v>
      </c>
      <c r="G4902">
        <v>1</v>
      </c>
      <c r="H4902" t="s">
        <v>16</v>
      </c>
      <c r="I4902" s="1">
        <v>-2859400</v>
      </c>
      <c r="J4902" s="1">
        <v>-5178600</v>
      </c>
      <c r="K4902">
        <v>657</v>
      </c>
      <c r="L4902">
        <v>120</v>
      </c>
      <c r="M4902" t="s">
        <v>16</v>
      </c>
    </row>
    <row r="4903" spans="1:13" x14ac:dyDescent="0.35">
      <c r="A4903">
        <v>431402</v>
      </c>
      <c r="B4903">
        <v>46426</v>
      </c>
      <c r="C4903" t="s">
        <v>5031</v>
      </c>
      <c r="D4903" t="s">
        <v>4719</v>
      </c>
      <c r="E4903" t="s">
        <v>4805</v>
      </c>
      <c r="F4903">
        <v>7346</v>
      </c>
      <c r="G4903">
        <v>1</v>
      </c>
      <c r="H4903" t="s">
        <v>16</v>
      </c>
      <c r="I4903" s="1">
        <v>-2966900</v>
      </c>
      <c r="J4903" s="1">
        <v>-5314900</v>
      </c>
      <c r="K4903">
        <v>108</v>
      </c>
      <c r="L4903">
        <v>342</v>
      </c>
      <c r="M4903" t="s">
        <v>16</v>
      </c>
    </row>
    <row r="4904" spans="1:13" x14ac:dyDescent="0.35">
      <c r="A4904">
        <v>431403</v>
      </c>
      <c r="B4904">
        <v>52531</v>
      </c>
      <c r="C4904" t="s">
        <v>5032</v>
      </c>
      <c r="D4904" t="s">
        <v>4719</v>
      </c>
      <c r="E4904" t="s">
        <v>4738</v>
      </c>
      <c r="F4904">
        <v>3151</v>
      </c>
      <c r="G4904">
        <v>1</v>
      </c>
      <c r="H4904" t="s">
        <v>16</v>
      </c>
      <c r="I4904" s="1">
        <v>-2963800</v>
      </c>
      <c r="J4904" s="1">
        <v>-5139800</v>
      </c>
      <c r="K4904">
        <v>29</v>
      </c>
      <c r="L4904">
        <v>57</v>
      </c>
      <c r="M4904" t="s">
        <v>16</v>
      </c>
    </row>
    <row r="4905" spans="1:13" x14ac:dyDescent="0.35">
      <c r="A4905">
        <v>431405</v>
      </c>
      <c r="B4905">
        <v>7560</v>
      </c>
      <c r="C4905" t="s">
        <v>5033</v>
      </c>
      <c r="D4905" t="s">
        <v>4719</v>
      </c>
      <c r="E4905" t="s">
        <v>4739</v>
      </c>
      <c r="F4905">
        <v>48713</v>
      </c>
      <c r="G4905">
        <v>4</v>
      </c>
      <c r="H4905" t="s">
        <v>4740</v>
      </c>
      <c r="I4905" s="1">
        <v>-2962900</v>
      </c>
      <c r="J4905" s="1">
        <v>-5083500</v>
      </c>
      <c r="K4905">
        <v>133</v>
      </c>
      <c r="L4905">
        <v>109</v>
      </c>
      <c r="M4905" t="s">
        <v>16</v>
      </c>
    </row>
    <row r="4906" spans="1:13" x14ac:dyDescent="0.35">
      <c r="A4906">
        <v>431406</v>
      </c>
      <c r="B4906">
        <v>58912</v>
      </c>
      <c r="C4906" t="s">
        <v>5034</v>
      </c>
      <c r="D4906" t="s">
        <v>4719</v>
      </c>
      <c r="E4906" t="s">
        <v>4765</v>
      </c>
      <c r="F4906">
        <v>4996</v>
      </c>
      <c r="G4906">
        <v>1</v>
      </c>
      <c r="H4906" t="s">
        <v>16</v>
      </c>
      <c r="I4906" s="1">
        <v>-2945300</v>
      </c>
      <c r="J4906" s="1">
        <v>-5296100</v>
      </c>
      <c r="K4906">
        <v>589</v>
      </c>
      <c r="L4906">
        <v>304</v>
      </c>
      <c r="M4906" t="s">
        <v>16</v>
      </c>
    </row>
    <row r="4907" spans="1:13" x14ac:dyDescent="0.35">
      <c r="A4907">
        <v>431407</v>
      </c>
      <c r="B4907">
        <v>52540</v>
      </c>
      <c r="C4907" t="s">
        <v>5035</v>
      </c>
      <c r="D4907" t="s">
        <v>4719</v>
      </c>
      <c r="E4907" t="s">
        <v>4805</v>
      </c>
      <c r="F4907">
        <v>5967</v>
      </c>
      <c r="G4907">
        <v>1</v>
      </c>
      <c r="H4907" t="s">
        <v>16</v>
      </c>
      <c r="I4907" s="1">
        <v>-2974800</v>
      </c>
      <c r="J4907" s="1">
        <v>-5227500</v>
      </c>
      <c r="K4907">
        <v>109</v>
      </c>
      <c r="L4907">
        <v>265</v>
      </c>
      <c r="M4907" t="s">
        <v>16</v>
      </c>
    </row>
    <row r="4908" spans="1:13" x14ac:dyDescent="0.35">
      <c r="A4908">
        <v>431410</v>
      </c>
      <c r="B4908">
        <v>40622</v>
      </c>
      <c r="C4908" t="s">
        <v>4722</v>
      </c>
      <c r="D4908" t="s">
        <v>4719</v>
      </c>
      <c r="E4908" t="s">
        <v>4722</v>
      </c>
      <c r="F4908">
        <v>183300</v>
      </c>
      <c r="G4908">
        <v>3</v>
      </c>
      <c r="H4908" t="s">
        <v>16</v>
      </c>
      <c r="I4908" s="1">
        <v>-2826300</v>
      </c>
      <c r="J4908" s="1">
        <v>-5240700</v>
      </c>
      <c r="K4908">
        <v>687</v>
      </c>
      <c r="L4908">
        <v>780</v>
      </c>
      <c r="M4908" t="s">
        <v>16</v>
      </c>
    </row>
    <row r="4909" spans="1:13" x14ac:dyDescent="0.35">
      <c r="A4909">
        <v>431413</v>
      </c>
      <c r="B4909">
        <v>59757</v>
      </c>
      <c r="C4909" t="s">
        <v>5036</v>
      </c>
      <c r="D4909" t="s">
        <v>4719</v>
      </c>
      <c r="E4909" t="s">
        <v>4753</v>
      </c>
      <c r="F4909">
        <v>2090</v>
      </c>
      <c r="G4909">
        <v>1</v>
      </c>
      <c r="H4909" t="s">
        <v>16</v>
      </c>
      <c r="I4909" s="1">
        <v>-2770300</v>
      </c>
      <c r="J4909" s="1">
        <v>-5242100</v>
      </c>
      <c r="K4909">
        <v>0</v>
      </c>
      <c r="L4909">
        <v>148</v>
      </c>
      <c r="M4909" t="s">
        <v>16</v>
      </c>
    </row>
    <row r="4910" spans="1:13" x14ac:dyDescent="0.35">
      <c r="A4910">
        <v>431415</v>
      </c>
      <c r="B4910">
        <v>46434</v>
      </c>
      <c r="C4910" t="s">
        <v>5037</v>
      </c>
      <c r="D4910" t="s">
        <v>4719</v>
      </c>
      <c r="E4910" t="s">
        <v>4755</v>
      </c>
      <c r="F4910">
        <v>7616</v>
      </c>
      <c r="G4910">
        <v>1</v>
      </c>
      <c r="H4910" t="s">
        <v>16</v>
      </c>
      <c r="I4910" s="1">
        <v>-2955200</v>
      </c>
      <c r="J4910" s="1">
        <v>-5173300</v>
      </c>
      <c r="K4910">
        <v>105</v>
      </c>
      <c r="L4910">
        <v>171</v>
      </c>
      <c r="M4910" t="s">
        <v>16</v>
      </c>
    </row>
    <row r="4911" spans="1:13" x14ac:dyDescent="0.35">
      <c r="A4911">
        <v>431417</v>
      </c>
      <c r="B4911">
        <v>59765</v>
      </c>
      <c r="C4911" t="s">
        <v>5038</v>
      </c>
      <c r="D4911" t="s">
        <v>4719</v>
      </c>
      <c r="E4911" t="s">
        <v>4742</v>
      </c>
      <c r="F4911">
        <v>2546</v>
      </c>
      <c r="G4911">
        <v>1</v>
      </c>
      <c r="H4911" t="s">
        <v>16</v>
      </c>
      <c r="I4911" s="1">
        <v>-3173200</v>
      </c>
      <c r="J4911" s="1">
        <v>-5358300</v>
      </c>
      <c r="K4911">
        <v>0</v>
      </c>
      <c r="L4911">
        <v>1376</v>
      </c>
      <c r="M4911" t="s">
        <v>16</v>
      </c>
    </row>
    <row r="4912" spans="1:13" x14ac:dyDescent="0.35">
      <c r="A4912">
        <v>431420</v>
      </c>
      <c r="B4912">
        <v>40630</v>
      </c>
      <c r="C4912" t="s">
        <v>5039</v>
      </c>
      <c r="D4912" t="s">
        <v>4719</v>
      </c>
      <c r="E4912" t="s">
        <v>4760</v>
      </c>
      <c r="F4912">
        <v>8039</v>
      </c>
      <c r="G4912">
        <v>1</v>
      </c>
      <c r="H4912" t="s">
        <v>16</v>
      </c>
      <c r="I4912" s="1">
        <v>-3186400</v>
      </c>
      <c r="J4912" s="1">
        <v>-5282300</v>
      </c>
      <c r="K4912">
        <v>31</v>
      </c>
      <c r="L4912">
        <v>603</v>
      </c>
      <c r="M4912" t="s">
        <v>16</v>
      </c>
    </row>
    <row r="4913" spans="1:13" x14ac:dyDescent="0.35">
      <c r="A4913">
        <v>431430</v>
      </c>
      <c r="B4913">
        <v>40649</v>
      </c>
      <c r="C4913" t="s">
        <v>5040</v>
      </c>
      <c r="D4913" t="s">
        <v>4719</v>
      </c>
      <c r="E4913" t="s">
        <v>4726</v>
      </c>
      <c r="F4913">
        <v>3900</v>
      </c>
      <c r="G4913">
        <v>1</v>
      </c>
      <c r="H4913" t="s">
        <v>16</v>
      </c>
      <c r="I4913" s="1">
        <v>-2842300</v>
      </c>
      <c r="J4913" s="1">
        <v>-5365600</v>
      </c>
      <c r="K4913">
        <v>449</v>
      </c>
      <c r="L4913">
        <v>414</v>
      </c>
      <c r="M4913" t="s">
        <v>16</v>
      </c>
    </row>
    <row r="4914" spans="1:13" x14ac:dyDescent="0.35">
      <c r="A4914">
        <v>431440</v>
      </c>
      <c r="B4914">
        <v>40657</v>
      </c>
      <c r="C4914" t="s">
        <v>4760</v>
      </c>
      <c r="D4914" t="s">
        <v>4719</v>
      </c>
      <c r="E4914" t="s">
        <v>4760</v>
      </c>
      <c r="F4914">
        <v>339934</v>
      </c>
      <c r="G4914">
        <v>4</v>
      </c>
      <c r="H4914" t="s">
        <v>4761</v>
      </c>
      <c r="I4914" s="1">
        <v>-3177200</v>
      </c>
      <c r="J4914" s="1">
        <v>-5234300</v>
      </c>
      <c r="K4914">
        <v>17</v>
      </c>
      <c r="L4914">
        <v>1608</v>
      </c>
      <c r="M4914" t="s">
        <v>16</v>
      </c>
    </row>
    <row r="4915" spans="1:13" x14ac:dyDescent="0.35">
      <c r="A4915">
        <v>431442</v>
      </c>
      <c r="B4915">
        <v>52558</v>
      </c>
      <c r="C4915" t="s">
        <v>5041</v>
      </c>
      <c r="D4915" t="s">
        <v>4719</v>
      </c>
      <c r="E4915" t="s">
        <v>4822</v>
      </c>
      <c r="F4915">
        <v>4824</v>
      </c>
      <c r="G4915">
        <v>1</v>
      </c>
      <c r="H4915" t="s">
        <v>16</v>
      </c>
      <c r="I4915" s="1">
        <v>-2944400</v>
      </c>
      <c r="J4915" s="1">
        <v>-5113600</v>
      </c>
      <c r="K4915">
        <v>106</v>
      </c>
      <c r="L4915">
        <v>85</v>
      </c>
      <c r="M4915" t="s">
        <v>16</v>
      </c>
    </row>
    <row r="4916" spans="1:13" x14ac:dyDescent="0.35">
      <c r="A4916">
        <v>431445</v>
      </c>
      <c r="B4916">
        <v>46442</v>
      </c>
      <c r="C4916" t="s">
        <v>5042</v>
      </c>
      <c r="D4916" t="s">
        <v>4719</v>
      </c>
      <c r="E4916" t="s">
        <v>4733</v>
      </c>
      <c r="F4916">
        <v>2362</v>
      </c>
      <c r="G4916">
        <v>1</v>
      </c>
      <c r="H4916" t="s">
        <v>16</v>
      </c>
      <c r="I4916" s="1">
        <v>-2751100</v>
      </c>
      <c r="J4916" s="1">
        <v>-5321500</v>
      </c>
      <c r="K4916">
        <v>368</v>
      </c>
      <c r="L4916">
        <v>68</v>
      </c>
      <c r="M4916" t="s">
        <v>16</v>
      </c>
    </row>
    <row r="4917" spans="1:13" x14ac:dyDescent="0.35">
      <c r="A4917">
        <v>431446</v>
      </c>
      <c r="B4917">
        <v>59773</v>
      </c>
      <c r="C4917" t="s">
        <v>5043</v>
      </c>
      <c r="D4917" t="s">
        <v>4719</v>
      </c>
      <c r="E4917" t="s">
        <v>4792</v>
      </c>
      <c r="F4917">
        <v>2058</v>
      </c>
      <c r="G4917">
        <v>1</v>
      </c>
      <c r="H4917" t="s">
        <v>16</v>
      </c>
      <c r="I4917" s="1">
        <v>-2787400</v>
      </c>
      <c r="J4917" s="1">
        <v>-5117000</v>
      </c>
      <c r="K4917">
        <v>0</v>
      </c>
      <c r="L4917">
        <v>434</v>
      </c>
      <c r="M4917" t="s">
        <v>16</v>
      </c>
    </row>
    <row r="4918" spans="1:13" x14ac:dyDescent="0.35">
      <c r="A4918">
        <v>431447</v>
      </c>
      <c r="B4918">
        <v>52566</v>
      </c>
      <c r="C4918" t="s">
        <v>5044</v>
      </c>
      <c r="D4918" t="s">
        <v>4719</v>
      </c>
      <c r="E4918" t="s">
        <v>4829</v>
      </c>
      <c r="F4918">
        <v>4496</v>
      </c>
      <c r="G4918">
        <v>1</v>
      </c>
      <c r="H4918" t="s">
        <v>16</v>
      </c>
      <c r="I4918" s="1">
        <v>-2934600</v>
      </c>
      <c r="J4918" s="1">
        <v>-5330700</v>
      </c>
      <c r="K4918">
        <v>394</v>
      </c>
      <c r="L4918">
        <v>477</v>
      </c>
      <c r="M4918" t="s">
        <v>16</v>
      </c>
    </row>
    <row r="4919" spans="1:13" x14ac:dyDescent="0.35">
      <c r="A4919">
        <v>431449</v>
      </c>
      <c r="B4919">
        <v>52574</v>
      </c>
      <c r="C4919" t="s">
        <v>5045</v>
      </c>
      <c r="D4919" t="s">
        <v>4719</v>
      </c>
      <c r="E4919" t="s">
        <v>4735</v>
      </c>
      <c r="F4919">
        <v>4411</v>
      </c>
      <c r="G4919">
        <v>1</v>
      </c>
      <c r="H4919" t="s">
        <v>16</v>
      </c>
      <c r="I4919" s="1">
        <v>-2721000</v>
      </c>
      <c r="J4919" s="1">
        <v>-5361200</v>
      </c>
      <c r="K4919">
        <v>187</v>
      </c>
      <c r="L4919">
        <v>105</v>
      </c>
      <c r="M4919" t="s">
        <v>16</v>
      </c>
    </row>
    <row r="4920" spans="1:13" x14ac:dyDescent="0.35">
      <c r="A4920">
        <v>431450</v>
      </c>
      <c r="B4920">
        <v>40665</v>
      </c>
      <c r="C4920" t="s">
        <v>5046</v>
      </c>
      <c r="D4920" t="s">
        <v>4719</v>
      </c>
      <c r="E4920" t="s">
        <v>4742</v>
      </c>
      <c r="F4920">
        <v>12939</v>
      </c>
      <c r="G4920">
        <v>1</v>
      </c>
      <c r="H4920" t="s">
        <v>16</v>
      </c>
      <c r="I4920" s="1">
        <v>-3157800</v>
      </c>
      <c r="J4920" s="1">
        <v>-5338100</v>
      </c>
      <c r="K4920">
        <v>439</v>
      </c>
      <c r="L4920">
        <v>2227</v>
      </c>
      <c r="M4920" t="s">
        <v>16</v>
      </c>
    </row>
    <row r="4921" spans="1:13" x14ac:dyDescent="0.35">
      <c r="A4921">
        <v>431455</v>
      </c>
      <c r="B4921">
        <v>46450</v>
      </c>
      <c r="C4921" t="s">
        <v>5047</v>
      </c>
      <c r="D4921" t="s">
        <v>4719</v>
      </c>
      <c r="E4921" t="s">
        <v>4798</v>
      </c>
      <c r="F4921">
        <v>2988</v>
      </c>
      <c r="G4921">
        <v>1</v>
      </c>
      <c r="H4921" t="s">
        <v>16</v>
      </c>
      <c r="I4921" s="1">
        <v>-2804500</v>
      </c>
      <c r="J4921" s="1">
        <v>-5519900</v>
      </c>
      <c r="K4921">
        <v>125</v>
      </c>
      <c r="L4921">
        <v>291</v>
      </c>
      <c r="M4921" t="s">
        <v>16</v>
      </c>
    </row>
    <row r="4922" spans="1:13" x14ac:dyDescent="0.35">
      <c r="A4922">
        <v>431460</v>
      </c>
      <c r="B4922">
        <v>40673</v>
      </c>
      <c r="C4922" t="s">
        <v>5048</v>
      </c>
      <c r="D4922" t="s">
        <v>4719</v>
      </c>
      <c r="E4922" t="s">
        <v>4742</v>
      </c>
      <c r="F4922">
        <v>20225</v>
      </c>
      <c r="G4922">
        <v>1</v>
      </c>
      <c r="H4922" t="s">
        <v>16</v>
      </c>
      <c r="I4922" s="1">
        <v>-3144800</v>
      </c>
      <c r="J4922" s="1">
        <v>-5310400</v>
      </c>
      <c r="K4922">
        <v>349</v>
      </c>
      <c r="L4922">
        <v>3561</v>
      </c>
      <c r="M4922" t="s">
        <v>16</v>
      </c>
    </row>
    <row r="4923" spans="1:13" x14ac:dyDescent="0.35">
      <c r="A4923">
        <v>431470</v>
      </c>
      <c r="B4923">
        <v>40681</v>
      </c>
      <c r="C4923" t="s">
        <v>2283</v>
      </c>
      <c r="D4923" t="s">
        <v>4719</v>
      </c>
      <c r="E4923" t="s">
        <v>4735</v>
      </c>
      <c r="F4923">
        <v>10589</v>
      </c>
      <c r="G4923">
        <v>1</v>
      </c>
      <c r="H4923" t="s">
        <v>16</v>
      </c>
      <c r="I4923" s="1">
        <v>-2732900</v>
      </c>
      <c r="J4923" s="1">
        <v>-5305900</v>
      </c>
      <c r="K4923">
        <v>568</v>
      </c>
      <c r="L4923">
        <v>230</v>
      </c>
      <c r="M4923" t="s">
        <v>16</v>
      </c>
    </row>
    <row r="4924" spans="1:13" x14ac:dyDescent="0.35">
      <c r="A4924">
        <v>431475</v>
      </c>
      <c r="B4924">
        <v>46469</v>
      </c>
      <c r="C4924" t="s">
        <v>5049</v>
      </c>
      <c r="D4924" t="s">
        <v>4719</v>
      </c>
      <c r="E4924" t="s">
        <v>4738</v>
      </c>
      <c r="F4924">
        <v>1976</v>
      </c>
      <c r="G4924">
        <v>1</v>
      </c>
      <c r="H4924" t="s">
        <v>16</v>
      </c>
      <c r="I4924" s="1">
        <v>-2945000</v>
      </c>
      <c r="J4924" s="1">
        <v>-5167100</v>
      </c>
      <c r="K4924">
        <v>120</v>
      </c>
      <c r="L4924">
        <v>62</v>
      </c>
      <c r="M4924" t="s">
        <v>16</v>
      </c>
    </row>
    <row r="4925" spans="1:13" x14ac:dyDescent="0.35">
      <c r="A4925">
        <v>431477</v>
      </c>
      <c r="B4925">
        <v>52582</v>
      </c>
      <c r="C4925" t="s">
        <v>5050</v>
      </c>
      <c r="D4925" t="s">
        <v>4719</v>
      </c>
      <c r="E4925" t="s">
        <v>4722</v>
      </c>
      <c r="F4925">
        <v>3904</v>
      </c>
      <c r="G4925">
        <v>1</v>
      </c>
      <c r="H4925" t="s">
        <v>16</v>
      </c>
      <c r="I4925" s="1">
        <v>-2805900</v>
      </c>
      <c r="J4925" s="1">
        <v>-5267700</v>
      </c>
      <c r="K4925">
        <v>683</v>
      </c>
      <c r="L4925">
        <v>505</v>
      </c>
      <c r="M4925" t="s">
        <v>16</v>
      </c>
    </row>
    <row r="4926" spans="1:13" x14ac:dyDescent="0.35">
      <c r="A4926">
        <v>431478</v>
      </c>
      <c r="B4926">
        <v>52590</v>
      </c>
      <c r="C4926" t="s">
        <v>5051</v>
      </c>
      <c r="D4926" t="s">
        <v>4719</v>
      </c>
      <c r="E4926" t="s">
        <v>4753</v>
      </c>
      <c r="F4926">
        <v>1840</v>
      </c>
      <c r="G4926">
        <v>1</v>
      </c>
      <c r="H4926" t="s">
        <v>16</v>
      </c>
      <c r="I4926" s="1">
        <v>-2765400</v>
      </c>
      <c r="J4926" s="1">
        <v>-5248800</v>
      </c>
      <c r="K4926">
        <v>547</v>
      </c>
      <c r="L4926">
        <v>100</v>
      </c>
      <c r="M4926" t="s">
        <v>16</v>
      </c>
    </row>
    <row r="4927" spans="1:13" x14ac:dyDescent="0.35">
      <c r="A4927">
        <v>431480</v>
      </c>
      <c r="B4927">
        <v>40690</v>
      </c>
      <c r="C4927" t="s">
        <v>5052</v>
      </c>
      <c r="D4927" t="s">
        <v>4719</v>
      </c>
      <c r="E4927" t="s">
        <v>4738</v>
      </c>
      <c r="F4927">
        <v>28583</v>
      </c>
      <c r="G4927">
        <v>4</v>
      </c>
      <c r="H4927" t="s">
        <v>4740</v>
      </c>
      <c r="I4927" s="1">
        <v>-2970200</v>
      </c>
      <c r="J4927" s="1">
        <v>-5124200</v>
      </c>
      <c r="K4927">
        <v>45</v>
      </c>
      <c r="L4927">
        <v>159</v>
      </c>
      <c r="M4927" t="s">
        <v>16</v>
      </c>
    </row>
    <row r="4928" spans="1:13" x14ac:dyDescent="0.35">
      <c r="A4928">
        <v>431490</v>
      </c>
      <c r="B4928">
        <v>39209</v>
      </c>
      <c r="C4928" t="s">
        <v>4739</v>
      </c>
      <c r="D4928" t="s">
        <v>4719</v>
      </c>
      <c r="E4928" t="s">
        <v>4739</v>
      </c>
      <c r="F4928">
        <v>1420667</v>
      </c>
      <c r="G4928">
        <v>5</v>
      </c>
      <c r="H4928" t="s">
        <v>4740</v>
      </c>
      <c r="I4928" s="1">
        <v>-3003300</v>
      </c>
      <c r="J4928" s="1">
        <v>-5123000</v>
      </c>
      <c r="K4928">
        <v>3</v>
      </c>
      <c r="L4928">
        <v>496</v>
      </c>
      <c r="M4928" t="s">
        <v>16</v>
      </c>
    </row>
    <row r="4929" spans="1:13" x14ac:dyDescent="0.35">
      <c r="A4929">
        <v>431500</v>
      </c>
      <c r="B4929">
        <v>40703</v>
      </c>
      <c r="C4929" t="s">
        <v>5053</v>
      </c>
      <c r="D4929" t="s">
        <v>4719</v>
      </c>
      <c r="E4929" t="s">
        <v>4728</v>
      </c>
      <c r="F4929">
        <v>5631</v>
      </c>
      <c r="G4929">
        <v>1</v>
      </c>
      <c r="H4929" t="s">
        <v>16</v>
      </c>
      <c r="I4929" s="1">
        <v>-2785600</v>
      </c>
      <c r="J4929" s="1">
        <v>-5501600</v>
      </c>
      <c r="K4929">
        <v>114</v>
      </c>
      <c r="L4929">
        <v>250</v>
      </c>
      <c r="M4929" t="s">
        <v>16</v>
      </c>
    </row>
    <row r="4930" spans="1:13" x14ac:dyDescent="0.35">
      <c r="A4930">
        <v>431505</v>
      </c>
      <c r="B4930">
        <v>52604</v>
      </c>
      <c r="C4930" t="s">
        <v>5054</v>
      </c>
      <c r="D4930" t="s">
        <v>4719</v>
      </c>
      <c r="E4930" t="s">
        <v>4728</v>
      </c>
      <c r="F4930">
        <v>2565</v>
      </c>
      <c r="G4930">
        <v>1</v>
      </c>
      <c r="H4930" t="s">
        <v>16</v>
      </c>
      <c r="I4930" s="1">
        <v>-2757500</v>
      </c>
      <c r="J4930" s="1">
        <v>-5466800</v>
      </c>
      <c r="K4930">
        <v>142</v>
      </c>
      <c r="L4930">
        <v>105</v>
      </c>
      <c r="M4930" t="s">
        <v>16</v>
      </c>
    </row>
    <row r="4931" spans="1:13" x14ac:dyDescent="0.35">
      <c r="A4931">
        <v>431507</v>
      </c>
      <c r="B4931">
        <v>52612</v>
      </c>
      <c r="C4931" t="s">
        <v>5055</v>
      </c>
      <c r="D4931" t="s">
        <v>4719</v>
      </c>
      <c r="E4931" t="s">
        <v>4728</v>
      </c>
      <c r="F4931">
        <v>2084</v>
      </c>
      <c r="G4931">
        <v>1</v>
      </c>
      <c r="H4931" t="s">
        <v>16</v>
      </c>
      <c r="I4931" s="1">
        <v>-2773600</v>
      </c>
      <c r="J4931" s="1">
        <v>-5490100</v>
      </c>
      <c r="K4931">
        <v>127</v>
      </c>
      <c r="L4931">
        <v>113</v>
      </c>
      <c r="M4931" t="s">
        <v>16</v>
      </c>
    </row>
    <row r="4932" spans="1:13" x14ac:dyDescent="0.35">
      <c r="A4932">
        <v>431510</v>
      </c>
      <c r="B4932">
        <v>40711</v>
      </c>
      <c r="C4932" t="s">
        <v>5056</v>
      </c>
      <c r="D4932" t="s">
        <v>4719</v>
      </c>
      <c r="E4932" t="s">
        <v>4808</v>
      </c>
      <c r="F4932">
        <v>10857</v>
      </c>
      <c r="G4932">
        <v>1</v>
      </c>
      <c r="H4932" t="s">
        <v>16</v>
      </c>
      <c r="I4932" s="1">
        <v>-2790600</v>
      </c>
      <c r="J4932" s="1">
        <v>-5513800</v>
      </c>
      <c r="K4932">
        <v>115</v>
      </c>
      <c r="L4932">
        <v>280</v>
      </c>
      <c r="M4932" t="s">
        <v>16</v>
      </c>
    </row>
    <row r="4933" spans="1:13" x14ac:dyDescent="0.35">
      <c r="A4933">
        <v>431513</v>
      </c>
      <c r="B4933">
        <v>46477</v>
      </c>
      <c r="C4933" t="s">
        <v>5057</v>
      </c>
      <c r="D4933" t="s">
        <v>4719</v>
      </c>
      <c r="E4933" t="s">
        <v>4755</v>
      </c>
      <c r="F4933">
        <v>1992</v>
      </c>
      <c r="G4933">
        <v>1</v>
      </c>
      <c r="H4933" t="s">
        <v>16</v>
      </c>
      <c r="I4933" s="1">
        <v>-2917100</v>
      </c>
      <c r="J4933" s="1">
        <v>-5220800</v>
      </c>
      <c r="K4933">
        <v>527</v>
      </c>
      <c r="L4933">
        <v>106</v>
      </c>
      <c r="M4933" t="s">
        <v>16</v>
      </c>
    </row>
    <row r="4934" spans="1:13" x14ac:dyDescent="0.35">
      <c r="A4934">
        <v>431514</v>
      </c>
      <c r="B4934">
        <v>52620</v>
      </c>
      <c r="C4934" t="s">
        <v>5058</v>
      </c>
      <c r="D4934" t="s">
        <v>4719</v>
      </c>
      <c r="E4934" t="s">
        <v>4822</v>
      </c>
      <c r="F4934">
        <v>2355</v>
      </c>
      <c r="G4934">
        <v>1</v>
      </c>
      <c r="H4934" t="s">
        <v>16</v>
      </c>
      <c r="I4934" s="1">
        <v>-2951900</v>
      </c>
      <c r="J4934" s="1">
        <v>-5117800</v>
      </c>
      <c r="K4934">
        <v>75</v>
      </c>
      <c r="L4934">
        <v>49</v>
      </c>
      <c r="M4934" t="s">
        <v>16</v>
      </c>
    </row>
    <row r="4935" spans="1:13" x14ac:dyDescent="0.35">
      <c r="A4935">
        <v>431515</v>
      </c>
      <c r="B4935">
        <v>46485</v>
      </c>
      <c r="C4935" t="s">
        <v>5059</v>
      </c>
      <c r="D4935" t="s">
        <v>4719</v>
      </c>
      <c r="E4935" t="s">
        <v>4755</v>
      </c>
      <c r="F4935">
        <v>6210</v>
      </c>
      <c r="G4935">
        <v>1</v>
      </c>
      <c r="H4935" t="s">
        <v>16</v>
      </c>
      <c r="I4935" s="1">
        <v>-2924400</v>
      </c>
      <c r="J4935" s="1">
        <v>-5231200</v>
      </c>
      <c r="K4935">
        <v>536</v>
      </c>
      <c r="L4935">
        <v>255</v>
      </c>
      <c r="M4935" t="s">
        <v>16</v>
      </c>
    </row>
    <row r="4936" spans="1:13" x14ac:dyDescent="0.35">
      <c r="A4936">
        <v>431517</v>
      </c>
      <c r="B4936">
        <v>46493</v>
      </c>
      <c r="C4936" t="s">
        <v>5060</v>
      </c>
      <c r="D4936" t="s">
        <v>4719</v>
      </c>
      <c r="E4936" t="s">
        <v>4745</v>
      </c>
      <c r="F4936">
        <v>2114</v>
      </c>
      <c r="G4936">
        <v>1</v>
      </c>
      <c r="H4936" t="s">
        <v>16</v>
      </c>
      <c r="I4936" s="1">
        <v>-2875700</v>
      </c>
      <c r="J4936" s="1">
        <v>-5147300</v>
      </c>
      <c r="K4936">
        <v>637</v>
      </c>
      <c r="L4936">
        <v>172</v>
      </c>
      <c r="M4936" t="s">
        <v>16</v>
      </c>
    </row>
    <row r="4937" spans="1:13" x14ac:dyDescent="0.35">
      <c r="A4937">
        <v>431520</v>
      </c>
      <c r="B4937">
        <v>40720</v>
      </c>
      <c r="C4937" t="s">
        <v>5061</v>
      </c>
      <c r="D4937" t="s">
        <v>4719</v>
      </c>
      <c r="E4937" t="s">
        <v>4745</v>
      </c>
      <c r="F4937">
        <v>4192</v>
      </c>
      <c r="G4937">
        <v>1</v>
      </c>
      <c r="H4937" t="s">
        <v>16</v>
      </c>
      <c r="I4937" s="1">
        <v>-2900200</v>
      </c>
      <c r="J4937" s="1">
        <v>-5215400</v>
      </c>
      <c r="K4937">
        <v>435</v>
      </c>
      <c r="L4937">
        <v>219</v>
      </c>
      <c r="M4937" t="s">
        <v>16</v>
      </c>
    </row>
    <row r="4938" spans="1:13" x14ac:dyDescent="0.35">
      <c r="A4938">
        <v>431530</v>
      </c>
      <c r="B4938">
        <v>40738</v>
      </c>
      <c r="C4938" t="s">
        <v>5062</v>
      </c>
      <c r="D4938" t="s">
        <v>4719</v>
      </c>
      <c r="E4938" t="s">
        <v>4730</v>
      </c>
      <c r="F4938">
        <v>22552</v>
      </c>
      <c r="G4938">
        <v>1</v>
      </c>
      <c r="H4938" t="s">
        <v>16</v>
      </c>
      <c r="I4938" s="1">
        <v>-3038800</v>
      </c>
      <c r="J4938" s="1">
        <v>-5645100</v>
      </c>
      <c r="K4938">
        <v>112</v>
      </c>
      <c r="L4938">
        <v>3147</v>
      </c>
      <c r="M4938" t="s">
        <v>16</v>
      </c>
    </row>
    <row r="4939" spans="1:13" x14ac:dyDescent="0.35">
      <c r="A4939">
        <v>431531</v>
      </c>
      <c r="B4939">
        <v>59790</v>
      </c>
      <c r="C4939" t="s">
        <v>5063</v>
      </c>
      <c r="D4939" t="s">
        <v>4719</v>
      </c>
      <c r="E4939" t="s">
        <v>4753</v>
      </c>
      <c r="F4939">
        <v>1735</v>
      </c>
      <c r="G4939">
        <v>1</v>
      </c>
      <c r="H4939" t="s">
        <v>16</v>
      </c>
      <c r="I4939" s="1">
        <v>-2782100</v>
      </c>
      <c r="J4939" s="1">
        <v>-5243900</v>
      </c>
      <c r="K4939">
        <v>0</v>
      </c>
      <c r="L4939">
        <v>267</v>
      </c>
      <c r="M4939" t="s">
        <v>16</v>
      </c>
    </row>
    <row r="4940" spans="1:13" x14ac:dyDescent="0.35">
      <c r="A4940">
        <v>431532</v>
      </c>
      <c r="B4940">
        <v>52639</v>
      </c>
      <c r="C4940" t="s">
        <v>5064</v>
      </c>
      <c r="D4940" t="s">
        <v>4719</v>
      </c>
      <c r="E4940" t="s">
        <v>4829</v>
      </c>
      <c r="F4940">
        <v>2732</v>
      </c>
      <c r="G4940">
        <v>1</v>
      </c>
      <c r="H4940" t="s">
        <v>16</v>
      </c>
      <c r="I4940" s="1">
        <v>-2935300</v>
      </c>
      <c r="J4940" s="1">
        <v>-5407200</v>
      </c>
      <c r="K4940">
        <v>410</v>
      </c>
      <c r="L4940">
        <v>543</v>
      </c>
      <c r="M4940" t="s">
        <v>16</v>
      </c>
    </row>
    <row r="4941" spans="1:13" x14ac:dyDescent="0.35">
      <c r="A4941">
        <v>431535</v>
      </c>
      <c r="B4941">
        <v>46507</v>
      </c>
      <c r="C4941" t="s">
        <v>5065</v>
      </c>
      <c r="D4941" t="s">
        <v>4719</v>
      </c>
      <c r="E4941" t="s">
        <v>4736</v>
      </c>
      <c r="F4941">
        <v>3561</v>
      </c>
      <c r="G4941">
        <v>1</v>
      </c>
      <c r="H4941" t="s">
        <v>16</v>
      </c>
      <c r="I4941" s="1">
        <v>-2874200</v>
      </c>
      <c r="J4941" s="1">
        <v>-5309500</v>
      </c>
      <c r="K4941">
        <v>355</v>
      </c>
      <c r="L4941">
        <v>223</v>
      </c>
      <c r="M4941" t="s">
        <v>16</v>
      </c>
    </row>
    <row r="4942" spans="1:13" x14ac:dyDescent="0.35">
      <c r="A4942">
        <v>431540</v>
      </c>
      <c r="B4942">
        <v>40746</v>
      </c>
      <c r="C4942" t="s">
        <v>5066</v>
      </c>
      <c r="D4942" t="s">
        <v>4719</v>
      </c>
      <c r="E4942" t="s">
        <v>4778</v>
      </c>
      <c r="F4942">
        <v>9600</v>
      </c>
      <c r="G4942">
        <v>1</v>
      </c>
      <c r="H4942" t="s">
        <v>16</v>
      </c>
      <c r="I4942" s="1">
        <v>-2766400</v>
      </c>
      <c r="J4942" s="1">
        <v>-5363800</v>
      </c>
      <c r="K4942">
        <v>545</v>
      </c>
      <c r="L4942">
        <v>302</v>
      </c>
      <c r="M4942" t="s">
        <v>16</v>
      </c>
    </row>
    <row r="4943" spans="1:13" x14ac:dyDescent="0.35">
      <c r="A4943">
        <v>431545</v>
      </c>
      <c r="B4943">
        <v>46515</v>
      </c>
      <c r="C4943" t="s">
        <v>5067</v>
      </c>
      <c r="D4943" t="s">
        <v>4719</v>
      </c>
      <c r="E4943" t="s">
        <v>4755</v>
      </c>
      <c r="F4943">
        <v>2196</v>
      </c>
      <c r="G4943">
        <v>1</v>
      </c>
      <c r="H4943" t="s">
        <v>16</v>
      </c>
      <c r="I4943" s="1">
        <v>-2911100</v>
      </c>
      <c r="J4943" s="1">
        <v>-5207200</v>
      </c>
      <c r="K4943">
        <v>297</v>
      </c>
      <c r="L4943">
        <v>108</v>
      </c>
      <c r="M4943" t="s">
        <v>16</v>
      </c>
    </row>
    <row r="4944" spans="1:13" x14ac:dyDescent="0.35">
      <c r="A4944">
        <v>431550</v>
      </c>
      <c r="B4944">
        <v>40754</v>
      </c>
      <c r="C4944" t="s">
        <v>4724</v>
      </c>
      <c r="D4944" t="s">
        <v>4719</v>
      </c>
      <c r="E4944" t="s">
        <v>4724</v>
      </c>
      <c r="F4944">
        <v>15595</v>
      </c>
      <c r="G4944">
        <v>1</v>
      </c>
      <c r="H4944" t="s">
        <v>16</v>
      </c>
      <c r="I4944" s="1">
        <v>-2981300</v>
      </c>
      <c r="J4944" s="1">
        <v>-5337500</v>
      </c>
      <c r="K4944">
        <v>49</v>
      </c>
      <c r="L4944">
        <v>961</v>
      </c>
      <c r="M4944" t="s">
        <v>16</v>
      </c>
    </row>
    <row r="4945" spans="1:13" x14ac:dyDescent="0.35">
      <c r="A4945">
        <v>431555</v>
      </c>
      <c r="B4945">
        <v>52647</v>
      </c>
      <c r="C4945" t="s">
        <v>5068</v>
      </c>
      <c r="D4945" t="s">
        <v>4719</v>
      </c>
      <c r="E4945" t="s">
        <v>4735</v>
      </c>
      <c r="F4945">
        <v>4202</v>
      </c>
      <c r="G4945">
        <v>1</v>
      </c>
      <c r="H4945" t="s">
        <v>16</v>
      </c>
      <c r="I4945" s="1">
        <v>-2730000</v>
      </c>
      <c r="J4945" s="1">
        <v>-5284100</v>
      </c>
      <c r="K4945">
        <v>595</v>
      </c>
      <c r="L4945">
        <v>236</v>
      </c>
      <c r="M4945" t="s">
        <v>16</v>
      </c>
    </row>
    <row r="4946" spans="1:13" x14ac:dyDescent="0.35">
      <c r="A4946">
        <v>431560</v>
      </c>
      <c r="B4946">
        <v>40762</v>
      </c>
      <c r="C4946" t="s">
        <v>5069</v>
      </c>
      <c r="D4946" t="s">
        <v>4719</v>
      </c>
      <c r="E4946" t="s">
        <v>4849</v>
      </c>
      <c r="F4946">
        <v>194351</v>
      </c>
      <c r="G4946">
        <v>4</v>
      </c>
      <c r="H4946" t="s">
        <v>4761</v>
      </c>
      <c r="I4946" s="1">
        <v>-3203500</v>
      </c>
      <c r="J4946" s="1">
        <v>-5209900</v>
      </c>
      <c r="K4946">
        <v>5</v>
      </c>
      <c r="L4946">
        <v>2813</v>
      </c>
      <c r="M4946" t="s">
        <v>16</v>
      </c>
    </row>
    <row r="4947" spans="1:13" x14ac:dyDescent="0.35">
      <c r="A4947">
        <v>431570</v>
      </c>
      <c r="B4947">
        <v>40770</v>
      </c>
      <c r="C4947" t="s">
        <v>5070</v>
      </c>
      <c r="D4947" t="s">
        <v>4719</v>
      </c>
      <c r="E4947" t="s">
        <v>4805</v>
      </c>
      <c r="F4947">
        <v>37704</v>
      </c>
      <c r="G4947">
        <v>1</v>
      </c>
      <c r="H4947" t="s">
        <v>16</v>
      </c>
      <c r="I4947" s="1">
        <v>-2999000</v>
      </c>
      <c r="J4947" s="1">
        <v>-5237800</v>
      </c>
      <c r="K4947">
        <v>47</v>
      </c>
      <c r="L4947">
        <v>2050</v>
      </c>
      <c r="M4947" t="s">
        <v>16</v>
      </c>
    </row>
    <row r="4948" spans="1:13" x14ac:dyDescent="0.35">
      <c r="A4948">
        <v>431575</v>
      </c>
      <c r="B4948">
        <v>46523</v>
      </c>
      <c r="C4948" t="s">
        <v>5071</v>
      </c>
      <c r="D4948" t="s">
        <v>4719</v>
      </c>
      <c r="E4948" t="s">
        <v>4822</v>
      </c>
      <c r="F4948">
        <v>4406</v>
      </c>
      <c r="G4948">
        <v>1</v>
      </c>
      <c r="H4948" t="s">
        <v>16</v>
      </c>
      <c r="I4948" s="1">
        <v>-2964100</v>
      </c>
      <c r="J4948" s="1">
        <v>-5045300</v>
      </c>
      <c r="K4948">
        <v>90</v>
      </c>
      <c r="L4948">
        <v>239</v>
      </c>
      <c r="M4948" t="s">
        <v>16</v>
      </c>
    </row>
    <row r="4949" spans="1:13" x14ac:dyDescent="0.35">
      <c r="A4949">
        <v>431580</v>
      </c>
      <c r="B4949">
        <v>40789</v>
      </c>
      <c r="C4949" t="s">
        <v>5072</v>
      </c>
      <c r="D4949" t="s">
        <v>4719</v>
      </c>
      <c r="E4949" t="s">
        <v>4755</v>
      </c>
      <c r="F4949">
        <v>9922</v>
      </c>
      <c r="G4949">
        <v>1</v>
      </c>
      <c r="H4949" t="s">
        <v>16</v>
      </c>
      <c r="I4949" s="1">
        <v>-2928400</v>
      </c>
      <c r="J4949" s="1">
        <v>-5186800</v>
      </c>
      <c r="K4949">
        <v>60</v>
      </c>
      <c r="L4949">
        <v>208</v>
      </c>
      <c r="M4949" t="s">
        <v>16</v>
      </c>
    </row>
    <row r="4950" spans="1:13" x14ac:dyDescent="0.35">
      <c r="A4950">
        <v>431590</v>
      </c>
      <c r="B4950">
        <v>40797</v>
      </c>
      <c r="C4950" t="s">
        <v>5073</v>
      </c>
      <c r="D4950" t="s">
        <v>4719</v>
      </c>
      <c r="E4950" t="s">
        <v>4735</v>
      </c>
      <c r="F4950">
        <v>5698</v>
      </c>
      <c r="G4950">
        <v>1</v>
      </c>
      <c r="H4950" t="s">
        <v>16</v>
      </c>
      <c r="I4950" s="1">
        <v>-2747100</v>
      </c>
      <c r="J4950" s="1">
        <v>-5316900</v>
      </c>
      <c r="K4950">
        <v>371</v>
      </c>
      <c r="L4950">
        <v>83</v>
      </c>
      <c r="M4950" t="s">
        <v>16</v>
      </c>
    </row>
    <row r="4951" spans="1:13" x14ac:dyDescent="0.35">
      <c r="A4951">
        <v>431595</v>
      </c>
      <c r="B4951">
        <v>59803</v>
      </c>
      <c r="C4951" t="s">
        <v>5074</v>
      </c>
      <c r="D4951" t="s">
        <v>4719</v>
      </c>
      <c r="E4951" t="s">
        <v>4798</v>
      </c>
      <c r="F4951">
        <v>2795</v>
      </c>
      <c r="G4951">
        <v>1</v>
      </c>
      <c r="H4951" t="s">
        <v>16</v>
      </c>
      <c r="I4951" s="1">
        <v>-2825800</v>
      </c>
      <c r="J4951" s="1">
        <v>-5481700</v>
      </c>
      <c r="K4951">
        <v>0</v>
      </c>
      <c r="L4951">
        <v>293</v>
      </c>
      <c r="M4951" t="s">
        <v>16</v>
      </c>
    </row>
    <row r="4952" spans="1:13" x14ac:dyDescent="0.35">
      <c r="A4952">
        <v>431600</v>
      </c>
      <c r="B4952">
        <v>40800</v>
      </c>
      <c r="C4952" t="s">
        <v>5075</v>
      </c>
      <c r="D4952" t="s">
        <v>4719</v>
      </c>
      <c r="E4952" t="s">
        <v>4822</v>
      </c>
      <c r="F4952">
        <v>19213</v>
      </c>
      <c r="G4952">
        <v>1</v>
      </c>
      <c r="H4952" t="s">
        <v>16</v>
      </c>
      <c r="I4952" s="1">
        <v>-2965100</v>
      </c>
      <c r="J4952" s="1">
        <v>-5057600</v>
      </c>
      <c r="K4952">
        <v>38</v>
      </c>
      <c r="L4952">
        <v>296</v>
      </c>
      <c r="M4952" t="s">
        <v>16</v>
      </c>
    </row>
    <row r="4953" spans="1:13" x14ac:dyDescent="0.35">
      <c r="A4953">
        <v>431610</v>
      </c>
      <c r="B4953">
        <v>40819</v>
      </c>
      <c r="C4953" t="s">
        <v>5076</v>
      </c>
      <c r="D4953" t="s">
        <v>4719</v>
      </c>
      <c r="E4953" t="s">
        <v>4722</v>
      </c>
      <c r="F4953">
        <v>9654</v>
      </c>
      <c r="G4953">
        <v>1</v>
      </c>
      <c r="H4953" t="s">
        <v>16</v>
      </c>
      <c r="I4953" s="1">
        <v>-2776700</v>
      </c>
      <c r="J4953" s="1">
        <v>-5280200</v>
      </c>
      <c r="K4953">
        <v>450</v>
      </c>
      <c r="L4953">
        <v>426</v>
      </c>
      <c r="M4953" t="s">
        <v>16</v>
      </c>
    </row>
    <row r="4954" spans="1:13" x14ac:dyDescent="0.35">
      <c r="A4954">
        <v>431620</v>
      </c>
      <c r="B4954">
        <v>40827</v>
      </c>
      <c r="C4954" t="s">
        <v>5077</v>
      </c>
      <c r="D4954" t="s">
        <v>4719</v>
      </c>
      <c r="E4954" t="s">
        <v>4735</v>
      </c>
      <c r="F4954">
        <v>5674</v>
      </c>
      <c r="G4954">
        <v>1</v>
      </c>
      <c r="H4954" t="s">
        <v>16</v>
      </c>
      <c r="I4954" s="1">
        <v>-2782800</v>
      </c>
      <c r="J4954" s="1">
        <v>-5291000</v>
      </c>
      <c r="K4954">
        <v>440</v>
      </c>
      <c r="L4954">
        <v>252</v>
      </c>
      <c r="M4954" t="s">
        <v>16</v>
      </c>
    </row>
    <row r="4955" spans="1:13" x14ac:dyDescent="0.35">
      <c r="A4955">
        <v>431630</v>
      </c>
      <c r="B4955">
        <v>40835</v>
      </c>
      <c r="C4955" t="s">
        <v>5078</v>
      </c>
      <c r="D4955" t="s">
        <v>4719</v>
      </c>
      <c r="E4955" t="s">
        <v>4808</v>
      </c>
      <c r="F4955">
        <v>7297</v>
      </c>
      <c r="G4955">
        <v>1</v>
      </c>
      <c r="H4955" t="s">
        <v>16</v>
      </c>
      <c r="I4955" s="1">
        <v>-2813100</v>
      </c>
      <c r="J4955" s="1">
        <v>-5502600</v>
      </c>
      <c r="K4955">
        <v>151</v>
      </c>
      <c r="L4955">
        <v>346</v>
      </c>
      <c r="M4955" t="s">
        <v>16</v>
      </c>
    </row>
    <row r="4956" spans="1:13" x14ac:dyDescent="0.35">
      <c r="A4956">
        <v>431640</v>
      </c>
      <c r="B4956">
        <v>40843</v>
      </c>
      <c r="C4956" t="s">
        <v>5079</v>
      </c>
      <c r="D4956" t="s">
        <v>4719</v>
      </c>
      <c r="E4956" t="s">
        <v>5080</v>
      </c>
      <c r="F4956">
        <v>40509</v>
      </c>
      <c r="G4956">
        <v>1</v>
      </c>
      <c r="H4956" t="s">
        <v>16</v>
      </c>
      <c r="I4956" s="1">
        <v>-3025800</v>
      </c>
      <c r="J4956" s="1">
        <v>-5491400</v>
      </c>
      <c r="K4956">
        <v>125</v>
      </c>
      <c r="L4956">
        <v>4369</v>
      </c>
      <c r="M4956" t="s">
        <v>16</v>
      </c>
    </row>
    <row r="4957" spans="1:13" x14ac:dyDescent="0.35">
      <c r="A4957">
        <v>431642</v>
      </c>
      <c r="B4957">
        <v>52655</v>
      </c>
      <c r="C4957" t="s">
        <v>5081</v>
      </c>
      <c r="D4957" t="s">
        <v>4719</v>
      </c>
      <c r="E4957" t="s">
        <v>4733</v>
      </c>
      <c r="F4957">
        <v>2595</v>
      </c>
      <c r="G4957">
        <v>1</v>
      </c>
      <c r="H4957" t="s">
        <v>16</v>
      </c>
      <c r="I4957" s="1">
        <v>-2770700</v>
      </c>
      <c r="J4957" s="1">
        <v>-5313600</v>
      </c>
      <c r="K4957">
        <v>395</v>
      </c>
      <c r="L4957">
        <v>78</v>
      </c>
      <c r="M4957" t="s">
        <v>16</v>
      </c>
    </row>
    <row r="4958" spans="1:13" x14ac:dyDescent="0.35">
      <c r="A4958">
        <v>431643</v>
      </c>
      <c r="B4958">
        <v>46531</v>
      </c>
      <c r="C4958" t="s">
        <v>5082</v>
      </c>
      <c r="D4958" t="s">
        <v>4719</v>
      </c>
      <c r="E4958" t="s">
        <v>4736</v>
      </c>
      <c r="F4958">
        <v>2982</v>
      </c>
      <c r="G4958">
        <v>1</v>
      </c>
      <c r="H4958" t="s">
        <v>16</v>
      </c>
      <c r="I4958" s="1">
        <v>-2839300</v>
      </c>
      <c r="J4958" s="1">
        <v>-5309500</v>
      </c>
      <c r="K4958">
        <v>525</v>
      </c>
      <c r="L4958">
        <v>221</v>
      </c>
      <c r="M4958" t="s">
        <v>16</v>
      </c>
    </row>
    <row r="4959" spans="1:13" x14ac:dyDescent="0.35">
      <c r="A4959">
        <v>431645</v>
      </c>
      <c r="B4959">
        <v>7579</v>
      </c>
      <c r="C4959" t="s">
        <v>5083</v>
      </c>
      <c r="D4959" t="s">
        <v>4719</v>
      </c>
      <c r="E4959" t="s">
        <v>4736</v>
      </c>
      <c r="F4959">
        <v>12154</v>
      </c>
      <c r="G4959">
        <v>1</v>
      </c>
      <c r="H4959" t="s">
        <v>16</v>
      </c>
      <c r="I4959" s="1">
        <v>-2908800</v>
      </c>
      <c r="J4959" s="1">
        <v>-5321300</v>
      </c>
      <c r="K4959">
        <v>322</v>
      </c>
      <c r="L4959">
        <v>519</v>
      </c>
      <c r="M4959" t="s">
        <v>16</v>
      </c>
    </row>
    <row r="4960" spans="1:13" x14ac:dyDescent="0.35">
      <c r="A4960">
        <v>431647</v>
      </c>
      <c r="B4960">
        <v>52663</v>
      </c>
      <c r="C4960" t="s">
        <v>5084</v>
      </c>
      <c r="D4960" t="s">
        <v>4719</v>
      </c>
      <c r="E4960" t="s">
        <v>4808</v>
      </c>
      <c r="F4960">
        <v>2601</v>
      </c>
      <c r="G4960">
        <v>1</v>
      </c>
      <c r="H4960" t="s">
        <v>16</v>
      </c>
      <c r="I4960" s="1">
        <v>-2812600</v>
      </c>
      <c r="J4960" s="1">
        <v>-5483500</v>
      </c>
      <c r="K4960">
        <v>216</v>
      </c>
      <c r="L4960">
        <v>94</v>
      </c>
      <c r="M4960" t="s">
        <v>16</v>
      </c>
    </row>
    <row r="4961" spans="1:13" x14ac:dyDescent="0.35">
      <c r="A4961">
        <v>431650</v>
      </c>
      <c r="B4961">
        <v>40851</v>
      </c>
      <c r="C4961" t="s">
        <v>5085</v>
      </c>
      <c r="D4961" t="s">
        <v>4719</v>
      </c>
      <c r="E4961" t="s">
        <v>4738</v>
      </c>
      <c r="F4961">
        <v>6644</v>
      </c>
      <c r="G4961">
        <v>1</v>
      </c>
      <c r="H4961" t="s">
        <v>16</v>
      </c>
      <c r="I4961" s="1">
        <v>-2943800</v>
      </c>
      <c r="J4961" s="1">
        <v>-5151100</v>
      </c>
      <c r="K4961">
        <v>493</v>
      </c>
      <c r="L4961">
        <v>99</v>
      </c>
      <c r="M4961" t="s">
        <v>16</v>
      </c>
    </row>
    <row r="4962" spans="1:13" x14ac:dyDescent="0.35">
      <c r="A4962">
        <v>431660</v>
      </c>
      <c r="B4962">
        <v>40860</v>
      </c>
      <c r="C4962" t="s">
        <v>4776</v>
      </c>
      <c r="D4962" t="s">
        <v>4719</v>
      </c>
      <c r="E4962" t="s">
        <v>4776</v>
      </c>
      <c r="F4962">
        <v>14714</v>
      </c>
      <c r="G4962">
        <v>1</v>
      </c>
      <c r="H4962" t="s">
        <v>16</v>
      </c>
      <c r="I4962" s="1">
        <v>-2795000</v>
      </c>
      <c r="J4962" s="1">
        <v>-5180700</v>
      </c>
      <c r="K4962">
        <v>636</v>
      </c>
      <c r="L4962">
        <v>504</v>
      </c>
      <c r="M4962" t="s">
        <v>16</v>
      </c>
    </row>
    <row r="4963" spans="1:13" x14ac:dyDescent="0.35">
      <c r="A4963">
        <v>431670</v>
      </c>
      <c r="B4963">
        <v>40878</v>
      </c>
      <c r="C4963" t="s">
        <v>5086</v>
      </c>
      <c r="D4963" t="s">
        <v>4719</v>
      </c>
      <c r="E4963" t="s">
        <v>4736</v>
      </c>
      <c r="F4963">
        <v>9122</v>
      </c>
      <c r="G4963">
        <v>1</v>
      </c>
      <c r="H4963" t="s">
        <v>16</v>
      </c>
      <c r="I4963" s="1">
        <v>-2835800</v>
      </c>
      <c r="J4963" s="1">
        <v>-5324700</v>
      </c>
      <c r="K4963">
        <v>511</v>
      </c>
      <c r="L4963">
        <v>971</v>
      </c>
      <c r="M4963" t="s">
        <v>16</v>
      </c>
    </row>
    <row r="4964" spans="1:13" x14ac:dyDescent="0.35">
      <c r="A4964">
        <v>431673</v>
      </c>
      <c r="B4964">
        <v>59927</v>
      </c>
      <c r="C4964" t="s">
        <v>5087</v>
      </c>
      <c r="D4964" t="s">
        <v>4719</v>
      </c>
      <c r="E4964" t="s">
        <v>4722</v>
      </c>
      <c r="F4964">
        <v>1716</v>
      </c>
      <c r="G4964">
        <v>1</v>
      </c>
      <c r="H4964" t="s">
        <v>16</v>
      </c>
      <c r="I4964" s="1">
        <v>-2816150</v>
      </c>
      <c r="J4964" s="1">
        <v>-5192500</v>
      </c>
      <c r="K4964">
        <v>0</v>
      </c>
      <c r="L4964">
        <v>195</v>
      </c>
      <c r="M4964" t="s">
        <v>16</v>
      </c>
    </row>
    <row r="4965" spans="1:13" x14ac:dyDescent="0.35">
      <c r="A4965">
        <v>431675</v>
      </c>
      <c r="B4965">
        <v>52671</v>
      </c>
      <c r="C4965" t="s">
        <v>5088</v>
      </c>
      <c r="D4965" t="s">
        <v>4719</v>
      </c>
      <c r="E4965" t="s">
        <v>4755</v>
      </c>
      <c r="F4965">
        <v>5471</v>
      </c>
      <c r="G4965">
        <v>1</v>
      </c>
      <c r="H4965" t="s">
        <v>16</v>
      </c>
      <c r="I4965" s="1">
        <v>-2946900</v>
      </c>
      <c r="J4965" s="1">
        <v>-5208800</v>
      </c>
      <c r="K4965">
        <v>117</v>
      </c>
      <c r="L4965">
        <v>86</v>
      </c>
      <c r="M4965" t="s">
        <v>16</v>
      </c>
    </row>
    <row r="4966" spans="1:13" x14ac:dyDescent="0.35">
      <c r="A4966">
        <v>431680</v>
      </c>
      <c r="B4966">
        <v>40886</v>
      </c>
      <c r="C4966" t="s">
        <v>4765</v>
      </c>
      <c r="D4966" t="s">
        <v>4719</v>
      </c>
      <c r="E4966" t="s">
        <v>4765</v>
      </c>
      <c r="F4966">
        <v>115857</v>
      </c>
      <c r="G4966">
        <v>3</v>
      </c>
      <c r="H4966" t="s">
        <v>16</v>
      </c>
      <c r="I4966" s="1">
        <v>-2971800</v>
      </c>
      <c r="J4966" s="1">
        <v>-5242600</v>
      </c>
      <c r="K4966">
        <v>73</v>
      </c>
      <c r="L4966">
        <v>733</v>
      </c>
      <c r="M4966" t="s">
        <v>16</v>
      </c>
    </row>
    <row r="4967" spans="1:13" x14ac:dyDescent="0.35">
      <c r="A4967">
        <v>431690</v>
      </c>
      <c r="B4967">
        <v>40894</v>
      </c>
      <c r="C4967" t="s">
        <v>1329</v>
      </c>
      <c r="D4967" t="s">
        <v>4719</v>
      </c>
      <c r="E4967" t="s">
        <v>1329</v>
      </c>
      <c r="F4967">
        <v>263403</v>
      </c>
      <c r="G4967">
        <v>3</v>
      </c>
      <c r="H4967" t="s">
        <v>16</v>
      </c>
      <c r="I4967" s="1">
        <v>-2968400</v>
      </c>
      <c r="J4967" s="1">
        <v>-5380700</v>
      </c>
      <c r="K4967">
        <v>151</v>
      </c>
      <c r="L4967">
        <v>1779</v>
      </c>
      <c r="M4967" t="s">
        <v>16</v>
      </c>
    </row>
    <row r="4968" spans="1:13" x14ac:dyDescent="0.35">
      <c r="A4968">
        <v>431695</v>
      </c>
      <c r="B4968">
        <v>46540</v>
      </c>
      <c r="C4968" t="s">
        <v>5089</v>
      </c>
      <c r="D4968" t="s">
        <v>4719</v>
      </c>
      <c r="E4968" t="s">
        <v>4822</v>
      </c>
      <c r="F4968">
        <v>6173</v>
      </c>
      <c r="G4968">
        <v>1</v>
      </c>
      <c r="H4968" t="s">
        <v>16</v>
      </c>
      <c r="I4968" s="1">
        <v>-2949800</v>
      </c>
      <c r="J4968" s="1">
        <v>-5099300</v>
      </c>
      <c r="K4968">
        <v>371</v>
      </c>
      <c r="L4968">
        <v>139</v>
      </c>
      <c r="M4968" t="s">
        <v>16</v>
      </c>
    </row>
    <row r="4969" spans="1:13" x14ac:dyDescent="0.35">
      <c r="A4969">
        <v>431697</v>
      </c>
      <c r="B4969">
        <v>59935</v>
      </c>
      <c r="C4969" t="s">
        <v>5090</v>
      </c>
      <c r="D4969" t="s">
        <v>4719</v>
      </c>
      <c r="E4969" t="s">
        <v>5080</v>
      </c>
      <c r="F4969">
        <v>2163</v>
      </c>
      <c r="G4969">
        <v>1</v>
      </c>
      <c r="H4969" t="s">
        <v>16</v>
      </c>
      <c r="I4969" s="1">
        <v>-3033900</v>
      </c>
      <c r="J4969" s="1">
        <v>-5407900</v>
      </c>
      <c r="K4969">
        <v>0</v>
      </c>
      <c r="L4969">
        <v>956</v>
      </c>
      <c r="M4969" t="s">
        <v>16</v>
      </c>
    </row>
    <row r="4970" spans="1:13" x14ac:dyDescent="0.35">
      <c r="A4970">
        <v>431700</v>
      </c>
      <c r="B4970">
        <v>40908</v>
      </c>
      <c r="C4970" t="s">
        <v>5091</v>
      </c>
      <c r="D4970" t="s">
        <v>4719</v>
      </c>
      <c r="E4970" t="s">
        <v>4742</v>
      </c>
      <c r="F4970">
        <v>8599</v>
      </c>
      <c r="G4970">
        <v>1</v>
      </c>
      <c r="H4970" t="s">
        <v>16</v>
      </c>
      <c r="I4970" s="1">
        <v>-3087200</v>
      </c>
      <c r="J4970" s="1">
        <v>-5311500</v>
      </c>
      <c r="K4970">
        <v>306</v>
      </c>
      <c r="L4970">
        <v>1420</v>
      </c>
      <c r="M4970" t="s">
        <v>16</v>
      </c>
    </row>
    <row r="4971" spans="1:13" x14ac:dyDescent="0.35">
      <c r="A4971">
        <v>431710</v>
      </c>
      <c r="B4971">
        <v>40916</v>
      </c>
      <c r="C4971" t="s">
        <v>5092</v>
      </c>
      <c r="D4971" t="s">
        <v>4719</v>
      </c>
      <c r="E4971" t="s">
        <v>5080</v>
      </c>
      <c r="F4971">
        <v>83479</v>
      </c>
      <c r="G4971">
        <v>2</v>
      </c>
      <c r="H4971" t="s">
        <v>16</v>
      </c>
      <c r="I4971" s="1">
        <v>-3089100</v>
      </c>
      <c r="J4971" s="1">
        <v>-5553300</v>
      </c>
      <c r="K4971">
        <v>208</v>
      </c>
      <c r="L4971">
        <v>6950</v>
      </c>
      <c r="M4971" t="s">
        <v>16</v>
      </c>
    </row>
    <row r="4972" spans="1:13" x14ac:dyDescent="0.35">
      <c r="A4972">
        <v>431720</v>
      </c>
      <c r="B4972">
        <v>40924</v>
      </c>
      <c r="C4972" t="s">
        <v>4728</v>
      </c>
      <c r="D4972" t="s">
        <v>4719</v>
      </c>
      <c r="E4972" t="s">
        <v>4728</v>
      </c>
      <c r="F4972">
        <v>64113</v>
      </c>
      <c r="G4972">
        <v>2</v>
      </c>
      <c r="H4972" t="s">
        <v>16</v>
      </c>
      <c r="I4972" s="1">
        <v>-2787100</v>
      </c>
      <c r="J4972" s="1">
        <v>-5448100</v>
      </c>
      <c r="K4972">
        <v>277</v>
      </c>
      <c r="L4972">
        <v>489</v>
      </c>
      <c r="M4972" t="s">
        <v>16</v>
      </c>
    </row>
    <row r="4973" spans="1:13" x14ac:dyDescent="0.35">
      <c r="A4973">
        <v>431725</v>
      </c>
      <c r="B4973">
        <v>52680</v>
      </c>
      <c r="C4973" t="s">
        <v>5093</v>
      </c>
      <c r="D4973" t="s">
        <v>4719</v>
      </c>
      <c r="E4973" t="s">
        <v>4748</v>
      </c>
      <c r="F4973">
        <v>1815</v>
      </c>
      <c r="G4973">
        <v>4</v>
      </c>
      <c r="H4973" t="s">
        <v>4786</v>
      </c>
      <c r="I4973" s="1">
        <v>-2916900</v>
      </c>
      <c r="J4973" s="1">
        <v>-5173500</v>
      </c>
      <c r="K4973">
        <v>87</v>
      </c>
      <c r="L4973">
        <v>72</v>
      </c>
      <c r="M4973" t="s">
        <v>16</v>
      </c>
    </row>
    <row r="4974" spans="1:13" x14ac:dyDescent="0.35">
      <c r="A4974">
        <v>431730</v>
      </c>
      <c r="B4974">
        <v>40932</v>
      </c>
      <c r="C4974" t="s">
        <v>5094</v>
      </c>
      <c r="D4974" t="s">
        <v>4719</v>
      </c>
      <c r="E4974" t="s">
        <v>4849</v>
      </c>
      <c r="F4974">
        <v>31183</v>
      </c>
      <c r="G4974">
        <v>1</v>
      </c>
      <c r="H4974" t="s">
        <v>16</v>
      </c>
      <c r="I4974" s="1">
        <v>-3351900</v>
      </c>
      <c r="J4974" s="1">
        <v>-5336800</v>
      </c>
      <c r="K4974">
        <v>23</v>
      </c>
      <c r="L4974">
        <v>5244</v>
      </c>
      <c r="M4974" t="s">
        <v>16</v>
      </c>
    </row>
    <row r="4975" spans="1:13" x14ac:dyDescent="0.35">
      <c r="A4975">
        <v>431740</v>
      </c>
      <c r="B4975">
        <v>40940</v>
      </c>
      <c r="C4975" t="s">
        <v>4829</v>
      </c>
      <c r="D4975" t="s">
        <v>4719</v>
      </c>
      <c r="E4975" t="s">
        <v>4829</v>
      </c>
      <c r="F4975">
        <v>49558</v>
      </c>
      <c r="G4975">
        <v>1</v>
      </c>
      <c r="H4975" t="s">
        <v>16</v>
      </c>
      <c r="I4975" s="1">
        <v>-2919200</v>
      </c>
      <c r="J4975" s="1">
        <v>-5486700</v>
      </c>
      <c r="K4975">
        <v>409</v>
      </c>
      <c r="L4975">
        <v>2413</v>
      </c>
      <c r="M4975" t="s">
        <v>16</v>
      </c>
    </row>
    <row r="4976" spans="1:13" x14ac:dyDescent="0.35">
      <c r="A4976">
        <v>431750</v>
      </c>
      <c r="B4976">
        <v>40959</v>
      </c>
      <c r="C4976" t="s">
        <v>5095</v>
      </c>
      <c r="D4976" t="s">
        <v>4719</v>
      </c>
      <c r="E4976" t="s">
        <v>4798</v>
      </c>
      <c r="F4976">
        <v>73800</v>
      </c>
      <c r="G4976">
        <v>2</v>
      </c>
      <c r="H4976" t="s">
        <v>16</v>
      </c>
      <c r="I4976" s="1">
        <v>-2829900</v>
      </c>
      <c r="J4976" s="1">
        <v>-5426300</v>
      </c>
      <c r="K4976">
        <v>281</v>
      </c>
      <c r="L4976">
        <v>680</v>
      </c>
      <c r="M4976" t="s">
        <v>16</v>
      </c>
    </row>
    <row r="4977" spans="1:13" x14ac:dyDescent="0.35">
      <c r="A4977">
        <v>431755</v>
      </c>
      <c r="B4977">
        <v>52698</v>
      </c>
      <c r="C4977" t="s">
        <v>5096</v>
      </c>
      <c r="D4977" t="s">
        <v>4719</v>
      </c>
      <c r="E4977" t="s">
        <v>4722</v>
      </c>
      <c r="F4977">
        <v>2216</v>
      </c>
      <c r="G4977">
        <v>1</v>
      </c>
      <c r="H4977" t="s">
        <v>16</v>
      </c>
      <c r="I4977" s="1">
        <v>-2849700</v>
      </c>
      <c r="J4977" s="1">
        <v>-5202500</v>
      </c>
      <c r="K4977">
        <v>669</v>
      </c>
      <c r="L4977">
        <v>126</v>
      </c>
      <c r="M4977" t="s">
        <v>16</v>
      </c>
    </row>
    <row r="4978" spans="1:13" x14ac:dyDescent="0.35">
      <c r="A4978">
        <v>431760</v>
      </c>
      <c r="B4978">
        <v>40967</v>
      </c>
      <c r="C4978" t="s">
        <v>5097</v>
      </c>
      <c r="D4978" t="s">
        <v>4719</v>
      </c>
      <c r="E4978" t="s">
        <v>4757</v>
      </c>
      <c r="F4978">
        <v>37910</v>
      </c>
      <c r="G4978">
        <v>4</v>
      </c>
      <c r="H4978" t="s">
        <v>4740</v>
      </c>
      <c r="I4978" s="1">
        <v>-2981800</v>
      </c>
      <c r="J4978" s="1">
        <v>-5052000</v>
      </c>
      <c r="K4978">
        <v>131</v>
      </c>
      <c r="L4978">
        <v>1048</v>
      </c>
      <c r="M4978" t="s">
        <v>16</v>
      </c>
    </row>
    <row r="4979" spans="1:13" x14ac:dyDescent="0.35">
      <c r="A4979">
        <v>431770</v>
      </c>
      <c r="B4979">
        <v>40975</v>
      </c>
      <c r="C4979" t="s">
        <v>5098</v>
      </c>
      <c r="D4979" t="s">
        <v>4719</v>
      </c>
      <c r="E4979" t="s">
        <v>4798</v>
      </c>
      <c r="F4979">
        <v>11863</v>
      </c>
      <c r="G4979">
        <v>1</v>
      </c>
      <c r="H4979" t="s">
        <v>16</v>
      </c>
      <c r="I4979" s="1">
        <v>-2851100</v>
      </c>
      <c r="J4979" s="1">
        <v>-5522800</v>
      </c>
      <c r="K4979">
        <v>213</v>
      </c>
      <c r="L4979">
        <v>1714</v>
      </c>
      <c r="M4979" t="s">
        <v>16</v>
      </c>
    </row>
    <row r="4980" spans="1:13" x14ac:dyDescent="0.35">
      <c r="A4980">
        <v>431775</v>
      </c>
      <c r="B4980">
        <v>52701</v>
      </c>
      <c r="C4980" t="s">
        <v>5099</v>
      </c>
      <c r="D4980" t="s">
        <v>4719</v>
      </c>
      <c r="E4980" t="s">
        <v>4733</v>
      </c>
      <c r="F4980">
        <v>2029</v>
      </c>
      <c r="G4980">
        <v>1</v>
      </c>
      <c r="H4980" t="s">
        <v>16</v>
      </c>
      <c r="I4980" s="1">
        <v>-2839600</v>
      </c>
      <c r="J4980" s="1">
        <v>-5269100</v>
      </c>
      <c r="K4980">
        <v>558</v>
      </c>
      <c r="L4980">
        <v>206</v>
      </c>
      <c r="M4980" t="s">
        <v>16</v>
      </c>
    </row>
    <row r="4981" spans="1:13" x14ac:dyDescent="0.35">
      <c r="A4981">
        <v>431780</v>
      </c>
      <c r="B4981">
        <v>40983</v>
      </c>
      <c r="C4981" t="s">
        <v>5100</v>
      </c>
      <c r="D4981" t="s">
        <v>4719</v>
      </c>
      <c r="E4981" t="s">
        <v>4726</v>
      </c>
      <c r="F4981">
        <v>13622</v>
      </c>
      <c r="G4981">
        <v>1</v>
      </c>
      <c r="H4981" t="s">
        <v>16</v>
      </c>
      <c r="I4981" s="1">
        <v>-2785100</v>
      </c>
      <c r="J4981" s="1">
        <v>-5377700</v>
      </c>
      <c r="K4981">
        <v>528</v>
      </c>
      <c r="L4981">
        <v>468</v>
      </c>
      <c r="M4981" t="s">
        <v>16</v>
      </c>
    </row>
    <row r="4982" spans="1:13" x14ac:dyDescent="0.35">
      <c r="A4982">
        <v>431790</v>
      </c>
      <c r="B4982">
        <v>40991</v>
      </c>
      <c r="C4982" t="s">
        <v>5101</v>
      </c>
      <c r="D4982" t="s">
        <v>4719</v>
      </c>
      <c r="E4982" t="s">
        <v>4728</v>
      </c>
      <c r="F4982">
        <v>14280</v>
      </c>
      <c r="G4982">
        <v>1</v>
      </c>
      <c r="H4982" t="s">
        <v>16</v>
      </c>
      <c r="I4982" s="1">
        <v>-2782400</v>
      </c>
      <c r="J4982" s="1">
        <v>-5466300</v>
      </c>
      <c r="K4982">
        <v>283</v>
      </c>
      <c r="L4982">
        <v>366</v>
      </c>
      <c r="M4982" t="s">
        <v>16</v>
      </c>
    </row>
    <row r="4983" spans="1:13" x14ac:dyDescent="0.35">
      <c r="A4983">
        <v>431795</v>
      </c>
      <c r="B4983">
        <v>52710</v>
      </c>
      <c r="C4983" t="s">
        <v>5102</v>
      </c>
      <c r="D4983" t="s">
        <v>4719</v>
      </c>
      <c r="E4983" t="s">
        <v>4776</v>
      </c>
      <c r="F4983">
        <v>2614</v>
      </c>
      <c r="G4983">
        <v>1</v>
      </c>
      <c r="H4983" t="s">
        <v>16</v>
      </c>
      <c r="I4983" s="1">
        <v>-2790800</v>
      </c>
      <c r="J4983" s="1">
        <v>-5164500</v>
      </c>
      <c r="K4983">
        <v>662</v>
      </c>
      <c r="L4983">
        <v>125</v>
      </c>
      <c r="M4983" t="s">
        <v>16</v>
      </c>
    </row>
    <row r="4984" spans="1:13" x14ac:dyDescent="0.35">
      <c r="A4984">
        <v>431800</v>
      </c>
      <c r="B4984">
        <v>41009</v>
      </c>
      <c r="C4984" t="s">
        <v>5103</v>
      </c>
      <c r="D4984" t="s">
        <v>4719</v>
      </c>
      <c r="E4984" t="s">
        <v>4730</v>
      </c>
      <c r="F4984">
        <v>61834</v>
      </c>
      <c r="G4984">
        <v>2</v>
      </c>
      <c r="H4984" t="s">
        <v>16</v>
      </c>
      <c r="I4984" s="1">
        <v>-2866100</v>
      </c>
      <c r="J4984" s="1">
        <v>-5600400</v>
      </c>
      <c r="K4984">
        <v>123</v>
      </c>
      <c r="L4984">
        <v>3616</v>
      </c>
      <c r="M4984" t="s">
        <v>16</v>
      </c>
    </row>
    <row r="4985" spans="1:13" x14ac:dyDescent="0.35">
      <c r="A4985">
        <v>431805</v>
      </c>
      <c r="B4985">
        <v>46558</v>
      </c>
      <c r="C4985" t="s">
        <v>5104</v>
      </c>
      <c r="D4985" t="s">
        <v>4719</v>
      </c>
      <c r="E4985" t="s">
        <v>4722</v>
      </c>
      <c r="F4985">
        <v>2854</v>
      </c>
      <c r="G4985">
        <v>1</v>
      </c>
      <c r="H4985" t="s">
        <v>16</v>
      </c>
      <c r="I4985" s="1">
        <v>-2853100</v>
      </c>
      <c r="J4985" s="1">
        <v>-5188800</v>
      </c>
      <c r="K4985">
        <v>660</v>
      </c>
      <c r="L4985">
        <v>78</v>
      </c>
      <c r="M4985" t="s">
        <v>16</v>
      </c>
    </row>
    <row r="4986" spans="1:13" x14ac:dyDescent="0.35">
      <c r="A4986">
        <v>431810</v>
      </c>
      <c r="B4986">
        <v>41017</v>
      </c>
      <c r="C4986" t="s">
        <v>5105</v>
      </c>
      <c r="D4986" t="s">
        <v>4719</v>
      </c>
      <c r="E4986" t="s">
        <v>4730</v>
      </c>
      <c r="F4986">
        <v>19523</v>
      </c>
      <c r="G4986">
        <v>1</v>
      </c>
      <c r="H4986" t="s">
        <v>16</v>
      </c>
      <c r="I4986" s="1">
        <v>-2955000</v>
      </c>
      <c r="J4986" s="1">
        <v>-5513100</v>
      </c>
      <c r="K4986">
        <v>151</v>
      </c>
      <c r="L4986">
        <v>2508</v>
      </c>
      <c r="M4986" t="s">
        <v>16</v>
      </c>
    </row>
    <row r="4987" spans="1:13" x14ac:dyDescent="0.35">
      <c r="A4987">
        <v>431820</v>
      </c>
      <c r="B4987">
        <v>41025</v>
      </c>
      <c r="C4987" t="s">
        <v>3104</v>
      </c>
      <c r="D4987" t="s">
        <v>4719</v>
      </c>
      <c r="E4987" t="s">
        <v>4792</v>
      </c>
      <c r="F4987">
        <v>21278</v>
      </c>
      <c r="G4987">
        <v>1</v>
      </c>
      <c r="H4987" t="s">
        <v>16</v>
      </c>
      <c r="I4987" s="1">
        <v>-2944800</v>
      </c>
      <c r="J4987" s="1">
        <v>-5058400</v>
      </c>
      <c r="K4987">
        <v>907</v>
      </c>
      <c r="L4987">
        <v>3273</v>
      </c>
      <c r="M4987" t="s">
        <v>16</v>
      </c>
    </row>
    <row r="4988" spans="1:13" x14ac:dyDescent="0.35">
      <c r="A4988">
        <v>431830</v>
      </c>
      <c r="B4988">
        <v>41033</v>
      </c>
      <c r="C4988" t="s">
        <v>2322</v>
      </c>
      <c r="D4988" t="s">
        <v>4719</v>
      </c>
      <c r="E4988" t="s">
        <v>5080</v>
      </c>
      <c r="F4988">
        <v>57978</v>
      </c>
      <c r="G4988">
        <v>2</v>
      </c>
      <c r="H4988" t="s">
        <v>16</v>
      </c>
      <c r="I4988" s="1">
        <v>-3033600</v>
      </c>
      <c r="J4988" s="1">
        <v>-5432000</v>
      </c>
      <c r="K4988">
        <v>114</v>
      </c>
      <c r="L4988">
        <v>5019</v>
      </c>
      <c r="M4988" t="s">
        <v>16</v>
      </c>
    </row>
    <row r="4989" spans="1:13" x14ac:dyDescent="0.35">
      <c r="A4989">
        <v>431840</v>
      </c>
      <c r="B4989">
        <v>41041</v>
      </c>
      <c r="C4989" t="s">
        <v>5106</v>
      </c>
      <c r="D4989" t="s">
        <v>4719</v>
      </c>
      <c r="E4989" t="s">
        <v>4763</v>
      </c>
      <c r="F4989">
        <v>20506</v>
      </c>
      <c r="G4989">
        <v>4</v>
      </c>
      <c r="H4989" t="s">
        <v>4740</v>
      </c>
      <c r="I4989" s="1">
        <v>-2995900</v>
      </c>
      <c r="J4989" s="1">
        <v>-5172200</v>
      </c>
      <c r="K4989">
        <v>29</v>
      </c>
      <c r="L4989">
        <v>937</v>
      </c>
      <c r="M4989" t="s">
        <v>16</v>
      </c>
    </row>
    <row r="4990" spans="1:13" x14ac:dyDescent="0.35">
      <c r="A4990">
        <v>431842</v>
      </c>
      <c r="B4990">
        <v>46566</v>
      </c>
      <c r="C4990" t="s">
        <v>5107</v>
      </c>
      <c r="D4990" t="s">
        <v>4719</v>
      </c>
      <c r="E4990" t="s">
        <v>4776</v>
      </c>
      <c r="F4990">
        <v>4946</v>
      </c>
      <c r="G4990">
        <v>1</v>
      </c>
      <c r="H4990" t="s">
        <v>16</v>
      </c>
      <c r="I4990" s="1">
        <v>-2782000</v>
      </c>
      <c r="J4990" s="1">
        <v>-5182800</v>
      </c>
      <c r="K4990">
        <v>745</v>
      </c>
      <c r="L4990">
        <v>171</v>
      </c>
      <c r="M4990" t="s">
        <v>16</v>
      </c>
    </row>
    <row r="4991" spans="1:13" x14ac:dyDescent="0.35">
      <c r="A4991">
        <v>431843</v>
      </c>
      <c r="B4991">
        <v>52728</v>
      </c>
      <c r="C4991" t="s">
        <v>5108</v>
      </c>
      <c r="D4991" t="s">
        <v>4719</v>
      </c>
      <c r="E4991" t="s">
        <v>4724</v>
      </c>
      <c r="F4991">
        <v>2702</v>
      </c>
      <c r="G4991">
        <v>1</v>
      </c>
      <c r="H4991" t="s">
        <v>16</v>
      </c>
      <c r="I4991" s="1">
        <v>-2961400</v>
      </c>
      <c r="J4991" s="1">
        <v>-5344600</v>
      </c>
      <c r="K4991">
        <v>37</v>
      </c>
      <c r="L4991">
        <v>85</v>
      </c>
      <c r="M4991" t="s">
        <v>16</v>
      </c>
    </row>
    <row r="4992" spans="1:13" x14ac:dyDescent="0.35">
      <c r="A4992">
        <v>431844</v>
      </c>
      <c r="B4992">
        <v>46574</v>
      </c>
      <c r="C4992" t="s">
        <v>5109</v>
      </c>
      <c r="D4992" t="s">
        <v>4719</v>
      </c>
      <c r="E4992" t="s">
        <v>4745</v>
      </c>
      <c r="F4992">
        <v>2764</v>
      </c>
      <c r="G4992">
        <v>1</v>
      </c>
      <c r="H4992" t="s">
        <v>16</v>
      </c>
      <c r="I4992" s="1">
        <v>-2849900</v>
      </c>
      <c r="J4992" s="1">
        <v>-5170300</v>
      </c>
      <c r="K4992">
        <v>640</v>
      </c>
      <c r="L4992">
        <v>118</v>
      </c>
      <c r="M4992" t="s">
        <v>16</v>
      </c>
    </row>
    <row r="4993" spans="1:13" x14ac:dyDescent="0.35">
      <c r="A4993">
        <v>431845</v>
      </c>
      <c r="B4993">
        <v>52736</v>
      </c>
      <c r="C4993" t="s">
        <v>5110</v>
      </c>
      <c r="D4993" t="s">
        <v>4719</v>
      </c>
      <c r="E4993" t="s">
        <v>4733</v>
      </c>
      <c r="F4993">
        <v>2952</v>
      </c>
      <c r="G4993">
        <v>1</v>
      </c>
      <c r="H4993" t="s">
        <v>16</v>
      </c>
      <c r="I4993" s="1">
        <v>-2778000</v>
      </c>
      <c r="J4993" s="1">
        <v>-5312200</v>
      </c>
      <c r="K4993">
        <v>509</v>
      </c>
      <c r="L4993">
        <v>98</v>
      </c>
      <c r="M4993" t="s">
        <v>16</v>
      </c>
    </row>
    <row r="4994" spans="1:13" x14ac:dyDescent="0.35">
      <c r="A4994">
        <v>431846</v>
      </c>
      <c r="B4994">
        <v>46582</v>
      </c>
      <c r="C4994" t="s">
        <v>5111</v>
      </c>
      <c r="D4994" t="s">
        <v>4719</v>
      </c>
      <c r="E4994" t="s">
        <v>1596</v>
      </c>
      <c r="F4994">
        <v>2479</v>
      </c>
      <c r="G4994">
        <v>1</v>
      </c>
      <c r="H4994" t="s">
        <v>16</v>
      </c>
      <c r="I4994" s="1">
        <v>-2904400</v>
      </c>
      <c r="J4994" s="1">
        <v>-5229600</v>
      </c>
      <c r="K4994">
        <v>680</v>
      </c>
      <c r="L4994">
        <v>103</v>
      </c>
      <c r="M4994" t="s">
        <v>16</v>
      </c>
    </row>
    <row r="4995" spans="1:13" x14ac:dyDescent="0.35">
      <c r="A4995">
        <v>431848</v>
      </c>
      <c r="B4995">
        <v>46590</v>
      </c>
      <c r="C4995" t="s">
        <v>5112</v>
      </c>
      <c r="D4995" t="s">
        <v>4719</v>
      </c>
      <c r="E4995" t="s">
        <v>4738</v>
      </c>
      <c r="F4995">
        <v>3883</v>
      </c>
      <c r="G4995">
        <v>1</v>
      </c>
      <c r="H4995" t="s">
        <v>16</v>
      </c>
      <c r="I4995" s="1">
        <v>-2952800</v>
      </c>
      <c r="J4995" s="1">
        <v>-5125100</v>
      </c>
      <c r="K4995">
        <v>100</v>
      </c>
      <c r="L4995">
        <v>64</v>
      </c>
      <c r="M4995" t="s">
        <v>16</v>
      </c>
    </row>
    <row r="4996" spans="1:13" x14ac:dyDescent="0.35">
      <c r="A4996">
        <v>431849</v>
      </c>
      <c r="B4996">
        <v>52744</v>
      </c>
      <c r="C4996" t="s">
        <v>5113</v>
      </c>
      <c r="D4996" t="s">
        <v>4719</v>
      </c>
      <c r="E4996" t="s">
        <v>4728</v>
      </c>
      <c r="F4996">
        <v>2132</v>
      </c>
      <c r="G4996">
        <v>1</v>
      </c>
      <c r="H4996" t="s">
        <v>16</v>
      </c>
      <c r="I4996" s="1">
        <v>-2772500</v>
      </c>
      <c r="J4996" s="1">
        <v>-5412900</v>
      </c>
      <c r="K4996">
        <v>220</v>
      </c>
      <c r="L4996">
        <v>77</v>
      </c>
      <c r="M4996" t="s">
        <v>16</v>
      </c>
    </row>
    <row r="4997" spans="1:13" x14ac:dyDescent="0.35">
      <c r="A4997">
        <v>431850</v>
      </c>
      <c r="B4997">
        <v>41050</v>
      </c>
      <c r="C4997" t="s">
        <v>5114</v>
      </c>
      <c r="D4997" t="s">
        <v>4719</v>
      </c>
      <c r="E4997" t="s">
        <v>4849</v>
      </c>
      <c r="F4997">
        <v>24905</v>
      </c>
      <c r="G4997">
        <v>4</v>
      </c>
      <c r="H4997" t="s">
        <v>4761</v>
      </c>
      <c r="I4997" s="1">
        <v>-3201500</v>
      </c>
      <c r="J4997" s="1">
        <v>-5204200</v>
      </c>
      <c r="K4997">
        <v>4</v>
      </c>
      <c r="L4997">
        <v>1117</v>
      </c>
      <c r="M4997" t="s">
        <v>16</v>
      </c>
    </row>
    <row r="4998" spans="1:13" x14ac:dyDescent="0.35">
      <c r="A4998">
        <v>431860</v>
      </c>
      <c r="B4998">
        <v>41068</v>
      </c>
      <c r="C4998" t="s">
        <v>5115</v>
      </c>
      <c r="D4998" t="s">
        <v>4719</v>
      </c>
      <c r="E4998" t="s">
        <v>4776</v>
      </c>
      <c r="F4998">
        <v>6973</v>
      </c>
      <c r="G4998">
        <v>1</v>
      </c>
      <c r="H4998" t="s">
        <v>16</v>
      </c>
      <c r="I4998" s="1">
        <v>-2776900</v>
      </c>
      <c r="J4998" s="1">
        <v>-5159400</v>
      </c>
      <c r="K4998">
        <v>769</v>
      </c>
      <c r="L4998">
        <v>334</v>
      </c>
      <c r="M4998" t="s">
        <v>16</v>
      </c>
    </row>
    <row r="4999" spans="1:13" x14ac:dyDescent="0.35">
      <c r="A4999">
        <v>431861</v>
      </c>
      <c r="B4999">
        <v>59943</v>
      </c>
      <c r="C4999" t="s">
        <v>5116</v>
      </c>
      <c r="D4999" t="s">
        <v>4719</v>
      </c>
      <c r="E4999" t="s">
        <v>4738</v>
      </c>
      <c r="F4999">
        <v>1899</v>
      </c>
      <c r="G4999">
        <v>1</v>
      </c>
      <c r="H4999" t="s">
        <v>16</v>
      </c>
      <c r="I4999" s="1">
        <v>-2953100</v>
      </c>
      <c r="J4999" s="1">
        <v>-5148200</v>
      </c>
      <c r="K4999">
        <v>0</v>
      </c>
      <c r="L4999">
        <v>60</v>
      </c>
      <c r="M4999" t="s">
        <v>16</v>
      </c>
    </row>
    <row r="5000" spans="1:13" x14ac:dyDescent="0.35">
      <c r="A5000">
        <v>431862</v>
      </c>
      <c r="B5000">
        <v>52752</v>
      </c>
      <c r="C5000" t="s">
        <v>5117</v>
      </c>
      <c r="D5000" t="s">
        <v>4719</v>
      </c>
      <c r="E5000" t="s">
        <v>4792</v>
      </c>
      <c r="F5000">
        <v>3180</v>
      </c>
      <c r="G5000">
        <v>1</v>
      </c>
      <c r="H5000" t="s">
        <v>16</v>
      </c>
      <c r="I5000" s="1">
        <v>-2874800</v>
      </c>
      <c r="J5000" s="1">
        <v>-5006600</v>
      </c>
      <c r="K5000">
        <v>116</v>
      </c>
      <c r="L5000">
        <v>1176</v>
      </c>
      <c r="M5000" t="s">
        <v>16</v>
      </c>
    </row>
    <row r="5001" spans="1:13" x14ac:dyDescent="0.35">
      <c r="A5001">
        <v>431870</v>
      </c>
      <c r="B5001">
        <v>41076</v>
      </c>
      <c r="C5001" t="s">
        <v>5118</v>
      </c>
      <c r="D5001" t="s">
        <v>4719</v>
      </c>
      <c r="E5001" t="s">
        <v>4739</v>
      </c>
      <c r="F5001">
        <v>207721</v>
      </c>
      <c r="G5001">
        <v>4</v>
      </c>
      <c r="H5001" t="s">
        <v>4740</v>
      </c>
      <c r="I5001" s="1">
        <v>-2976000</v>
      </c>
      <c r="J5001" s="1">
        <v>-5114700</v>
      </c>
      <c r="K5001">
        <v>15</v>
      </c>
      <c r="L5001">
        <v>102</v>
      </c>
      <c r="M5001" t="s">
        <v>16</v>
      </c>
    </row>
    <row r="5002" spans="1:13" x14ac:dyDescent="0.35">
      <c r="A5002">
        <v>431880</v>
      </c>
      <c r="B5002">
        <v>41084</v>
      </c>
      <c r="C5002" t="s">
        <v>5119</v>
      </c>
      <c r="D5002" t="s">
        <v>4719</v>
      </c>
      <c r="E5002" t="s">
        <v>4760</v>
      </c>
      <c r="F5002">
        <v>42339</v>
      </c>
      <c r="G5002">
        <v>1</v>
      </c>
      <c r="H5002" t="s">
        <v>16</v>
      </c>
      <c r="I5002" s="1">
        <v>-3136500</v>
      </c>
      <c r="J5002" s="1">
        <v>-5197800</v>
      </c>
      <c r="K5002">
        <v>19</v>
      </c>
      <c r="L5002">
        <v>2036</v>
      </c>
      <c r="M5002" t="s">
        <v>16</v>
      </c>
    </row>
    <row r="5003" spans="1:13" x14ac:dyDescent="0.35">
      <c r="A5003">
        <v>431890</v>
      </c>
      <c r="B5003">
        <v>41092</v>
      </c>
      <c r="C5003" t="s">
        <v>5120</v>
      </c>
      <c r="D5003" t="s">
        <v>4719</v>
      </c>
      <c r="E5003" t="s">
        <v>4798</v>
      </c>
      <c r="F5003">
        <v>34487</v>
      </c>
      <c r="G5003">
        <v>1</v>
      </c>
      <c r="H5003" t="s">
        <v>16</v>
      </c>
      <c r="I5003" s="1">
        <v>-2840800</v>
      </c>
      <c r="J5003" s="1">
        <v>-5496100</v>
      </c>
      <c r="K5003">
        <v>231</v>
      </c>
      <c r="L5003">
        <v>1297</v>
      </c>
      <c r="M5003" t="s">
        <v>16</v>
      </c>
    </row>
    <row r="5004" spans="1:13" x14ac:dyDescent="0.35">
      <c r="A5004">
        <v>431900</v>
      </c>
      <c r="B5004">
        <v>41106</v>
      </c>
      <c r="C5004" t="s">
        <v>5121</v>
      </c>
      <c r="D5004" t="s">
        <v>4719</v>
      </c>
      <c r="E5004" t="s">
        <v>4748</v>
      </c>
      <c r="F5004">
        <v>19641</v>
      </c>
      <c r="G5004">
        <v>4</v>
      </c>
      <c r="H5004" t="s">
        <v>4786</v>
      </c>
      <c r="I5004" s="1">
        <v>-2897100</v>
      </c>
      <c r="J5004" s="1">
        <v>-5106800</v>
      </c>
      <c r="K5004">
        <v>746</v>
      </c>
      <c r="L5004">
        <v>256</v>
      </c>
      <c r="M5004" t="s">
        <v>16</v>
      </c>
    </row>
    <row r="5005" spans="1:13" x14ac:dyDescent="0.35">
      <c r="A5005">
        <v>431910</v>
      </c>
      <c r="B5005">
        <v>41114</v>
      </c>
      <c r="C5005" t="s">
        <v>4682</v>
      </c>
      <c r="D5005" t="s">
        <v>4719</v>
      </c>
      <c r="E5005" t="s">
        <v>4778</v>
      </c>
      <c r="F5005">
        <v>5853</v>
      </c>
      <c r="G5005">
        <v>1</v>
      </c>
      <c r="H5005" t="s">
        <v>16</v>
      </c>
      <c r="I5005" s="1">
        <v>-2770700</v>
      </c>
      <c r="J5005" s="1">
        <v>-5396900</v>
      </c>
      <c r="K5005">
        <v>448</v>
      </c>
      <c r="L5005">
        <v>171</v>
      </c>
      <c r="M5005" t="s">
        <v>16</v>
      </c>
    </row>
    <row r="5006" spans="1:13" x14ac:dyDescent="0.35">
      <c r="A5006">
        <v>431912</v>
      </c>
      <c r="B5006">
        <v>52760</v>
      </c>
      <c r="C5006" t="s">
        <v>5122</v>
      </c>
      <c r="D5006" t="s">
        <v>4719</v>
      </c>
      <c r="E5006" t="s">
        <v>1329</v>
      </c>
      <c r="F5006">
        <v>3409</v>
      </c>
      <c r="G5006">
        <v>1</v>
      </c>
      <c r="H5006" t="s">
        <v>16</v>
      </c>
      <c r="I5006" s="1">
        <v>-2953800</v>
      </c>
      <c r="J5006" s="1">
        <v>-5385500</v>
      </c>
      <c r="K5006">
        <v>453</v>
      </c>
      <c r="L5006">
        <v>671</v>
      </c>
      <c r="M5006" t="s">
        <v>16</v>
      </c>
    </row>
    <row r="5007" spans="1:13" x14ac:dyDescent="0.35">
      <c r="A5007">
        <v>431915</v>
      </c>
      <c r="B5007">
        <v>46604</v>
      </c>
      <c r="C5007" t="s">
        <v>5123</v>
      </c>
      <c r="D5007" t="s">
        <v>4719</v>
      </c>
      <c r="E5007" t="s">
        <v>4798</v>
      </c>
      <c r="F5007">
        <v>7382</v>
      </c>
      <c r="G5007">
        <v>1</v>
      </c>
      <c r="H5007" t="s">
        <v>16</v>
      </c>
      <c r="I5007" s="1">
        <v>-2856300</v>
      </c>
      <c r="J5007" s="1">
        <v>-5455400</v>
      </c>
      <c r="K5007">
        <v>305</v>
      </c>
      <c r="L5007">
        <v>1229</v>
      </c>
      <c r="M5007" t="s">
        <v>16</v>
      </c>
    </row>
    <row r="5008" spans="1:13" x14ac:dyDescent="0.35">
      <c r="A5008">
        <v>431920</v>
      </c>
      <c r="B5008">
        <v>41122</v>
      </c>
      <c r="C5008" t="s">
        <v>5124</v>
      </c>
      <c r="D5008" t="s">
        <v>4719</v>
      </c>
      <c r="E5008" t="s">
        <v>4798</v>
      </c>
      <c r="F5008">
        <v>5909</v>
      </c>
      <c r="G5008">
        <v>1</v>
      </c>
      <c r="H5008" t="s">
        <v>16</v>
      </c>
      <c r="I5008" s="1">
        <v>-2818300</v>
      </c>
      <c r="J5008" s="1">
        <v>-5526700</v>
      </c>
      <c r="K5008">
        <v>148</v>
      </c>
      <c r="L5008">
        <v>485</v>
      </c>
      <c r="M5008" t="s">
        <v>16</v>
      </c>
    </row>
    <row r="5009" spans="1:13" x14ac:dyDescent="0.35">
      <c r="A5009">
        <v>431930</v>
      </c>
      <c r="B5009">
        <v>41130</v>
      </c>
      <c r="C5009" t="s">
        <v>5125</v>
      </c>
      <c r="D5009" t="s">
        <v>4719</v>
      </c>
      <c r="E5009" t="s">
        <v>4808</v>
      </c>
      <c r="F5009">
        <v>6690</v>
      </c>
      <c r="G5009">
        <v>1</v>
      </c>
      <c r="H5009" t="s">
        <v>16</v>
      </c>
      <c r="I5009" s="1">
        <v>-2802100</v>
      </c>
      <c r="J5009" s="1">
        <v>-5493600</v>
      </c>
      <c r="K5009">
        <v>157</v>
      </c>
      <c r="L5009">
        <v>223</v>
      </c>
      <c r="M5009" t="s">
        <v>16</v>
      </c>
    </row>
    <row r="5010" spans="1:13" x14ac:dyDescent="0.35">
      <c r="A5010">
        <v>431935</v>
      </c>
      <c r="B5010">
        <v>52779</v>
      </c>
      <c r="C5010" t="s">
        <v>5126</v>
      </c>
      <c r="D5010" t="s">
        <v>4719</v>
      </c>
      <c r="E5010" t="s">
        <v>4738</v>
      </c>
      <c r="F5010">
        <v>3117</v>
      </c>
      <c r="G5010">
        <v>1</v>
      </c>
      <c r="H5010" t="s">
        <v>16</v>
      </c>
      <c r="I5010" s="1">
        <v>-2942100</v>
      </c>
      <c r="J5010" s="1">
        <v>-5151300</v>
      </c>
      <c r="K5010">
        <v>463</v>
      </c>
      <c r="L5010">
        <v>35</v>
      </c>
      <c r="M5010" t="s">
        <v>16</v>
      </c>
    </row>
    <row r="5011" spans="1:13" x14ac:dyDescent="0.35">
      <c r="A5011">
        <v>431936</v>
      </c>
      <c r="B5011">
        <v>59951</v>
      </c>
      <c r="C5011" t="s">
        <v>5127</v>
      </c>
      <c r="D5011" t="s">
        <v>4719</v>
      </c>
      <c r="E5011" t="s">
        <v>4733</v>
      </c>
      <c r="F5011">
        <v>1939</v>
      </c>
      <c r="G5011">
        <v>1</v>
      </c>
      <c r="H5011" t="s">
        <v>16</v>
      </c>
      <c r="I5011" s="1">
        <v>-2707700</v>
      </c>
      <c r="J5011" s="1">
        <v>-5324600</v>
      </c>
      <c r="K5011">
        <v>0</v>
      </c>
      <c r="L5011">
        <v>83</v>
      </c>
      <c r="M5011" t="s">
        <v>16</v>
      </c>
    </row>
    <row r="5012" spans="1:13" x14ac:dyDescent="0.35">
      <c r="A5012">
        <v>431937</v>
      </c>
      <c r="B5012">
        <v>52787</v>
      </c>
      <c r="C5012" t="s">
        <v>5128</v>
      </c>
      <c r="D5012" t="s">
        <v>4719</v>
      </c>
      <c r="E5012" t="s">
        <v>4808</v>
      </c>
      <c r="F5012">
        <v>2744</v>
      </c>
      <c r="G5012">
        <v>1</v>
      </c>
      <c r="H5012" t="s">
        <v>16</v>
      </c>
      <c r="I5012" s="1">
        <v>-2812400</v>
      </c>
      <c r="J5012" s="1">
        <v>-5488700</v>
      </c>
      <c r="K5012">
        <v>194</v>
      </c>
      <c r="L5012">
        <v>107</v>
      </c>
      <c r="M5012" t="s">
        <v>16</v>
      </c>
    </row>
    <row r="5013" spans="1:13" x14ac:dyDescent="0.35">
      <c r="A5013">
        <v>431940</v>
      </c>
      <c r="B5013">
        <v>41149</v>
      </c>
      <c r="C5013" t="s">
        <v>5129</v>
      </c>
      <c r="D5013" t="s">
        <v>4719</v>
      </c>
      <c r="E5013" t="s">
        <v>1329</v>
      </c>
      <c r="F5013">
        <v>16613</v>
      </c>
      <c r="G5013">
        <v>1</v>
      </c>
      <c r="H5013" t="s">
        <v>16</v>
      </c>
      <c r="I5013" s="1">
        <v>-2962100</v>
      </c>
      <c r="J5013" s="1">
        <v>-5417900</v>
      </c>
      <c r="K5013">
        <v>173</v>
      </c>
      <c r="L5013">
        <v>873</v>
      </c>
      <c r="M5013" t="s">
        <v>16</v>
      </c>
    </row>
    <row r="5014" spans="1:13" x14ac:dyDescent="0.35">
      <c r="A5014">
        <v>431950</v>
      </c>
      <c r="B5014">
        <v>41157</v>
      </c>
      <c r="C5014" t="s">
        <v>5130</v>
      </c>
      <c r="D5014" t="s">
        <v>4719</v>
      </c>
      <c r="E5014" t="s">
        <v>4738</v>
      </c>
      <c r="F5014">
        <v>20359</v>
      </c>
      <c r="G5014">
        <v>1</v>
      </c>
      <c r="H5014" t="s">
        <v>16</v>
      </c>
      <c r="I5014" s="1">
        <v>-2958700</v>
      </c>
      <c r="J5014" s="1">
        <v>-5137600</v>
      </c>
      <c r="K5014">
        <v>17</v>
      </c>
      <c r="L5014">
        <v>111</v>
      </c>
      <c r="M5014" t="s">
        <v>16</v>
      </c>
    </row>
    <row r="5015" spans="1:13" x14ac:dyDescent="0.35">
      <c r="A5015">
        <v>431960</v>
      </c>
      <c r="B5015">
        <v>41165</v>
      </c>
      <c r="C5015" t="s">
        <v>5131</v>
      </c>
      <c r="D5015" t="s">
        <v>4719</v>
      </c>
      <c r="E5015" t="s">
        <v>1329</v>
      </c>
      <c r="F5015">
        <v>23787</v>
      </c>
      <c r="G5015">
        <v>1</v>
      </c>
      <c r="H5015" t="s">
        <v>16</v>
      </c>
      <c r="I5015" s="1">
        <v>-3016100</v>
      </c>
      <c r="J5015" s="1">
        <v>-5356500</v>
      </c>
      <c r="K5015">
        <v>85</v>
      </c>
      <c r="L5015">
        <v>2188</v>
      </c>
      <c r="M5015" t="s">
        <v>16</v>
      </c>
    </row>
    <row r="5016" spans="1:13" x14ac:dyDescent="0.35">
      <c r="A5016">
        <v>431970</v>
      </c>
      <c r="B5016">
        <v>41173</v>
      </c>
      <c r="C5016" t="s">
        <v>5132</v>
      </c>
      <c r="D5016" t="s">
        <v>4719</v>
      </c>
      <c r="E5016" t="s">
        <v>4753</v>
      </c>
      <c r="F5016">
        <v>3919</v>
      </c>
      <c r="G5016">
        <v>1</v>
      </c>
      <c r="H5016" t="s">
        <v>16</v>
      </c>
      <c r="I5016" s="1">
        <v>-2755800</v>
      </c>
      <c r="J5016" s="1">
        <v>-5252400</v>
      </c>
      <c r="K5016">
        <v>836</v>
      </c>
      <c r="L5016">
        <v>154</v>
      </c>
      <c r="M5016" t="s">
        <v>16</v>
      </c>
    </row>
    <row r="5017" spans="1:13" x14ac:dyDescent="0.35">
      <c r="A5017">
        <v>431971</v>
      </c>
      <c r="B5017">
        <v>52795</v>
      </c>
      <c r="C5017" t="s">
        <v>5133</v>
      </c>
      <c r="D5017" t="s">
        <v>4719</v>
      </c>
      <c r="E5017" t="s">
        <v>4745</v>
      </c>
      <c r="F5017">
        <v>2230</v>
      </c>
      <c r="G5017">
        <v>1</v>
      </c>
      <c r="H5017" t="s">
        <v>16</v>
      </c>
      <c r="I5017" s="1">
        <v>-2904700</v>
      </c>
      <c r="J5017" s="1">
        <v>-5176500</v>
      </c>
      <c r="K5017">
        <v>550</v>
      </c>
      <c r="L5017">
        <v>92</v>
      </c>
      <c r="M5017" t="s">
        <v>16</v>
      </c>
    </row>
    <row r="5018" spans="1:13" x14ac:dyDescent="0.35">
      <c r="A5018">
        <v>431973</v>
      </c>
      <c r="B5018">
        <v>52809</v>
      </c>
      <c r="C5018" t="s">
        <v>5134</v>
      </c>
      <c r="D5018" t="s">
        <v>4719</v>
      </c>
      <c r="E5018" t="s">
        <v>4726</v>
      </c>
      <c r="F5018">
        <v>2635</v>
      </c>
      <c r="G5018">
        <v>1</v>
      </c>
      <c r="H5018" t="s">
        <v>16</v>
      </c>
      <c r="I5018" s="1">
        <v>-2778700</v>
      </c>
      <c r="J5018" s="1">
        <v>-5393700</v>
      </c>
      <c r="K5018">
        <v>421</v>
      </c>
      <c r="L5018">
        <v>107</v>
      </c>
      <c r="M5018" t="s">
        <v>16</v>
      </c>
    </row>
    <row r="5019" spans="1:13" x14ac:dyDescent="0.35">
      <c r="A5019">
        <v>431975</v>
      </c>
      <c r="B5019">
        <v>47490</v>
      </c>
      <c r="C5019" t="s">
        <v>5135</v>
      </c>
      <c r="D5019" t="s">
        <v>4719</v>
      </c>
      <c r="E5019" t="s">
        <v>4738</v>
      </c>
      <c r="F5019">
        <v>1794</v>
      </c>
      <c r="G5019">
        <v>1</v>
      </c>
      <c r="H5019" t="s">
        <v>16</v>
      </c>
      <c r="I5019" s="1">
        <v>-2936900</v>
      </c>
      <c r="J5019" s="1">
        <v>-5137700</v>
      </c>
      <c r="K5019">
        <v>100</v>
      </c>
      <c r="L5019">
        <v>32</v>
      </c>
      <c r="M5019" t="s">
        <v>16</v>
      </c>
    </row>
    <row r="5020" spans="1:13" x14ac:dyDescent="0.35">
      <c r="A5020">
        <v>431980</v>
      </c>
      <c r="B5020">
        <v>40088</v>
      </c>
      <c r="C5020" t="s">
        <v>5136</v>
      </c>
      <c r="D5020" t="s">
        <v>4719</v>
      </c>
      <c r="E5020" t="s">
        <v>1329</v>
      </c>
      <c r="F5020">
        <v>8361</v>
      </c>
      <c r="G5020">
        <v>1</v>
      </c>
      <c r="H5020" t="s">
        <v>16</v>
      </c>
      <c r="I5020" s="1">
        <v>-2969200</v>
      </c>
      <c r="J5020" s="1">
        <v>-5467900</v>
      </c>
      <c r="K5020">
        <v>129</v>
      </c>
      <c r="L5020">
        <v>1174</v>
      </c>
      <c r="M5020" t="s">
        <v>16</v>
      </c>
    </row>
    <row r="5021" spans="1:13" x14ac:dyDescent="0.35">
      <c r="A5021">
        <v>431990</v>
      </c>
      <c r="B5021">
        <v>41181</v>
      </c>
      <c r="C5021" t="s">
        <v>5137</v>
      </c>
      <c r="D5021" t="s">
        <v>4719</v>
      </c>
      <c r="E5021" t="s">
        <v>4739</v>
      </c>
      <c r="F5021">
        <v>73979</v>
      </c>
      <c r="G5021">
        <v>4</v>
      </c>
      <c r="H5021" t="s">
        <v>4740</v>
      </c>
      <c r="I5021" s="1">
        <v>-2963800</v>
      </c>
      <c r="J5021" s="1">
        <v>-5100700</v>
      </c>
      <c r="K5021">
        <v>57</v>
      </c>
      <c r="L5021">
        <v>137</v>
      </c>
      <c r="M5021" t="s">
        <v>16</v>
      </c>
    </row>
    <row r="5022" spans="1:13" x14ac:dyDescent="0.35">
      <c r="A5022">
        <v>432000</v>
      </c>
      <c r="B5022">
        <v>41190</v>
      </c>
      <c r="C5022" t="s">
        <v>5138</v>
      </c>
      <c r="D5022" t="s">
        <v>4719</v>
      </c>
      <c r="E5022" t="s">
        <v>4739</v>
      </c>
      <c r="F5022">
        <v>122231</v>
      </c>
      <c r="G5022">
        <v>4</v>
      </c>
      <c r="H5022" t="s">
        <v>4740</v>
      </c>
      <c r="I5022" s="1">
        <v>-2983900</v>
      </c>
      <c r="J5022" s="1">
        <v>-5114400</v>
      </c>
      <c r="K5022">
        <v>23</v>
      </c>
      <c r="L5022">
        <v>58</v>
      </c>
      <c r="M5022" t="s">
        <v>16</v>
      </c>
    </row>
    <row r="5023" spans="1:13" x14ac:dyDescent="0.35">
      <c r="A5023">
        <v>432010</v>
      </c>
      <c r="B5023">
        <v>41203</v>
      </c>
      <c r="C5023" t="s">
        <v>4409</v>
      </c>
      <c r="D5023" t="s">
        <v>4719</v>
      </c>
      <c r="E5023" t="s">
        <v>4733</v>
      </c>
      <c r="F5023">
        <v>20415</v>
      </c>
      <c r="G5023">
        <v>1</v>
      </c>
      <c r="H5023" t="s">
        <v>16</v>
      </c>
      <c r="I5023" s="1">
        <v>-2794400</v>
      </c>
      <c r="J5023" s="1">
        <v>-5292300</v>
      </c>
      <c r="K5023">
        <v>503</v>
      </c>
      <c r="L5023">
        <v>353</v>
      </c>
      <c r="M5023" t="s">
        <v>16</v>
      </c>
    </row>
    <row r="5024" spans="1:13" x14ac:dyDescent="0.35">
      <c r="A5024">
        <v>432020</v>
      </c>
      <c r="B5024">
        <v>41211</v>
      </c>
      <c r="C5024" t="s">
        <v>5139</v>
      </c>
      <c r="D5024" t="s">
        <v>4719</v>
      </c>
      <c r="E5024" t="s">
        <v>4735</v>
      </c>
      <c r="F5024">
        <v>10870</v>
      </c>
      <c r="G5024">
        <v>1</v>
      </c>
      <c r="H5024" t="s">
        <v>16</v>
      </c>
      <c r="I5024" s="1">
        <v>-2747800</v>
      </c>
      <c r="J5024" s="1">
        <v>-5340300</v>
      </c>
      <c r="K5024">
        <v>546</v>
      </c>
      <c r="L5024">
        <v>301</v>
      </c>
      <c r="M5024" t="s">
        <v>16</v>
      </c>
    </row>
    <row r="5025" spans="1:13" x14ac:dyDescent="0.35">
      <c r="A5025">
        <v>432023</v>
      </c>
      <c r="B5025">
        <v>46612</v>
      </c>
      <c r="C5025" t="s">
        <v>5140</v>
      </c>
      <c r="D5025" t="s">
        <v>4719</v>
      </c>
      <c r="E5025" t="s">
        <v>4778</v>
      </c>
      <c r="F5025">
        <v>2968</v>
      </c>
      <c r="G5025">
        <v>1</v>
      </c>
      <c r="H5025" t="s">
        <v>16</v>
      </c>
      <c r="I5025" s="1">
        <v>-2763500</v>
      </c>
      <c r="J5025" s="1">
        <v>-5394600</v>
      </c>
      <c r="K5025">
        <v>460</v>
      </c>
      <c r="L5025">
        <v>118</v>
      </c>
      <c r="M5025" t="s">
        <v>16</v>
      </c>
    </row>
    <row r="5026" spans="1:13" x14ac:dyDescent="0.35">
      <c r="A5026">
        <v>432026</v>
      </c>
      <c r="B5026">
        <v>46620</v>
      </c>
      <c r="C5026" t="s">
        <v>5141</v>
      </c>
      <c r="D5026" t="s">
        <v>4719</v>
      </c>
      <c r="E5026" t="s">
        <v>4765</v>
      </c>
      <c r="F5026">
        <v>7022</v>
      </c>
      <c r="G5026">
        <v>1</v>
      </c>
      <c r="H5026" t="s">
        <v>16</v>
      </c>
      <c r="I5026" s="1">
        <v>-2926900</v>
      </c>
      <c r="J5026" s="1">
        <v>-5301200</v>
      </c>
      <c r="K5026">
        <v>330</v>
      </c>
      <c r="L5026">
        <v>247</v>
      </c>
      <c r="M5026" t="s">
        <v>16</v>
      </c>
    </row>
    <row r="5027" spans="1:13" x14ac:dyDescent="0.35">
      <c r="A5027">
        <v>432030</v>
      </c>
      <c r="B5027">
        <v>41220</v>
      </c>
      <c r="C5027" t="s">
        <v>5142</v>
      </c>
      <c r="D5027" t="s">
        <v>4719</v>
      </c>
      <c r="E5027" t="s">
        <v>4853</v>
      </c>
      <c r="F5027">
        <v>4773</v>
      </c>
      <c r="G5027">
        <v>1</v>
      </c>
      <c r="H5027" t="s">
        <v>16</v>
      </c>
      <c r="I5027" s="1">
        <v>-2862900</v>
      </c>
      <c r="J5027" s="1">
        <v>-5295300</v>
      </c>
      <c r="K5027">
        <v>404</v>
      </c>
      <c r="L5027">
        <v>176</v>
      </c>
      <c r="M5027" t="s">
        <v>16</v>
      </c>
    </row>
    <row r="5028" spans="1:13" x14ac:dyDescent="0.35">
      <c r="A5028">
        <v>432032</v>
      </c>
      <c r="B5028">
        <v>58920</v>
      </c>
      <c r="C5028" t="s">
        <v>5143</v>
      </c>
      <c r="D5028" t="s">
        <v>4719</v>
      </c>
      <c r="E5028" t="s">
        <v>4798</v>
      </c>
      <c r="F5028">
        <v>2861</v>
      </c>
      <c r="G5028">
        <v>1</v>
      </c>
      <c r="H5028" t="s">
        <v>16</v>
      </c>
      <c r="I5028" s="1">
        <v>-2803100</v>
      </c>
      <c r="J5028" s="1">
        <v>-5454300</v>
      </c>
      <c r="K5028">
        <v>336</v>
      </c>
      <c r="L5028">
        <v>147</v>
      </c>
      <c r="M5028" t="s">
        <v>16</v>
      </c>
    </row>
    <row r="5029" spans="1:13" x14ac:dyDescent="0.35">
      <c r="A5029">
        <v>432035</v>
      </c>
      <c r="B5029">
        <v>52817</v>
      </c>
      <c r="C5029" t="s">
        <v>5144</v>
      </c>
      <c r="D5029" t="s">
        <v>4719</v>
      </c>
      <c r="E5029" t="s">
        <v>4750</v>
      </c>
      <c r="F5029">
        <v>5290</v>
      </c>
      <c r="G5029">
        <v>1</v>
      </c>
      <c r="H5029" t="s">
        <v>16</v>
      </c>
      <c r="I5029" s="1">
        <v>-3061100</v>
      </c>
      <c r="J5029" s="1">
        <v>-5157900</v>
      </c>
      <c r="K5029">
        <v>600</v>
      </c>
      <c r="L5029">
        <v>281</v>
      </c>
      <c r="M5029" t="s">
        <v>16</v>
      </c>
    </row>
    <row r="5030" spans="1:13" x14ac:dyDescent="0.35">
      <c r="A5030">
        <v>432040</v>
      </c>
      <c r="B5030">
        <v>41238</v>
      </c>
      <c r="C5030" t="s">
        <v>5145</v>
      </c>
      <c r="D5030" t="s">
        <v>4719</v>
      </c>
      <c r="E5030" t="s">
        <v>4745</v>
      </c>
      <c r="F5030">
        <v>13463</v>
      </c>
      <c r="G5030">
        <v>1</v>
      </c>
      <c r="H5030" t="s">
        <v>16</v>
      </c>
      <c r="I5030" s="1">
        <v>-2871200</v>
      </c>
      <c r="J5030" s="1">
        <v>-5193500</v>
      </c>
      <c r="K5030">
        <v>509</v>
      </c>
      <c r="L5030">
        <v>163</v>
      </c>
      <c r="M5030" t="s">
        <v>16</v>
      </c>
    </row>
    <row r="5031" spans="1:13" x14ac:dyDescent="0.35">
      <c r="A5031">
        <v>432045</v>
      </c>
      <c r="B5031">
        <v>52825</v>
      </c>
      <c r="C5031" t="s">
        <v>5146</v>
      </c>
      <c r="D5031" t="s">
        <v>4719</v>
      </c>
      <c r="E5031" t="s">
        <v>4755</v>
      </c>
      <c r="F5031">
        <v>2399</v>
      </c>
      <c r="G5031">
        <v>1</v>
      </c>
      <c r="H5031" t="s">
        <v>16</v>
      </c>
      <c r="I5031" s="1">
        <v>-2938300</v>
      </c>
      <c r="J5031" s="1">
        <v>-5226900</v>
      </c>
      <c r="K5031">
        <v>626</v>
      </c>
      <c r="L5031">
        <v>99</v>
      </c>
      <c r="M5031" t="s">
        <v>16</v>
      </c>
    </row>
    <row r="5032" spans="1:13" x14ac:dyDescent="0.35">
      <c r="A5032">
        <v>432050</v>
      </c>
      <c r="B5032">
        <v>41246</v>
      </c>
      <c r="C5032" t="s">
        <v>5147</v>
      </c>
      <c r="D5032" t="s">
        <v>4719</v>
      </c>
      <c r="E5032" t="s">
        <v>4722</v>
      </c>
      <c r="F5032">
        <v>6663</v>
      </c>
      <c r="G5032">
        <v>1</v>
      </c>
      <c r="H5032" t="s">
        <v>16</v>
      </c>
      <c r="I5032" s="1">
        <v>-2798000</v>
      </c>
      <c r="J5032" s="1">
        <v>-5226000</v>
      </c>
      <c r="K5032">
        <v>735</v>
      </c>
      <c r="L5032">
        <v>439</v>
      </c>
      <c r="M5032" t="s">
        <v>16</v>
      </c>
    </row>
    <row r="5033" spans="1:13" x14ac:dyDescent="0.35">
      <c r="A5033">
        <v>432055</v>
      </c>
      <c r="B5033">
        <v>52833</v>
      </c>
      <c r="C5033" t="s">
        <v>5148</v>
      </c>
      <c r="D5033" t="s">
        <v>4719</v>
      </c>
      <c r="E5033" t="s">
        <v>4739</v>
      </c>
      <c r="F5033">
        <v>5791</v>
      </c>
      <c r="G5033">
        <v>1</v>
      </c>
      <c r="H5033" t="s">
        <v>16</v>
      </c>
      <c r="I5033" s="1">
        <v>-3046000</v>
      </c>
      <c r="J5033" s="1">
        <v>-5160300</v>
      </c>
      <c r="K5033">
        <v>75</v>
      </c>
      <c r="L5033">
        <v>251</v>
      </c>
      <c r="M5033" t="s">
        <v>16</v>
      </c>
    </row>
    <row r="5034" spans="1:13" x14ac:dyDescent="0.35">
      <c r="A5034">
        <v>432057</v>
      </c>
      <c r="B5034">
        <v>58939</v>
      </c>
      <c r="C5034" t="s">
        <v>5149</v>
      </c>
      <c r="D5034" t="s">
        <v>4719</v>
      </c>
      <c r="E5034" t="s">
        <v>4808</v>
      </c>
      <c r="F5034">
        <v>2131</v>
      </c>
      <c r="G5034">
        <v>1</v>
      </c>
      <c r="H5034" t="s">
        <v>16</v>
      </c>
      <c r="I5034" s="1">
        <v>-2813100</v>
      </c>
      <c r="J5034" s="1">
        <v>-5446300</v>
      </c>
      <c r="K5034">
        <v>273</v>
      </c>
      <c r="L5034">
        <v>129</v>
      </c>
      <c r="M5034" t="s">
        <v>16</v>
      </c>
    </row>
    <row r="5035" spans="1:13" x14ac:dyDescent="0.35">
      <c r="A5035">
        <v>432060</v>
      </c>
      <c r="B5035">
        <v>41254</v>
      </c>
      <c r="C5035" t="s">
        <v>5150</v>
      </c>
      <c r="D5035" t="s">
        <v>4719</v>
      </c>
      <c r="E5035" t="s">
        <v>4753</v>
      </c>
      <c r="F5035">
        <v>3907</v>
      </c>
      <c r="G5035">
        <v>1</v>
      </c>
      <c r="H5035" t="s">
        <v>16</v>
      </c>
      <c r="I5035" s="1">
        <v>-2743300</v>
      </c>
      <c r="J5035" s="1">
        <v>-5211600</v>
      </c>
      <c r="K5035">
        <v>476</v>
      </c>
      <c r="L5035">
        <v>167</v>
      </c>
      <c r="M5035" t="s">
        <v>16</v>
      </c>
    </row>
    <row r="5036" spans="1:13" x14ac:dyDescent="0.35">
      <c r="A5036">
        <v>432065</v>
      </c>
      <c r="B5036">
        <v>46639</v>
      </c>
      <c r="C5036" t="s">
        <v>5151</v>
      </c>
      <c r="D5036" t="s">
        <v>4719</v>
      </c>
      <c r="E5036" t="s">
        <v>4724</v>
      </c>
      <c r="F5036">
        <v>2479</v>
      </c>
      <c r="G5036">
        <v>1</v>
      </c>
      <c r="H5036" t="s">
        <v>16</v>
      </c>
      <c r="I5036" s="1">
        <v>-2964200</v>
      </c>
      <c r="J5036" s="1">
        <v>-5358600</v>
      </c>
      <c r="K5036">
        <v>431</v>
      </c>
      <c r="L5036">
        <v>118</v>
      </c>
      <c r="M5036" t="s">
        <v>16</v>
      </c>
    </row>
    <row r="5037" spans="1:13" x14ac:dyDescent="0.35">
      <c r="A5037">
        <v>432067</v>
      </c>
      <c r="B5037">
        <v>52841</v>
      </c>
      <c r="C5037" t="s">
        <v>5152</v>
      </c>
      <c r="D5037" t="s">
        <v>4719</v>
      </c>
      <c r="E5037" t="s">
        <v>4765</v>
      </c>
      <c r="F5037">
        <v>10315</v>
      </c>
      <c r="G5037">
        <v>1</v>
      </c>
      <c r="H5037" t="s">
        <v>16</v>
      </c>
      <c r="I5037" s="1">
        <v>-2953900</v>
      </c>
      <c r="J5037" s="1">
        <v>-5252200</v>
      </c>
      <c r="K5037">
        <v>77</v>
      </c>
      <c r="L5037">
        <v>510</v>
      </c>
      <c r="M5037" t="s">
        <v>16</v>
      </c>
    </row>
    <row r="5038" spans="1:13" x14ac:dyDescent="0.35">
      <c r="A5038">
        <v>432070</v>
      </c>
      <c r="B5038">
        <v>41262</v>
      </c>
      <c r="C5038" t="s">
        <v>2341</v>
      </c>
      <c r="D5038" t="s">
        <v>4719</v>
      </c>
      <c r="E5038" t="s">
        <v>4765</v>
      </c>
      <c r="F5038">
        <v>14162</v>
      </c>
      <c r="G5038">
        <v>1</v>
      </c>
      <c r="H5038" t="s">
        <v>16</v>
      </c>
      <c r="I5038" s="1">
        <v>-2942100</v>
      </c>
      <c r="J5038" s="1">
        <v>-5302900</v>
      </c>
      <c r="K5038">
        <v>427</v>
      </c>
      <c r="L5038">
        <v>130</v>
      </c>
      <c r="M5038" t="s">
        <v>16</v>
      </c>
    </row>
    <row r="5039" spans="1:13" x14ac:dyDescent="0.35">
      <c r="A5039">
        <v>432080</v>
      </c>
      <c r="B5039">
        <v>41270</v>
      </c>
      <c r="C5039" t="s">
        <v>1596</v>
      </c>
      <c r="D5039" t="s">
        <v>4719</v>
      </c>
      <c r="E5039" t="s">
        <v>1596</v>
      </c>
      <c r="F5039">
        <v>29926</v>
      </c>
      <c r="G5039">
        <v>1</v>
      </c>
      <c r="H5039" t="s">
        <v>16</v>
      </c>
      <c r="I5039" s="1">
        <v>-2881800</v>
      </c>
      <c r="J5039" s="1">
        <v>-5251000</v>
      </c>
      <c r="K5039">
        <v>726</v>
      </c>
      <c r="L5039">
        <v>1213</v>
      </c>
      <c r="M5039" t="s">
        <v>16</v>
      </c>
    </row>
    <row r="5040" spans="1:13" x14ac:dyDescent="0.35">
      <c r="A5040">
        <v>432085</v>
      </c>
      <c r="B5040">
        <v>58947</v>
      </c>
      <c r="C5040" t="s">
        <v>5153</v>
      </c>
      <c r="D5040" t="s">
        <v>4719</v>
      </c>
      <c r="E5040" t="s">
        <v>4755</v>
      </c>
      <c r="F5040">
        <v>4046</v>
      </c>
      <c r="G5040">
        <v>1</v>
      </c>
      <c r="H5040" t="s">
        <v>16</v>
      </c>
      <c r="I5040" s="1">
        <v>-2964300</v>
      </c>
      <c r="J5040" s="1">
        <v>-5168200</v>
      </c>
      <c r="K5040">
        <v>79</v>
      </c>
      <c r="L5040">
        <v>94</v>
      </c>
      <c r="M5040" t="s">
        <v>16</v>
      </c>
    </row>
    <row r="5041" spans="1:13" x14ac:dyDescent="0.35">
      <c r="A5041">
        <v>432090</v>
      </c>
      <c r="B5041">
        <v>41289</v>
      </c>
      <c r="C5041" t="s">
        <v>4419</v>
      </c>
      <c r="D5041" t="s">
        <v>4719</v>
      </c>
      <c r="E5041" t="s">
        <v>4722</v>
      </c>
      <c r="F5041">
        <v>17500</v>
      </c>
      <c r="G5041">
        <v>1</v>
      </c>
      <c r="H5041" t="s">
        <v>16</v>
      </c>
      <c r="I5041" s="1">
        <v>-2806800</v>
      </c>
      <c r="J5041" s="1">
        <v>-5201400</v>
      </c>
      <c r="K5041">
        <v>658</v>
      </c>
      <c r="L5041">
        <v>240</v>
      </c>
      <c r="M5041" t="s">
        <v>16</v>
      </c>
    </row>
    <row r="5042" spans="1:13" x14ac:dyDescent="0.35">
      <c r="A5042">
        <v>432100</v>
      </c>
      <c r="B5042">
        <v>41297</v>
      </c>
      <c r="C5042" t="s">
        <v>5154</v>
      </c>
      <c r="D5042" t="s">
        <v>4719</v>
      </c>
      <c r="E5042" t="s">
        <v>4853</v>
      </c>
      <c r="F5042">
        <v>10457</v>
      </c>
      <c r="G5042">
        <v>1</v>
      </c>
      <c r="H5042" t="s">
        <v>16</v>
      </c>
      <c r="I5042" s="1">
        <v>-2862600</v>
      </c>
      <c r="J5042" s="1">
        <v>-5287000</v>
      </c>
      <c r="K5042">
        <v>409</v>
      </c>
      <c r="L5042">
        <v>179</v>
      </c>
      <c r="M5042" t="s">
        <v>16</v>
      </c>
    </row>
    <row r="5043" spans="1:13" x14ac:dyDescent="0.35">
      <c r="A5043">
        <v>432110</v>
      </c>
      <c r="B5043">
        <v>41300</v>
      </c>
      <c r="C5043" t="s">
        <v>5155</v>
      </c>
      <c r="D5043" t="s">
        <v>4719</v>
      </c>
      <c r="E5043" t="s">
        <v>4750</v>
      </c>
      <c r="F5043">
        <v>16557</v>
      </c>
      <c r="G5043">
        <v>1</v>
      </c>
      <c r="H5043" t="s">
        <v>16</v>
      </c>
      <c r="I5043" s="1">
        <v>-3067300</v>
      </c>
      <c r="J5043" s="1">
        <v>-5139600</v>
      </c>
      <c r="K5043">
        <v>7</v>
      </c>
      <c r="L5043">
        <v>804</v>
      </c>
      <c r="M5043" t="s">
        <v>16</v>
      </c>
    </row>
    <row r="5044" spans="1:13" x14ac:dyDescent="0.35">
      <c r="A5044">
        <v>432120</v>
      </c>
      <c r="B5044">
        <v>41319</v>
      </c>
      <c r="C5044" t="s">
        <v>5156</v>
      </c>
      <c r="D5044" t="s">
        <v>4719</v>
      </c>
      <c r="E5044" t="s">
        <v>4822</v>
      </c>
      <c r="F5044">
        <v>53428</v>
      </c>
      <c r="G5044">
        <v>4</v>
      </c>
      <c r="H5044" t="s">
        <v>4740</v>
      </c>
      <c r="I5044" s="1">
        <v>-2965100</v>
      </c>
      <c r="J5044" s="1">
        <v>-5078100</v>
      </c>
      <c r="K5044">
        <v>57</v>
      </c>
      <c r="L5044">
        <v>457</v>
      </c>
      <c r="M5044" t="s">
        <v>16</v>
      </c>
    </row>
    <row r="5045" spans="1:13" x14ac:dyDescent="0.35">
      <c r="A5045">
        <v>432130</v>
      </c>
      <c r="B5045">
        <v>41327</v>
      </c>
      <c r="C5045" t="s">
        <v>5157</v>
      </c>
      <c r="D5045" t="s">
        <v>4719</v>
      </c>
      <c r="E5045" t="s">
        <v>4755</v>
      </c>
      <c r="F5045">
        <v>25768</v>
      </c>
      <c r="G5045">
        <v>1</v>
      </c>
      <c r="H5045" t="s">
        <v>16</v>
      </c>
      <c r="I5045" s="1">
        <v>-2980000</v>
      </c>
      <c r="J5045" s="1">
        <v>-5186400</v>
      </c>
      <c r="K5045">
        <v>54</v>
      </c>
      <c r="L5045">
        <v>349</v>
      </c>
      <c r="M5045" t="s">
        <v>16</v>
      </c>
    </row>
    <row r="5046" spans="1:13" x14ac:dyDescent="0.35">
      <c r="A5046">
        <v>432132</v>
      </c>
      <c r="B5046">
        <v>46647</v>
      </c>
      <c r="C5046" t="s">
        <v>5158</v>
      </c>
      <c r="D5046" t="s">
        <v>4719</v>
      </c>
      <c r="E5046" t="s">
        <v>4735</v>
      </c>
      <c r="F5046">
        <v>2849</v>
      </c>
      <c r="G5046">
        <v>1</v>
      </c>
      <c r="H5046" t="s">
        <v>16</v>
      </c>
      <c r="I5046" s="1">
        <v>-2740000</v>
      </c>
      <c r="J5046" s="1">
        <v>-5346700</v>
      </c>
      <c r="K5046">
        <v>545</v>
      </c>
      <c r="L5046">
        <v>76</v>
      </c>
      <c r="M5046" t="s">
        <v>16</v>
      </c>
    </row>
    <row r="5047" spans="1:13" x14ac:dyDescent="0.35">
      <c r="A5047">
        <v>432135</v>
      </c>
      <c r="B5047">
        <v>7587</v>
      </c>
      <c r="C5047" t="s">
        <v>1601</v>
      </c>
      <c r="D5047" t="s">
        <v>4719</v>
      </c>
      <c r="E5047" t="s">
        <v>4757</v>
      </c>
      <c r="F5047">
        <v>5160</v>
      </c>
      <c r="G5047">
        <v>1</v>
      </c>
      <c r="H5047" t="s">
        <v>16</v>
      </c>
      <c r="I5047" s="1">
        <v>-3128700</v>
      </c>
      <c r="J5047" s="1">
        <v>-5109400</v>
      </c>
      <c r="K5047">
        <v>15</v>
      </c>
      <c r="L5047">
        <v>604</v>
      </c>
      <c r="M5047" t="s">
        <v>16</v>
      </c>
    </row>
    <row r="5048" spans="1:13" x14ac:dyDescent="0.35">
      <c r="A5048">
        <v>432140</v>
      </c>
      <c r="B5048">
        <v>41335</v>
      </c>
      <c r="C5048" t="s">
        <v>5159</v>
      </c>
      <c r="D5048" t="s">
        <v>4719</v>
      </c>
      <c r="E5048" t="s">
        <v>4778</v>
      </c>
      <c r="F5048">
        <v>13906</v>
      </c>
      <c r="G5048">
        <v>1</v>
      </c>
      <c r="H5048" t="s">
        <v>16</v>
      </c>
      <c r="I5048" s="1">
        <v>-2737100</v>
      </c>
      <c r="J5048" s="1">
        <v>-5375800</v>
      </c>
      <c r="K5048">
        <v>390</v>
      </c>
      <c r="L5048">
        <v>338</v>
      </c>
      <c r="M5048" t="s">
        <v>16</v>
      </c>
    </row>
    <row r="5049" spans="1:13" x14ac:dyDescent="0.35">
      <c r="A5049">
        <v>432143</v>
      </c>
      <c r="B5049">
        <v>46655</v>
      </c>
      <c r="C5049" t="s">
        <v>5160</v>
      </c>
      <c r="D5049" t="s">
        <v>4719</v>
      </c>
      <c r="E5049" t="s">
        <v>4757</v>
      </c>
      <c r="F5049">
        <v>9709</v>
      </c>
      <c r="G5049">
        <v>4</v>
      </c>
      <c r="H5049" t="s">
        <v>4758</v>
      </c>
      <c r="I5049" s="1">
        <v>-2958500</v>
      </c>
      <c r="J5049" s="1">
        <v>-5007100</v>
      </c>
      <c r="K5049">
        <v>14</v>
      </c>
      <c r="L5049">
        <v>147</v>
      </c>
      <c r="M5049" t="s">
        <v>16</v>
      </c>
    </row>
    <row r="5050" spans="1:13" x14ac:dyDescent="0.35">
      <c r="A5050">
        <v>432145</v>
      </c>
      <c r="B5050">
        <v>41521</v>
      </c>
      <c r="C5050" t="s">
        <v>5161</v>
      </c>
      <c r="D5050" t="s">
        <v>4719</v>
      </c>
      <c r="E5050" t="s">
        <v>4755</v>
      </c>
      <c r="F5050">
        <v>25105</v>
      </c>
      <c r="G5050">
        <v>1</v>
      </c>
      <c r="H5050" t="s">
        <v>16</v>
      </c>
      <c r="I5050" s="1">
        <v>-2944800</v>
      </c>
      <c r="J5050" s="1">
        <v>-5180600</v>
      </c>
      <c r="K5050">
        <v>100</v>
      </c>
      <c r="L5050">
        <v>179</v>
      </c>
      <c r="M5050" t="s">
        <v>16</v>
      </c>
    </row>
    <row r="5051" spans="1:13" x14ac:dyDescent="0.35">
      <c r="A5051">
        <v>432146</v>
      </c>
      <c r="B5051">
        <v>59960</v>
      </c>
      <c r="C5051" t="s">
        <v>5162</v>
      </c>
      <c r="D5051" t="s">
        <v>4719</v>
      </c>
      <c r="E5051" t="s">
        <v>4853</v>
      </c>
      <c r="F5051">
        <v>2593</v>
      </c>
      <c r="G5051">
        <v>1</v>
      </c>
      <c r="H5051" t="s">
        <v>16</v>
      </c>
      <c r="I5051" s="1">
        <v>-2857900</v>
      </c>
      <c r="J5051" s="1">
        <v>-5259900</v>
      </c>
      <c r="K5051">
        <v>0</v>
      </c>
      <c r="L5051">
        <v>114</v>
      </c>
      <c r="M5051" t="s">
        <v>16</v>
      </c>
    </row>
    <row r="5052" spans="1:13" x14ac:dyDescent="0.35">
      <c r="A5052">
        <v>432147</v>
      </c>
      <c r="B5052">
        <v>52850</v>
      </c>
      <c r="C5052" t="s">
        <v>5163</v>
      </c>
      <c r="D5052" t="s">
        <v>4719</v>
      </c>
      <c r="E5052" t="s">
        <v>4778</v>
      </c>
      <c r="F5052">
        <v>6928</v>
      </c>
      <c r="G5052">
        <v>1</v>
      </c>
      <c r="H5052" t="s">
        <v>16</v>
      </c>
      <c r="I5052" s="1">
        <v>-2739800</v>
      </c>
      <c r="J5052" s="1">
        <v>-5408400</v>
      </c>
      <c r="K5052">
        <v>407</v>
      </c>
      <c r="L5052">
        <v>234</v>
      </c>
      <c r="M5052" t="s">
        <v>16</v>
      </c>
    </row>
    <row r="5053" spans="1:13" x14ac:dyDescent="0.35">
      <c r="A5053">
        <v>432149</v>
      </c>
      <c r="B5053">
        <v>56790</v>
      </c>
      <c r="C5053" t="s">
        <v>5164</v>
      </c>
      <c r="D5053" t="s">
        <v>4719</v>
      </c>
      <c r="E5053" t="s">
        <v>1329</v>
      </c>
      <c r="F5053">
        <v>3070</v>
      </c>
      <c r="G5053">
        <v>1</v>
      </c>
      <c r="H5053" t="s">
        <v>16</v>
      </c>
      <c r="I5053" s="1">
        <v>-2947800</v>
      </c>
      <c r="J5053" s="1">
        <v>-5422800</v>
      </c>
      <c r="K5053">
        <v>133</v>
      </c>
      <c r="L5053">
        <v>202</v>
      </c>
      <c r="M5053" t="s">
        <v>16</v>
      </c>
    </row>
    <row r="5054" spans="1:13" x14ac:dyDescent="0.35">
      <c r="A5054">
        <v>432150</v>
      </c>
      <c r="B5054">
        <v>41343</v>
      </c>
      <c r="C5054" t="s">
        <v>5165</v>
      </c>
      <c r="D5054" t="s">
        <v>4719</v>
      </c>
      <c r="E5054" t="s">
        <v>4757</v>
      </c>
      <c r="F5054">
        <v>32358</v>
      </c>
      <c r="G5054">
        <v>4</v>
      </c>
      <c r="H5054" t="s">
        <v>4758</v>
      </c>
      <c r="I5054" s="1">
        <v>-2933500</v>
      </c>
      <c r="J5054" s="1">
        <v>-4972700</v>
      </c>
      <c r="K5054">
        <v>16</v>
      </c>
      <c r="L5054">
        <v>162</v>
      </c>
      <c r="M5054" t="s">
        <v>16</v>
      </c>
    </row>
    <row r="5055" spans="1:13" x14ac:dyDescent="0.35">
      <c r="A5055">
        <v>432160</v>
      </c>
      <c r="B5055">
        <v>41351</v>
      </c>
      <c r="C5055" t="s">
        <v>5166</v>
      </c>
      <c r="D5055" t="s">
        <v>4719</v>
      </c>
      <c r="E5055" t="s">
        <v>4757</v>
      </c>
      <c r="F5055">
        <v>39891</v>
      </c>
      <c r="G5055">
        <v>4</v>
      </c>
      <c r="H5055" t="s">
        <v>4758</v>
      </c>
      <c r="I5055" s="1">
        <v>-2998500</v>
      </c>
      <c r="J5055" s="1">
        <v>-5013400</v>
      </c>
      <c r="K5055">
        <v>8</v>
      </c>
      <c r="L5055">
        <v>143</v>
      </c>
      <c r="M5055" t="s">
        <v>16</v>
      </c>
    </row>
    <row r="5056" spans="1:13" x14ac:dyDescent="0.35">
      <c r="A5056">
        <v>432162</v>
      </c>
      <c r="B5056">
        <v>53716</v>
      </c>
      <c r="C5056" t="s">
        <v>5167</v>
      </c>
      <c r="D5056" t="s">
        <v>4719</v>
      </c>
      <c r="E5056" t="s">
        <v>4755</v>
      </c>
      <c r="F5056">
        <v>2379</v>
      </c>
      <c r="G5056">
        <v>1</v>
      </c>
      <c r="H5056" t="s">
        <v>16</v>
      </c>
      <c r="I5056" s="1">
        <v>-2929400</v>
      </c>
      <c r="J5056" s="1">
        <v>-5205500</v>
      </c>
      <c r="K5056">
        <v>86</v>
      </c>
      <c r="L5056">
        <v>81</v>
      </c>
      <c r="M5056" t="s">
        <v>16</v>
      </c>
    </row>
    <row r="5057" spans="1:13" x14ac:dyDescent="0.35">
      <c r="A5057">
        <v>432163</v>
      </c>
      <c r="B5057">
        <v>46663</v>
      </c>
      <c r="C5057" t="s">
        <v>5168</v>
      </c>
      <c r="D5057" t="s">
        <v>4719</v>
      </c>
      <c r="E5057" t="s">
        <v>4753</v>
      </c>
      <c r="F5057">
        <v>3015</v>
      </c>
      <c r="G5057">
        <v>1</v>
      </c>
      <c r="H5057" t="s">
        <v>16</v>
      </c>
      <c r="I5057" s="1">
        <v>-2749900</v>
      </c>
      <c r="J5057" s="1">
        <v>-5214700</v>
      </c>
      <c r="K5057">
        <v>580</v>
      </c>
      <c r="L5057">
        <v>148</v>
      </c>
      <c r="M5057" t="s">
        <v>16</v>
      </c>
    </row>
    <row r="5058" spans="1:13" x14ac:dyDescent="0.35">
      <c r="A5058">
        <v>432166</v>
      </c>
      <c r="B5058">
        <v>46671</v>
      </c>
      <c r="C5058" t="s">
        <v>5169</v>
      </c>
      <c r="D5058" t="s">
        <v>4719</v>
      </c>
      <c r="E5058" t="s">
        <v>4757</v>
      </c>
      <c r="F5058">
        <v>10390</v>
      </c>
      <c r="G5058">
        <v>4</v>
      </c>
      <c r="H5058" t="s">
        <v>4758</v>
      </c>
      <c r="I5058" s="1">
        <v>-2945600</v>
      </c>
      <c r="J5058" s="1">
        <v>-4992400</v>
      </c>
      <c r="K5058">
        <v>15</v>
      </c>
      <c r="L5058">
        <v>250</v>
      </c>
      <c r="M5058" t="s">
        <v>16</v>
      </c>
    </row>
    <row r="5059" spans="1:13" x14ac:dyDescent="0.35">
      <c r="A5059">
        <v>432170</v>
      </c>
      <c r="B5059">
        <v>41360</v>
      </c>
      <c r="C5059" t="s">
        <v>5170</v>
      </c>
      <c r="D5059" t="s">
        <v>4719</v>
      </c>
      <c r="E5059" t="s">
        <v>4822</v>
      </c>
      <c r="F5059">
        <v>22905</v>
      </c>
      <c r="G5059">
        <v>1</v>
      </c>
      <c r="H5059" t="s">
        <v>16</v>
      </c>
      <c r="I5059" s="1">
        <v>-2951700</v>
      </c>
      <c r="J5059" s="1">
        <v>-5077800</v>
      </c>
      <c r="K5059">
        <v>56</v>
      </c>
      <c r="L5059">
        <v>185</v>
      </c>
      <c r="M5059" t="s">
        <v>16</v>
      </c>
    </row>
    <row r="5060" spans="1:13" x14ac:dyDescent="0.35">
      <c r="A5060">
        <v>432180</v>
      </c>
      <c r="B5060">
        <v>41378</v>
      </c>
      <c r="C5060" t="s">
        <v>5171</v>
      </c>
      <c r="D5060" t="s">
        <v>4719</v>
      </c>
      <c r="E5060" t="s">
        <v>4728</v>
      </c>
      <c r="F5060">
        <v>23333</v>
      </c>
      <c r="G5060">
        <v>1</v>
      </c>
      <c r="H5060" t="s">
        <v>16</v>
      </c>
      <c r="I5060" s="1">
        <v>-2777300</v>
      </c>
      <c r="J5060" s="1">
        <v>-5424000</v>
      </c>
      <c r="K5060">
        <v>343</v>
      </c>
      <c r="L5060">
        <v>422</v>
      </c>
      <c r="M5060" t="s">
        <v>16</v>
      </c>
    </row>
    <row r="5061" spans="1:13" x14ac:dyDescent="0.35">
      <c r="A5061">
        <v>432183</v>
      </c>
      <c r="B5061">
        <v>52868</v>
      </c>
      <c r="C5061" t="s">
        <v>5172</v>
      </c>
      <c r="D5061" t="s">
        <v>4719</v>
      </c>
      <c r="E5061" t="s">
        <v>4757</v>
      </c>
      <c r="F5061">
        <v>3073</v>
      </c>
      <c r="G5061">
        <v>4</v>
      </c>
      <c r="H5061" t="s">
        <v>4758</v>
      </c>
      <c r="I5061" s="1">
        <v>-2953700</v>
      </c>
      <c r="J5061" s="1">
        <v>-5006400</v>
      </c>
      <c r="K5061">
        <v>15</v>
      </c>
      <c r="L5061">
        <v>217</v>
      </c>
      <c r="M5061" t="s">
        <v>16</v>
      </c>
    </row>
    <row r="5062" spans="1:13" x14ac:dyDescent="0.35">
      <c r="A5062">
        <v>432185</v>
      </c>
      <c r="B5062">
        <v>46680</v>
      </c>
      <c r="C5062" t="s">
        <v>5173</v>
      </c>
      <c r="D5062" t="s">
        <v>4719</v>
      </c>
      <c r="E5062" t="s">
        <v>4735</v>
      </c>
      <c r="F5062">
        <v>4388</v>
      </c>
      <c r="G5062">
        <v>1</v>
      </c>
      <c r="H5062" t="s">
        <v>16</v>
      </c>
      <c r="I5062" s="1">
        <v>-2761500</v>
      </c>
      <c r="J5062" s="1">
        <v>-5284100</v>
      </c>
      <c r="K5062">
        <v>662</v>
      </c>
      <c r="L5062">
        <v>188</v>
      </c>
      <c r="M5062" t="s">
        <v>16</v>
      </c>
    </row>
    <row r="5063" spans="1:13" x14ac:dyDescent="0.35">
      <c r="A5063">
        <v>432190</v>
      </c>
      <c r="B5063">
        <v>41386</v>
      </c>
      <c r="C5063" t="s">
        <v>5174</v>
      </c>
      <c r="D5063" t="s">
        <v>4719</v>
      </c>
      <c r="E5063" t="s">
        <v>4778</v>
      </c>
      <c r="F5063">
        <v>23467</v>
      </c>
      <c r="G5063">
        <v>1</v>
      </c>
      <c r="H5063" t="s">
        <v>16</v>
      </c>
      <c r="I5063" s="1">
        <v>-2745600</v>
      </c>
      <c r="J5063" s="1">
        <v>-5393200</v>
      </c>
      <c r="K5063">
        <v>451</v>
      </c>
      <c r="L5063">
        <v>268</v>
      </c>
      <c r="M5063" t="s">
        <v>16</v>
      </c>
    </row>
    <row r="5064" spans="1:13" x14ac:dyDescent="0.35">
      <c r="A5064">
        <v>432195</v>
      </c>
      <c r="B5064">
        <v>46698</v>
      </c>
      <c r="C5064" t="s">
        <v>5175</v>
      </c>
      <c r="D5064" t="s">
        <v>4719</v>
      </c>
      <c r="E5064" t="s">
        <v>4735</v>
      </c>
      <c r="F5064">
        <v>5905</v>
      </c>
      <c r="G5064">
        <v>1</v>
      </c>
      <c r="H5064" t="s">
        <v>16</v>
      </c>
      <c r="I5064" s="1">
        <v>-2752200</v>
      </c>
      <c r="J5064" s="1">
        <v>-5289400</v>
      </c>
      <c r="K5064">
        <v>640</v>
      </c>
      <c r="L5064">
        <v>268</v>
      </c>
      <c r="M5064" t="s">
        <v>16</v>
      </c>
    </row>
    <row r="5065" spans="1:13" x14ac:dyDescent="0.35">
      <c r="A5065">
        <v>432200</v>
      </c>
      <c r="B5065">
        <v>41394</v>
      </c>
      <c r="C5065" t="s">
        <v>1604</v>
      </c>
      <c r="D5065" t="s">
        <v>4719</v>
      </c>
      <c r="E5065" t="s">
        <v>4763</v>
      </c>
      <c r="F5065">
        <v>23976</v>
      </c>
      <c r="G5065">
        <v>4</v>
      </c>
      <c r="H5065" t="s">
        <v>4740</v>
      </c>
      <c r="I5065" s="1">
        <v>-2994300</v>
      </c>
      <c r="J5065" s="1">
        <v>-5171800</v>
      </c>
      <c r="K5065">
        <v>31</v>
      </c>
      <c r="L5065">
        <v>823</v>
      </c>
      <c r="M5065" t="s">
        <v>16</v>
      </c>
    </row>
    <row r="5066" spans="1:13" x14ac:dyDescent="0.35">
      <c r="A5066">
        <v>432210</v>
      </c>
      <c r="B5066">
        <v>41408</v>
      </c>
      <c r="C5066" t="s">
        <v>5176</v>
      </c>
      <c r="D5066" t="s">
        <v>4719</v>
      </c>
      <c r="E5066" t="s">
        <v>4728</v>
      </c>
      <c r="F5066">
        <v>5907</v>
      </c>
      <c r="G5066">
        <v>1</v>
      </c>
      <c r="H5066" t="s">
        <v>16</v>
      </c>
      <c r="I5066" s="1">
        <v>-2765700</v>
      </c>
      <c r="J5066" s="1">
        <v>-5444000</v>
      </c>
      <c r="K5066">
        <v>223</v>
      </c>
      <c r="L5066">
        <v>180</v>
      </c>
      <c r="M5066" t="s">
        <v>16</v>
      </c>
    </row>
    <row r="5067" spans="1:13" x14ac:dyDescent="0.35">
      <c r="A5067">
        <v>432215</v>
      </c>
      <c r="B5067">
        <v>46701</v>
      </c>
      <c r="C5067" t="s">
        <v>5177</v>
      </c>
      <c r="D5067" t="s">
        <v>4719</v>
      </c>
      <c r="E5067" t="s">
        <v>1596</v>
      </c>
      <c r="F5067">
        <v>4378</v>
      </c>
      <c r="G5067">
        <v>1</v>
      </c>
      <c r="H5067" t="s">
        <v>16</v>
      </c>
      <c r="I5067" s="1">
        <v>-2910300</v>
      </c>
      <c r="J5067" s="1">
        <v>-5295600</v>
      </c>
      <c r="K5067">
        <v>339</v>
      </c>
      <c r="L5067">
        <v>217</v>
      </c>
      <c r="M5067" t="s">
        <v>16</v>
      </c>
    </row>
    <row r="5068" spans="1:13" x14ac:dyDescent="0.35">
      <c r="A5068">
        <v>432218</v>
      </c>
      <c r="B5068">
        <v>52876</v>
      </c>
      <c r="C5068" t="s">
        <v>5178</v>
      </c>
      <c r="D5068" t="s">
        <v>4719</v>
      </c>
      <c r="E5068" t="s">
        <v>4776</v>
      </c>
      <c r="F5068">
        <v>1723</v>
      </c>
      <c r="G5068">
        <v>1</v>
      </c>
      <c r="H5068" t="s">
        <v>16</v>
      </c>
      <c r="I5068" s="1">
        <v>-2792500</v>
      </c>
      <c r="J5068" s="1">
        <v>-5153600</v>
      </c>
      <c r="K5068">
        <v>824</v>
      </c>
      <c r="L5068">
        <v>135</v>
      </c>
      <c r="M5068" t="s">
        <v>16</v>
      </c>
    </row>
    <row r="5069" spans="1:13" x14ac:dyDescent="0.35">
      <c r="A5069">
        <v>432220</v>
      </c>
      <c r="B5069">
        <v>41416</v>
      </c>
      <c r="C5069" t="s">
        <v>5179</v>
      </c>
      <c r="D5069" t="s">
        <v>4719</v>
      </c>
      <c r="E5069" t="s">
        <v>4829</v>
      </c>
      <c r="F5069">
        <v>22556</v>
      </c>
      <c r="G5069">
        <v>1</v>
      </c>
      <c r="H5069" t="s">
        <v>16</v>
      </c>
      <c r="I5069" s="1">
        <v>-2908100</v>
      </c>
      <c r="J5069" s="1">
        <v>-5383600</v>
      </c>
      <c r="K5069">
        <v>465</v>
      </c>
      <c r="L5069">
        <v>2251</v>
      </c>
      <c r="M5069" t="s">
        <v>16</v>
      </c>
    </row>
    <row r="5070" spans="1:13" x14ac:dyDescent="0.35">
      <c r="A5070">
        <v>432225</v>
      </c>
      <c r="B5070">
        <v>46710</v>
      </c>
      <c r="C5070" t="s">
        <v>5180</v>
      </c>
      <c r="D5070" t="s">
        <v>4719</v>
      </c>
      <c r="E5070" t="s">
        <v>4738</v>
      </c>
      <c r="F5070">
        <v>3604</v>
      </c>
      <c r="G5070">
        <v>1</v>
      </c>
      <c r="H5070" t="s">
        <v>16</v>
      </c>
      <c r="I5070" s="1">
        <v>-2947600</v>
      </c>
      <c r="J5070" s="1">
        <v>-5142100</v>
      </c>
      <c r="K5070">
        <v>63</v>
      </c>
      <c r="L5070">
        <v>59</v>
      </c>
      <c r="M5070" t="s">
        <v>16</v>
      </c>
    </row>
    <row r="5071" spans="1:13" x14ac:dyDescent="0.35">
      <c r="A5071">
        <v>432230</v>
      </c>
      <c r="B5071">
        <v>41424</v>
      </c>
      <c r="C5071" t="s">
        <v>5181</v>
      </c>
      <c r="D5071" t="s">
        <v>4719</v>
      </c>
      <c r="E5071" t="s">
        <v>4728</v>
      </c>
      <c r="F5071">
        <v>8793</v>
      </c>
      <c r="G5071">
        <v>1</v>
      </c>
      <c r="H5071" t="s">
        <v>16</v>
      </c>
      <c r="I5071" s="1">
        <v>-2775600</v>
      </c>
      <c r="J5071" s="1">
        <v>-5448200</v>
      </c>
      <c r="K5071">
        <v>328</v>
      </c>
      <c r="L5071">
        <v>307</v>
      </c>
      <c r="M5071" t="s">
        <v>16</v>
      </c>
    </row>
    <row r="5072" spans="1:13" x14ac:dyDescent="0.35">
      <c r="A5072">
        <v>432232</v>
      </c>
      <c r="B5072">
        <v>58955</v>
      </c>
      <c r="C5072" t="s">
        <v>5182</v>
      </c>
      <c r="D5072" t="s">
        <v>4719</v>
      </c>
      <c r="E5072" t="s">
        <v>4760</v>
      </c>
      <c r="F5072">
        <v>3829</v>
      </c>
      <c r="G5072">
        <v>1</v>
      </c>
      <c r="H5072" t="s">
        <v>16</v>
      </c>
      <c r="I5072" s="1">
        <v>-3142200</v>
      </c>
      <c r="J5072" s="1">
        <v>-5217800</v>
      </c>
      <c r="K5072">
        <v>30</v>
      </c>
      <c r="L5072">
        <v>254</v>
      </c>
      <c r="M5072" t="s">
        <v>16</v>
      </c>
    </row>
    <row r="5073" spans="1:13" x14ac:dyDescent="0.35">
      <c r="A5073">
        <v>432234</v>
      </c>
      <c r="B5073">
        <v>58963</v>
      </c>
      <c r="C5073" t="s">
        <v>5183</v>
      </c>
      <c r="D5073" t="s">
        <v>4719</v>
      </c>
      <c r="E5073" t="s">
        <v>4798</v>
      </c>
      <c r="F5073">
        <v>2440</v>
      </c>
      <c r="G5073">
        <v>1</v>
      </c>
      <c r="H5073" t="s">
        <v>16</v>
      </c>
      <c r="I5073" s="1">
        <v>-2804600</v>
      </c>
      <c r="J5073" s="1">
        <v>-5468100</v>
      </c>
      <c r="K5073">
        <v>208</v>
      </c>
      <c r="L5073">
        <v>126</v>
      </c>
      <c r="M5073" t="s">
        <v>16</v>
      </c>
    </row>
    <row r="5074" spans="1:13" x14ac:dyDescent="0.35">
      <c r="A5074">
        <v>432235</v>
      </c>
      <c r="B5074">
        <v>53724</v>
      </c>
      <c r="C5074" t="s">
        <v>5184</v>
      </c>
      <c r="D5074" t="s">
        <v>4719</v>
      </c>
      <c r="E5074" t="s">
        <v>4745</v>
      </c>
      <c r="F5074">
        <v>1666</v>
      </c>
      <c r="G5074">
        <v>1</v>
      </c>
      <c r="H5074" t="s">
        <v>16</v>
      </c>
      <c r="I5074" s="1">
        <v>-2879500</v>
      </c>
      <c r="J5074" s="1">
        <v>-5203700</v>
      </c>
      <c r="K5074">
        <v>520</v>
      </c>
      <c r="L5074">
        <v>130</v>
      </c>
      <c r="M5074" t="s">
        <v>16</v>
      </c>
    </row>
    <row r="5075" spans="1:13" x14ac:dyDescent="0.35">
      <c r="A5075">
        <v>432237</v>
      </c>
      <c r="B5075">
        <v>58971</v>
      </c>
      <c r="C5075" t="s">
        <v>5185</v>
      </c>
      <c r="D5075" t="s">
        <v>4719</v>
      </c>
      <c r="E5075" t="s">
        <v>4829</v>
      </c>
      <c r="F5075">
        <v>2392</v>
      </c>
      <c r="G5075">
        <v>1</v>
      </c>
      <c r="H5075" t="s">
        <v>16</v>
      </c>
      <c r="I5075" s="1">
        <v>-2904700</v>
      </c>
      <c r="J5075" s="1">
        <v>-5515000</v>
      </c>
      <c r="K5075">
        <v>361</v>
      </c>
      <c r="L5075">
        <v>602</v>
      </c>
      <c r="M5075" t="s">
        <v>16</v>
      </c>
    </row>
    <row r="5076" spans="1:13" x14ac:dyDescent="0.35">
      <c r="A5076">
        <v>432240</v>
      </c>
      <c r="B5076">
        <v>41432</v>
      </c>
      <c r="C5076" t="s">
        <v>5186</v>
      </c>
      <c r="D5076" t="s">
        <v>4719</v>
      </c>
      <c r="E5076" t="s">
        <v>4730</v>
      </c>
      <c r="F5076">
        <v>123743</v>
      </c>
      <c r="G5076">
        <v>3</v>
      </c>
      <c r="H5076" t="s">
        <v>16</v>
      </c>
      <c r="I5076" s="1">
        <v>-2975500</v>
      </c>
      <c r="J5076" s="1">
        <v>-5708800</v>
      </c>
      <c r="K5076">
        <v>66</v>
      </c>
      <c r="L5076">
        <v>5715</v>
      </c>
      <c r="M5076" t="s">
        <v>16</v>
      </c>
    </row>
    <row r="5077" spans="1:13" x14ac:dyDescent="0.35">
      <c r="A5077">
        <v>432250</v>
      </c>
      <c r="B5077">
        <v>41440</v>
      </c>
      <c r="C5077" t="s">
        <v>4792</v>
      </c>
      <c r="D5077" t="s">
        <v>4719</v>
      </c>
      <c r="E5077" t="s">
        <v>4792</v>
      </c>
      <c r="F5077">
        <v>59938</v>
      </c>
      <c r="G5077">
        <v>2</v>
      </c>
      <c r="H5077" t="s">
        <v>16</v>
      </c>
      <c r="I5077" s="1">
        <v>-2851200</v>
      </c>
      <c r="J5077" s="1">
        <v>-5093400</v>
      </c>
      <c r="K5077">
        <v>971</v>
      </c>
      <c r="L5077">
        <v>2123</v>
      </c>
      <c r="M5077" t="s">
        <v>16</v>
      </c>
    </row>
    <row r="5078" spans="1:13" x14ac:dyDescent="0.35">
      <c r="A5078">
        <v>432252</v>
      </c>
      <c r="B5078">
        <v>56804</v>
      </c>
      <c r="C5078" t="s">
        <v>5187</v>
      </c>
      <c r="D5078" t="s">
        <v>4719</v>
      </c>
      <c r="E5078" t="s">
        <v>4763</v>
      </c>
      <c r="F5078">
        <v>3227</v>
      </c>
      <c r="G5078">
        <v>1</v>
      </c>
      <c r="H5078" t="s">
        <v>16</v>
      </c>
      <c r="I5078" s="1">
        <v>-2978700</v>
      </c>
      <c r="J5078" s="1">
        <v>-5218400</v>
      </c>
      <c r="K5078">
        <v>91</v>
      </c>
      <c r="L5078">
        <v>329</v>
      </c>
      <c r="M5078" t="s">
        <v>16</v>
      </c>
    </row>
    <row r="5079" spans="1:13" x14ac:dyDescent="0.35">
      <c r="A5079">
        <v>432253</v>
      </c>
      <c r="B5079">
        <v>52884</v>
      </c>
      <c r="C5079" t="s">
        <v>5188</v>
      </c>
      <c r="D5079" t="s">
        <v>4719</v>
      </c>
      <c r="E5079" t="s">
        <v>4765</v>
      </c>
      <c r="F5079">
        <v>10817</v>
      </c>
      <c r="G5079">
        <v>1</v>
      </c>
      <c r="H5079" t="s">
        <v>16</v>
      </c>
      <c r="I5079" s="1">
        <v>-2960400</v>
      </c>
      <c r="J5079" s="1">
        <v>-5268300</v>
      </c>
      <c r="K5079">
        <v>500</v>
      </c>
      <c r="L5079">
        <v>328</v>
      </c>
      <c r="M5079" t="s">
        <v>16</v>
      </c>
    </row>
    <row r="5080" spans="1:13" x14ac:dyDescent="0.35">
      <c r="A5080">
        <v>432254</v>
      </c>
      <c r="B5080">
        <v>52892</v>
      </c>
      <c r="C5080" t="s">
        <v>5189</v>
      </c>
      <c r="D5080" t="s">
        <v>4719</v>
      </c>
      <c r="E5080" t="s">
        <v>4738</v>
      </c>
      <c r="F5080">
        <v>4741</v>
      </c>
      <c r="G5080">
        <v>1</v>
      </c>
      <c r="H5080" t="s">
        <v>16</v>
      </c>
      <c r="I5080" s="1">
        <v>-2939800</v>
      </c>
      <c r="J5080" s="1">
        <v>-5125400</v>
      </c>
      <c r="K5080">
        <v>450</v>
      </c>
      <c r="L5080">
        <v>44</v>
      </c>
      <c r="M5080" t="s">
        <v>16</v>
      </c>
    </row>
    <row r="5081" spans="1:13" x14ac:dyDescent="0.35">
      <c r="A5081">
        <v>432255</v>
      </c>
      <c r="B5081">
        <v>46728</v>
      </c>
      <c r="C5081" t="s">
        <v>5190</v>
      </c>
      <c r="D5081" t="s">
        <v>4719</v>
      </c>
      <c r="E5081" t="s">
        <v>4722</v>
      </c>
      <c r="F5081">
        <v>1956</v>
      </c>
      <c r="G5081">
        <v>1</v>
      </c>
      <c r="H5081" t="s">
        <v>16</v>
      </c>
      <c r="I5081" s="1">
        <v>-2847800</v>
      </c>
      <c r="J5081" s="1">
        <v>-5184500</v>
      </c>
      <c r="K5081">
        <v>757</v>
      </c>
      <c r="L5081">
        <v>64</v>
      </c>
      <c r="M5081" t="s">
        <v>16</v>
      </c>
    </row>
    <row r="5082" spans="1:13" x14ac:dyDescent="0.35">
      <c r="A5082">
        <v>432260</v>
      </c>
      <c r="B5082">
        <v>41459</v>
      </c>
      <c r="C5082" t="s">
        <v>5191</v>
      </c>
      <c r="D5082" t="s">
        <v>4719</v>
      </c>
      <c r="E5082" t="s">
        <v>4765</v>
      </c>
      <c r="F5082">
        <v>64442</v>
      </c>
      <c r="G5082">
        <v>2</v>
      </c>
      <c r="H5082" t="s">
        <v>16</v>
      </c>
      <c r="I5082" s="1">
        <v>-2960600</v>
      </c>
      <c r="J5082" s="1">
        <v>-5219200</v>
      </c>
      <c r="K5082">
        <v>46</v>
      </c>
      <c r="L5082">
        <v>773</v>
      </c>
      <c r="M5082" t="s">
        <v>16</v>
      </c>
    </row>
    <row r="5083" spans="1:13" x14ac:dyDescent="0.35">
      <c r="A5083">
        <v>432270</v>
      </c>
      <c r="B5083">
        <v>41467</v>
      </c>
      <c r="C5083" t="s">
        <v>1387</v>
      </c>
      <c r="D5083" t="s">
        <v>4719</v>
      </c>
      <c r="E5083" t="s">
        <v>4765</v>
      </c>
      <c r="F5083">
        <v>22702</v>
      </c>
      <c r="G5083">
        <v>1</v>
      </c>
      <c r="H5083" t="s">
        <v>16</v>
      </c>
      <c r="I5083" s="1">
        <v>-2971500</v>
      </c>
      <c r="J5083" s="1">
        <v>-5250600</v>
      </c>
      <c r="K5083">
        <v>68</v>
      </c>
      <c r="L5083">
        <v>309</v>
      </c>
      <c r="M5083" t="s">
        <v>16</v>
      </c>
    </row>
    <row r="5084" spans="1:13" x14ac:dyDescent="0.35">
      <c r="A5084">
        <v>432280</v>
      </c>
      <c r="B5084">
        <v>41475</v>
      </c>
      <c r="C5084" t="s">
        <v>5192</v>
      </c>
      <c r="D5084" t="s">
        <v>4719</v>
      </c>
      <c r="E5084" t="s">
        <v>4748</v>
      </c>
      <c r="F5084">
        <v>23904</v>
      </c>
      <c r="G5084">
        <v>1</v>
      </c>
      <c r="H5084" t="s">
        <v>16</v>
      </c>
      <c r="I5084" s="1">
        <v>-2893600</v>
      </c>
      <c r="J5084" s="1">
        <v>-5154900</v>
      </c>
      <c r="K5084">
        <v>680</v>
      </c>
      <c r="L5084">
        <v>289</v>
      </c>
      <c r="M5084" t="s">
        <v>16</v>
      </c>
    </row>
    <row r="5085" spans="1:13" x14ac:dyDescent="0.35">
      <c r="A5085">
        <v>432285</v>
      </c>
      <c r="B5085">
        <v>58980</v>
      </c>
      <c r="C5085" t="s">
        <v>5193</v>
      </c>
      <c r="D5085" t="s">
        <v>4719</v>
      </c>
      <c r="E5085" t="s">
        <v>4755</v>
      </c>
      <c r="F5085">
        <v>1973</v>
      </c>
      <c r="G5085">
        <v>1</v>
      </c>
      <c r="H5085" t="s">
        <v>16</v>
      </c>
      <c r="I5085" s="1">
        <v>-2906800</v>
      </c>
      <c r="J5085" s="1">
        <v>-5185900</v>
      </c>
      <c r="K5085">
        <v>518</v>
      </c>
      <c r="L5085">
        <v>113</v>
      </c>
      <c r="M5085" t="s">
        <v>16</v>
      </c>
    </row>
    <row r="5086" spans="1:13" x14ac:dyDescent="0.35">
      <c r="A5086">
        <v>432290</v>
      </c>
      <c r="B5086">
        <v>41483</v>
      </c>
      <c r="C5086" t="s">
        <v>5194</v>
      </c>
      <c r="D5086" t="s">
        <v>4719</v>
      </c>
      <c r="E5086" t="s">
        <v>4753</v>
      </c>
      <c r="F5086">
        <v>5663</v>
      </c>
      <c r="G5086">
        <v>1</v>
      </c>
      <c r="H5086" t="s">
        <v>16</v>
      </c>
      <c r="I5086" s="1">
        <v>-2756900</v>
      </c>
      <c r="J5086" s="1">
        <v>-5202000</v>
      </c>
      <c r="K5086">
        <v>645</v>
      </c>
      <c r="L5086">
        <v>268</v>
      </c>
      <c r="M5086" t="s">
        <v>16</v>
      </c>
    </row>
    <row r="5087" spans="1:13" x14ac:dyDescent="0.35">
      <c r="A5087">
        <v>432300</v>
      </c>
      <c r="B5087">
        <v>41491</v>
      </c>
      <c r="C5087" t="s">
        <v>5195</v>
      </c>
      <c r="D5087" t="s">
        <v>4719</v>
      </c>
      <c r="E5087" t="s">
        <v>4739</v>
      </c>
      <c r="F5087">
        <v>253264</v>
      </c>
      <c r="G5087">
        <v>4</v>
      </c>
      <c r="H5087" t="s">
        <v>4740</v>
      </c>
      <c r="I5087" s="1">
        <v>-3008100</v>
      </c>
      <c r="J5087" s="1">
        <v>-5102300</v>
      </c>
      <c r="K5087">
        <v>111</v>
      </c>
      <c r="L5087">
        <v>1494</v>
      </c>
      <c r="M5087" t="s">
        <v>16</v>
      </c>
    </row>
    <row r="5088" spans="1:13" x14ac:dyDescent="0.35">
      <c r="A5088">
        <v>432310</v>
      </c>
      <c r="B5088">
        <v>41505</v>
      </c>
      <c r="C5088" t="s">
        <v>5196</v>
      </c>
      <c r="D5088" t="s">
        <v>4719</v>
      </c>
      <c r="E5088" t="s">
        <v>4735</v>
      </c>
      <c r="F5088">
        <v>5569</v>
      </c>
      <c r="G5088">
        <v>1</v>
      </c>
      <c r="H5088" t="s">
        <v>16</v>
      </c>
      <c r="I5088" s="1">
        <v>-2716200</v>
      </c>
      <c r="J5088" s="1">
        <v>-5340500</v>
      </c>
      <c r="K5088">
        <v>289</v>
      </c>
      <c r="L5088">
        <v>195</v>
      </c>
      <c r="M5088" t="s">
        <v>16</v>
      </c>
    </row>
    <row r="5089" spans="1:13" x14ac:dyDescent="0.35">
      <c r="A5089">
        <v>432320</v>
      </c>
      <c r="B5089">
        <v>41513</v>
      </c>
      <c r="C5089" t="s">
        <v>5197</v>
      </c>
      <c r="D5089" t="s">
        <v>4719</v>
      </c>
      <c r="E5089" t="s">
        <v>4853</v>
      </c>
      <c r="F5089">
        <v>3080</v>
      </c>
      <c r="G5089">
        <v>1</v>
      </c>
      <c r="H5089" t="s">
        <v>16</v>
      </c>
      <c r="I5089" s="1">
        <v>-2856000</v>
      </c>
      <c r="J5089" s="1">
        <v>-5274800</v>
      </c>
      <c r="K5089">
        <v>411</v>
      </c>
      <c r="L5089">
        <v>238</v>
      </c>
      <c r="M5089" t="s">
        <v>16</v>
      </c>
    </row>
    <row r="5090" spans="1:13" x14ac:dyDescent="0.35">
      <c r="A5090">
        <v>432330</v>
      </c>
      <c r="B5090">
        <v>46736</v>
      </c>
      <c r="C5090" t="s">
        <v>5198</v>
      </c>
      <c r="D5090" t="s">
        <v>4719</v>
      </c>
      <c r="E5090" t="s">
        <v>4748</v>
      </c>
      <c r="F5090">
        <v>3169</v>
      </c>
      <c r="G5090">
        <v>1</v>
      </c>
      <c r="H5090" t="s">
        <v>16</v>
      </c>
      <c r="I5090" s="1">
        <v>-2886300</v>
      </c>
      <c r="J5090" s="1">
        <v>-5153300</v>
      </c>
      <c r="K5090">
        <v>743</v>
      </c>
      <c r="L5090">
        <v>107</v>
      </c>
      <c r="M5090" t="s">
        <v>16</v>
      </c>
    </row>
    <row r="5091" spans="1:13" x14ac:dyDescent="0.35">
      <c r="A5091">
        <v>432335</v>
      </c>
      <c r="B5091">
        <v>56685</v>
      </c>
      <c r="C5091" t="s">
        <v>5199</v>
      </c>
      <c r="D5091" t="s">
        <v>4719</v>
      </c>
      <c r="E5091" t="s">
        <v>4722</v>
      </c>
      <c r="F5091">
        <v>2230</v>
      </c>
      <c r="G5091">
        <v>1</v>
      </c>
      <c r="H5091" t="s">
        <v>16</v>
      </c>
      <c r="I5091" s="1">
        <v>-2810700</v>
      </c>
      <c r="J5091" s="1">
        <v>-5214400</v>
      </c>
      <c r="K5091">
        <v>643</v>
      </c>
      <c r="L5091">
        <v>152</v>
      </c>
      <c r="M5091" t="s">
        <v>16</v>
      </c>
    </row>
    <row r="5092" spans="1:13" x14ac:dyDescent="0.35">
      <c r="A5092">
        <v>432340</v>
      </c>
      <c r="B5092">
        <v>46744</v>
      </c>
      <c r="C5092" t="s">
        <v>5200</v>
      </c>
      <c r="D5092" t="s">
        <v>4719</v>
      </c>
      <c r="E5092" t="s">
        <v>4722</v>
      </c>
      <c r="F5092">
        <v>4159</v>
      </c>
      <c r="G5092">
        <v>1</v>
      </c>
      <c r="H5092" t="s">
        <v>16</v>
      </c>
      <c r="I5092" s="1">
        <v>-2853500</v>
      </c>
      <c r="J5092" s="1">
        <v>-5215400</v>
      </c>
      <c r="K5092">
        <v>455</v>
      </c>
      <c r="L5092">
        <v>181</v>
      </c>
      <c r="M5092" t="s">
        <v>16</v>
      </c>
    </row>
    <row r="5093" spans="1:13" x14ac:dyDescent="0.35">
      <c r="A5093">
        <v>432345</v>
      </c>
      <c r="B5093">
        <v>52906</v>
      </c>
      <c r="C5093" t="s">
        <v>5201</v>
      </c>
      <c r="D5093" t="s">
        <v>4719</v>
      </c>
      <c r="E5093" t="s">
        <v>1329</v>
      </c>
      <c r="F5093">
        <v>4255</v>
      </c>
      <c r="G5093">
        <v>1</v>
      </c>
      <c r="H5093" t="s">
        <v>16</v>
      </c>
      <c r="I5093" s="1">
        <v>-3034400</v>
      </c>
      <c r="J5093" s="1">
        <v>-5388300</v>
      </c>
      <c r="K5093">
        <v>267</v>
      </c>
      <c r="L5093">
        <v>523</v>
      </c>
      <c r="M5093" t="s">
        <v>16</v>
      </c>
    </row>
    <row r="5094" spans="1:13" x14ac:dyDescent="0.35">
      <c r="A5094">
        <v>432350</v>
      </c>
      <c r="B5094">
        <v>46752</v>
      </c>
      <c r="C5094" t="s">
        <v>5202</v>
      </c>
      <c r="D5094" t="s">
        <v>4719</v>
      </c>
      <c r="E5094" t="s">
        <v>4735</v>
      </c>
      <c r="F5094">
        <v>2871</v>
      </c>
      <c r="G5094">
        <v>1</v>
      </c>
      <c r="H5094" t="s">
        <v>16</v>
      </c>
      <c r="I5094" s="1">
        <v>-2736700</v>
      </c>
      <c r="J5094" s="1">
        <v>-5349000</v>
      </c>
      <c r="K5094">
        <v>546</v>
      </c>
      <c r="L5094">
        <v>77</v>
      </c>
      <c r="M5094" t="s">
        <v>16</v>
      </c>
    </row>
    <row r="5095" spans="1:13" x14ac:dyDescent="0.35">
      <c r="A5095">
        <v>432360</v>
      </c>
      <c r="B5095">
        <v>46760</v>
      </c>
      <c r="C5095" t="s">
        <v>5203</v>
      </c>
      <c r="D5095" t="s">
        <v>4719</v>
      </c>
      <c r="E5095" t="s">
        <v>4745</v>
      </c>
      <c r="F5095">
        <v>1492</v>
      </c>
      <c r="G5095">
        <v>1</v>
      </c>
      <c r="H5095" t="s">
        <v>16</v>
      </c>
      <c r="I5095" s="1">
        <v>-2880900</v>
      </c>
      <c r="J5095" s="1">
        <v>-5179000</v>
      </c>
      <c r="K5095">
        <v>562</v>
      </c>
      <c r="L5095">
        <v>119</v>
      </c>
      <c r="M5095" t="s">
        <v>16</v>
      </c>
    </row>
    <row r="5096" spans="1:13" x14ac:dyDescent="0.35">
      <c r="A5096">
        <v>432370</v>
      </c>
      <c r="B5096">
        <v>46779</v>
      </c>
      <c r="C5096" t="s">
        <v>5204</v>
      </c>
      <c r="D5096" t="s">
        <v>4719</v>
      </c>
      <c r="E5096" t="s">
        <v>4778</v>
      </c>
      <c r="F5096">
        <v>2713</v>
      </c>
      <c r="G5096">
        <v>1</v>
      </c>
      <c r="H5096" t="s">
        <v>16</v>
      </c>
      <c r="I5096" s="1">
        <v>-2729100</v>
      </c>
      <c r="J5096" s="1">
        <v>-5370200</v>
      </c>
      <c r="K5096">
        <v>497</v>
      </c>
      <c r="L5096">
        <v>88</v>
      </c>
      <c r="M5096" t="s">
        <v>16</v>
      </c>
    </row>
    <row r="5097" spans="1:13" x14ac:dyDescent="0.35">
      <c r="A5097">
        <v>432375</v>
      </c>
      <c r="B5097">
        <v>52914</v>
      </c>
      <c r="C5097" t="s">
        <v>5205</v>
      </c>
      <c r="D5097" t="s">
        <v>4719</v>
      </c>
      <c r="E5097" t="s">
        <v>4798</v>
      </c>
      <c r="F5097">
        <v>3652</v>
      </c>
      <c r="G5097">
        <v>1</v>
      </c>
      <c r="H5097" t="s">
        <v>16</v>
      </c>
      <c r="I5097" s="1">
        <v>-2835100</v>
      </c>
      <c r="J5097" s="1">
        <v>-5449600</v>
      </c>
      <c r="K5097">
        <v>178</v>
      </c>
      <c r="L5097">
        <v>259</v>
      </c>
      <c r="M5097" t="s">
        <v>16</v>
      </c>
    </row>
    <row r="5098" spans="1:13" x14ac:dyDescent="0.35">
      <c r="A5098">
        <v>432377</v>
      </c>
      <c r="B5098">
        <v>59978</v>
      </c>
      <c r="C5098" t="s">
        <v>5206</v>
      </c>
      <c r="D5098" t="s">
        <v>4719</v>
      </c>
      <c r="E5098" t="s">
        <v>4755</v>
      </c>
      <c r="F5098">
        <v>2716</v>
      </c>
      <c r="G5098">
        <v>1</v>
      </c>
      <c r="H5098" t="s">
        <v>16</v>
      </c>
      <c r="I5098" s="1">
        <v>-2941700</v>
      </c>
      <c r="J5098" s="1">
        <v>-5176500</v>
      </c>
      <c r="K5098">
        <v>0</v>
      </c>
      <c r="L5098">
        <v>63</v>
      </c>
      <c r="M5098" t="s">
        <v>16</v>
      </c>
    </row>
    <row r="5099" spans="1:13" x14ac:dyDescent="0.35">
      <c r="A5099">
        <v>432380</v>
      </c>
      <c r="B5099">
        <v>52922</v>
      </c>
      <c r="C5099" t="s">
        <v>5207</v>
      </c>
      <c r="D5099" t="s">
        <v>4719</v>
      </c>
      <c r="E5099" t="s">
        <v>4757</v>
      </c>
      <c r="F5099">
        <v>10602</v>
      </c>
      <c r="G5099">
        <v>4</v>
      </c>
      <c r="H5099" t="s">
        <v>4758</v>
      </c>
      <c r="I5099" s="1">
        <v>-2980100</v>
      </c>
      <c r="J5099" s="1">
        <v>-5004400</v>
      </c>
      <c r="K5099">
        <v>9</v>
      </c>
      <c r="L5099">
        <v>60</v>
      </c>
      <c r="M5099" t="s">
        <v>16</v>
      </c>
    </row>
    <row r="5100" spans="1:13" x14ac:dyDescent="0.35">
      <c r="A5100">
        <v>500020</v>
      </c>
      <c r="B5100">
        <v>41629</v>
      </c>
      <c r="C5100" t="s">
        <v>5208</v>
      </c>
      <c r="D5100" t="s">
        <v>5209</v>
      </c>
      <c r="E5100" t="s">
        <v>5210</v>
      </c>
      <c r="F5100">
        <v>13183</v>
      </c>
      <c r="G5100">
        <v>1</v>
      </c>
      <c r="H5100" t="s">
        <v>16</v>
      </c>
      <c r="I5100" s="1">
        <v>-2044800</v>
      </c>
      <c r="J5100" s="1">
        <v>-5287800</v>
      </c>
      <c r="K5100">
        <v>303</v>
      </c>
      <c r="L5100">
        <v>11031</v>
      </c>
      <c r="M5100" t="s">
        <v>16</v>
      </c>
    </row>
    <row r="5101" spans="1:13" x14ac:dyDescent="0.35">
      <c r="A5101">
        <v>500025</v>
      </c>
      <c r="B5101">
        <v>52930</v>
      </c>
      <c r="C5101" t="s">
        <v>5211</v>
      </c>
      <c r="D5101" t="s">
        <v>5209</v>
      </c>
      <c r="E5101" t="s">
        <v>5212</v>
      </c>
      <c r="F5101">
        <v>4299</v>
      </c>
      <c r="G5101">
        <v>1</v>
      </c>
      <c r="H5101" t="s">
        <v>16</v>
      </c>
      <c r="I5101" s="1">
        <v>-1832400</v>
      </c>
      <c r="J5101" s="1">
        <v>-5370600</v>
      </c>
      <c r="K5101">
        <v>443</v>
      </c>
      <c r="L5101">
        <v>4399</v>
      </c>
      <c r="M5101" t="s">
        <v>16</v>
      </c>
    </row>
    <row r="5102" spans="1:13" x14ac:dyDescent="0.35">
      <c r="A5102">
        <v>500060</v>
      </c>
      <c r="B5102">
        <v>41661</v>
      </c>
      <c r="C5102" t="s">
        <v>5213</v>
      </c>
      <c r="D5102" t="s">
        <v>5209</v>
      </c>
      <c r="E5102" t="s">
        <v>5214</v>
      </c>
      <c r="F5102">
        <v>33426</v>
      </c>
      <c r="G5102">
        <v>1</v>
      </c>
      <c r="H5102" t="s">
        <v>16</v>
      </c>
      <c r="I5102" s="1">
        <v>-2310400</v>
      </c>
      <c r="J5102" s="1">
        <v>-5522600</v>
      </c>
      <c r="K5102">
        <v>480</v>
      </c>
      <c r="L5102">
        <v>4202</v>
      </c>
      <c r="M5102" t="s">
        <v>16</v>
      </c>
    </row>
    <row r="5103" spans="1:13" x14ac:dyDescent="0.35">
      <c r="A5103">
        <v>500070</v>
      </c>
      <c r="B5103">
        <v>41670</v>
      </c>
      <c r="C5103" t="s">
        <v>5215</v>
      </c>
      <c r="D5103" t="s">
        <v>5209</v>
      </c>
      <c r="E5103" t="s">
        <v>5216</v>
      </c>
      <c r="F5103">
        <v>22364</v>
      </c>
      <c r="G5103">
        <v>1</v>
      </c>
      <c r="H5103" t="s">
        <v>16</v>
      </c>
      <c r="I5103" s="1">
        <v>-2048400</v>
      </c>
      <c r="J5103" s="1">
        <v>-5580700</v>
      </c>
      <c r="K5103">
        <v>160</v>
      </c>
      <c r="L5103">
        <v>2949</v>
      </c>
      <c r="M5103" t="s">
        <v>16</v>
      </c>
    </row>
    <row r="5104" spans="1:13" x14ac:dyDescent="0.35">
      <c r="A5104">
        <v>500080</v>
      </c>
      <c r="B5104">
        <v>41688</v>
      </c>
      <c r="C5104" t="s">
        <v>5217</v>
      </c>
      <c r="D5104" t="s">
        <v>5209</v>
      </c>
      <c r="E5104" t="s">
        <v>5218</v>
      </c>
      <c r="F5104">
        <v>8380</v>
      </c>
      <c r="G5104">
        <v>1</v>
      </c>
      <c r="H5104" t="s">
        <v>16</v>
      </c>
      <c r="I5104" s="1">
        <v>-2218800</v>
      </c>
      <c r="J5104" s="1">
        <v>-5271800</v>
      </c>
      <c r="K5104">
        <v>312</v>
      </c>
      <c r="L5104">
        <v>3395</v>
      </c>
      <c r="M5104" t="s">
        <v>16</v>
      </c>
    </row>
    <row r="5105" spans="1:13" x14ac:dyDescent="0.35">
      <c r="A5105">
        <v>500085</v>
      </c>
      <c r="B5105">
        <v>42447</v>
      </c>
      <c r="C5105" t="s">
        <v>5219</v>
      </c>
      <c r="D5105" t="s">
        <v>5209</v>
      </c>
      <c r="E5105" t="s">
        <v>5220</v>
      </c>
      <c r="F5105">
        <v>7253</v>
      </c>
      <c r="G5105">
        <v>1</v>
      </c>
      <c r="H5105" t="s">
        <v>16</v>
      </c>
      <c r="I5105" s="1">
        <v>-2215300</v>
      </c>
      <c r="J5105" s="1">
        <v>-5377100</v>
      </c>
      <c r="K5105">
        <v>358</v>
      </c>
      <c r="L5105">
        <v>1273</v>
      </c>
      <c r="M5105" t="s">
        <v>16</v>
      </c>
    </row>
    <row r="5106" spans="1:13" x14ac:dyDescent="0.35">
      <c r="A5106">
        <v>500090</v>
      </c>
      <c r="B5106">
        <v>41696</v>
      </c>
      <c r="C5106" t="s">
        <v>5221</v>
      </c>
      <c r="D5106" t="s">
        <v>5209</v>
      </c>
      <c r="E5106" t="s">
        <v>5214</v>
      </c>
      <c r="F5106">
        <v>8350</v>
      </c>
      <c r="G5106">
        <v>1</v>
      </c>
      <c r="H5106" t="s">
        <v>16</v>
      </c>
      <c r="I5106" s="1">
        <v>-2219100</v>
      </c>
      <c r="J5106" s="1">
        <v>-5594800</v>
      </c>
      <c r="K5106">
        <v>681</v>
      </c>
      <c r="L5106">
        <v>1143</v>
      </c>
      <c r="M5106" t="s">
        <v>16</v>
      </c>
    </row>
    <row r="5107" spans="1:13" x14ac:dyDescent="0.35">
      <c r="A5107">
        <v>500100</v>
      </c>
      <c r="B5107">
        <v>41700</v>
      </c>
      <c r="C5107" t="s">
        <v>5222</v>
      </c>
      <c r="D5107" t="s">
        <v>5209</v>
      </c>
      <c r="E5107" t="s">
        <v>5223</v>
      </c>
      <c r="F5107">
        <v>19819</v>
      </c>
      <c r="G5107">
        <v>1</v>
      </c>
      <c r="H5107" t="s">
        <v>16</v>
      </c>
      <c r="I5107" s="1">
        <v>-2008700</v>
      </c>
      <c r="J5107" s="1">
        <v>-5109400</v>
      </c>
      <c r="K5107">
        <v>392</v>
      </c>
      <c r="L5107">
        <v>2750</v>
      </c>
      <c r="M5107" t="s">
        <v>16</v>
      </c>
    </row>
    <row r="5108" spans="1:13" x14ac:dyDescent="0.35">
      <c r="A5108">
        <v>500110</v>
      </c>
      <c r="B5108">
        <v>41718</v>
      </c>
      <c r="C5108" t="s">
        <v>5216</v>
      </c>
      <c r="D5108" t="s">
        <v>5209</v>
      </c>
      <c r="E5108" t="s">
        <v>5216</v>
      </c>
      <c r="F5108">
        <v>44920</v>
      </c>
      <c r="G5108">
        <v>1</v>
      </c>
      <c r="H5108" t="s">
        <v>16</v>
      </c>
      <c r="I5108" s="1">
        <v>-2047100</v>
      </c>
      <c r="J5108" s="1">
        <v>-5578700</v>
      </c>
      <c r="K5108">
        <v>147</v>
      </c>
      <c r="L5108">
        <v>16958</v>
      </c>
      <c r="M5108" t="s">
        <v>16</v>
      </c>
    </row>
    <row r="5109" spans="1:13" x14ac:dyDescent="0.35">
      <c r="A5109">
        <v>500124</v>
      </c>
      <c r="B5109">
        <v>42455</v>
      </c>
      <c r="C5109" t="s">
        <v>5224</v>
      </c>
      <c r="D5109" t="s">
        <v>5209</v>
      </c>
      <c r="E5109" t="s">
        <v>5214</v>
      </c>
      <c r="F5109">
        <v>9236</v>
      </c>
      <c r="G5109">
        <v>1</v>
      </c>
      <c r="H5109" t="s">
        <v>16</v>
      </c>
      <c r="I5109" s="1">
        <v>-2293400</v>
      </c>
      <c r="J5109" s="1">
        <v>-5563500</v>
      </c>
      <c r="K5109">
        <v>609</v>
      </c>
      <c r="L5109">
        <v>1656</v>
      </c>
      <c r="M5109" t="s">
        <v>16</v>
      </c>
    </row>
    <row r="5110" spans="1:13" x14ac:dyDescent="0.35">
      <c r="A5110">
        <v>500150</v>
      </c>
      <c r="B5110">
        <v>41750</v>
      </c>
      <c r="C5110" t="s">
        <v>4104</v>
      </c>
      <c r="D5110" t="s">
        <v>5209</v>
      </c>
      <c r="E5110" t="s">
        <v>1809</v>
      </c>
      <c r="F5110">
        <v>5888</v>
      </c>
      <c r="G5110">
        <v>1</v>
      </c>
      <c r="H5110" t="s">
        <v>16</v>
      </c>
      <c r="I5110" s="1">
        <v>-1991800</v>
      </c>
      <c r="J5110" s="1">
        <v>-5436400</v>
      </c>
      <c r="K5110">
        <v>629</v>
      </c>
      <c r="L5110">
        <v>3115</v>
      </c>
      <c r="M5110" t="s">
        <v>16</v>
      </c>
    </row>
    <row r="5111" spans="1:13" x14ac:dyDescent="0.35">
      <c r="A5111">
        <v>500190</v>
      </c>
      <c r="B5111">
        <v>41793</v>
      </c>
      <c r="C5111" t="s">
        <v>5225</v>
      </c>
      <c r="D5111" t="s">
        <v>5209</v>
      </c>
      <c r="E5111" t="s">
        <v>5218</v>
      </c>
      <c r="F5111">
        <v>18687</v>
      </c>
      <c r="G5111">
        <v>1</v>
      </c>
      <c r="H5111" t="s">
        <v>16</v>
      </c>
      <c r="I5111" s="1">
        <v>-2171400</v>
      </c>
      <c r="J5111" s="1">
        <v>-5242200</v>
      </c>
      <c r="K5111">
        <v>329</v>
      </c>
      <c r="L5111">
        <v>2416</v>
      </c>
      <c r="M5111" t="s">
        <v>16</v>
      </c>
    </row>
    <row r="5112" spans="1:13" x14ac:dyDescent="0.35">
      <c r="A5112">
        <v>500200</v>
      </c>
      <c r="B5112">
        <v>41807</v>
      </c>
      <c r="C5112" t="s">
        <v>5226</v>
      </c>
      <c r="D5112" t="s">
        <v>5209</v>
      </c>
      <c r="E5112" t="s">
        <v>5218</v>
      </c>
      <c r="F5112">
        <v>10564</v>
      </c>
      <c r="G5112">
        <v>1</v>
      </c>
      <c r="H5112" t="s">
        <v>16</v>
      </c>
      <c r="I5112" s="1">
        <v>-2229500</v>
      </c>
      <c r="J5112" s="1">
        <v>-5327100</v>
      </c>
      <c r="K5112">
        <v>334</v>
      </c>
      <c r="L5112">
        <v>1828</v>
      </c>
      <c r="M5112" t="s">
        <v>16</v>
      </c>
    </row>
    <row r="5113" spans="1:13" x14ac:dyDescent="0.35">
      <c r="A5113">
        <v>500210</v>
      </c>
      <c r="B5113">
        <v>41815</v>
      </c>
      <c r="C5113" t="s">
        <v>5227</v>
      </c>
      <c r="D5113" t="s">
        <v>5209</v>
      </c>
      <c r="E5113" t="s">
        <v>5228</v>
      </c>
      <c r="F5113">
        <v>22868</v>
      </c>
      <c r="G5113">
        <v>1</v>
      </c>
      <c r="H5113" t="s">
        <v>16</v>
      </c>
      <c r="I5113" s="1">
        <v>-2210900</v>
      </c>
      <c r="J5113" s="1">
        <v>-5652100</v>
      </c>
      <c r="K5113">
        <v>180</v>
      </c>
      <c r="L5113">
        <v>4895</v>
      </c>
      <c r="M5113" t="s">
        <v>16</v>
      </c>
    </row>
    <row r="5114" spans="1:13" x14ac:dyDescent="0.35">
      <c r="A5114">
        <v>500215</v>
      </c>
      <c r="B5114">
        <v>45381</v>
      </c>
      <c r="C5114" t="s">
        <v>5228</v>
      </c>
      <c r="D5114" t="s">
        <v>5209</v>
      </c>
      <c r="E5114" t="s">
        <v>5228</v>
      </c>
      <c r="F5114">
        <v>8168</v>
      </c>
      <c r="G5114">
        <v>1</v>
      </c>
      <c r="H5114" t="s">
        <v>16</v>
      </c>
      <c r="I5114" s="1">
        <v>-2053900</v>
      </c>
      <c r="J5114" s="1">
        <v>-5671500</v>
      </c>
      <c r="K5114">
        <v>132</v>
      </c>
      <c r="L5114">
        <v>2507</v>
      </c>
      <c r="M5114" t="s">
        <v>16</v>
      </c>
    </row>
    <row r="5115" spans="1:13" x14ac:dyDescent="0.35">
      <c r="A5115">
        <v>500220</v>
      </c>
      <c r="B5115">
        <v>41823</v>
      </c>
      <c r="C5115" t="s">
        <v>228</v>
      </c>
      <c r="D5115" t="s">
        <v>5209</v>
      </c>
      <c r="E5115" t="s">
        <v>5228</v>
      </c>
      <c r="F5115">
        <v>17275</v>
      </c>
      <c r="G5115">
        <v>1</v>
      </c>
      <c r="H5115" t="s">
        <v>16</v>
      </c>
      <c r="I5115" s="1">
        <v>-2112100</v>
      </c>
      <c r="J5115" s="1">
        <v>-5648200</v>
      </c>
      <c r="K5115">
        <v>315</v>
      </c>
      <c r="L5115">
        <v>4934</v>
      </c>
      <c r="M5115" t="s">
        <v>16</v>
      </c>
    </row>
    <row r="5116" spans="1:13" x14ac:dyDescent="0.35">
      <c r="A5116">
        <v>500230</v>
      </c>
      <c r="B5116">
        <v>41831</v>
      </c>
      <c r="C5116" t="s">
        <v>5229</v>
      </c>
      <c r="D5116" t="s">
        <v>5209</v>
      </c>
      <c r="E5116" t="s">
        <v>5210</v>
      </c>
      <c r="F5116">
        <v>12136</v>
      </c>
      <c r="G5116">
        <v>1</v>
      </c>
      <c r="H5116" t="s">
        <v>16</v>
      </c>
      <c r="I5116" s="1">
        <v>-2125600</v>
      </c>
      <c r="J5116" s="1">
        <v>-5203700</v>
      </c>
      <c r="K5116">
        <v>343</v>
      </c>
      <c r="L5116">
        <v>5806</v>
      </c>
      <c r="M5116" t="s">
        <v>16</v>
      </c>
    </row>
    <row r="5117" spans="1:13" x14ac:dyDescent="0.35">
      <c r="A5117">
        <v>500240</v>
      </c>
      <c r="B5117">
        <v>41882</v>
      </c>
      <c r="C5117" t="s">
        <v>5230</v>
      </c>
      <c r="D5117" t="s">
        <v>5209</v>
      </c>
      <c r="E5117" t="s">
        <v>5214</v>
      </c>
      <c r="F5117">
        <v>22723</v>
      </c>
      <c r="G5117">
        <v>1</v>
      </c>
      <c r="H5117" t="s">
        <v>16</v>
      </c>
      <c r="I5117" s="1">
        <v>-2263400</v>
      </c>
      <c r="J5117" s="1">
        <v>-5482200</v>
      </c>
      <c r="K5117">
        <v>471</v>
      </c>
      <c r="L5117">
        <v>2089</v>
      </c>
      <c r="M5117" t="s">
        <v>16</v>
      </c>
    </row>
    <row r="5118" spans="1:13" x14ac:dyDescent="0.35">
      <c r="A5118">
        <v>500260</v>
      </c>
      <c r="B5118">
        <v>41858</v>
      </c>
      <c r="C5118" t="s">
        <v>5231</v>
      </c>
      <c r="D5118" t="s">
        <v>5209</v>
      </c>
      <c r="E5118" t="s">
        <v>5212</v>
      </c>
      <c r="F5118">
        <v>13192</v>
      </c>
      <c r="G5118">
        <v>1</v>
      </c>
      <c r="H5118" t="s">
        <v>16</v>
      </c>
      <c r="I5118" s="1">
        <v>-1953100</v>
      </c>
      <c r="J5118" s="1">
        <v>-5404400</v>
      </c>
      <c r="K5118">
        <v>409</v>
      </c>
      <c r="L5118">
        <v>10758</v>
      </c>
      <c r="M5118" t="s">
        <v>16</v>
      </c>
    </row>
    <row r="5119" spans="1:13" x14ac:dyDescent="0.35">
      <c r="A5119">
        <v>500270</v>
      </c>
      <c r="B5119">
        <v>41866</v>
      </c>
      <c r="C5119" t="s">
        <v>1809</v>
      </c>
      <c r="D5119" t="s">
        <v>5209</v>
      </c>
      <c r="E5119" t="s">
        <v>1809</v>
      </c>
      <c r="F5119">
        <v>724524</v>
      </c>
      <c r="G5119">
        <v>5</v>
      </c>
      <c r="H5119" t="s">
        <v>16</v>
      </c>
      <c r="I5119" s="1">
        <v>-2044300</v>
      </c>
      <c r="J5119" s="1">
        <v>-5464600</v>
      </c>
      <c r="K5119">
        <v>532</v>
      </c>
      <c r="L5119">
        <v>8096</v>
      </c>
      <c r="M5119" t="s">
        <v>16</v>
      </c>
    </row>
    <row r="5120" spans="1:13" x14ac:dyDescent="0.35">
      <c r="A5120">
        <v>500280</v>
      </c>
      <c r="B5120">
        <v>41874</v>
      </c>
      <c r="C5120" t="s">
        <v>841</v>
      </c>
      <c r="D5120" t="s">
        <v>5209</v>
      </c>
      <c r="E5120" t="s">
        <v>5228</v>
      </c>
      <c r="F5120">
        <v>5095</v>
      </c>
      <c r="G5120">
        <v>1</v>
      </c>
      <c r="H5120" t="s">
        <v>16</v>
      </c>
      <c r="I5120" s="1">
        <v>-2201400</v>
      </c>
      <c r="J5120" s="1">
        <v>-5702400</v>
      </c>
      <c r="K5120">
        <v>212</v>
      </c>
      <c r="L5120">
        <v>2938</v>
      </c>
      <c r="M5120" t="s">
        <v>16</v>
      </c>
    </row>
    <row r="5121" spans="1:13" x14ac:dyDescent="0.35">
      <c r="A5121">
        <v>500290</v>
      </c>
      <c r="B5121">
        <v>41890</v>
      </c>
      <c r="C5121" t="s">
        <v>5232</v>
      </c>
      <c r="D5121" t="s">
        <v>5209</v>
      </c>
      <c r="E5121" t="s">
        <v>5233</v>
      </c>
      <c r="F5121">
        <v>20916</v>
      </c>
      <c r="G5121">
        <v>1</v>
      </c>
      <c r="H5121" t="s">
        <v>16</v>
      </c>
      <c r="I5121" s="1">
        <v>-1911300</v>
      </c>
      <c r="J5121" s="1">
        <v>-5173400</v>
      </c>
      <c r="K5121">
        <v>470</v>
      </c>
      <c r="L5121">
        <v>3649</v>
      </c>
      <c r="M5121" t="s">
        <v>16</v>
      </c>
    </row>
    <row r="5122" spans="1:13" x14ac:dyDescent="0.35">
      <c r="A5122">
        <v>500295</v>
      </c>
      <c r="B5122">
        <v>46787</v>
      </c>
      <c r="C5122" t="s">
        <v>5234</v>
      </c>
      <c r="D5122" t="s">
        <v>5209</v>
      </c>
      <c r="E5122" t="s">
        <v>5233</v>
      </c>
      <c r="F5122">
        <v>16193</v>
      </c>
      <c r="G5122">
        <v>1</v>
      </c>
      <c r="H5122" t="s">
        <v>16</v>
      </c>
      <c r="I5122" s="1">
        <v>-1879400</v>
      </c>
      <c r="J5122" s="1">
        <v>-5262300</v>
      </c>
      <c r="K5122">
        <v>790</v>
      </c>
      <c r="L5122">
        <v>3850</v>
      </c>
      <c r="M5122" t="s">
        <v>16</v>
      </c>
    </row>
    <row r="5123" spans="1:13" x14ac:dyDescent="0.35">
      <c r="A5123">
        <v>500310</v>
      </c>
      <c r="B5123">
        <v>41912</v>
      </c>
      <c r="C5123" t="s">
        <v>5235</v>
      </c>
      <c r="D5123" t="s">
        <v>5209</v>
      </c>
      <c r="E5123" t="s">
        <v>1809</v>
      </c>
      <c r="F5123">
        <v>4165</v>
      </c>
      <c r="G5123">
        <v>1</v>
      </c>
      <c r="H5123" t="s">
        <v>16</v>
      </c>
      <c r="I5123" s="1">
        <v>-1983200</v>
      </c>
      <c r="J5123" s="1">
        <v>-5482900</v>
      </c>
      <c r="K5123">
        <v>320</v>
      </c>
      <c r="L5123">
        <v>2640</v>
      </c>
      <c r="M5123" t="s">
        <v>16</v>
      </c>
    </row>
    <row r="5124" spans="1:13" x14ac:dyDescent="0.35">
      <c r="A5124">
        <v>500315</v>
      </c>
      <c r="B5124">
        <v>45470</v>
      </c>
      <c r="C5124" t="s">
        <v>5236</v>
      </c>
      <c r="D5124" t="s">
        <v>5209</v>
      </c>
      <c r="E5124" t="s">
        <v>5220</v>
      </c>
      <c r="F5124">
        <v>13979</v>
      </c>
      <c r="G5124">
        <v>1</v>
      </c>
      <c r="H5124" t="s">
        <v>16</v>
      </c>
      <c r="I5124" s="1">
        <v>-2327200</v>
      </c>
      <c r="J5124" s="1">
        <v>-5552900</v>
      </c>
      <c r="K5124">
        <v>510</v>
      </c>
      <c r="L5124">
        <v>1028</v>
      </c>
      <c r="M5124" t="s">
        <v>16</v>
      </c>
    </row>
    <row r="5125" spans="1:13" x14ac:dyDescent="0.35">
      <c r="A5125">
        <v>500320</v>
      </c>
      <c r="B5125">
        <v>41920</v>
      </c>
      <c r="C5125" t="s">
        <v>5237</v>
      </c>
      <c r="D5125" t="s">
        <v>5209</v>
      </c>
      <c r="E5125" t="s">
        <v>5238</v>
      </c>
      <c r="F5125">
        <v>96373</v>
      </c>
      <c r="G5125">
        <v>2</v>
      </c>
      <c r="H5125" t="s">
        <v>16</v>
      </c>
      <c r="I5125" s="1">
        <v>-1900900</v>
      </c>
      <c r="J5125" s="1">
        <v>-5765300</v>
      </c>
      <c r="K5125">
        <v>118</v>
      </c>
      <c r="L5125">
        <v>64960</v>
      </c>
      <c r="M5125" t="s">
        <v>16</v>
      </c>
    </row>
    <row r="5126" spans="1:13" x14ac:dyDescent="0.35">
      <c r="A5126">
        <v>500325</v>
      </c>
      <c r="B5126">
        <v>45187</v>
      </c>
      <c r="C5126" t="s">
        <v>5239</v>
      </c>
      <c r="D5126" t="s">
        <v>5209</v>
      </c>
      <c r="E5126" t="s">
        <v>5233</v>
      </c>
      <c r="F5126">
        <v>18277</v>
      </c>
      <c r="G5126">
        <v>1</v>
      </c>
      <c r="H5126" t="s">
        <v>16</v>
      </c>
      <c r="I5126" s="1">
        <v>-1854400</v>
      </c>
      <c r="J5126" s="1">
        <v>-5312900</v>
      </c>
      <c r="K5126">
        <v>641</v>
      </c>
      <c r="L5126">
        <v>5722</v>
      </c>
      <c r="M5126" t="s">
        <v>16</v>
      </c>
    </row>
    <row r="5127" spans="1:13" x14ac:dyDescent="0.35">
      <c r="A5127">
        <v>500330</v>
      </c>
      <c r="B5127">
        <v>41939</v>
      </c>
      <c r="C5127" t="s">
        <v>5240</v>
      </c>
      <c r="D5127" t="s">
        <v>5209</v>
      </c>
      <c r="E5127" t="s">
        <v>5212</v>
      </c>
      <c r="F5127">
        <v>31816</v>
      </c>
      <c r="G5127">
        <v>1</v>
      </c>
      <c r="H5127" t="s">
        <v>16</v>
      </c>
      <c r="I5127" s="1">
        <v>-1850700</v>
      </c>
      <c r="J5127" s="1">
        <v>-5476000</v>
      </c>
      <c r="K5127">
        <v>238</v>
      </c>
      <c r="L5127">
        <v>6411</v>
      </c>
      <c r="M5127" t="s">
        <v>16</v>
      </c>
    </row>
    <row r="5128" spans="1:13" x14ac:dyDescent="0.35">
      <c r="A5128">
        <v>500345</v>
      </c>
      <c r="B5128">
        <v>42480</v>
      </c>
      <c r="C5128" t="s">
        <v>5241</v>
      </c>
      <c r="D5128" t="s">
        <v>5209</v>
      </c>
      <c r="E5128" t="s">
        <v>5220</v>
      </c>
      <c r="F5128">
        <v>11261</v>
      </c>
      <c r="G5128">
        <v>1</v>
      </c>
      <c r="H5128" t="s">
        <v>16</v>
      </c>
      <c r="I5128" s="1">
        <v>-2227600</v>
      </c>
      <c r="J5128" s="1">
        <v>-5416500</v>
      </c>
      <c r="K5128">
        <v>418</v>
      </c>
      <c r="L5128">
        <v>831</v>
      </c>
      <c r="M5128" t="s">
        <v>16</v>
      </c>
    </row>
    <row r="5129" spans="1:13" x14ac:dyDescent="0.35">
      <c r="A5129">
        <v>500348</v>
      </c>
      <c r="B5129">
        <v>46795</v>
      </c>
      <c r="C5129" t="s">
        <v>5242</v>
      </c>
      <c r="D5129" t="s">
        <v>5209</v>
      </c>
      <c r="E5129" t="s">
        <v>5216</v>
      </c>
      <c r="F5129">
        <v>9350</v>
      </c>
      <c r="G5129">
        <v>1</v>
      </c>
      <c r="H5129" t="s">
        <v>16</v>
      </c>
      <c r="I5129" s="1">
        <v>-2068000</v>
      </c>
      <c r="J5129" s="1">
        <v>-5529600</v>
      </c>
      <c r="K5129">
        <v>320</v>
      </c>
      <c r="L5129">
        <v>2344</v>
      </c>
      <c r="M5129" t="s">
        <v>16</v>
      </c>
    </row>
    <row r="5130" spans="1:13" x14ac:dyDescent="0.35">
      <c r="A5130">
        <v>500350</v>
      </c>
      <c r="B5130">
        <v>45195</v>
      </c>
      <c r="C5130" t="s">
        <v>4178</v>
      </c>
      <c r="D5130" t="s">
        <v>5209</v>
      </c>
      <c r="E5130" t="s">
        <v>5214</v>
      </c>
      <c r="F5130">
        <v>4900</v>
      </c>
      <c r="G5130">
        <v>1</v>
      </c>
      <c r="H5130" t="s">
        <v>16</v>
      </c>
      <c r="I5130" s="1">
        <v>-2204000</v>
      </c>
      <c r="J5130" s="1">
        <v>-5461300</v>
      </c>
      <c r="K5130">
        <v>553</v>
      </c>
      <c r="L5130">
        <v>280</v>
      </c>
      <c r="M5130" t="s">
        <v>16</v>
      </c>
    </row>
    <row r="5131" spans="1:13" x14ac:dyDescent="0.35">
      <c r="A5131">
        <v>500370</v>
      </c>
      <c r="B5131">
        <v>41963</v>
      </c>
      <c r="C5131" t="s">
        <v>5214</v>
      </c>
      <c r="D5131" t="s">
        <v>5209</v>
      </c>
      <c r="E5131" t="s">
        <v>5214</v>
      </c>
      <c r="F5131">
        <v>181869</v>
      </c>
      <c r="G5131">
        <v>3</v>
      </c>
      <c r="H5131" t="s">
        <v>16</v>
      </c>
      <c r="I5131" s="1">
        <v>-2222100</v>
      </c>
      <c r="J5131" s="1">
        <v>-5480600</v>
      </c>
      <c r="K5131">
        <v>430</v>
      </c>
      <c r="L5131">
        <v>4086</v>
      </c>
      <c r="M5131" t="s">
        <v>16</v>
      </c>
    </row>
    <row r="5132" spans="1:13" x14ac:dyDescent="0.35">
      <c r="A5132">
        <v>500375</v>
      </c>
      <c r="B5132">
        <v>42463</v>
      </c>
      <c r="C5132" t="s">
        <v>3618</v>
      </c>
      <c r="D5132" t="s">
        <v>5209</v>
      </c>
      <c r="E5132" t="s">
        <v>5220</v>
      </c>
      <c r="F5132">
        <v>11934</v>
      </c>
      <c r="G5132">
        <v>1</v>
      </c>
      <c r="H5132" t="s">
        <v>16</v>
      </c>
      <c r="I5132" s="1">
        <v>-2378700</v>
      </c>
      <c r="J5132" s="1">
        <v>-5428400</v>
      </c>
      <c r="K5132">
        <v>342</v>
      </c>
      <c r="L5132">
        <v>1017</v>
      </c>
      <c r="M5132" t="s">
        <v>16</v>
      </c>
    </row>
    <row r="5133" spans="1:13" x14ac:dyDescent="0.35">
      <c r="A5133">
        <v>500380</v>
      </c>
      <c r="B5133">
        <v>41971</v>
      </c>
      <c r="C5133" t="s">
        <v>5243</v>
      </c>
      <c r="D5133" t="s">
        <v>5209</v>
      </c>
      <c r="E5133" t="s">
        <v>5214</v>
      </c>
      <c r="F5133">
        <v>18789</v>
      </c>
      <c r="G5133">
        <v>1</v>
      </c>
      <c r="H5133" t="s">
        <v>16</v>
      </c>
      <c r="I5133" s="1">
        <v>-2237400</v>
      </c>
      <c r="J5133" s="1">
        <v>-5451400</v>
      </c>
      <c r="K5133">
        <v>352</v>
      </c>
      <c r="L5133">
        <v>315</v>
      </c>
      <c r="M5133" t="s">
        <v>16</v>
      </c>
    </row>
    <row r="5134" spans="1:13" x14ac:dyDescent="0.35">
      <c r="A5134">
        <v>500390</v>
      </c>
      <c r="B5134">
        <v>60143</v>
      </c>
      <c r="C5134" t="s">
        <v>5244</v>
      </c>
      <c r="D5134" t="s">
        <v>5209</v>
      </c>
      <c r="E5134" t="s">
        <v>5212</v>
      </c>
      <c r="F5134">
        <v>3280</v>
      </c>
      <c r="G5134">
        <v>1</v>
      </c>
      <c r="H5134" t="s">
        <v>16</v>
      </c>
      <c r="I5134" s="1">
        <v>-1868600</v>
      </c>
      <c r="J5134" s="1">
        <v>-5363100</v>
      </c>
      <c r="K5134">
        <v>0</v>
      </c>
      <c r="L5134">
        <v>0</v>
      </c>
      <c r="M5134" t="s">
        <v>16</v>
      </c>
    </row>
    <row r="5135" spans="1:13" x14ac:dyDescent="0.35">
      <c r="A5135">
        <v>500400</v>
      </c>
      <c r="B5135">
        <v>41998</v>
      </c>
      <c r="C5135" t="s">
        <v>5245</v>
      </c>
      <c r="D5135" t="s">
        <v>5209</v>
      </c>
      <c r="E5135" t="s">
        <v>5220</v>
      </c>
      <c r="F5135">
        <v>9644</v>
      </c>
      <c r="G5135">
        <v>1</v>
      </c>
      <c r="H5135" t="s">
        <v>16</v>
      </c>
      <c r="I5135" s="1">
        <v>-2241800</v>
      </c>
      <c r="J5135" s="1">
        <v>-5423300</v>
      </c>
      <c r="K5135">
        <v>400</v>
      </c>
      <c r="L5135">
        <v>491</v>
      </c>
      <c r="M5135" t="s">
        <v>16</v>
      </c>
    </row>
    <row r="5136" spans="1:13" x14ac:dyDescent="0.35">
      <c r="A5136">
        <v>500410</v>
      </c>
      <c r="B5136">
        <v>42005</v>
      </c>
      <c r="C5136" t="s">
        <v>5246</v>
      </c>
      <c r="D5136" t="s">
        <v>5209</v>
      </c>
      <c r="E5136" t="s">
        <v>5228</v>
      </c>
      <c r="F5136">
        <v>10208</v>
      </c>
      <c r="G5136">
        <v>1</v>
      </c>
      <c r="H5136" t="s">
        <v>16</v>
      </c>
      <c r="I5136" s="1">
        <v>-2145800</v>
      </c>
      <c r="J5136" s="1">
        <v>-5611400</v>
      </c>
      <c r="K5136">
        <v>272</v>
      </c>
      <c r="L5136">
        <v>1210</v>
      </c>
      <c r="M5136" t="s">
        <v>16</v>
      </c>
    </row>
    <row r="5137" spans="1:13" x14ac:dyDescent="0.35">
      <c r="A5137">
        <v>500430</v>
      </c>
      <c r="B5137">
        <v>42021</v>
      </c>
      <c r="C5137" t="s">
        <v>5220</v>
      </c>
      <c r="D5137" t="s">
        <v>5209</v>
      </c>
      <c r="E5137" t="s">
        <v>5220</v>
      </c>
      <c r="F5137">
        <v>14632</v>
      </c>
      <c r="G5137">
        <v>1</v>
      </c>
      <c r="H5137" t="s">
        <v>16</v>
      </c>
      <c r="I5137" s="1">
        <v>-2368000</v>
      </c>
      <c r="J5137" s="1">
        <v>-5456100</v>
      </c>
      <c r="K5137">
        <v>342</v>
      </c>
      <c r="L5137">
        <v>2946</v>
      </c>
      <c r="M5137" t="s">
        <v>16</v>
      </c>
    </row>
    <row r="5138" spans="1:13" x14ac:dyDescent="0.35">
      <c r="A5138">
        <v>500440</v>
      </c>
      <c r="B5138">
        <v>42030</v>
      </c>
      <c r="C5138" t="s">
        <v>5247</v>
      </c>
      <c r="D5138" t="s">
        <v>5209</v>
      </c>
      <c r="E5138" t="s">
        <v>5223</v>
      </c>
      <c r="F5138">
        <v>7342</v>
      </c>
      <c r="G5138">
        <v>1</v>
      </c>
      <c r="H5138" t="s">
        <v>16</v>
      </c>
      <c r="I5138" s="1">
        <v>-1972600</v>
      </c>
      <c r="J5138" s="1">
        <v>-5193000</v>
      </c>
      <c r="K5138">
        <v>502</v>
      </c>
      <c r="L5138">
        <v>5776</v>
      </c>
      <c r="M5138" t="s">
        <v>16</v>
      </c>
    </row>
    <row r="5139" spans="1:13" x14ac:dyDescent="0.35">
      <c r="A5139">
        <v>500450</v>
      </c>
      <c r="B5139">
        <v>42048</v>
      </c>
      <c r="C5139" t="s">
        <v>5248</v>
      </c>
      <c r="D5139" t="s">
        <v>5209</v>
      </c>
      <c r="E5139" t="s">
        <v>5214</v>
      </c>
      <c r="F5139">
        <v>18605</v>
      </c>
      <c r="G5139">
        <v>1</v>
      </c>
      <c r="H5139" t="s">
        <v>16</v>
      </c>
      <c r="I5139" s="1">
        <v>-2207900</v>
      </c>
      <c r="J5139" s="1">
        <v>-5478900</v>
      </c>
      <c r="K5139">
        <v>390</v>
      </c>
      <c r="L5139">
        <v>1322</v>
      </c>
      <c r="M5139" t="s">
        <v>16</v>
      </c>
    </row>
    <row r="5140" spans="1:13" x14ac:dyDescent="0.35">
      <c r="A5140">
        <v>500460</v>
      </c>
      <c r="B5140">
        <v>45209</v>
      </c>
      <c r="C5140" t="s">
        <v>5249</v>
      </c>
      <c r="D5140" t="s">
        <v>5209</v>
      </c>
      <c r="E5140" t="s">
        <v>5220</v>
      </c>
      <c r="F5140">
        <v>16924</v>
      </c>
      <c r="G5140">
        <v>1</v>
      </c>
      <c r="H5140" t="s">
        <v>16</v>
      </c>
      <c r="I5140" s="1">
        <v>-2347400</v>
      </c>
      <c r="J5140" s="1">
        <v>-5418500</v>
      </c>
      <c r="K5140">
        <v>340</v>
      </c>
      <c r="L5140">
        <v>2063</v>
      </c>
      <c r="M5140" t="s">
        <v>16</v>
      </c>
    </row>
    <row r="5141" spans="1:13" x14ac:dyDescent="0.35">
      <c r="A5141">
        <v>500470</v>
      </c>
      <c r="B5141">
        <v>42064</v>
      </c>
      <c r="C5141" t="s">
        <v>5250</v>
      </c>
      <c r="D5141" t="s">
        <v>5209</v>
      </c>
      <c r="E5141" t="s">
        <v>5220</v>
      </c>
      <c r="F5141">
        <v>20567</v>
      </c>
      <c r="G5141">
        <v>1</v>
      </c>
      <c r="H5141" t="s">
        <v>16</v>
      </c>
      <c r="I5141" s="1">
        <v>-2230500</v>
      </c>
      <c r="J5141" s="1">
        <v>-5381500</v>
      </c>
      <c r="K5141">
        <v>362</v>
      </c>
      <c r="L5141">
        <v>2009</v>
      </c>
      <c r="M5141" t="s">
        <v>16</v>
      </c>
    </row>
    <row r="5142" spans="1:13" x14ac:dyDescent="0.35">
      <c r="A5142">
        <v>500480</v>
      </c>
      <c r="B5142">
        <v>52949</v>
      </c>
      <c r="C5142" t="s">
        <v>5251</v>
      </c>
      <c r="D5142" t="s">
        <v>5209</v>
      </c>
      <c r="E5142" t="s">
        <v>5220</v>
      </c>
      <c r="F5142">
        <v>7362</v>
      </c>
      <c r="G5142">
        <v>1</v>
      </c>
      <c r="H5142" t="s">
        <v>16</v>
      </c>
      <c r="I5142" s="1">
        <v>-2389100</v>
      </c>
      <c r="J5142" s="1">
        <v>-5440400</v>
      </c>
      <c r="K5142">
        <v>357</v>
      </c>
      <c r="L5142">
        <v>419</v>
      </c>
      <c r="M5142" t="s">
        <v>16</v>
      </c>
    </row>
    <row r="5143" spans="1:13" x14ac:dyDescent="0.35">
      <c r="A5143">
        <v>500490</v>
      </c>
      <c r="B5143">
        <v>42080</v>
      </c>
      <c r="C5143" t="s">
        <v>5252</v>
      </c>
      <c r="D5143" t="s">
        <v>5209</v>
      </c>
      <c r="E5143" t="s">
        <v>1809</v>
      </c>
      <c r="F5143">
        <v>5577</v>
      </c>
      <c r="G5143">
        <v>1</v>
      </c>
      <c r="H5143" t="s">
        <v>16</v>
      </c>
      <c r="I5143" s="1">
        <v>-2014200</v>
      </c>
      <c r="J5143" s="1">
        <v>-5439900</v>
      </c>
      <c r="K5143">
        <v>589</v>
      </c>
      <c r="L5143">
        <v>2913</v>
      </c>
      <c r="M5143" t="s">
        <v>16</v>
      </c>
    </row>
    <row r="5144" spans="1:13" x14ac:dyDescent="0.35">
      <c r="A5144">
        <v>500500</v>
      </c>
      <c r="B5144">
        <v>42099</v>
      </c>
      <c r="C5144" t="s">
        <v>1128</v>
      </c>
      <c r="D5144" t="s">
        <v>5209</v>
      </c>
      <c r="E5144" t="s">
        <v>5228</v>
      </c>
      <c r="F5144">
        <v>23341</v>
      </c>
      <c r="G5144">
        <v>1</v>
      </c>
      <c r="H5144" t="s">
        <v>16</v>
      </c>
      <c r="I5144" s="1">
        <v>-2148000</v>
      </c>
      <c r="J5144" s="1">
        <v>-5613800</v>
      </c>
      <c r="K5144">
        <v>259</v>
      </c>
      <c r="L5144">
        <v>2201</v>
      </c>
      <c r="M5144" t="s">
        <v>16</v>
      </c>
    </row>
    <row r="5145" spans="1:13" x14ac:dyDescent="0.35">
      <c r="A5145">
        <v>500510</v>
      </c>
      <c r="B5145">
        <v>42102</v>
      </c>
      <c r="C5145" t="s">
        <v>5253</v>
      </c>
      <c r="D5145" t="s">
        <v>5209</v>
      </c>
      <c r="E5145" t="s">
        <v>5220</v>
      </c>
      <c r="F5145">
        <v>3808</v>
      </c>
      <c r="G5145">
        <v>1</v>
      </c>
      <c r="H5145" t="s">
        <v>16</v>
      </c>
      <c r="I5145" s="1">
        <v>-2248200</v>
      </c>
      <c r="J5145" s="1">
        <v>-5430300</v>
      </c>
      <c r="K5145">
        <v>396</v>
      </c>
      <c r="L5145">
        <v>1927</v>
      </c>
      <c r="M5145" t="s">
        <v>16</v>
      </c>
    </row>
    <row r="5146" spans="1:13" x14ac:dyDescent="0.35">
      <c r="A5146">
        <v>500515</v>
      </c>
      <c r="B5146">
        <v>46817</v>
      </c>
      <c r="C5146" t="s">
        <v>5254</v>
      </c>
      <c r="D5146" t="s">
        <v>5209</v>
      </c>
      <c r="E5146" t="s">
        <v>5214</v>
      </c>
      <c r="F5146">
        <v>5353</v>
      </c>
      <c r="G5146">
        <v>1</v>
      </c>
      <c r="H5146" t="s">
        <v>16</v>
      </c>
      <c r="I5146" s="1">
        <v>-2286100</v>
      </c>
      <c r="J5146" s="1">
        <v>-5460300</v>
      </c>
      <c r="K5146">
        <v>373</v>
      </c>
      <c r="L5146">
        <v>1584</v>
      </c>
      <c r="M5146" t="s">
        <v>16</v>
      </c>
    </row>
    <row r="5147" spans="1:13" x14ac:dyDescent="0.35">
      <c r="A5147">
        <v>500520</v>
      </c>
      <c r="B5147">
        <v>42110</v>
      </c>
      <c r="C5147" t="s">
        <v>5255</v>
      </c>
      <c r="D5147" t="s">
        <v>5209</v>
      </c>
      <c r="E5147" t="s">
        <v>5238</v>
      </c>
      <c r="F5147">
        <v>17906</v>
      </c>
      <c r="G5147">
        <v>1</v>
      </c>
      <c r="H5147" t="s">
        <v>16</v>
      </c>
      <c r="I5147" s="1">
        <v>-1900500</v>
      </c>
      <c r="J5147" s="1">
        <v>-5760200</v>
      </c>
      <c r="K5147">
        <v>114</v>
      </c>
      <c r="L5147">
        <v>342</v>
      </c>
      <c r="M5147" t="s">
        <v>16</v>
      </c>
    </row>
    <row r="5148" spans="1:13" x14ac:dyDescent="0.35">
      <c r="A5148">
        <v>500525</v>
      </c>
      <c r="B5148">
        <v>52957</v>
      </c>
      <c r="C5148" t="s">
        <v>5256</v>
      </c>
      <c r="D5148" t="s">
        <v>5209</v>
      </c>
      <c r="E5148" t="s">
        <v>5214</v>
      </c>
      <c r="F5148">
        <v>5813</v>
      </c>
      <c r="G5148">
        <v>1</v>
      </c>
      <c r="H5148" t="s">
        <v>16</v>
      </c>
      <c r="I5148" s="1">
        <v>-2254600</v>
      </c>
      <c r="J5148" s="1">
        <v>-5515000</v>
      </c>
      <c r="K5148">
        <v>509</v>
      </c>
      <c r="L5148">
        <v>1733</v>
      </c>
      <c r="M5148" t="s">
        <v>16</v>
      </c>
    </row>
    <row r="5149" spans="1:13" x14ac:dyDescent="0.35">
      <c r="A5149">
        <v>500540</v>
      </c>
      <c r="B5149">
        <v>42137</v>
      </c>
      <c r="C5149" t="s">
        <v>5257</v>
      </c>
      <c r="D5149" t="s">
        <v>5209</v>
      </c>
      <c r="E5149" t="s">
        <v>5214</v>
      </c>
      <c r="F5149">
        <v>30912</v>
      </c>
      <c r="G5149">
        <v>1</v>
      </c>
      <c r="H5149" t="s">
        <v>16</v>
      </c>
      <c r="I5149" s="1">
        <v>-2161400</v>
      </c>
      <c r="J5149" s="1">
        <v>-5516800</v>
      </c>
      <c r="K5149">
        <v>384</v>
      </c>
      <c r="L5149">
        <v>5298</v>
      </c>
      <c r="M5149" t="s">
        <v>16</v>
      </c>
    </row>
    <row r="5150" spans="1:13" x14ac:dyDescent="0.35">
      <c r="A5150">
        <v>500560</v>
      </c>
      <c r="B5150">
        <v>42153</v>
      </c>
      <c r="C5150" t="s">
        <v>5258</v>
      </c>
      <c r="D5150" t="s">
        <v>5209</v>
      </c>
      <c r="E5150" t="s">
        <v>5216</v>
      </c>
      <c r="F5150">
        <v>23965</v>
      </c>
      <c r="G5150">
        <v>1</v>
      </c>
      <c r="H5150" t="s">
        <v>16</v>
      </c>
      <c r="I5150" s="1">
        <v>-2024100</v>
      </c>
      <c r="J5150" s="1">
        <v>-5637800</v>
      </c>
      <c r="K5150">
        <v>125</v>
      </c>
      <c r="L5150">
        <v>5478</v>
      </c>
      <c r="M5150" t="s">
        <v>16</v>
      </c>
    </row>
    <row r="5151" spans="1:13" x14ac:dyDescent="0.35">
      <c r="A5151">
        <v>500568</v>
      </c>
      <c r="B5151">
        <v>42498</v>
      </c>
      <c r="C5151" t="s">
        <v>2245</v>
      </c>
      <c r="D5151" t="s">
        <v>5209</v>
      </c>
      <c r="E5151" t="s">
        <v>5220</v>
      </c>
      <c r="F5151">
        <v>15968</v>
      </c>
      <c r="G5151">
        <v>1</v>
      </c>
      <c r="H5151" t="s">
        <v>16</v>
      </c>
      <c r="I5151" s="1">
        <v>-2393800</v>
      </c>
      <c r="J5151" s="1">
        <v>-5427100</v>
      </c>
      <c r="K5151">
        <v>324</v>
      </c>
      <c r="L5151">
        <v>479</v>
      </c>
      <c r="M5151" t="s">
        <v>16</v>
      </c>
    </row>
    <row r="5152" spans="1:13" x14ac:dyDescent="0.35">
      <c r="A5152">
        <v>500570</v>
      </c>
      <c r="B5152">
        <v>42161</v>
      </c>
      <c r="C5152" t="s">
        <v>5259</v>
      </c>
      <c r="D5152" t="s">
        <v>5209</v>
      </c>
      <c r="E5152" t="s">
        <v>5220</v>
      </c>
      <c r="F5152">
        <v>43391</v>
      </c>
      <c r="G5152">
        <v>1</v>
      </c>
      <c r="H5152" t="s">
        <v>16</v>
      </c>
      <c r="I5152" s="1">
        <v>-2306500</v>
      </c>
      <c r="J5152" s="1">
        <v>-5419100</v>
      </c>
      <c r="K5152">
        <v>362</v>
      </c>
      <c r="L5152">
        <v>3193</v>
      </c>
      <c r="M5152" t="s">
        <v>16</v>
      </c>
    </row>
    <row r="5153" spans="1:13" x14ac:dyDescent="0.35">
      <c r="A5153">
        <v>500580</v>
      </c>
      <c r="B5153">
        <v>42170</v>
      </c>
      <c r="C5153" t="s">
        <v>5260</v>
      </c>
      <c r="D5153" t="s">
        <v>5209</v>
      </c>
      <c r="E5153" t="s">
        <v>5228</v>
      </c>
      <c r="F5153">
        <v>15203</v>
      </c>
      <c r="G5153">
        <v>1</v>
      </c>
      <c r="H5153" t="s">
        <v>16</v>
      </c>
      <c r="I5153" s="1">
        <v>-2113500</v>
      </c>
      <c r="J5153" s="1">
        <v>-5583000</v>
      </c>
      <c r="K5153">
        <v>200</v>
      </c>
      <c r="L5153">
        <v>3923</v>
      </c>
      <c r="M5153" t="s">
        <v>16</v>
      </c>
    </row>
    <row r="5154" spans="1:13" x14ac:dyDescent="0.35">
      <c r="A5154">
        <v>500600</v>
      </c>
      <c r="B5154">
        <v>52965</v>
      </c>
      <c r="C5154" t="s">
        <v>5261</v>
      </c>
      <c r="D5154" t="s">
        <v>5209</v>
      </c>
      <c r="E5154" t="s">
        <v>5214</v>
      </c>
      <c r="F5154">
        <v>12026</v>
      </c>
      <c r="G5154">
        <v>1</v>
      </c>
      <c r="H5154" t="s">
        <v>16</v>
      </c>
      <c r="I5154" s="1">
        <v>-2146600</v>
      </c>
      <c r="J5154" s="1">
        <v>-5438400</v>
      </c>
      <c r="K5154">
        <v>407</v>
      </c>
      <c r="L5154">
        <v>4019</v>
      </c>
      <c r="M5154" t="s">
        <v>16</v>
      </c>
    </row>
    <row r="5155" spans="1:13" x14ac:dyDescent="0.35">
      <c r="A5155">
        <v>500620</v>
      </c>
      <c r="B5155">
        <v>42218</v>
      </c>
      <c r="C5155" t="s">
        <v>5218</v>
      </c>
      <c r="D5155" t="s">
        <v>5209</v>
      </c>
      <c r="E5155" t="s">
        <v>5218</v>
      </c>
      <c r="F5155">
        <v>50000</v>
      </c>
      <c r="G5155">
        <v>2</v>
      </c>
      <c r="H5155" t="s">
        <v>16</v>
      </c>
      <c r="I5155" s="1">
        <v>-2223300</v>
      </c>
      <c r="J5155" s="1">
        <v>-5334300</v>
      </c>
      <c r="K5155">
        <v>380</v>
      </c>
      <c r="L5155">
        <v>4776</v>
      </c>
      <c r="M5155" t="s">
        <v>16</v>
      </c>
    </row>
    <row r="5156" spans="1:13" x14ac:dyDescent="0.35">
      <c r="A5156">
        <v>500625</v>
      </c>
      <c r="B5156">
        <v>52973</v>
      </c>
      <c r="C5156" t="s">
        <v>5262</v>
      </c>
      <c r="D5156" t="s">
        <v>5209</v>
      </c>
      <c r="E5156" t="s">
        <v>5220</v>
      </c>
      <c r="F5156">
        <v>4967</v>
      </c>
      <c r="G5156">
        <v>1</v>
      </c>
      <c r="H5156" t="s">
        <v>16</v>
      </c>
      <c r="I5156" s="1">
        <v>-2266900</v>
      </c>
      <c r="J5156" s="1">
        <v>-5386000</v>
      </c>
      <c r="K5156">
        <v>320</v>
      </c>
      <c r="L5156">
        <v>849</v>
      </c>
      <c r="M5156" t="s">
        <v>16</v>
      </c>
    </row>
    <row r="5157" spans="1:13" x14ac:dyDescent="0.35">
      <c r="A5157">
        <v>500627</v>
      </c>
      <c r="B5157">
        <v>0</v>
      </c>
      <c r="C5157" t="s">
        <v>5263</v>
      </c>
      <c r="D5157" t="s">
        <v>5209</v>
      </c>
      <c r="E5157" t="s">
        <v>5264</v>
      </c>
      <c r="F5157">
        <v>5047</v>
      </c>
      <c r="G5157">
        <v>1</v>
      </c>
      <c r="H5157" t="s">
        <v>16</v>
      </c>
      <c r="I5157" t="s">
        <v>5265</v>
      </c>
      <c r="J5157" t="s">
        <v>5265</v>
      </c>
      <c r="K5157">
        <v>0</v>
      </c>
      <c r="L5157">
        <v>3251</v>
      </c>
      <c r="M5157" t="s">
        <v>16</v>
      </c>
    </row>
    <row r="5158" spans="1:13" x14ac:dyDescent="0.35">
      <c r="A5158">
        <v>500630</v>
      </c>
      <c r="B5158">
        <v>42226</v>
      </c>
      <c r="C5158" t="s">
        <v>5266</v>
      </c>
      <c r="D5158" t="s">
        <v>5209</v>
      </c>
      <c r="E5158" t="s">
        <v>5223</v>
      </c>
      <c r="F5158">
        <v>38969</v>
      </c>
      <c r="G5158">
        <v>1</v>
      </c>
      <c r="H5158" t="s">
        <v>16</v>
      </c>
      <c r="I5158" s="1">
        <v>-1967700</v>
      </c>
      <c r="J5158" s="1">
        <v>-5119100</v>
      </c>
      <c r="K5158">
        <v>374</v>
      </c>
      <c r="L5158">
        <v>5402</v>
      </c>
      <c r="M5158" t="s">
        <v>16</v>
      </c>
    </row>
    <row r="5159" spans="1:13" x14ac:dyDescent="0.35">
      <c r="A5159">
        <v>500635</v>
      </c>
      <c r="B5159">
        <v>46825</v>
      </c>
      <c r="C5159" t="s">
        <v>5267</v>
      </c>
      <c r="D5159" t="s">
        <v>5209</v>
      </c>
      <c r="E5159" t="s">
        <v>5220</v>
      </c>
      <c r="F5159">
        <v>11092</v>
      </c>
      <c r="G5159">
        <v>1</v>
      </c>
      <c r="H5159" t="s">
        <v>16</v>
      </c>
      <c r="I5159" s="1">
        <v>-2389300</v>
      </c>
      <c r="J5159" s="1">
        <v>-5543100</v>
      </c>
      <c r="K5159">
        <v>429</v>
      </c>
      <c r="L5159">
        <v>1302</v>
      </c>
      <c r="M5159" t="s">
        <v>16</v>
      </c>
    </row>
    <row r="5160" spans="1:13" x14ac:dyDescent="0.35">
      <c r="A5160">
        <v>500640</v>
      </c>
      <c r="B5160">
        <v>42234</v>
      </c>
      <c r="C5160" t="s">
        <v>5268</v>
      </c>
      <c r="D5160" t="s">
        <v>5209</v>
      </c>
      <c r="E5160" t="s">
        <v>5212</v>
      </c>
      <c r="F5160">
        <v>8307</v>
      </c>
      <c r="G5160">
        <v>1</v>
      </c>
      <c r="H5160" t="s">
        <v>16</v>
      </c>
      <c r="I5160" s="1">
        <v>-1810100</v>
      </c>
      <c r="J5160" s="1">
        <v>-5455200</v>
      </c>
      <c r="K5160">
        <v>282</v>
      </c>
      <c r="L5160">
        <v>3651</v>
      </c>
      <c r="M5160" t="s">
        <v>16</v>
      </c>
    </row>
    <row r="5161" spans="1:13" x14ac:dyDescent="0.35">
      <c r="A5161">
        <v>500660</v>
      </c>
      <c r="B5161">
        <v>42250</v>
      </c>
      <c r="C5161" t="s">
        <v>5269</v>
      </c>
      <c r="D5161" t="s">
        <v>5209</v>
      </c>
      <c r="E5161" t="s">
        <v>5214</v>
      </c>
      <c r="F5161">
        <v>72207</v>
      </c>
      <c r="G5161">
        <v>2</v>
      </c>
      <c r="H5161" t="s">
        <v>16</v>
      </c>
      <c r="I5161" s="1">
        <v>-2253600</v>
      </c>
      <c r="J5161" s="1">
        <v>-5572600</v>
      </c>
      <c r="K5161">
        <v>655</v>
      </c>
      <c r="L5161">
        <v>5328</v>
      </c>
      <c r="M5161" t="s">
        <v>16</v>
      </c>
    </row>
    <row r="5162" spans="1:13" x14ac:dyDescent="0.35">
      <c r="A5162">
        <v>500690</v>
      </c>
      <c r="B5162">
        <v>42285</v>
      </c>
      <c r="C5162" t="s">
        <v>5270</v>
      </c>
      <c r="D5162" t="s">
        <v>5209</v>
      </c>
      <c r="E5162" t="s">
        <v>5238</v>
      </c>
      <c r="F5162">
        <v>14861</v>
      </c>
      <c r="G5162">
        <v>1</v>
      </c>
      <c r="H5162" t="s">
        <v>16</v>
      </c>
      <c r="I5162" s="1">
        <v>-2169900</v>
      </c>
      <c r="J5162" s="1">
        <v>-5788300</v>
      </c>
      <c r="K5162">
        <v>90</v>
      </c>
      <c r="L5162">
        <v>17734</v>
      </c>
      <c r="M5162" t="s">
        <v>16</v>
      </c>
    </row>
    <row r="5163" spans="1:13" x14ac:dyDescent="0.35">
      <c r="A5163">
        <v>500710</v>
      </c>
      <c r="B5163">
        <v>42307</v>
      </c>
      <c r="C5163" t="s">
        <v>5271</v>
      </c>
      <c r="D5163" t="s">
        <v>5209</v>
      </c>
      <c r="E5163" t="s">
        <v>5210</v>
      </c>
      <c r="F5163">
        <v>19159</v>
      </c>
      <c r="G5163">
        <v>1</v>
      </c>
      <c r="H5163" t="s">
        <v>16</v>
      </c>
      <c r="I5163" s="1">
        <v>-2044300</v>
      </c>
      <c r="J5163" s="1">
        <v>-5375900</v>
      </c>
      <c r="K5163">
        <v>369</v>
      </c>
      <c r="L5163">
        <v>17308</v>
      </c>
      <c r="M5163" t="s">
        <v>16</v>
      </c>
    </row>
    <row r="5164" spans="1:13" x14ac:dyDescent="0.35">
      <c r="A5164">
        <v>500720</v>
      </c>
      <c r="B5164">
        <v>42315</v>
      </c>
      <c r="C5164" t="s">
        <v>5272</v>
      </c>
      <c r="D5164" t="s">
        <v>5209</v>
      </c>
      <c r="E5164" t="s">
        <v>5214</v>
      </c>
      <c r="F5164">
        <v>26560</v>
      </c>
      <c r="G5164">
        <v>1</v>
      </c>
      <c r="H5164" t="s">
        <v>16</v>
      </c>
      <c r="I5164" s="1">
        <v>-2180200</v>
      </c>
      <c r="J5164" s="1">
        <v>-5454600</v>
      </c>
      <c r="K5164">
        <v>312</v>
      </c>
      <c r="L5164">
        <v>3987</v>
      </c>
      <c r="M5164" t="s">
        <v>16</v>
      </c>
    </row>
    <row r="5165" spans="1:13" x14ac:dyDescent="0.35">
      <c r="A5165">
        <v>500730</v>
      </c>
      <c r="B5165">
        <v>42323</v>
      </c>
      <c r="C5165" t="s">
        <v>109</v>
      </c>
      <c r="D5165" t="s">
        <v>5209</v>
      </c>
      <c r="E5165" t="s">
        <v>1809</v>
      </c>
      <c r="F5165">
        <v>4961</v>
      </c>
      <c r="G5165">
        <v>1</v>
      </c>
      <c r="H5165" t="s">
        <v>16</v>
      </c>
      <c r="I5165" s="1">
        <v>-1944900</v>
      </c>
      <c r="J5165" s="1">
        <v>-5498700</v>
      </c>
      <c r="K5165">
        <v>279</v>
      </c>
      <c r="L5165">
        <v>1807</v>
      </c>
      <c r="M5165" t="s">
        <v>16</v>
      </c>
    </row>
    <row r="5166" spans="1:13" x14ac:dyDescent="0.35">
      <c r="A5166">
        <v>500740</v>
      </c>
      <c r="B5166">
        <v>42331</v>
      </c>
      <c r="C5166" t="s">
        <v>5273</v>
      </c>
      <c r="D5166" t="s">
        <v>5209</v>
      </c>
      <c r="E5166" t="s">
        <v>5212</v>
      </c>
      <c r="F5166">
        <v>18579</v>
      </c>
      <c r="G5166">
        <v>1</v>
      </c>
      <c r="H5166" t="s">
        <v>16</v>
      </c>
      <c r="I5166" s="1">
        <v>-1891800</v>
      </c>
      <c r="J5166" s="1">
        <v>-5484400</v>
      </c>
      <c r="K5166">
        <v>330</v>
      </c>
      <c r="L5166">
        <v>8151</v>
      </c>
      <c r="M5166" t="s">
        <v>16</v>
      </c>
    </row>
    <row r="5167" spans="1:13" x14ac:dyDescent="0.35">
      <c r="A5167">
        <v>500750</v>
      </c>
      <c r="B5167">
        <v>42340</v>
      </c>
      <c r="C5167" t="s">
        <v>5274</v>
      </c>
      <c r="D5167" t="s">
        <v>5209</v>
      </c>
      <c r="E5167" t="s">
        <v>1809</v>
      </c>
      <c r="F5167">
        <v>4346</v>
      </c>
      <c r="G5167">
        <v>1</v>
      </c>
      <c r="H5167" t="s">
        <v>16</v>
      </c>
      <c r="I5167" s="1">
        <v>-1995300</v>
      </c>
      <c r="J5167" s="1">
        <v>-5489300</v>
      </c>
      <c r="K5167">
        <v>260</v>
      </c>
      <c r="L5167">
        <v>1560</v>
      </c>
      <c r="M5167" t="s">
        <v>16</v>
      </c>
    </row>
    <row r="5168" spans="1:13" x14ac:dyDescent="0.35">
      <c r="A5168">
        <v>500755</v>
      </c>
      <c r="B5168">
        <v>46833</v>
      </c>
      <c r="C5168" t="s">
        <v>5275</v>
      </c>
      <c r="D5168" t="s">
        <v>5209</v>
      </c>
      <c r="E5168" t="s">
        <v>5210</v>
      </c>
      <c r="F5168">
        <v>7162</v>
      </c>
      <c r="G5168">
        <v>1</v>
      </c>
      <c r="H5168" t="s">
        <v>16</v>
      </c>
      <c r="I5168" s="1">
        <v>-2130300</v>
      </c>
      <c r="J5168" s="1">
        <v>-5283100</v>
      </c>
      <c r="K5168">
        <v>360</v>
      </c>
      <c r="L5168">
        <v>6141</v>
      </c>
      <c r="M5168" t="s">
        <v>16</v>
      </c>
    </row>
    <row r="5169" spans="1:13" x14ac:dyDescent="0.35">
      <c r="A5169">
        <v>500769</v>
      </c>
      <c r="B5169">
        <v>45217</v>
      </c>
      <c r="C5169" t="s">
        <v>5276</v>
      </c>
      <c r="D5169" t="s">
        <v>5209</v>
      </c>
      <c r="E5169" t="s">
        <v>5212</v>
      </c>
      <c r="F5169">
        <v>20524</v>
      </c>
      <c r="G5169">
        <v>1</v>
      </c>
      <c r="H5169" t="s">
        <v>16</v>
      </c>
      <c r="I5169" s="1">
        <v>-1939500</v>
      </c>
      <c r="J5169" s="1">
        <v>-5456600</v>
      </c>
      <c r="K5169">
        <v>658</v>
      </c>
      <c r="L5169">
        <v>3864</v>
      </c>
      <c r="M5169" t="s">
        <v>16</v>
      </c>
    </row>
    <row r="5170" spans="1:13" x14ac:dyDescent="0.35">
      <c r="A5170">
        <v>500770</v>
      </c>
      <c r="B5170">
        <v>45225</v>
      </c>
      <c r="C5170" t="s">
        <v>5277</v>
      </c>
      <c r="D5170" t="s">
        <v>5209</v>
      </c>
      <c r="E5170" t="s">
        <v>5220</v>
      </c>
      <c r="F5170">
        <v>10659</v>
      </c>
      <c r="G5170">
        <v>1</v>
      </c>
      <c r="H5170" t="s">
        <v>16</v>
      </c>
      <c r="I5170" s="1">
        <v>-2397000</v>
      </c>
      <c r="J5170" s="1">
        <v>-5503600</v>
      </c>
      <c r="K5170">
        <v>407</v>
      </c>
      <c r="L5170">
        <v>825</v>
      </c>
      <c r="M5170" t="s">
        <v>16</v>
      </c>
    </row>
    <row r="5171" spans="1:13" x14ac:dyDescent="0.35">
      <c r="A5171">
        <v>500780</v>
      </c>
      <c r="B5171">
        <v>45268</v>
      </c>
      <c r="C5171" t="s">
        <v>5278</v>
      </c>
      <c r="D5171" t="s">
        <v>5209</v>
      </c>
      <c r="E5171" t="s">
        <v>5223</v>
      </c>
      <c r="F5171">
        <v>6413</v>
      </c>
      <c r="G5171">
        <v>1</v>
      </c>
      <c r="H5171" t="s">
        <v>16</v>
      </c>
      <c r="I5171" s="1">
        <v>-2036700</v>
      </c>
      <c r="J5171" s="1">
        <v>-5141900</v>
      </c>
      <c r="K5171">
        <v>357</v>
      </c>
      <c r="L5171">
        <v>3258</v>
      </c>
      <c r="M5171" t="s">
        <v>16</v>
      </c>
    </row>
    <row r="5172" spans="1:13" x14ac:dyDescent="0.35">
      <c r="A5172">
        <v>500790</v>
      </c>
      <c r="B5172">
        <v>42382</v>
      </c>
      <c r="C5172" t="s">
        <v>5279</v>
      </c>
      <c r="D5172" t="s">
        <v>5209</v>
      </c>
      <c r="E5172" t="s">
        <v>1809</v>
      </c>
      <c r="F5172">
        <v>38147</v>
      </c>
      <c r="G5172">
        <v>1</v>
      </c>
      <c r="H5172" t="s">
        <v>16</v>
      </c>
      <c r="I5172" s="1">
        <v>-2093200</v>
      </c>
      <c r="J5172" s="1">
        <v>-5496100</v>
      </c>
      <c r="K5172">
        <v>484</v>
      </c>
      <c r="L5172">
        <v>5286</v>
      </c>
      <c r="M5172" t="s">
        <v>16</v>
      </c>
    </row>
    <row r="5173" spans="1:13" x14ac:dyDescent="0.35">
      <c r="A5173">
        <v>500793</v>
      </c>
      <c r="B5173">
        <v>46841</v>
      </c>
      <c r="C5173" t="s">
        <v>5280</v>
      </c>
      <c r="D5173" t="s">
        <v>5209</v>
      </c>
      <c r="E5173" t="s">
        <v>5212</v>
      </c>
      <c r="F5173">
        <v>12548</v>
      </c>
      <c r="G5173">
        <v>1</v>
      </c>
      <c r="H5173" t="s">
        <v>16</v>
      </c>
      <c r="I5173" s="1">
        <v>-1757700</v>
      </c>
      <c r="J5173" s="1">
        <v>-5475800</v>
      </c>
      <c r="K5173">
        <v>442</v>
      </c>
      <c r="L5173">
        <v>4075</v>
      </c>
      <c r="M5173" t="s">
        <v>16</v>
      </c>
    </row>
    <row r="5174" spans="1:13" x14ac:dyDescent="0.35">
      <c r="A5174">
        <v>500795</v>
      </c>
      <c r="B5174">
        <v>45233</v>
      </c>
      <c r="C5174" t="s">
        <v>5281</v>
      </c>
      <c r="D5174" t="s">
        <v>5209</v>
      </c>
      <c r="E5174" t="s">
        <v>5220</v>
      </c>
      <c r="F5174">
        <v>9203</v>
      </c>
      <c r="G5174">
        <v>1</v>
      </c>
      <c r="H5174" t="s">
        <v>16</v>
      </c>
      <c r="I5174" s="1">
        <v>-2363300</v>
      </c>
      <c r="J5174" s="1">
        <v>-5501600</v>
      </c>
      <c r="K5174">
        <v>372</v>
      </c>
      <c r="L5174">
        <v>1785</v>
      </c>
      <c r="M5174" t="s">
        <v>16</v>
      </c>
    </row>
    <row r="5175" spans="1:13" x14ac:dyDescent="0.35">
      <c r="A5175">
        <v>500797</v>
      </c>
      <c r="B5175">
        <v>45241</v>
      </c>
      <c r="C5175" t="s">
        <v>5282</v>
      </c>
      <c r="D5175" t="s">
        <v>5209</v>
      </c>
      <c r="E5175" t="s">
        <v>5218</v>
      </c>
      <c r="F5175">
        <v>3117</v>
      </c>
      <c r="G5175">
        <v>1</v>
      </c>
      <c r="H5175" t="s">
        <v>16</v>
      </c>
      <c r="I5175" s="1">
        <v>-2248800</v>
      </c>
      <c r="J5175" s="1">
        <v>-5335100</v>
      </c>
      <c r="K5175">
        <v>276</v>
      </c>
      <c r="L5175">
        <v>1041</v>
      </c>
      <c r="M5175" t="s">
        <v>16</v>
      </c>
    </row>
    <row r="5176" spans="1:13" x14ac:dyDescent="0.35">
      <c r="A5176">
        <v>500800</v>
      </c>
      <c r="B5176">
        <v>42390</v>
      </c>
      <c r="C5176" t="s">
        <v>5283</v>
      </c>
      <c r="D5176" t="s">
        <v>5209</v>
      </c>
      <c r="E5176" t="s">
        <v>1809</v>
      </c>
      <c r="F5176">
        <v>14458</v>
      </c>
      <c r="G5176">
        <v>1</v>
      </c>
      <c r="H5176" t="s">
        <v>16</v>
      </c>
      <c r="I5176" s="1">
        <v>-2044200</v>
      </c>
      <c r="J5176" s="1">
        <v>-5486000</v>
      </c>
      <c r="K5176">
        <v>437</v>
      </c>
      <c r="L5176">
        <v>2841</v>
      </c>
      <c r="M5176" t="s">
        <v>16</v>
      </c>
    </row>
    <row r="5177" spans="1:13" x14ac:dyDescent="0.35">
      <c r="A5177">
        <v>500830</v>
      </c>
      <c r="B5177">
        <v>42420</v>
      </c>
      <c r="C5177" t="s">
        <v>5284</v>
      </c>
      <c r="D5177" t="s">
        <v>5209</v>
      </c>
      <c r="E5177" t="s">
        <v>5210</v>
      </c>
      <c r="F5177">
        <v>85914</v>
      </c>
      <c r="G5177">
        <v>2</v>
      </c>
      <c r="H5177" t="s">
        <v>16</v>
      </c>
      <c r="I5177" s="1">
        <v>-2075100</v>
      </c>
      <c r="J5177" s="1">
        <v>-5167800</v>
      </c>
      <c r="K5177">
        <v>319</v>
      </c>
      <c r="L5177">
        <v>10206</v>
      </c>
      <c r="M5177" t="s">
        <v>16</v>
      </c>
    </row>
    <row r="5178" spans="1:13" x14ac:dyDescent="0.35">
      <c r="A5178">
        <v>500840</v>
      </c>
      <c r="B5178">
        <v>46850</v>
      </c>
      <c r="C5178" t="s">
        <v>5285</v>
      </c>
      <c r="D5178" t="s">
        <v>5209</v>
      </c>
      <c r="E5178" t="s">
        <v>5214</v>
      </c>
      <c r="F5178">
        <v>5627</v>
      </c>
      <c r="G5178">
        <v>1</v>
      </c>
      <c r="H5178" t="s">
        <v>16</v>
      </c>
      <c r="I5178" s="1">
        <v>-2240900</v>
      </c>
      <c r="J5178" s="1">
        <v>-5443600</v>
      </c>
      <c r="K5178">
        <v>368</v>
      </c>
      <c r="L5178">
        <v>310</v>
      </c>
      <c r="M5178" t="s">
        <v>16</v>
      </c>
    </row>
    <row r="5179" spans="1:13" x14ac:dyDescent="0.35">
      <c r="A5179">
        <v>510010</v>
      </c>
      <c r="B5179">
        <v>41610</v>
      </c>
      <c r="C5179" t="s">
        <v>5286</v>
      </c>
      <c r="D5179" t="s">
        <v>5287</v>
      </c>
      <c r="E5179" t="s">
        <v>5288</v>
      </c>
      <c r="F5179">
        <v>5530</v>
      </c>
      <c r="G5179">
        <v>1</v>
      </c>
      <c r="H5179" t="s">
        <v>16</v>
      </c>
      <c r="I5179" s="1">
        <v>-1520500</v>
      </c>
      <c r="J5179" s="1">
        <v>-5636600</v>
      </c>
      <c r="K5179">
        <v>164</v>
      </c>
      <c r="L5179">
        <v>841</v>
      </c>
      <c r="M5179" t="s">
        <v>16</v>
      </c>
    </row>
    <row r="5180" spans="1:13" x14ac:dyDescent="0.35">
      <c r="A5180">
        <v>510020</v>
      </c>
      <c r="B5180">
        <v>42544</v>
      </c>
      <c r="C5180" t="s">
        <v>2387</v>
      </c>
      <c r="D5180" t="s">
        <v>5287</v>
      </c>
      <c r="E5180" t="s">
        <v>2068</v>
      </c>
      <c r="F5180">
        <v>18991</v>
      </c>
      <c r="G5180">
        <v>1</v>
      </c>
      <c r="H5180" t="s">
        <v>16</v>
      </c>
      <c r="I5180" s="1">
        <v>-1405000</v>
      </c>
      <c r="J5180" s="1">
        <v>-5215900</v>
      </c>
      <c r="K5180">
        <v>400</v>
      </c>
      <c r="L5180">
        <v>7484</v>
      </c>
      <c r="M5180" t="s">
        <v>16</v>
      </c>
    </row>
    <row r="5181" spans="1:13" x14ac:dyDescent="0.35">
      <c r="A5181">
        <v>510025</v>
      </c>
      <c r="B5181">
        <v>42552</v>
      </c>
      <c r="C5181" t="s">
        <v>5289</v>
      </c>
      <c r="D5181" t="s">
        <v>5287</v>
      </c>
      <c r="E5181" t="s">
        <v>5289</v>
      </c>
      <c r="F5181">
        <v>49140</v>
      </c>
      <c r="G5181">
        <v>1</v>
      </c>
      <c r="H5181" t="s">
        <v>16</v>
      </c>
      <c r="I5181" s="1">
        <v>-987600</v>
      </c>
      <c r="J5181" s="1">
        <v>-5608600</v>
      </c>
      <c r="K5181">
        <v>283</v>
      </c>
      <c r="L5181">
        <v>8947</v>
      </c>
      <c r="M5181" t="s">
        <v>16</v>
      </c>
    </row>
    <row r="5182" spans="1:13" x14ac:dyDescent="0.35">
      <c r="A5182">
        <v>510030</v>
      </c>
      <c r="B5182">
        <v>41637</v>
      </c>
      <c r="C5182" t="s">
        <v>5290</v>
      </c>
      <c r="D5182" t="s">
        <v>5287</v>
      </c>
      <c r="E5182" t="s">
        <v>5290</v>
      </c>
      <c r="F5182">
        <v>13790</v>
      </c>
      <c r="G5182">
        <v>1</v>
      </c>
      <c r="H5182" t="s">
        <v>16</v>
      </c>
      <c r="I5182" s="1">
        <v>-1731500</v>
      </c>
      <c r="J5182" s="1">
        <v>-5321500</v>
      </c>
      <c r="K5182">
        <v>692</v>
      </c>
      <c r="L5182">
        <v>5538</v>
      </c>
      <c r="M5182" t="s">
        <v>16</v>
      </c>
    </row>
    <row r="5183" spans="1:13" x14ac:dyDescent="0.35">
      <c r="A5183">
        <v>510035</v>
      </c>
      <c r="B5183">
        <v>52981</v>
      </c>
      <c r="C5183" t="s">
        <v>5291</v>
      </c>
      <c r="D5183" t="s">
        <v>5287</v>
      </c>
      <c r="E5183" t="s">
        <v>5292</v>
      </c>
      <c r="F5183">
        <v>5025</v>
      </c>
      <c r="G5183">
        <v>1</v>
      </c>
      <c r="H5183" t="s">
        <v>16</v>
      </c>
      <c r="I5183" s="1">
        <v>-1167400</v>
      </c>
      <c r="J5183" s="1">
        <v>-5138800</v>
      </c>
      <c r="K5183">
        <v>0</v>
      </c>
      <c r="L5183">
        <v>2241</v>
      </c>
      <c r="M5183" t="s">
        <v>16</v>
      </c>
    </row>
    <row r="5184" spans="1:13" x14ac:dyDescent="0.35">
      <c r="A5184">
        <v>510040</v>
      </c>
      <c r="B5184">
        <v>41645</v>
      </c>
      <c r="C5184" t="s">
        <v>5293</v>
      </c>
      <c r="D5184" t="s">
        <v>5287</v>
      </c>
      <c r="E5184" t="s">
        <v>5290</v>
      </c>
      <c r="F5184">
        <v>9132</v>
      </c>
      <c r="G5184">
        <v>1</v>
      </c>
      <c r="H5184" t="s">
        <v>16</v>
      </c>
      <c r="I5184" s="1">
        <v>-1694400</v>
      </c>
      <c r="J5184" s="1">
        <v>-5352800</v>
      </c>
      <c r="K5184">
        <v>754</v>
      </c>
      <c r="L5184">
        <v>3660</v>
      </c>
      <c r="M5184" t="s">
        <v>16</v>
      </c>
    </row>
    <row r="5185" spans="1:13" x14ac:dyDescent="0.35">
      <c r="A5185">
        <v>510050</v>
      </c>
      <c r="B5185">
        <v>41653</v>
      </c>
      <c r="C5185" t="s">
        <v>5294</v>
      </c>
      <c r="D5185" t="s">
        <v>5287</v>
      </c>
      <c r="E5185" t="s">
        <v>5294</v>
      </c>
      <c r="F5185">
        <v>8144</v>
      </c>
      <c r="G5185">
        <v>1</v>
      </c>
      <c r="H5185" t="s">
        <v>16</v>
      </c>
      <c r="I5185" s="1">
        <v>-1451400</v>
      </c>
      <c r="J5185" s="1">
        <v>-5648300</v>
      </c>
      <c r="K5185">
        <v>238</v>
      </c>
      <c r="L5185">
        <v>2052</v>
      </c>
      <c r="M5185" t="s">
        <v>16</v>
      </c>
    </row>
    <row r="5186" spans="1:13" x14ac:dyDescent="0.35">
      <c r="A5186">
        <v>510060</v>
      </c>
      <c r="B5186">
        <v>45551</v>
      </c>
      <c r="C5186" t="s">
        <v>5212</v>
      </c>
      <c r="D5186" t="s">
        <v>5287</v>
      </c>
      <c r="E5186" t="s">
        <v>5290</v>
      </c>
      <c r="F5186">
        <v>6058</v>
      </c>
      <c r="G5186">
        <v>1</v>
      </c>
      <c r="H5186" t="s">
        <v>16</v>
      </c>
      <c r="I5186" s="1">
        <v>-1782600</v>
      </c>
      <c r="J5186" s="1">
        <v>-5328200</v>
      </c>
      <c r="K5186">
        <v>851</v>
      </c>
      <c r="L5186">
        <v>1394</v>
      </c>
      <c r="M5186" t="s">
        <v>16</v>
      </c>
    </row>
    <row r="5187" spans="1:13" x14ac:dyDescent="0.35">
      <c r="A5187">
        <v>510080</v>
      </c>
      <c r="B5187">
        <v>46868</v>
      </c>
      <c r="C5187" t="s">
        <v>5295</v>
      </c>
      <c r="D5187" t="s">
        <v>5287</v>
      </c>
      <c r="E5187" t="s">
        <v>5289</v>
      </c>
      <c r="F5187">
        <v>7926</v>
      </c>
      <c r="G5187">
        <v>1</v>
      </c>
      <c r="H5187" t="s">
        <v>16</v>
      </c>
      <c r="I5187" s="1">
        <v>-954400</v>
      </c>
      <c r="J5187" s="1">
        <v>-5744900</v>
      </c>
      <c r="K5187">
        <v>220</v>
      </c>
      <c r="L5187">
        <v>20364</v>
      </c>
      <c r="M5187" t="s">
        <v>16</v>
      </c>
    </row>
    <row r="5188" spans="1:13" x14ac:dyDescent="0.35">
      <c r="A5188">
        <v>510100</v>
      </c>
      <c r="B5188">
        <v>45560</v>
      </c>
      <c r="C5188" t="s">
        <v>5296</v>
      </c>
      <c r="D5188" t="s">
        <v>5287</v>
      </c>
      <c r="E5188" t="s">
        <v>5297</v>
      </c>
      <c r="F5188">
        <v>2974</v>
      </c>
      <c r="G5188">
        <v>1</v>
      </c>
      <c r="H5188" t="s">
        <v>16</v>
      </c>
      <c r="I5188" s="1">
        <v>-1573400</v>
      </c>
      <c r="J5188" s="1">
        <v>-5183100</v>
      </c>
      <c r="K5188">
        <v>269</v>
      </c>
      <c r="L5188">
        <v>6415</v>
      </c>
      <c r="M5188" t="s">
        <v>16</v>
      </c>
    </row>
    <row r="5189" spans="1:13" x14ac:dyDescent="0.35">
      <c r="A5189">
        <v>510120</v>
      </c>
      <c r="B5189">
        <v>41726</v>
      </c>
      <c r="C5189" t="s">
        <v>5298</v>
      </c>
      <c r="D5189" t="s">
        <v>5287</v>
      </c>
      <c r="E5189" t="s">
        <v>5299</v>
      </c>
      <c r="F5189">
        <v>1117</v>
      </c>
      <c r="G5189">
        <v>1</v>
      </c>
      <c r="H5189" t="s">
        <v>16</v>
      </c>
      <c r="I5189" s="1">
        <v>-1685600</v>
      </c>
      <c r="J5189" s="1">
        <v>-5303300</v>
      </c>
      <c r="K5189">
        <v>462</v>
      </c>
      <c r="L5189">
        <v>688</v>
      </c>
      <c r="M5189" t="s">
        <v>16</v>
      </c>
    </row>
    <row r="5190" spans="1:13" x14ac:dyDescent="0.35">
      <c r="A5190">
        <v>510125</v>
      </c>
      <c r="B5190">
        <v>42560</v>
      </c>
      <c r="C5190" t="s">
        <v>5300</v>
      </c>
      <c r="D5190" t="s">
        <v>5287</v>
      </c>
      <c r="E5190" t="s">
        <v>5301</v>
      </c>
      <c r="F5190">
        <v>15335</v>
      </c>
      <c r="G5190">
        <v>1</v>
      </c>
      <c r="H5190" t="s">
        <v>16</v>
      </c>
      <c r="I5190" s="1">
        <v>-1547100</v>
      </c>
      <c r="J5190" s="1">
        <v>-5835300</v>
      </c>
      <c r="K5190">
        <v>200</v>
      </c>
      <c r="L5190">
        <v>1602</v>
      </c>
      <c r="M5190" t="s">
        <v>16</v>
      </c>
    </row>
    <row r="5191" spans="1:13" x14ac:dyDescent="0.35">
      <c r="A5191">
        <v>510130</v>
      </c>
      <c r="B5191">
        <v>41734</v>
      </c>
      <c r="C5191" t="s">
        <v>5302</v>
      </c>
      <c r="D5191" t="s">
        <v>5287</v>
      </c>
      <c r="E5191" t="s">
        <v>5294</v>
      </c>
      <c r="F5191">
        <v>9869</v>
      </c>
      <c r="G5191">
        <v>1</v>
      </c>
      <c r="H5191" t="s">
        <v>16</v>
      </c>
      <c r="I5191" s="1">
        <v>-1445000</v>
      </c>
      <c r="J5191" s="1">
        <v>-5684600</v>
      </c>
      <c r="K5191">
        <v>247</v>
      </c>
      <c r="L5191">
        <v>414</v>
      </c>
      <c r="M5191" t="s">
        <v>16</v>
      </c>
    </row>
    <row r="5192" spans="1:13" x14ac:dyDescent="0.35">
      <c r="A5192">
        <v>510140</v>
      </c>
      <c r="B5192">
        <v>41742</v>
      </c>
      <c r="C5192" t="s">
        <v>5303</v>
      </c>
      <c r="D5192" t="s">
        <v>5287</v>
      </c>
      <c r="E5192" t="s">
        <v>5304</v>
      </c>
      <c r="F5192">
        <v>19100</v>
      </c>
      <c r="G5192">
        <v>1</v>
      </c>
      <c r="H5192" t="s">
        <v>16</v>
      </c>
      <c r="I5192" s="1">
        <v>-1016700</v>
      </c>
      <c r="J5192" s="1">
        <v>-5945900</v>
      </c>
      <c r="K5192">
        <v>105</v>
      </c>
      <c r="L5192">
        <v>25048</v>
      </c>
      <c r="M5192" t="s">
        <v>16</v>
      </c>
    </row>
    <row r="5193" spans="1:13" x14ac:dyDescent="0.35">
      <c r="A5193">
        <v>510160</v>
      </c>
      <c r="B5193">
        <v>41769</v>
      </c>
      <c r="C5193" t="s">
        <v>5305</v>
      </c>
      <c r="D5193" t="s">
        <v>5287</v>
      </c>
      <c r="E5193" t="s">
        <v>5306</v>
      </c>
      <c r="F5193">
        <v>7619</v>
      </c>
      <c r="G5193">
        <v>1</v>
      </c>
      <c r="H5193" t="s">
        <v>16</v>
      </c>
      <c r="I5193" s="1">
        <v>-1627900</v>
      </c>
      <c r="J5193" s="1">
        <v>-5595800</v>
      </c>
      <c r="K5193">
        <v>156</v>
      </c>
      <c r="L5193">
        <v>11182</v>
      </c>
      <c r="M5193" t="s">
        <v>16</v>
      </c>
    </row>
    <row r="5194" spans="1:13" x14ac:dyDescent="0.35">
      <c r="A5194">
        <v>510170</v>
      </c>
      <c r="B5194">
        <v>41777</v>
      </c>
      <c r="C5194" t="s">
        <v>5307</v>
      </c>
      <c r="D5194" t="s">
        <v>5287</v>
      </c>
      <c r="E5194" t="s">
        <v>5308</v>
      </c>
      <c r="F5194">
        <v>32490</v>
      </c>
      <c r="G5194">
        <v>1</v>
      </c>
      <c r="H5194" t="s">
        <v>16</v>
      </c>
      <c r="I5194" s="1">
        <v>-1507300</v>
      </c>
      <c r="J5194" s="1">
        <v>-5718100</v>
      </c>
      <c r="K5194">
        <v>171</v>
      </c>
      <c r="L5194">
        <v>7228</v>
      </c>
      <c r="M5194" t="s">
        <v>16</v>
      </c>
    </row>
    <row r="5195" spans="1:13" x14ac:dyDescent="0.35">
      <c r="A5195">
        <v>510180</v>
      </c>
      <c r="B5195">
        <v>41785</v>
      </c>
      <c r="C5195" t="s">
        <v>5309</v>
      </c>
      <c r="D5195" t="s">
        <v>5287</v>
      </c>
      <c r="E5195" t="s">
        <v>5297</v>
      </c>
      <c r="F5195">
        <v>53243</v>
      </c>
      <c r="G5195">
        <v>2</v>
      </c>
      <c r="H5195" t="s">
        <v>16</v>
      </c>
      <c r="I5195" s="1">
        <v>-1589000</v>
      </c>
      <c r="J5195" s="1">
        <v>-5225700</v>
      </c>
      <c r="K5195">
        <v>318</v>
      </c>
      <c r="L5195">
        <v>9141</v>
      </c>
      <c r="M5195" t="s">
        <v>16</v>
      </c>
    </row>
    <row r="5196" spans="1:13" x14ac:dyDescent="0.35">
      <c r="A5196">
        <v>510185</v>
      </c>
      <c r="B5196">
        <v>59986</v>
      </c>
      <c r="C5196" t="s">
        <v>5310</v>
      </c>
      <c r="D5196" t="s">
        <v>5287</v>
      </c>
      <c r="E5196" t="s">
        <v>5292</v>
      </c>
      <c r="F5196">
        <v>4520</v>
      </c>
      <c r="G5196">
        <v>1</v>
      </c>
      <c r="H5196" t="s">
        <v>16</v>
      </c>
      <c r="I5196" s="1">
        <v>-1217500</v>
      </c>
      <c r="J5196" s="1">
        <v>-5150300</v>
      </c>
      <c r="K5196">
        <v>0</v>
      </c>
      <c r="L5196">
        <v>4279</v>
      </c>
      <c r="M5196" t="s">
        <v>16</v>
      </c>
    </row>
    <row r="5197" spans="1:13" x14ac:dyDescent="0.35">
      <c r="A5197">
        <v>510190</v>
      </c>
      <c r="B5197">
        <v>45578</v>
      </c>
      <c r="C5197" t="s">
        <v>5311</v>
      </c>
      <c r="D5197" t="s">
        <v>5287</v>
      </c>
      <c r="E5197" t="s">
        <v>5304</v>
      </c>
      <c r="F5197">
        <v>13975</v>
      </c>
      <c r="G5197">
        <v>1</v>
      </c>
      <c r="H5197" t="s">
        <v>16</v>
      </c>
      <c r="I5197" s="1">
        <v>-1215500</v>
      </c>
      <c r="J5197" s="1">
        <v>-5797900</v>
      </c>
      <c r="K5197">
        <v>317</v>
      </c>
      <c r="L5197">
        <v>15959</v>
      </c>
      <c r="M5197" t="s">
        <v>16</v>
      </c>
    </row>
    <row r="5198" spans="1:13" x14ac:dyDescent="0.35">
      <c r="A5198">
        <v>510250</v>
      </c>
      <c r="B5198">
        <v>41840</v>
      </c>
      <c r="C5198" t="s">
        <v>5312</v>
      </c>
      <c r="D5198" t="s">
        <v>5287</v>
      </c>
      <c r="E5198" t="s">
        <v>5306</v>
      </c>
      <c r="F5198">
        <v>84175</v>
      </c>
      <c r="G5198">
        <v>2</v>
      </c>
      <c r="H5198" t="s">
        <v>16</v>
      </c>
      <c r="I5198" s="1">
        <v>-1607100</v>
      </c>
      <c r="J5198" s="1">
        <v>-5767900</v>
      </c>
      <c r="K5198">
        <v>118</v>
      </c>
      <c r="L5198">
        <v>24398</v>
      </c>
      <c r="M5198" t="s">
        <v>16</v>
      </c>
    </row>
    <row r="5199" spans="1:13" x14ac:dyDescent="0.35">
      <c r="A5199">
        <v>510260</v>
      </c>
      <c r="B5199">
        <v>45586</v>
      </c>
      <c r="C5199" t="s">
        <v>5313</v>
      </c>
      <c r="D5199" t="s">
        <v>5287</v>
      </c>
      <c r="E5199" t="s">
        <v>2068</v>
      </c>
      <c r="F5199">
        <v>13666</v>
      </c>
      <c r="G5199">
        <v>1</v>
      </c>
      <c r="H5199" t="s">
        <v>16</v>
      </c>
      <c r="I5199" s="1">
        <v>-1451600</v>
      </c>
      <c r="J5199" s="1">
        <v>-5289500</v>
      </c>
      <c r="K5199">
        <v>450</v>
      </c>
      <c r="L5199">
        <v>5970</v>
      </c>
      <c r="M5199" t="s">
        <v>16</v>
      </c>
    </row>
    <row r="5200" spans="1:13" x14ac:dyDescent="0.35">
      <c r="A5200">
        <v>510263</v>
      </c>
      <c r="B5200">
        <v>46876</v>
      </c>
      <c r="C5200" t="s">
        <v>5314</v>
      </c>
      <c r="D5200" t="s">
        <v>5287</v>
      </c>
      <c r="E5200" t="s">
        <v>58</v>
      </c>
      <c r="F5200">
        <v>22322</v>
      </c>
      <c r="G5200">
        <v>1</v>
      </c>
      <c r="H5200" t="s">
        <v>16</v>
      </c>
      <c r="I5200" s="1">
        <v>-1367500</v>
      </c>
      <c r="J5200" s="1">
        <v>-5789200</v>
      </c>
      <c r="K5200">
        <v>572</v>
      </c>
      <c r="L5200">
        <v>9448</v>
      </c>
      <c r="M5200" t="s">
        <v>16</v>
      </c>
    </row>
    <row r="5201" spans="1:13" x14ac:dyDescent="0.35">
      <c r="A5201">
        <v>510267</v>
      </c>
      <c r="B5201">
        <v>46884</v>
      </c>
      <c r="C5201" t="s">
        <v>5315</v>
      </c>
      <c r="D5201" t="s">
        <v>5287</v>
      </c>
      <c r="E5201" t="s">
        <v>5316</v>
      </c>
      <c r="F5201">
        <v>25924</v>
      </c>
      <c r="G5201">
        <v>1</v>
      </c>
      <c r="H5201" t="s">
        <v>16</v>
      </c>
      <c r="I5201" s="1">
        <v>-1554700</v>
      </c>
      <c r="J5201" s="1">
        <v>-5516900</v>
      </c>
      <c r="K5201">
        <v>736</v>
      </c>
      <c r="L5201">
        <v>4794</v>
      </c>
      <c r="M5201" t="s">
        <v>16</v>
      </c>
    </row>
    <row r="5202" spans="1:13" x14ac:dyDescent="0.35">
      <c r="A5202">
        <v>510268</v>
      </c>
      <c r="B5202">
        <v>54275</v>
      </c>
      <c r="C5202" t="s">
        <v>5317</v>
      </c>
      <c r="D5202" t="s">
        <v>5287</v>
      </c>
      <c r="E5202" t="s">
        <v>58</v>
      </c>
      <c r="F5202">
        <v>4770</v>
      </c>
      <c r="G5202">
        <v>1</v>
      </c>
      <c r="H5202" t="s">
        <v>16</v>
      </c>
      <c r="I5202" s="1">
        <v>-1389900</v>
      </c>
      <c r="J5202" s="1">
        <v>-5914800</v>
      </c>
      <c r="K5202">
        <v>0</v>
      </c>
      <c r="L5202">
        <v>6804</v>
      </c>
      <c r="M5202" t="s">
        <v>16</v>
      </c>
    </row>
    <row r="5203" spans="1:13" x14ac:dyDescent="0.35">
      <c r="A5203">
        <v>510269</v>
      </c>
      <c r="B5203">
        <v>52990</v>
      </c>
      <c r="C5203" t="s">
        <v>5318</v>
      </c>
      <c r="D5203" t="s">
        <v>5287</v>
      </c>
      <c r="E5203" t="s">
        <v>5292</v>
      </c>
      <c r="F5203">
        <v>5337</v>
      </c>
      <c r="G5203">
        <v>1</v>
      </c>
      <c r="H5203" t="s">
        <v>16</v>
      </c>
      <c r="I5203" s="1">
        <v>-1105400</v>
      </c>
      <c r="J5203" s="1">
        <v>-5183100</v>
      </c>
      <c r="K5203">
        <v>225</v>
      </c>
      <c r="L5203">
        <v>3449</v>
      </c>
      <c r="M5203" t="s">
        <v>16</v>
      </c>
    </row>
    <row r="5204" spans="1:13" x14ac:dyDescent="0.35">
      <c r="A5204">
        <v>510270</v>
      </c>
      <c r="B5204">
        <v>42579</v>
      </c>
      <c r="C5204" t="s">
        <v>2068</v>
      </c>
      <c r="D5204" t="s">
        <v>5287</v>
      </c>
      <c r="E5204" t="s">
        <v>2068</v>
      </c>
      <c r="F5204">
        <v>17183</v>
      </c>
      <c r="G5204">
        <v>1</v>
      </c>
      <c r="H5204" t="s">
        <v>16</v>
      </c>
      <c r="I5204" s="1">
        <v>-1355000</v>
      </c>
      <c r="J5204" s="1">
        <v>-5216600</v>
      </c>
      <c r="K5204">
        <v>420</v>
      </c>
      <c r="L5204">
        <v>10834</v>
      </c>
      <c r="M5204" t="s">
        <v>16</v>
      </c>
    </row>
    <row r="5205" spans="1:13" x14ac:dyDescent="0.35">
      <c r="A5205">
        <v>510279</v>
      </c>
      <c r="B5205">
        <v>54283</v>
      </c>
      <c r="C5205" t="s">
        <v>5319</v>
      </c>
      <c r="D5205" t="s">
        <v>5287</v>
      </c>
      <c r="E5205" t="s">
        <v>5289</v>
      </c>
      <c r="F5205">
        <v>12108</v>
      </c>
      <c r="G5205">
        <v>1</v>
      </c>
      <c r="H5205" t="s">
        <v>16</v>
      </c>
      <c r="I5205" s="1">
        <v>-995800</v>
      </c>
      <c r="J5205" s="1">
        <v>-5583200</v>
      </c>
      <c r="K5205">
        <v>290</v>
      </c>
      <c r="L5205">
        <v>2417</v>
      </c>
      <c r="M5205" t="s">
        <v>16</v>
      </c>
    </row>
    <row r="5206" spans="1:13" x14ac:dyDescent="0.35">
      <c r="A5206">
        <v>510285</v>
      </c>
      <c r="B5206">
        <v>46892</v>
      </c>
      <c r="C5206" t="s">
        <v>5320</v>
      </c>
      <c r="D5206" t="s">
        <v>5287</v>
      </c>
      <c r="E5206" t="s">
        <v>5304</v>
      </c>
      <c r="F5206">
        <v>7808</v>
      </c>
      <c r="G5206">
        <v>1</v>
      </c>
      <c r="H5206" t="s">
        <v>16</v>
      </c>
      <c r="I5206" s="1">
        <v>-1113300</v>
      </c>
      <c r="J5206" s="1">
        <v>-5860300</v>
      </c>
      <c r="K5206">
        <v>400</v>
      </c>
      <c r="L5206">
        <v>3948</v>
      </c>
      <c r="M5206" t="s">
        <v>16</v>
      </c>
    </row>
    <row r="5207" spans="1:13" x14ac:dyDescent="0.35">
      <c r="A5207">
        <v>510300</v>
      </c>
      <c r="B5207">
        <v>41904</v>
      </c>
      <c r="C5207" t="s">
        <v>5321</v>
      </c>
      <c r="D5207" t="s">
        <v>5287</v>
      </c>
      <c r="E5207" t="s">
        <v>5322</v>
      </c>
      <c r="F5207">
        <v>17377</v>
      </c>
      <c r="G5207">
        <v>1</v>
      </c>
      <c r="H5207" t="s">
        <v>16</v>
      </c>
      <c r="I5207" s="1">
        <v>-1546100</v>
      </c>
      <c r="J5207" s="1">
        <v>-5575000</v>
      </c>
      <c r="K5207">
        <v>811</v>
      </c>
      <c r="L5207">
        <v>6206</v>
      </c>
      <c r="M5207" t="s">
        <v>16</v>
      </c>
    </row>
    <row r="5208" spans="1:13" x14ac:dyDescent="0.35">
      <c r="A5208">
        <v>510305</v>
      </c>
      <c r="B5208">
        <v>46906</v>
      </c>
      <c r="C5208" t="s">
        <v>5323</v>
      </c>
      <c r="D5208" t="s">
        <v>5287</v>
      </c>
      <c r="E5208" t="s">
        <v>5324</v>
      </c>
      <c r="F5208">
        <v>10670</v>
      </c>
      <c r="G5208">
        <v>1</v>
      </c>
      <c r="H5208" t="s">
        <v>16</v>
      </c>
      <c r="I5208" s="1">
        <v>-1151500</v>
      </c>
      <c r="J5208" s="1">
        <v>-5489100</v>
      </c>
      <c r="K5208">
        <v>368</v>
      </c>
      <c r="L5208">
        <v>3820</v>
      </c>
      <c r="M5208" t="s">
        <v>16</v>
      </c>
    </row>
    <row r="5209" spans="1:13" x14ac:dyDescent="0.35">
      <c r="A5209">
        <v>510310</v>
      </c>
      <c r="B5209">
        <v>45438</v>
      </c>
      <c r="C5209" t="s">
        <v>5325</v>
      </c>
      <c r="D5209" t="s">
        <v>5287</v>
      </c>
      <c r="E5209" t="s">
        <v>5297</v>
      </c>
      <c r="F5209">
        <v>5841</v>
      </c>
      <c r="G5209">
        <v>1</v>
      </c>
      <c r="H5209" t="s">
        <v>16</v>
      </c>
      <c r="I5209" s="1">
        <v>-1439700</v>
      </c>
      <c r="J5209" s="1">
        <v>-5099600</v>
      </c>
      <c r="K5209">
        <v>241</v>
      </c>
      <c r="L5209">
        <v>16538</v>
      </c>
      <c r="M5209" t="s">
        <v>16</v>
      </c>
    </row>
    <row r="5210" spans="1:13" x14ac:dyDescent="0.35">
      <c r="A5210">
        <v>510320</v>
      </c>
      <c r="B5210">
        <v>42587</v>
      </c>
      <c r="C5210" t="s">
        <v>5326</v>
      </c>
      <c r="D5210" t="s">
        <v>5287</v>
      </c>
      <c r="E5210" t="s">
        <v>5327</v>
      </c>
      <c r="F5210">
        <v>30695</v>
      </c>
      <c r="G5210">
        <v>1</v>
      </c>
      <c r="H5210" t="s">
        <v>16</v>
      </c>
      <c r="I5210" s="1">
        <v>-1081300</v>
      </c>
      <c r="J5210" s="1">
        <v>-5545500</v>
      </c>
      <c r="K5210">
        <v>265</v>
      </c>
      <c r="L5210">
        <v>3038</v>
      </c>
      <c r="M5210" t="s">
        <v>16</v>
      </c>
    </row>
    <row r="5211" spans="1:13" x14ac:dyDescent="0.35">
      <c r="A5211">
        <v>510325</v>
      </c>
      <c r="B5211">
        <v>59994</v>
      </c>
      <c r="C5211" t="s">
        <v>5328</v>
      </c>
      <c r="D5211" t="s">
        <v>5287</v>
      </c>
      <c r="E5211" t="s">
        <v>5304</v>
      </c>
      <c r="F5211">
        <v>27882</v>
      </c>
      <c r="G5211">
        <v>1</v>
      </c>
      <c r="H5211" t="s">
        <v>16</v>
      </c>
      <c r="I5211" s="1">
        <v>-945600</v>
      </c>
      <c r="J5211" s="1">
        <v>-5922900</v>
      </c>
      <c r="K5211">
        <v>0</v>
      </c>
      <c r="L5211">
        <v>27947</v>
      </c>
      <c r="M5211" t="s">
        <v>16</v>
      </c>
    </row>
    <row r="5212" spans="1:13" x14ac:dyDescent="0.35">
      <c r="A5212">
        <v>510330</v>
      </c>
      <c r="B5212">
        <v>45594</v>
      </c>
      <c r="C5212" t="s">
        <v>5329</v>
      </c>
      <c r="D5212" t="s">
        <v>5287</v>
      </c>
      <c r="E5212" t="s">
        <v>58</v>
      </c>
      <c r="F5212">
        <v>17939</v>
      </c>
      <c r="G5212">
        <v>1</v>
      </c>
      <c r="H5212" t="s">
        <v>16</v>
      </c>
      <c r="I5212" s="1">
        <v>-1366300</v>
      </c>
      <c r="J5212" s="1">
        <v>-5978600</v>
      </c>
      <c r="K5212">
        <v>600</v>
      </c>
      <c r="L5212">
        <v>21743</v>
      </c>
      <c r="M5212" t="s">
        <v>16</v>
      </c>
    </row>
    <row r="5213" spans="1:13" x14ac:dyDescent="0.35">
      <c r="A5213">
        <v>510335</v>
      </c>
      <c r="B5213">
        <v>53007</v>
      </c>
      <c r="C5213" t="s">
        <v>5330</v>
      </c>
      <c r="D5213" t="s">
        <v>5287</v>
      </c>
      <c r="E5213" t="s">
        <v>5292</v>
      </c>
      <c r="F5213">
        <v>21361</v>
      </c>
      <c r="G5213">
        <v>1</v>
      </c>
      <c r="H5213" t="s">
        <v>16</v>
      </c>
      <c r="I5213" s="1">
        <v>-1064400</v>
      </c>
      <c r="J5213" s="1">
        <v>-5156900</v>
      </c>
      <c r="K5213">
        <v>240</v>
      </c>
      <c r="L5213">
        <v>5796</v>
      </c>
      <c r="M5213" t="s">
        <v>16</v>
      </c>
    </row>
    <row r="5214" spans="1:13" x14ac:dyDescent="0.35">
      <c r="A5214">
        <v>510336</v>
      </c>
      <c r="B5214">
        <v>60003</v>
      </c>
      <c r="C5214" t="s">
        <v>5331</v>
      </c>
      <c r="D5214" t="s">
        <v>5287</v>
      </c>
      <c r="E5214" t="s">
        <v>5332</v>
      </c>
      <c r="F5214">
        <v>3106</v>
      </c>
      <c r="G5214">
        <v>1</v>
      </c>
      <c r="H5214" t="s">
        <v>16</v>
      </c>
      <c r="I5214" s="1">
        <v>-1454100</v>
      </c>
      <c r="J5214" s="1">
        <v>-5954800</v>
      </c>
      <c r="K5214">
        <v>0</v>
      </c>
      <c r="L5214">
        <v>2698</v>
      </c>
      <c r="M5214" t="s">
        <v>16</v>
      </c>
    </row>
    <row r="5215" spans="1:13" x14ac:dyDescent="0.35">
      <c r="A5215">
        <v>510337</v>
      </c>
      <c r="B5215">
        <v>53015</v>
      </c>
      <c r="C5215" t="s">
        <v>5333</v>
      </c>
      <c r="D5215" t="s">
        <v>5287</v>
      </c>
      <c r="E5215" t="s">
        <v>5304</v>
      </c>
      <c r="F5215">
        <v>13740</v>
      </c>
      <c r="G5215">
        <v>1</v>
      </c>
      <c r="H5215" t="s">
        <v>16</v>
      </c>
      <c r="I5215" s="1">
        <v>-985800</v>
      </c>
      <c r="J5215" s="1">
        <v>-5841400</v>
      </c>
      <c r="K5215">
        <v>200</v>
      </c>
      <c r="L5215">
        <v>9123</v>
      </c>
      <c r="M5215" t="s">
        <v>16</v>
      </c>
    </row>
    <row r="5216" spans="1:13" x14ac:dyDescent="0.35">
      <c r="A5216">
        <v>510340</v>
      </c>
      <c r="B5216">
        <v>41602</v>
      </c>
      <c r="C5216" t="s">
        <v>5334</v>
      </c>
      <c r="D5216" t="s">
        <v>5287</v>
      </c>
      <c r="E5216" t="s">
        <v>5322</v>
      </c>
      <c r="F5216">
        <v>526830</v>
      </c>
      <c r="G5216">
        <v>5</v>
      </c>
      <c r="H5216" t="s">
        <v>5335</v>
      </c>
      <c r="I5216" s="1">
        <v>-1559600</v>
      </c>
      <c r="J5216" s="1">
        <v>-5609700</v>
      </c>
      <c r="K5216">
        <v>176</v>
      </c>
      <c r="L5216">
        <v>3538</v>
      </c>
      <c r="M5216" t="s">
        <v>16</v>
      </c>
    </row>
    <row r="5217" spans="1:13" x14ac:dyDescent="0.35">
      <c r="A5217">
        <v>510343</v>
      </c>
      <c r="B5217">
        <v>59633</v>
      </c>
      <c r="C5217" t="s">
        <v>5336</v>
      </c>
      <c r="D5217" t="s">
        <v>5287</v>
      </c>
      <c r="E5217" t="s">
        <v>5306</v>
      </c>
      <c r="F5217">
        <v>4835</v>
      </c>
      <c r="G5217">
        <v>1</v>
      </c>
      <c r="H5217" t="s">
        <v>16</v>
      </c>
      <c r="I5217" s="1">
        <v>-1560800</v>
      </c>
      <c r="J5217" s="1">
        <v>-5791500</v>
      </c>
      <c r="K5217">
        <v>0</v>
      </c>
      <c r="L5217">
        <v>748</v>
      </c>
      <c r="M5217" t="s">
        <v>16</v>
      </c>
    </row>
    <row r="5218" spans="1:13" x14ac:dyDescent="0.35">
      <c r="A5218">
        <v>510345</v>
      </c>
      <c r="B5218">
        <v>7595</v>
      </c>
      <c r="C5218" t="s">
        <v>5337</v>
      </c>
      <c r="D5218" t="s">
        <v>5287</v>
      </c>
      <c r="E5218" t="s">
        <v>5308</v>
      </c>
      <c r="F5218">
        <v>10349</v>
      </c>
      <c r="G5218">
        <v>1</v>
      </c>
      <c r="H5218" t="s">
        <v>16</v>
      </c>
      <c r="I5218" s="1">
        <v>-1474000</v>
      </c>
      <c r="J5218" s="1">
        <v>-5705400</v>
      </c>
      <c r="K5218">
        <v>211</v>
      </c>
      <c r="L5218">
        <v>1300</v>
      </c>
      <c r="M5218" t="s">
        <v>16</v>
      </c>
    </row>
    <row r="5219" spans="1:13" x14ac:dyDescent="0.35">
      <c r="A5219">
        <v>510350</v>
      </c>
      <c r="B5219">
        <v>41947</v>
      </c>
      <c r="C5219" t="s">
        <v>5338</v>
      </c>
      <c r="D5219" t="s">
        <v>5287</v>
      </c>
      <c r="E5219" t="s">
        <v>58</v>
      </c>
      <c r="F5219">
        <v>18428</v>
      </c>
      <c r="G5219">
        <v>1</v>
      </c>
      <c r="H5219" t="s">
        <v>16</v>
      </c>
      <c r="I5219" s="1">
        <v>-1440900</v>
      </c>
      <c r="J5219" s="1">
        <v>-5644600</v>
      </c>
      <c r="K5219">
        <v>269</v>
      </c>
      <c r="L5219">
        <v>7630</v>
      </c>
      <c r="M5219" t="s">
        <v>16</v>
      </c>
    </row>
    <row r="5220" spans="1:13" x14ac:dyDescent="0.35">
      <c r="A5220">
        <v>510360</v>
      </c>
      <c r="B5220">
        <v>41955</v>
      </c>
      <c r="C5220" t="s">
        <v>5339</v>
      </c>
      <c r="D5220" t="s">
        <v>5287</v>
      </c>
      <c r="E5220" t="s">
        <v>5340</v>
      </c>
      <c r="F5220">
        <v>8261</v>
      </c>
      <c r="G5220">
        <v>1</v>
      </c>
      <c r="H5220" t="s">
        <v>16</v>
      </c>
      <c r="I5220" s="1">
        <v>-1581100</v>
      </c>
      <c r="J5220" s="1">
        <v>-5491800</v>
      </c>
      <c r="K5220">
        <v>283</v>
      </c>
      <c r="L5220">
        <v>2205</v>
      </c>
      <c r="M5220" t="s">
        <v>16</v>
      </c>
    </row>
    <row r="5221" spans="1:13" x14ac:dyDescent="0.35">
      <c r="A5221">
        <v>510370</v>
      </c>
      <c r="B5221">
        <v>54291</v>
      </c>
      <c r="C5221" t="s">
        <v>5341</v>
      </c>
      <c r="D5221" t="s">
        <v>5287</v>
      </c>
      <c r="E5221" t="s">
        <v>5324</v>
      </c>
      <c r="F5221">
        <v>10279</v>
      </c>
      <c r="G5221">
        <v>1</v>
      </c>
      <c r="H5221" t="s">
        <v>16</v>
      </c>
      <c r="I5221" s="1">
        <v>-1238600</v>
      </c>
      <c r="J5221" s="1">
        <v>-5492000</v>
      </c>
      <c r="K5221">
        <v>370</v>
      </c>
      <c r="L5221">
        <v>11448</v>
      </c>
      <c r="M5221" t="s">
        <v>16</v>
      </c>
    </row>
    <row r="5222" spans="1:13" x14ac:dyDescent="0.35">
      <c r="A5222">
        <v>510380</v>
      </c>
      <c r="B5222">
        <v>45608</v>
      </c>
      <c r="C5222" t="s">
        <v>5342</v>
      </c>
      <c r="D5222" t="s">
        <v>5287</v>
      </c>
      <c r="E5222" t="s">
        <v>5301</v>
      </c>
      <c r="F5222">
        <v>3648</v>
      </c>
      <c r="G5222">
        <v>1</v>
      </c>
      <c r="H5222" t="s">
        <v>16</v>
      </c>
      <c r="I5222" s="1">
        <v>-1544500</v>
      </c>
      <c r="J5222" s="1">
        <v>-5874000</v>
      </c>
      <c r="K5222">
        <v>300</v>
      </c>
      <c r="L5222">
        <v>890</v>
      </c>
      <c r="M5222" t="s">
        <v>16</v>
      </c>
    </row>
    <row r="5223" spans="1:13" x14ac:dyDescent="0.35">
      <c r="A5223">
        <v>510385</v>
      </c>
      <c r="B5223">
        <v>54305</v>
      </c>
      <c r="C5223" t="s">
        <v>5343</v>
      </c>
      <c r="D5223" t="s">
        <v>5287</v>
      </c>
      <c r="E5223" t="s">
        <v>5344</v>
      </c>
      <c r="F5223">
        <v>5816</v>
      </c>
      <c r="G5223">
        <v>1</v>
      </c>
      <c r="H5223" t="s">
        <v>16</v>
      </c>
      <c r="I5223" s="1">
        <v>-1324200</v>
      </c>
      <c r="J5223" s="1">
        <v>-5308000</v>
      </c>
      <c r="K5223">
        <v>0</v>
      </c>
      <c r="L5223">
        <v>16898</v>
      </c>
      <c r="M5223" t="s">
        <v>16</v>
      </c>
    </row>
    <row r="5224" spans="1:13" x14ac:dyDescent="0.35">
      <c r="A5224">
        <v>510390</v>
      </c>
      <c r="B5224">
        <v>41980</v>
      </c>
      <c r="C5224" t="s">
        <v>4200</v>
      </c>
      <c r="D5224" t="s">
        <v>5287</v>
      </c>
      <c r="E5224" t="s">
        <v>5299</v>
      </c>
      <c r="F5224">
        <v>4803</v>
      </c>
      <c r="G5224">
        <v>1</v>
      </c>
      <c r="H5224" t="s">
        <v>16</v>
      </c>
      <c r="I5224" s="1">
        <v>-1571100</v>
      </c>
      <c r="J5224" s="1">
        <v>-5275500</v>
      </c>
      <c r="K5224">
        <v>343</v>
      </c>
      <c r="L5224">
        <v>3721</v>
      </c>
      <c r="M5224" t="s">
        <v>16</v>
      </c>
    </row>
    <row r="5225" spans="1:13" x14ac:dyDescent="0.35">
      <c r="A5225">
        <v>510395</v>
      </c>
      <c r="B5225">
        <v>53023</v>
      </c>
      <c r="C5225" t="s">
        <v>5345</v>
      </c>
      <c r="D5225" t="s">
        <v>5287</v>
      </c>
      <c r="E5225" t="s">
        <v>5301</v>
      </c>
      <c r="F5225">
        <v>3124</v>
      </c>
      <c r="G5225">
        <v>1</v>
      </c>
      <c r="H5225" t="s">
        <v>16</v>
      </c>
      <c r="I5225" s="1">
        <v>-1576800</v>
      </c>
      <c r="J5225" s="1">
        <v>-5835600</v>
      </c>
      <c r="K5225">
        <v>0</v>
      </c>
      <c r="L5225">
        <v>846</v>
      </c>
      <c r="M5225" t="s">
        <v>16</v>
      </c>
    </row>
    <row r="5226" spans="1:13" x14ac:dyDescent="0.35">
      <c r="A5226">
        <v>510410</v>
      </c>
      <c r="B5226">
        <v>45616</v>
      </c>
      <c r="C5226" t="s">
        <v>5346</v>
      </c>
      <c r="D5226" t="s">
        <v>5287</v>
      </c>
      <c r="E5226" t="s">
        <v>5327</v>
      </c>
      <c r="F5226">
        <v>30754</v>
      </c>
      <c r="G5226">
        <v>1</v>
      </c>
      <c r="H5226" t="s">
        <v>16</v>
      </c>
      <c r="I5226" s="1">
        <v>-978800</v>
      </c>
      <c r="J5226" s="1">
        <v>-5491000</v>
      </c>
      <c r="K5226">
        <v>345</v>
      </c>
      <c r="L5226">
        <v>4713</v>
      </c>
      <c r="M5226" t="s">
        <v>16</v>
      </c>
    </row>
    <row r="5227" spans="1:13" x14ac:dyDescent="0.35">
      <c r="A5227">
        <v>510420</v>
      </c>
      <c r="B5227">
        <v>42013</v>
      </c>
      <c r="C5227" t="s">
        <v>5347</v>
      </c>
      <c r="D5227" t="s">
        <v>5287</v>
      </c>
      <c r="E5227" t="s">
        <v>5299</v>
      </c>
      <c r="F5227">
        <v>13883</v>
      </c>
      <c r="G5227">
        <v>1</v>
      </c>
      <c r="H5227" t="s">
        <v>16</v>
      </c>
      <c r="I5227" s="1">
        <v>-1634900</v>
      </c>
      <c r="J5227" s="1">
        <v>-5375800</v>
      </c>
      <c r="K5227">
        <v>510</v>
      </c>
      <c r="L5227">
        <v>5358</v>
      </c>
      <c r="M5227" t="s">
        <v>16</v>
      </c>
    </row>
    <row r="5228" spans="1:13" x14ac:dyDescent="0.35">
      <c r="A5228">
        <v>510450</v>
      </c>
      <c r="B5228">
        <v>45624</v>
      </c>
      <c r="C5228" t="s">
        <v>5348</v>
      </c>
      <c r="D5228" t="s">
        <v>5287</v>
      </c>
      <c r="E5228" t="s">
        <v>5301</v>
      </c>
      <c r="F5228">
        <v>2524</v>
      </c>
      <c r="G5228">
        <v>1</v>
      </c>
      <c r="H5228" t="s">
        <v>16</v>
      </c>
      <c r="I5228" s="1">
        <v>-1549400</v>
      </c>
      <c r="J5228" s="1">
        <v>-5857300</v>
      </c>
      <c r="K5228">
        <v>215</v>
      </c>
      <c r="L5228">
        <v>600</v>
      </c>
      <c r="M5228" t="s">
        <v>16</v>
      </c>
    </row>
    <row r="5229" spans="1:13" x14ac:dyDescent="0.35">
      <c r="A5229">
        <v>510452</v>
      </c>
      <c r="B5229">
        <v>60151</v>
      </c>
      <c r="C5229" t="s">
        <v>5349</v>
      </c>
      <c r="D5229" t="s">
        <v>5287</v>
      </c>
      <c r="E5229" t="s">
        <v>5350</v>
      </c>
      <c r="F5229">
        <v>4129</v>
      </c>
      <c r="G5229">
        <v>1</v>
      </c>
      <c r="H5229" t="s">
        <v>16</v>
      </c>
      <c r="I5229" s="1">
        <v>-1224100</v>
      </c>
      <c r="J5229" s="1">
        <v>-5614600</v>
      </c>
      <c r="K5229">
        <v>0</v>
      </c>
      <c r="L5229">
        <v>0</v>
      </c>
      <c r="M5229" t="s">
        <v>16</v>
      </c>
    </row>
    <row r="5230" spans="1:13" x14ac:dyDescent="0.35">
      <c r="A5230">
        <v>510454</v>
      </c>
      <c r="B5230">
        <v>60160</v>
      </c>
      <c r="C5230" t="s">
        <v>5351</v>
      </c>
      <c r="D5230" t="s">
        <v>5287</v>
      </c>
      <c r="E5230" t="s">
        <v>5350</v>
      </c>
      <c r="F5230">
        <v>4703</v>
      </c>
      <c r="G5230">
        <v>1</v>
      </c>
      <c r="H5230" t="s">
        <v>16</v>
      </c>
      <c r="I5230" s="1">
        <v>-1217200</v>
      </c>
      <c r="J5230" s="1">
        <v>-5668000</v>
      </c>
      <c r="K5230">
        <v>0</v>
      </c>
      <c r="L5230">
        <v>0</v>
      </c>
      <c r="M5230" t="s">
        <v>16</v>
      </c>
    </row>
    <row r="5231" spans="1:13" x14ac:dyDescent="0.35">
      <c r="A5231">
        <v>510455</v>
      </c>
      <c r="B5231">
        <v>45632</v>
      </c>
      <c r="C5231" t="s">
        <v>5352</v>
      </c>
      <c r="D5231" t="s">
        <v>5287</v>
      </c>
      <c r="E5231" t="s">
        <v>5324</v>
      </c>
      <c r="F5231">
        <v>4625</v>
      </c>
      <c r="G5231">
        <v>1</v>
      </c>
      <c r="H5231" t="s">
        <v>16</v>
      </c>
      <c r="I5231" s="1">
        <v>-1106200</v>
      </c>
      <c r="J5231" s="1">
        <v>-5527600</v>
      </c>
      <c r="K5231">
        <v>240</v>
      </c>
      <c r="L5231">
        <v>4538</v>
      </c>
      <c r="M5231" t="s">
        <v>16</v>
      </c>
    </row>
    <row r="5232" spans="1:13" x14ac:dyDescent="0.35">
      <c r="A5232">
        <v>510460</v>
      </c>
      <c r="B5232">
        <v>42056</v>
      </c>
      <c r="C5232" t="s">
        <v>5353</v>
      </c>
      <c r="D5232" t="s">
        <v>5287</v>
      </c>
      <c r="E5232" t="s">
        <v>5340</v>
      </c>
      <c r="F5232">
        <v>12159</v>
      </c>
      <c r="G5232">
        <v>1</v>
      </c>
      <c r="H5232" t="s">
        <v>16</v>
      </c>
      <c r="I5232" s="1">
        <v>-1720900</v>
      </c>
      <c r="J5232" s="1">
        <v>-5415000</v>
      </c>
      <c r="K5232">
        <v>522</v>
      </c>
      <c r="L5232">
        <v>8638</v>
      </c>
      <c r="M5232" t="s">
        <v>16</v>
      </c>
    </row>
    <row r="5233" spans="1:13" x14ac:dyDescent="0.35">
      <c r="A5233">
        <v>510480</v>
      </c>
      <c r="B5233">
        <v>42072</v>
      </c>
      <c r="C5233" t="s">
        <v>5354</v>
      </c>
      <c r="D5233" t="s">
        <v>5287</v>
      </c>
      <c r="E5233" t="s">
        <v>5340</v>
      </c>
      <c r="F5233">
        <v>24945</v>
      </c>
      <c r="G5233">
        <v>1</v>
      </c>
      <c r="H5233" t="s">
        <v>16</v>
      </c>
      <c r="I5233" s="1">
        <v>-1596500</v>
      </c>
      <c r="J5233" s="1">
        <v>-5496800</v>
      </c>
      <c r="K5233">
        <v>367</v>
      </c>
      <c r="L5233">
        <v>1658</v>
      </c>
      <c r="M5233" t="s">
        <v>16</v>
      </c>
    </row>
    <row r="5234" spans="1:13" x14ac:dyDescent="0.35">
      <c r="A5234">
        <v>510490</v>
      </c>
      <c r="B5234">
        <v>45640</v>
      </c>
      <c r="C5234" t="s">
        <v>5355</v>
      </c>
      <c r="D5234" t="s">
        <v>5287</v>
      </c>
      <c r="E5234" t="s">
        <v>5288</v>
      </c>
      <c r="F5234">
        <v>8058</v>
      </c>
      <c r="G5234">
        <v>1</v>
      </c>
      <c r="H5234" t="s">
        <v>16</v>
      </c>
      <c r="I5234" s="1">
        <v>-1523600</v>
      </c>
      <c r="J5234" s="1">
        <v>-5648900</v>
      </c>
      <c r="K5234">
        <v>178</v>
      </c>
      <c r="L5234">
        <v>1021</v>
      </c>
      <c r="M5234" t="s">
        <v>16</v>
      </c>
    </row>
    <row r="5235" spans="1:13" x14ac:dyDescent="0.35">
      <c r="A5235">
        <v>510500</v>
      </c>
      <c r="B5235">
        <v>42595</v>
      </c>
      <c r="C5235" t="s">
        <v>5301</v>
      </c>
      <c r="D5235" t="s">
        <v>5287</v>
      </c>
      <c r="E5235" t="s">
        <v>5301</v>
      </c>
      <c r="F5235">
        <v>10774</v>
      </c>
      <c r="G5235">
        <v>1</v>
      </c>
      <c r="H5235" t="s">
        <v>16</v>
      </c>
      <c r="I5235" s="1">
        <v>-1534200</v>
      </c>
      <c r="J5235" s="1">
        <v>-5886600</v>
      </c>
      <c r="K5235">
        <v>405</v>
      </c>
      <c r="L5235">
        <v>1217</v>
      </c>
      <c r="M5235" t="s">
        <v>16</v>
      </c>
    </row>
    <row r="5236" spans="1:13" x14ac:dyDescent="0.35">
      <c r="A5236">
        <v>510510</v>
      </c>
      <c r="B5236">
        <v>9032</v>
      </c>
      <c r="C5236" t="s">
        <v>5356</v>
      </c>
      <c r="D5236" t="s">
        <v>5287</v>
      </c>
      <c r="E5236" t="s">
        <v>2458</v>
      </c>
      <c r="F5236">
        <v>32023</v>
      </c>
      <c r="G5236">
        <v>1</v>
      </c>
      <c r="H5236" t="s">
        <v>16</v>
      </c>
      <c r="I5236" s="1">
        <v>-1125500</v>
      </c>
      <c r="J5236" s="1">
        <v>-5752000</v>
      </c>
      <c r="K5236">
        <v>292</v>
      </c>
      <c r="L5236">
        <v>21387</v>
      </c>
      <c r="M5236" t="s">
        <v>16</v>
      </c>
    </row>
    <row r="5237" spans="1:13" x14ac:dyDescent="0.35">
      <c r="A5237">
        <v>510515</v>
      </c>
      <c r="B5237">
        <v>9040</v>
      </c>
      <c r="C5237" t="s">
        <v>5357</v>
      </c>
      <c r="D5237" t="s">
        <v>5287</v>
      </c>
      <c r="E5237" t="s">
        <v>5304</v>
      </c>
      <c r="F5237">
        <v>38422</v>
      </c>
      <c r="G5237">
        <v>1</v>
      </c>
      <c r="H5237" t="s">
        <v>16</v>
      </c>
      <c r="I5237" s="1">
        <v>-1137800</v>
      </c>
      <c r="J5237" s="1">
        <v>-5874100</v>
      </c>
      <c r="K5237">
        <v>442</v>
      </c>
      <c r="L5237">
        <v>26251</v>
      </c>
      <c r="M5237" t="s">
        <v>16</v>
      </c>
    </row>
    <row r="5238" spans="1:13" x14ac:dyDescent="0.35">
      <c r="A5238">
        <v>510517</v>
      </c>
      <c r="B5238">
        <v>46914</v>
      </c>
      <c r="C5238" t="s">
        <v>5358</v>
      </c>
      <c r="D5238" t="s">
        <v>5287</v>
      </c>
      <c r="E5238" t="s">
        <v>5304</v>
      </c>
      <c r="F5238">
        <v>8731</v>
      </c>
      <c r="G5238">
        <v>1</v>
      </c>
      <c r="H5238" t="s">
        <v>16</v>
      </c>
      <c r="I5238" s="1">
        <v>-1031800</v>
      </c>
      <c r="J5238" s="1">
        <v>-5835900</v>
      </c>
      <c r="K5238">
        <v>300</v>
      </c>
      <c r="L5238">
        <v>3190</v>
      </c>
      <c r="M5238" t="s">
        <v>16</v>
      </c>
    </row>
    <row r="5239" spans="1:13" x14ac:dyDescent="0.35">
      <c r="A5239">
        <v>510520</v>
      </c>
      <c r="B5239">
        <v>45071</v>
      </c>
      <c r="C5239" t="s">
        <v>5359</v>
      </c>
      <c r="D5239" t="s">
        <v>5287</v>
      </c>
      <c r="E5239" t="s">
        <v>5340</v>
      </c>
      <c r="F5239">
        <v>11830</v>
      </c>
      <c r="G5239">
        <v>1</v>
      </c>
      <c r="H5239" t="s">
        <v>16</v>
      </c>
      <c r="I5239" s="1">
        <v>-1605100</v>
      </c>
      <c r="J5239" s="1">
        <v>-5488400</v>
      </c>
      <c r="K5239">
        <v>251</v>
      </c>
      <c r="L5239">
        <v>2205</v>
      </c>
      <c r="M5239" t="s">
        <v>16</v>
      </c>
    </row>
    <row r="5240" spans="1:13" x14ac:dyDescent="0.35">
      <c r="A5240">
        <v>510523</v>
      </c>
      <c r="B5240">
        <v>53031</v>
      </c>
      <c r="C5240" t="s">
        <v>5360</v>
      </c>
      <c r="D5240" t="s">
        <v>5287</v>
      </c>
      <c r="E5240" t="s">
        <v>5301</v>
      </c>
      <c r="F5240">
        <v>4870</v>
      </c>
      <c r="G5240">
        <v>1</v>
      </c>
      <c r="H5240" t="s">
        <v>16</v>
      </c>
      <c r="I5240" s="1">
        <v>-1532300</v>
      </c>
      <c r="J5240" s="1">
        <v>-5800400</v>
      </c>
      <c r="K5240">
        <v>186</v>
      </c>
      <c r="L5240">
        <v>1337</v>
      </c>
      <c r="M5240" t="s">
        <v>16</v>
      </c>
    </row>
    <row r="5241" spans="1:13" x14ac:dyDescent="0.35">
      <c r="A5241">
        <v>510525</v>
      </c>
      <c r="B5241">
        <v>46922</v>
      </c>
      <c r="C5241" t="s">
        <v>5361</v>
      </c>
      <c r="D5241" t="s">
        <v>5287</v>
      </c>
      <c r="E5241" t="s">
        <v>5350</v>
      </c>
      <c r="F5241">
        <v>30741</v>
      </c>
      <c r="G5241">
        <v>1</v>
      </c>
      <c r="H5241" t="s">
        <v>16</v>
      </c>
      <c r="I5241" s="1">
        <v>-1305000</v>
      </c>
      <c r="J5241" s="1">
        <v>-5591100</v>
      </c>
      <c r="K5241">
        <v>390</v>
      </c>
      <c r="L5241">
        <v>3659</v>
      </c>
      <c r="M5241" t="s">
        <v>16</v>
      </c>
    </row>
    <row r="5242" spans="1:13" x14ac:dyDescent="0.35">
      <c r="A5242">
        <v>510530</v>
      </c>
      <c r="B5242">
        <v>42129</v>
      </c>
      <c r="C5242" t="s">
        <v>5362</v>
      </c>
      <c r="D5242" t="s">
        <v>5287</v>
      </c>
      <c r="E5242" t="s">
        <v>5292</v>
      </c>
      <c r="F5242">
        <v>2405</v>
      </c>
      <c r="G5242">
        <v>1</v>
      </c>
      <c r="H5242" t="s">
        <v>16</v>
      </c>
      <c r="I5242" s="1">
        <v>-1122200</v>
      </c>
      <c r="J5242" s="1">
        <v>-5066900</v>
      </c>
      <c r="K5242">
        <v>197</v>
      </c>
      <c r="L5242">
        <v>4145</v>
      </c>
      <c r="M5242" t="s">
        <v>16</v>
      </c>
    </row>
    <row r="5243" spans="1:13" x14ac:dyDescent="0.35">
      <c r="A5243">
        <v>510550</v>
      </c>
      <c r="B5243">
        <v>42145</v>
      </c>
      <c r="C5243" t="s">
        <v>5363</v>
      </c>
      <c r="D5243" t="s">
        <v>5287</v>
      </c>
      <c r="E5243" t="s">
        <v>5332</v>
      </c>
      <c r="F5243">
        <v>13886</v>
      </c>
      <c r="G5243">
        <v>1</v>
      </c>
      <c r="H5243" t="s">
        <v>16</v>
      </c>
      <c r="I5243" s="1">
        <v>-1500800</v>
      </c>
      <c r="J5243" s="1">
        <v>-5995100</v>
      </c>
      <c r="K5243">
        <v>198</v>
      </c>
      <c r="L5243">
        <v>13630</v>
      </c>
      <c r="M5243" t="s">
        <v>16</v>
      </c>
    </row>
    <row r="5244" spans="1:13" x14ac:dyDescent="0.35">
      <c r="A5244">
        <v>510558</v>
      </c>
      <c r="B5244">
        <v>45659</v>
      </c>
      <c r="C5244" t="s">
        <v>5364</v>
      </c>
      <c r="D5244" t="s">
        <v>5287</v>
      </c>
      <c r="E5244" t="s">
        <v>5324</v>
      </c>
      <c r="F5244">
        <v>14084</v>
      </c>
      <c r="G5244">
        <v>1</v>
      </c>
      <c r="H5244" t="s">
        <v>16</v>
      </c>
      <c r="I5244" s="1">
        <v>-1113300</v>
      </c>
      <c r="J5244" s="1">
        <v>-5459700</v>
      </c>
      <c r="K5244">
        <v>290</v>
      </c>
      <c r="L5244">
        <v>12294</v>
      </c>
      <c r="M5244" t="s">
        <v>16</v>
      </c>
    </row>
    <row r="5245" spans="1:13" x14ac:dyDescent="0.35">
      <c r="A5245">
        <v>510560</v>
      </c>
      <c r="B5245">
        <v>46930</v>
      </c>
      <c r="C5245" t="s">
        <v>5365</v>
      </c>
      <c r="D5245" t="s">
        <v>5287</v>
      </c>
      <c r="E5245" t="s">
        <v>5327</v>
      </c>
      <c r="F5245">
        <v>14243</v>
      </c>
      <c r="G5245">
        <v>1</v>
      </c>
      <c r="H5245" t="s">
        <v>16</v>
      </c>
      <c r="I5245" s="1">
        <v>-1005700</v>
      </c>
      <c r="J5245" s="1">
        <v>-5493300</v>
      </c>
      <c r="K5245">
        <v>280</v>
      </c>
      <c r="L5245">
        <v>5151</v>
      </c>
      <c r="M5245" t="s">
        <v>16</v>
      </c>
    </row>
    <row r="5246" spans="1:13" x14ac:dyDescent="0.35">
      <c r="A5246">
        <v>510562</v>
      </c>
      <c r="B5246">
        <v>42471</v>
      </c>
      <c r="C5246" t="s">
        <v>5366</v>
      </c>
      <c r="D5246" t="s">
        <v>5287</v>
      </c>
      <c r="E5246" t="s">
        <v>5301</v>
      </c>
      <c r="F5246">
        <v>24538</v>
      </c>
      <c r="G5246">
        <v>1</v>
      </c>
      <c r="H5246" t="s">
        <v>16</v>
      </c>
      <c r="I5246" s="1">
        <v>-1567500</v>
      </c>
      <c r="J5246" s="1">
        <v>-5809600</v>
      </c>
      <c r="K5246">
        <v>260</v>
      </c>
      <c r="L5246">
        <v>1072</v>
      </c>
      <c r="M5246" t="s">
        <v>16</v>
      </c>
    </row>
    <row r="5247" spans="1:13" x14ac:dyDescent="0.35">
      <c r="A5247">
        <v>510590</v>
      </c>
      <c r="B5247">
        <v>42188</v>
      </c>
      <c r="C5247" t="s">
        <v>5367</v>
      </c>
      <c r="D5247" t="s">
        <v>5287</v>
      </c>
      <c r="E5247" t="s">
        <v>5350</v>
      </c>
      <c r="F5247">
        <v>14862</v>
      </c>
      <c r="G5247">
        <v>1</v>
      </c>
      <c r="H5247" t="s">
        <v>16</v>
      </c>
      <c r="I5247" s="1">
        <v>-1472000</v>
      </c>
      <c r="J5247" s="1">
        <v>-5632800</v>
      </c>
      <c r="K5247">
        <v>200</v>
      </c>
      <c r="L5247">
        <v>3859</v>
      </c>
      <c r="M5247" t="s">
        <v>16</v>
      </c>
    </row>
    <row r="5248" spans="1:13" x14ac:dyDescent="0.35">
      <c r="A5248">
        <v>510600</v>
      </c>
      <c r="B5248">
        <v>42196</v>
      </c>
      <c r="C5248" t="s">
        <v>5368</v>
      </c>
      <c r="D5248" t="s">
        <v>5287</v>
      </c>
      <c r="E5248" t="s">
        <v>5294</v>
      </c>
      <c r="F5248">
        <v>6237</v>
      </c>
      <c r="G5248">
        <v>1</v>
      </c>
      <c r="H5248" t="s">
        <v>16</v>
      </c>
      <c r="I5248" s="1">
        <v>-1445500</v>
      </c>
      <c r="J5248" s="1">
        <v>-5680300</v>
      </c>
      <c r="K5248">
        <v>244</v>
      </c>
      <c r="L5248">
        <v>1350</v>
      </c>
      <c r="M5248" t="s">
        <v>16</v>
      </c>
    </row>
    <row r="5249" spans="1:13" x14ac:dyDescent="0.35">
      <c r="A5249">
        <v>510610</v>
      </c>
      <c r="B5249">
        <v>42200</v>
      </c>
      <c r="C5249" t="s">
        <v>5369</v>
      </c>
      <c r="D5249" t="s">
        <v>5287</v>
      </c>
      <c r="E5249" t="s">
        <v>5322</v>
      </c>
      <c r="F5249">
        <v>12386</v>
      </c>
      <c r="G5249">
        <v>4</v>
      </c>
      <c r="H5249" t="s">
        <v>5335</v>
      </c>
      <c r="I5249" s="1">
        <v>-1577500</v>
      </c>
      <c r="J5249" s="1">
        <v>-5634600</v>
      </c>
      <c r="K5249">
        <v>232</v>
      </c>
      <c r="L5249">
        <v>5192</v>
      </c>
      <c r="M5249" t="s">
        <v>16</v>
      </c>
    </row>
    <row r="5250" spans="1:13" x14ac:dyDescent="0.35">
      <c r="A5250">
        <v>510615</v>
      </c>
      <c r="B5250">
        <v>53040</v>
      </c>
      <c r="C5250" t="s">
        <v>5370</v>
      </c>
      <c r="D5250" t="s">
        <v>5287</v>
      </c>
      <c r="E5250" t="s">
        <v>5289</v>
      </c>
      <c r="F5250">
        <v>12742</v>
      </c>
      <c r="G5250">
        <v>1</v>
      </c>
      <c r="H5250" t="s">
        <v>16</v>
      </c>
      <c r="I5250" s="1">
        <v>-981400</v>
      </c>
      <c r="J5250" s="1">
        <v>-5786200</v>
      </c>
      <c r="K5250">
        <v>200</v>
      </c>
      <c r="L5250">
        <v>9531</v>
      </c>
      <c r="M5250" t="s">
        <v>16</v>
      </c>
    </row>
    <row r="5251" spans="1:13" x14ac:dyDescent="0.35">
      <c r="A5251">
        <v>510617</v>
      </c>
      <c r="B5251">
        <v>60011</v>
      </c>
      <c r="C5251" t="s">
        <v>5371</v>
      </c>
      <c r="D5251" t="s">
        <v>5287</v>
      </c>
      <c r="E5251" t="s">
        <v>2068</v>
      </c>
      <c r="F5251">
        <v>2745</v>
      </c>
      <c r="G5251">
        <v>1</v>
      </c>
      <c r="H5251" t="s">
        <v>16</v>
      </c>
      <c r="I5251" s="1">
        <v>-1399000</v>
      </c>
      <c r="J5251" s="1">
        <v>-5179800</v>
      </c>
      <c r="K5251">
        <v>0</v>
      </c>
      <c r="L5251">
        <v>4038</v>
      </c>
      <c r="M5251" t="s">
        <v>16</v>
      </c>
    </row>
    <row r="5252" spans="1:13" x14ac:dyDescent="0.35">
      <c r="A5252">
        <v>510618</v>
      </c>
      <c r="B5252">
        <v>54313</v>
      </c>
      <c r="C5252" t="s">
        <v>5372</v>
      </c>
      <c r="D5252" t="s">
        <v>5287</v>
      </c>
      <c r="E5252" t="s">
        <v>5332</v>
      </c>
      <c r="F5252">
        <v>4949</v>
      </c>
      <c r="G5252">
        <v>1</v>
      </c>
      <c r="H5252" t="s">
        <v>16</v>
      </c>
      <c r="I5252" s="1">
        <v>-1447600</v>
      </c>
      <c r="J5252" s="1">
        <v>-5960900</v>
      </c>
      <c r="K5252">
        <v>190</v>
      </c>
      <c r="L5252">
        <v>4734</v>
      </c>
      <c r="M5252" t="s">
        <v>16</v>
      </c>
    </row>
    <row r="5253" spans="1:13" x14ac:dyDescent="0.35">
      <c r="A5253">
        <v>510619</v>
      </c>
      <c r="B5253">
        <v>60119</v>
      </c>
      <c r="C5253" t="s">
        <v>5373</v>
      </c>
      <c r="D5253" t="s">
        <v>5287</v>
      </c>
      <c r="E5253" t="s">
        <v>5324</v>
      </c>
      <c r="F5253">
        <v>3347</v>
      </c>
      <c r="G5253">
        <v>1</v>
      </c>
      <c r="H5253" t="s">
        <v>16</v>
      </c>
      <c r="I5253" s="1">
        <v>-1085200</v>
      </c>
      <c r="J5253" s="1">
        <v>-5517700</v>
      </c>
      <c r="K5253">
        <v>0</v>
      </c>
      <c r="L5253">
        <v>2627</v>
      </c>
      <c r="M5253" t="s">
        <v>16</v>
      </c>
    </row>
    <row r="5254" spans="1:13" x14ac:dyDescent="0.35">
      <c r="A5254">
        <v>510620</v>
      </c>
      <c r="B5254">
        <v>45080</v>
      </c>
      <c r="C5254" t="s">
        <v>5374</v>
      </c>
      <c r="D5254" t="s">
        <v>5287</v>
      </c>
      <c r="E5254" t="s">
        <v>5344</v>
      </c>
      <c r="F5254">
        <v>4891</v>
      </c>
      <c r="G5254">
        <v>1</v>
      </c>
      <c r="H5254" t="s">
        <v>16</v>
      </c>
      <c r="I5254" s="1">
        <v>-1495700</v>
      </c>
      <c r="J5254" s="1">
        <v>-5496600</v>
      </c>
      <c r="K5254">
        <v>540</v>
      </c>
      <c r="L5254">
        <v>3266</v>
      </c>
      <c r="M5254" t="s">
        <v>16</v>
      </c>
    </row>
    <row r="5255" spans="1:13" x14ac:dyDescent="0.35">
      <c r="A5255">
        <v>510621</v>
      </c>
      <c r="B5255">
        <v>45446</v>
      </c>
      <c r="C5255" t="s">
        <v>5375</v>
      </c>
      <c r="D5255" t="s">
        <v>5287</v>
      </c>
      <c r="E5255" t="s">
        <v>5327</v>
      </c>
      <c r="F5255">
        <v>12652</v>
      </c>
      <c r="G5255">
        <v>1</v>
      </c>
      <c r="H5255" t="s">
        <v>16</v>
      </c>
      <c r="I5255" s="1">
        <v>-1055800</v>
      </c>
      <c r="J5255" s="1">
        <v>-5595300</v>
      </c>
      <c r="K5255">
        <v>301</v>
      </c>
      <c r="L5255">
        <v>5968</v>
      </c>
      <c r="M5255" t="s">
        <v>16</v>
      </c>
    </row>
    <row r="5256" spans="1:13" x14ac:dyDescent="0.35">
      <c r="A5256">
        <v>510622</v>
      </c>
      <c r="B5256">
        <v>46949</v>
      </c>
      <c r="C5256" t="s">
        <v>5376</v>
      </c>
      <c r="D5256" t="s">
        <v>5287</v>
      </c>
      <c r="E5256" t="s">
        <v>5350</v>
      </c>
      <c r="F5256">
        <v>24368</v>
      </c>
      <c r="G5256">
        <v>1</v>
      </c>
      <c r="H5256" t="s">
        <v>16</v>
      </c>
      <c r="I5256" s="1">
        <v>-1383800</v>
      </c>
      <c r="J5256" s="1">
        <v>-5608400</v>
      </c>
      <c r="K5256">
        <v>460</v>
      </c>
      <c r="L5256">
        <v>9537</v>
      </c>
      <c r="M5256" t="s">
        <v>16</v>
      </c>
    </row>
    <row r="5257" spans="1:13" x14ac:dyDescent="0.35">
      <c r="A5257">
        <v>510623</v>
      </c>
      <c r="B5257">
        <v>45420</v>
      </c>
      <c r="C5257" t="s">
        <v>4301</v>
      </c>
      <c r="D5257" t="s">
        <v>5287</v>
      </c>
      <c r="E5257" t="s">
        <v>5308</v>
      </c>
      <c r="F5257">
        <v>19474</v>
      </c>
      <c r="G5257">
        <v>1</v>
      </c>
      <c r="H5257" t="s">
        <v>16</v>
      </c>
      <c r="I5257" s="1">
        <v>-1479700</v>
      </c>
      <c r="J5257" s="1">
        <v>-5728800</v>
      </c>
      <c r="K5257">
        <v>228</v>
      </c>
      <c r="L5257">
        <v>1567</v>
      </c>
      <c r="M5257" t="s">
        <v>16</v>
      </c>
    </row>
    <row r="5258" spans="1:13" x14ac:dyDescent="0.35">
      <c r="A5258">
        <v>510624</v>
      </c>
      <c r="B5258">
        <v>54321</v>
      </c>
      <c r="C5258" t="s">
        <v>5377</v>
      </c>
      <c r="D5258" t="s">
        <v>5287</v>
      </c>
      <c r="E5258" t="s">
        <v>5350</v>
      </c>
      <c r="F5258">
        <v>7782</v>
      </c>
      <c r="G5258">
        <v>1</v>
      </c>
      <c r="H5258" t="s">
        <v>16</v>
      </c>
      <c r="I5258" s="1">
        <v>-1299100</v>
      </c>
      <c r="J5258" s="1">
        <v>-5525500</v>
      </c>
      <c r="K5258">
        <v>400</v>
      </c>
      <c r="L5258">
        <v>12694</v>
      </c>
      <c r="M5258" t="s">
        <v>16</v>
      </c>
    </row>
    <row r="5259" spans="1:13" x14ac:dyDescent="0.35">
      <c r="A5259">
        <v>510625</v>
      </c>
      <c r="B5259">
        <v>45160</v>
      </c>
      <c r="C5259" t="s">
        <v>5378</v>
      </c>
      <c r="D5259" t="s">
        <v>5287</v>
      </c>
      <c r="E5259" t="s">
        <v>2068</v>
      </c>
      <c r="F5259">
        <v>18670</v>
      </c>
      <c r="G5259">
        <v>1</v>
      </c>
      <c r="H5259" t="s">
        <v>16</v>
      </c>
      <c r="I5259" s="1">
        <v>-1467300</v>
      </c>
      <c r="J5259" s="1">
        <v>-5235300</v>
      </c>
      <c r="K5259">
        <v>275</v>
      </c>
      <c r="L5259">
        <v>5526</v>
      </c>
      <c r="M5259" t="s">
        <v>16</v>
      </c>
    </row>
    <row r="5260" spans="1:13" x14ac:dyDescent="0.35">
      <c r="A5260">
        <v>510626</v>
      </c>
      <c r="B5260">
        <v>54330</v>
      </c>
      <c r="C5260" t="s">
        <v>5379</v>
      </c>
      <c r="D5260" t="s">
        <v>5287</v>
      </c>
      <c r="E5260" t="s">
        <v>5327</v>
      </c>
      <c r="F5260">
        <v>6725</v>
      </c>
      <c r="G5260">
        <v>1</v>
      </c>
      <c r="H5260" t="s">
        <v>16</v>
      </c>
      <c r="I5260" s="1">
        <v>-995000</v>
      </c>
      <c r="J5260" s="1">
        <v>-5519800</v>
      </c>
      <c r="K5260">
        <v>330</v>
      </c>
      <c r="L5260">
        <v>5801</v>
      </c>
      <c r="M5260" t="s">
        <v>16</v>
      </c>
    </row>
    <row r="5261" spans="1:13" x14ac:dyDescent="0.35">
      <c r="A5261">
        <v>510627</v>
      </c>
      <c r="B5261">
        <v>45667</v>
      </c>
      <c r="C5261" t="s">
        <v>5380</v>
      </c>
      <c r="D5261" t="s">
        <v>5287</v>
      </c>
      <c r="E5261" t="s">
        <v>2458</v>
      </c>
      <c r="F5261">
        <v>3802</v>
      </c>
      <c r="G5261">
        <v>1</v>
      </c>
      <c r="H5261" t="s">
        <v>16</v>
      </c>
      <c r="I5261" s="1">
        <v>-1141300</v>
      </c>
      <c r="J5261" s="1">
        <v>-5735200</v>
      </c>
      <c r="K5261">
        <v>220</v>
      </c>
      <c r="L5261">
        <v>938</v>
      </c>
      <c r="M5261" t="s">
        <v>16</v>
      </c>
    </row>
    <row r="5262" spans="1:13" x14ac:dyDescent="0.35">
      <c r="A5262">
        <v>510628</v>
      </c>
      <c r="B5262">
        <v>45675</v>
      </c>
      <c r="C5262" t="s">
        <v>5381</v>
      </c>
      <c r="D5262" t="s">
        <v>5287</v>
      </c>
      <c r="E5262" t="s">
        <v>2068</v>
      </c>
      <c r="F5262">
        <v>6880</v>
      </c>
      <c r="G5262">
        <v>1</v>
      </c>
      <c r="H5262" t="s">
        <v>16</v>
      </c>
      <c r="I5262" s="1">
        <v>-1490600</v>
      </c>
      <c r="J5262" s="1">
        <v>-5301800</v>
      </c>
      <c r="K5262">
        <v>400</v>
      </c>
      <c r="L5262">
        <v>5022</v>
      </c>
      <c r="M5262" t="s">
        <v>16</v>
      </c>
    </row>
    <row r="5263" spans="1:13" x14ac:dyDescent="0.35">
      <c r="A5263">
        <v>510629</v>
      </c>
      <c r="B5263">
        <v>45683</v>
      </c>
      <c r="C5263" t="s">
        <v>5382</v>
      </c>
      <c r="D5263" t="s">
        <v>5287</v>
      </c>
      <c r="E5263" t="s">
        <v>5289</v>
      </c>
      <c r="F5263">
        <v>11540</v>
      </c>
      <c r="G5263">
        <v>1</v>
      </c>
      <c r="H5263" t="s">
        <v>16</v>
      </c>
      <c r="I5263" s="1">
        <v>-966500</v>
      </c>
      <c r="J5263" s="1">
        <v>-5647700</v>
      </c>
      <c r="K5263">
        <v>249</v>
      </c>
      <c r="L5263">
        <v>4830</v>
      </c>
      <c r="M5263" t="s">
        <v>16</v>
      </c>
    </row>
    <row r="5264" spans="1:13" x14ac:dyDescent="0.35">
      <c r="A5264">
        <v>510630</v>
      </c>
      <c r="B5264">
        <v>45098</v>
      </c>
      <c r="C5264" t="s">
        <v>5344</v>
      </c>
      <c r="D5264" t="s">
        <v>5287</v>
      </c>
      <c r="E5264" t="s">
        <v>5344</v>
      </c>
      <c r="F5264">
        <v>20033</v>
      </c>
      <c r="G5264">
        <v>1</v>
      </c>
      <c r="H5264" t="s">
        <v>16</v>
      </c>
      <c r="I5264" s="1">
        <v>-1443200</v>
      </c>
      <c r="J5264" s="1">
        <v>-5405100</v>
      </c>
      <c r="K5264">
        <v>460</v>
      </c>
      <c r="L5264">
        <v>24177</v>
      </c>
      <c r="M5264" t="s">
        <v>16</v>
      </c>
    </row>
    <row r="5265" spans="1:13" x14ac:dyDescent="0.35">
      <c r="A5265">
        <v>510631</v>
      </c>
      <c r="B5265">
        <v>60020</v>
      </c>
      <c r="C5265" t="s">
        <v>928</v>
      </c>
      <c r="D5265" t="s">
        <v>5287</v>
      </c>
      <c r="E5265" t="s">
        <v>5292</v>
      </c>
      <c r="F5265">
        <v>2110</v>
      </c>
      <c r="G5265">
        <v>1</v>
      </c>
      <c r="H5265" t="s">
        <v>16</v>
      </c>
      <c r="I5265" s="1">
        <v>-1229000</v>
      </c>
      <c r="J5265" s="1">
        <v>-5096800</v>
      </c>
      <c r="K5265">
        <v>0</v>
      </c>
      <c r="L5265">
        <v>4368</v>
      </c>
      <c r="M5265" t="s">
        <v>16</v>
      </c>
    </row>
    <row r="5266" spans="1:13" x14ac:dyDescent="0.35">
      <c r="A5266">
        <v>510637</v>
      </c>
      <c r="B5266">
        <v>42501</v>
      </c>
      <c r="C5266" t="s">
        <v>1331</v>
      </c>
      <c r="D5266" t="s">
        <v>5287</v>
      </c>
      <c r="E5266" t="s">
        <v>5340</v>
      </c>
      <c r="F5266">
        <v>15638</v>
      </c>
      <c r="G5266">
        <v>1</v>
      </c>
      <c r="H5266" t="s">
        <v>16</v>
      </c>
      <c r="I5266" s="1">
        <v>-1662300</v>
      </c>
      <c r="J5266" s="1">
        <v>-5447400</v>
      </c>
      <c r="K5266">
        <v>248</v>
      </c>
      <c r="L5266">
        <v>4193</v>
      </c>
      <c r="M5266" t="s">
        <v>16</v>
      </c>
    </row>
    <row r="5267" spans="1:13" x14ac:dyDescent="0.35">
      <c r="A5267">
        <v>510642</v>
      </c>
      <c r="B5267">
        <v>45691</v>
      </c>
      <c r="C5267" t="s">
        <v>5383</v>
      </c>
      <c r="D5267" t="s">
        <v>5287</v>
      </c>
      <c r="E5267" t="s">
        <v>5327</v>
      </c>
      <c r="F5267">
        <v>28987</v>
      </c>
      <c r="G5267">
        <v>1</v>
      </c>
      <c r="H5267" t="s">
        <v>16</v>
      </c>
      <c r="I5267" s="1">
        <v>-1022900</v>
      </c>
      <c r="J5267" s="1">
        <v>-5498300</v>
      </c>
      <c r="K5267">
        <v>346</v>
      </c>
      <c r="L5267">
        <v>14398</v>
      </c>
      <c r="M5267" t="s">
        <v>16</v>
      </c>
    </row>
    <row r="5268" spans="1:13" x14ac:dyDescent="0.35">
      <c r="A5268">
        <v>510645</v>
      </c>
      <c r="B5268">
        <v>53058</v>
      </c>
      <c r="C5268" t="s">
        <v>5384</v>
      </c>
      <c r="D5268" t="s">
        <v>5287</v>
      </c>
      <c r="E5268" t="s">
        <v>5344</v>
      </c>
      <c r="F5268">
        <v>2734</v>
      </c>
      <c r="G5268">
        <v>1</v>
      </c>
      <c r="H5268" t="s">
        <v>16</v>
      </c>
      <c r="I5268" s="1">
        <v>-1465800</v>
      </c>
      <c r="J5268" s="1">
        <v>-5477400</v>
      </c>
      <c r="K5268">
        <v>319</v>
      </c>
      <c r="L5268">
        <v>2454</v>
      </c>
      <c r="M5268" t="s">
        <v>16</v>
      </c>
    </row>
    <row r="5269" spans="1:13" x14ac:dyDescent="0.35">
      <c r="A5269">
        <v>510650</v>
      </c>
      <c r="B5269">
        <v>42242</v>
      </c>
      <c r="C5269" t="s">
        <v>5385</v>
      </c>
      <c r="D5269" t="s">
        <v>5287</v>
      </c>
      <c r="E5269" t="s">
        <v>5306</v>
      </c>
      <c r="F5269">
        <v>31118</v>
      </c>
      <c r="G5269">
        <v>1</v>
      </c>
      <c r="H5269" t="s">
        <v>16</v>
      </c>
      <c r="I5269" s="1">
        <v>-1625700</v>
      </c>
      <c r="J5269" s="1">
        <v>-5662300</v>
      </c>
      <c r="K5269">
        <v>142</v>
      </c>
      <c r="L5269">
        <v>17260</v>
      </c>
      <c r="M5269" t="s">
        <v>16</v>
      </c>
    </row>
    <row r="5270" spans="1:13" x14ac:dyDescent="0.35">
      <c r="A5270">
        <v>510665</v>
      </c>
      <c r="B5270">
        <v>53066</v>
      </c>
      <c r="C5270" t="s">
        <v>5386</v>
      </c>
      <c r="D5270" t="s">
        <v>5287</v>
      </c>
      <c r="E5270" t="s">
        <v>5299</v>
      </c>
      <c r="F5270">
        <v>4966</v>
      </c>
      <c r="G5270">
        <v>1</v>
      </c>
      <c r="H5270" t="s">
        <v>16</v>
      </c>
      <c r="I5270" s="1">
        <v>-1593400</v>
      </c>
      <c r="J5270" s="1">
        <v>-5231700</v>
      </c>
      <c r="K5270">
        <v>370</v>
      </c>
      <c r="L5270">
        <v>2755</v>
      </c>
      <c r="M5270" t="s">
        <v>16</v>
      </c>
    </row>
    <row r="5271" spans="1:13" x14ac:dyDescent="0.35">
      <c r="A5271">
        <v>510670</v>
      </c>
      <c r="B5271">
        <v>42269</v>
      </c>
      <c r="C5271" t="s">
        <v>5387</v>
      </c>
      <c r="D5271" t="s">
        <v>5287</v>
      </c>
      <c r="E5271" t="s">
        <v>5299</v>
      </c>
      <c r="F5271">
        <v>1794</v>
      </c>
      <c r="G5271">
        <v>1</v>
      </c>
      <c r="H5271" t="s">
        <v>16</v>
      </c>
      <c r="I5271" s="1">
        <v>-1676400</v>
      </c>
      <c r="J5271" s="1">
        <v>-5283300</v>
      </c>
      <c r="K5271">
        <v>424</v>
      </c>
      <c r="L5271">
        <v>687</v>
      </c>
      <c r="M5271" t="s">
        <v>16</v>
      </c>
    </row>
    <row r="5272" spans="1:13" x14ac:dyDescent="0.35">
      <c r="A5272">
        <v>510675</v>
      </c>
      <c r="B5272">
        <v>45101</v>
      </c>
      <c r="C5272" t="s">
        <v>5388</v>
      </c>
      <c r="D5272" t="s">
        <v>5287</v>
      </c>
      <c r="E5272" t="s">
        <v>5332</v>
      </c>
      <c r="F5272">
        <v>37910</v>
      </c>
      <c r="G5272">
        <v>1</v>
      </c>
      <c r="H5272" t="s">
        <v>16</v>
      </c>
      <c r="I5272" s="1">
        <v>-1522600</v>
      </c>
      <c r="J5272" s="1">
        <v>-5933500</v>
      </c>
      <c r="K5272">
        <v>254</v>
      </c>
      <c r="L5272">
        <v>8423</v>
      </c>
      <c r="M5272" t="s">
        <v>16</v>
      </c>
    </row>
    <row r="5273" spans="1:13" x14ac:dyDescent="0.35">
      <c r="A5273">
        <v>510677</v>
      </c>
      <c r="B5273">
        <v>45411</v>
      </c>
      <c r="C5273" t="s">
        <v>5389</v>
      </c>
      <c r="D5273" t="s">
        <v>5287</v>
      </c>
      <c r="E5273" t="s">
        <v>5292</v>
      </c>
      <c r="F5273">
        <v>9639</v>
      </c>
      <c r="G5273">
        <v>1</v>
      </c>
      <c r="H5273" t="s">
        <v>16</v>
      </c>
      <c r="I5273" s="1">
        <v>-1087800</v>
      </c>
      <c r="J5273" s="1">
        <v>-5163300</v>
      </c>
      <c r="K5273">
        <v>205</v>
      </c>
      <c r="L5273">
        <v>3977</v>
      </c>
      <c r="M5273" t="s">
        <v>16</v>
      </c>
    </row>
    <row r="5274" spans="1:13" x14ac:dyDescent="0.35">
      <c r="A5274">
        <v>510680</v>
      </c>
      <c r="B5274">
        <v>42277</v>
      </c>
      <c r="C5274" t="s">
        <v>5390</v>
      </c>
      <c r="D5274" t="s">
        <v>5287</v>
      </c>
      <c r="E5274" t="s">
        <v>2458</v>
      </c>
      <c r="F5274">
        <v>6116</v>
      </c>
      <c r="G5274">
        <v>1</v>
      </c>
      <c r="H5274" t="s">
        <v>16</v>
      </c>
      <c r="I5274" s="1">
        <v>-1153500</v>
      </c>
      <c r="J5274" s="1">
        <v>-5741400</v>
      </c>
      <c r="K5274">
        <v>259</v>
      </c>
      <c r="L5274">
        <v>7011</v>
      </c>
      <c r="M5274" t="s">
        <v>16</v>
      </c>
    </row>
    <row r="5275" spans="1:13" x14ac:dyDescent="0.35">
      <c r="A5275">
        <v>510682</v>
      </c>
      <c r="B5275">
        <v>45462</v>
      </c>
      <c r="C5275" t="s">
        <v>5391</v>
      </c>
      <c r="D5275" t="s">
        <v>5287</v>
      </c>
      <c r="E5275" t="s">
        <v>5301</v>
      </c>
      <c r="F5275">
        <v>9607</v>
      </c>
      <c r="G5275">
        <v>1</v>
      </c>
      <c r="H5275" t="s">
        <v>16</v>
      </c>
      <c r="I5275" s="1">
        <v>-1585300</v>
      </c>
      <c r="J5275" s="1">
        <v>-5846000</v>
      </c>
      <c r="K5275">
        <v>160</v>
      </c>
      <c r="L5275">
        <v>5815</v>
      </c>
      <c r="M5275" t="s">
        <v>16</v>
      </c>
    </row>
    <row r="5276" spans="1:13" x14ac:dyDescent="0.35">
      <c r="A5276">
        <v>510685</v>
      </c>
      <c r="B5276">
        <v>53074</v>
      </c>
      <c r="C5276" t="s">
        <v>5392</v>
      </c>
      <c r="D5276" t="s">
        <v>5287</v>
      </c>
      <c r="E5276" t="s">
        <v>5308</v>
      </c>
      <c r="F5276">
        <v>4011</v>
      </c>
      <c r="G5276">
        <v>1</v>
      </c>
      <c r="H5276" t="s">
        <v>16</v>
      </c>
      <c r="I5276" s="1">
        <v>-1532400</v>
      </c>
      <c r="J5276" s="1">
        <v>-5722800</v>
      </c>
      <c r="K5276">
        <v>134</v>
      </c>
      <c r="L5276">
        <v>2065</v>
      </c>
      <c r="M5276" t="s">
        <v>16</v>
      </c>
    </row>
    <row r="5277" spans="1:13" x14ac:dyDescent="0.35">
      <c r="A5277">
        <v>510700</v>
      </c>
      <c r="B5277">
        <v>42293</v>
      </c>
      <c r="C5277" t="s">
        <v>5393</v>
      </c>
      <c r="D5277" t="s">
        <v>5287</v>
      </c>
      <c r="E5277" t="s">
        <v>5299</v>
      </c>
      <c r="F5277">
        <v>17592</v>
      </c>
      <c r="G5277">
        <v>1</v>
      </c>
      <c r="H5277" t="s">
        <v>16</v>
      </c>
      <c r="I5277" s="1">
        <v>-1583700</v>
      </c>
      <c r="J5277" s="1">
        <v>-5438900</v>
      </c>
      <c r="K5277">
        <v>360</v>
      </c>
      <c r="L5277">
        <v>6923</v>
      </c>
      <c r="M5277" t="s">
        <v>16</v>
      </c>
    </row>
    <row r="5278" spans="1:13" x14ac:dyDescent="0.35">
      <c r="A5278">
        <v>510704</v>
      </c>
      <c r="B5278">
        <v>45403</v>
      </c>
      <c r="C5278" t="s">
        <v>5316</v>
      </c>
      <c r="D5278" t="s">
        <v>5287</v>
      </c>
      <c r="E5278" t="s">
        <v>5316</v>
      </c>
      <c r="F5278">
        <v>44729</v>
      </c>
      <c r="G5278">
        <v>1</v>
      </c>
      <c r="H5278" t="s">
        <v>16</v>
      </c>
      <c r="I5278" s="1">
        <v>-1552800</v>
      </c>
      <c r="J5278" s="1">
        <v>-5434600</v>
      </c>
      <c r="K5278">
        <v>465</v>
      </c>
      <c r="L5278">
        <v>5472</v>
      </c>
      <c r="M5278" t="s">
        <v>16</v>
      </c>
    </row>
    <row r="5279" spans="1:13" x14ac:dyDescent="0.35">
      <c r="A5279">
        <v>510706</v>
      </c>
      <c r="B5279">
        <v>53082</v>
      </c>
      <c r="C5279" t="s">
        <v>5394</v>
      </c>
      <c r="D5279" t="s">
        <v>5287</v>
      </c>
      <c r="E5279" t="s">
        <v>2068</v>
      </c>
      <c r="F5279">
        <v>10682</v>
      </c>
      <c r="G5279">
        <v>1</v>
      </c>
      <c r="H5279" t="s">
        <v>16</v>
      </c>
      <c r="I5279" s="1">
        <v>-1247600</v>
      </c>
      <c r="J5279" s="1">
        <v>-5237800</v>
      </c>
      <c r="K5279">
        <v>0</v>
      </c>
      <c r="L5279">
        <v>17850</v>
      </c>
      <c r="M5279" t="s">
        <v>16</v>
      </c>
    </row>
    <row r="5280" spans="1:13" x14ac:dyDescent="0.35">
      <c r="A5280">
        <v>510710</v>
      </c>
      <c r="B5280">
        <v>45110</v>
      </c>
      <c r="C5280" t="s">
        <v>5395</v>
      </c>
      <c r="D5280" t="s">
        <v>5287</v>
      </c>
      <c r="E5280" t="s">
        <v>5301</v>
      </c>
      <c r="F5280">
        <v>19001</v>
      </c>
      <c r="G5280">
        <v>1</v>
      </c>
      <c r="H5280" t="s">
        <v>16</v>
      </c>
      <c r="I5280" s="1">
        <v>-1562100</v>
      </c>
      <c r="J5280" s="1">
        <v>-5817600</v>
      </c>
      <c r="K5280">
        <v>230</v>
      </c>
      <c r="L5280">
        <v>1280</v>
      </c>
      <c r="M5280" t="s">
        <v>16</v>
      </c>
    </row>
    <row r="5281" spans="1:13" x14ac:dyDescent="0.35">
      <c r="A5281">
        <v>510715</v>
      </c>
      <c r="B5281">
        <v>45705</v>
      </c>
      <c r="C5281" t="s">
        <v>5396</v>
      </c>
      <c r="D5281" t="s">
        <v>5287</v>
      </c>
      <c r="E5281" t="s">
        <v>5301</v>
      </c>
      <c r="F5281">
        <v>2505</v>
      </c>
      <c r="G5281">
        <v>1</v>
      </c>
      <c r="H5281" t="s">
        <v>16</v>
      </c>
      <c r="I5281" s="1">
        <v>-1508000</v>
      </c>
      <c r="J5281" s="1">
        <v>-5846600</v>
      </c>
      <c r="K5281">
        <v>335</v>
      </c>
      <c r="L5281">
        <v>370</v>
      </c>
      <c r="M5281" t="s">
        <v>16</v>
      </c>
    </row>
    <row r="5282" spans="1:13" x14ac:dyDescent="0.35">
      <c r="A5282">
        <v>510718</v>
      </c>
      <c r="B5282">
        <v>46957</v>
      </c>
      <c r="C5282" t="s">
        <v>5397</v>
      </c>
      <c r="D5282" t="s">
        <v>5287</v>
      </c>
      <c r="E5282" t="s">
        <v>5292</v>
      </c>
      <c r="F5282">
        <v>8677</v>
      </c>
      <c r="G5282">
        <v>1</v>
      </c>
      <c r="H5282" t="s">
        <v>16</v>
      </c>
      <c r="I5282" s="1">
        <v>-1294200</v>
      </c>
      <c r="J5282" s="1">
        <v>-5182400</v>
      </c>
      <c r="K5282">
        <v>386</v>
      </c>
      <c r="L5282">
        <v>11356</v>
      </c>
      <c r="M5282" t="s">
        <v>16</v>
      </c>
    </row>
    <row r="5283" spans="1:13" x14ac:dyDescent="0.35">
      <c r="A5283">
        <v>510719</v>
      </c>
      <c r="B5283">
        <v>53090</v>
      </c>
      <c r="C5283" t="s">
        <v>5398</v>
      </c>
      <c r="D5283" t="s">
        <v>5287</v>
      </c>
      <c r="E5283" t="s">
        <v>5299</v>
      </c>
      <c r="F5283">
        <v>2107</v>
      </c>
      <c r="G5283">
        <v>1</v>
      </c>
      <c r="H5283" t="s">
        <v>16</v>
      </c>
      <c r="I5283" s="1">
        <v>-1648500</v>
      </c>
      <c r="J5283" s="1">
        <v>-5269200</v>
      </c>
      <c r="K5283">
        <v>477</v>
      </c>
      <c r="L5283">
        <v>623</v>
      </c>
      <c r="M5283" t="s">
        <v>16</v>
      </c>
    </row>
    <row r="5284" spans="1:13" x14ac:dyDescent="0.35">
      <c r="A5284">
        <v>510720</v>
      </c>
      <c r="B5284">
        <v>45128</v>
      </c>
      <c r="C5284" t="s">
        <v>71</v>
      </c>
      <c r="D5284" t="s">
        <v>5287</v>
      </c>
      <c r="E5284" t="s">
        <v>5301</v>
      </c>
      <c r="F5284">
        <v>5053</v>
      </c>
      <c r="G5284">
        <v>1</v>
      </c>
      <c r="H5284" t="s">
        <v>16</v>
      </c>
      <c r="I5284" s="1">
        <v>-1524100</v>
      </c>
      <c r="J5284" s="1">
        <v>-5811600</v>
      </c>
      <c r="K5284">
        <v>180</v>
      </c>
      <c r="L5284">
        <v>501</v>
      </c>
      <c r="M5284" t="s">
        <v>16</v>
      </c>
    </row>
    <row r="5285" spans="1:13" x14ac:dyDescent="0.35">
      <c r="A5285">
        <v>510724</v>
      </c>
      <c r="B5285">
        <v>53104</v>
      </c>
      <c r="C5285" t="s">
        <v>5399</v>
      </c>
      <c r="D5285" t="s">
        <v>5287</v>
      </c>
      <c r="E5285" t="s">
        <v>5324</v>
      </c>
      <c r="F5285">
        <v>4319</v>
      </c>
      <c r="G5285">
        <v>1</v>
      </c>
      <c r="H5285" t="s">
        <v>16</v>
      </c>
      <c r="I5285" s="1">
        <v>-1191300</v>
      </c>
      <c r="J5285" s="1">
        <v>-5522600</v>
      </c>
      <c r="K5285">
        <v>386</v>
      </c>
      <c r="L5285">
        <v>3920</v>
      </c>
      <c r="M5285" t="s">
        <v>16</v>
      </c>
    </row>
    <row r="5286" spans="1:13" x14ac:dyDescent="0.35">
      <c r="A5286">
        <v>510726</v>
      </c>
      <c r="B5286">
        <v>53112</v>
      </c>
      <c r="C5286" t="s">
        <v>5400</v>
      </c>
      <c r="D5286" t="s">
        <v>5287</v>
      </c>
      <c r="E5286" t="s">
        <v>5294</v>
      </c>
      <c r="F5286">
        <v>2855</v>
      </c>
      <c r="G5286">
        <v>1</v>
      </c>
      <c r="H5286" t="s">
        <v>16</v>
      </c>
      <c r="I5286" s="1">
        <v>-1449800</v>
      </c>
      <c r="J5286" s="1">
        <v>-5700200</v>
      </c>
      <c r="K5286">
        <v>400</v>
      </c>
      <c r="L5286">
        <v>1169</v>
      </c>
      <c r="M5286" t="s">
        <v>16</v>
      </c>
    </row>
    <row r="5287" spans="1:13" x14ac:dyDescent="0.35">
      <c r="A5287">
        <v>510729</v>
      </c>
      <c r="B5287">
        <v>53120</v>
      </c>
      <c r="C5287" t="s">
        <v>5401</v>
      </c>
      <c r="D5287" t="s">
        <v>5287</v>
      </c>
      <c r="E5287" t="s">
        <v>5340</v>
      </c>
      <c r="F5287">
        <v>3305</v>
      </c>
      <c r="G5287">
        <v>1</v>
      </c>
      <c r="H5287" t="s">
        <v>16</v>
      </c>
      <c r="I5287" s="1">
        <v>-1646500</v>
      </c>
      <c r="J5287" s="1">
        <v>-5425500</v>
      </c>
      <c r="K5287">
        <v>281</v>
      </c>
      <c r="L5287">
        <v>444</v>
      </c>
      <c r="M5287" t="s">
        <v>16</v>
      </c>
    </row>
    <row r="5288" spans="1:13" x14ac:dyDescent="0.35">
      <c r="A5288">
        <v>510730</v>
      </c>
      <c r="B5288">
        <v>45136</v>
      </c>
      <c r="C5288" t="s">
        <v>5402</v>
      </c>
      <c r="D5288" t="s">
        <v>5287</v>
      </c>
      <c r="E5288" t="s">
        <v>2458</v>
      </c>
      <c r="F5288">
        <v>17345</v>
      </c>
      <c r="G5288">
        <v>1</v>
      </c>
      <c r="H5288" t="s">
        <v>16</v>
      </c>
      <c r="I5288" s="1">
        <v>-1344700</v>
      </c>
      <c r="J5288" s="1">
        <v>-5672100</v>
      </c>
      <c r="K5288">
        <v>350</v>
      </c>
      <c r="L5288">
        <v>5057</v>
      </c>
      <c r="M5288" t="s">
        <v>16</v>
      </c>
    </row>
    <row r="5289" spans="1:13" x14ac:dyDescent="0.35">
      <c r="A5289">
        <v>510735</v>
      </c>
      <c r="B5289">
        <v>53139</v>
      </c>
      <c r="C5289" t="s">
        <v>5403</v>
      </c>
      <c r="D5289" t="s">
        <v>5287</v>
      </c>
      <c r="E5289" t="s">
        <v>5292</v>
      </c>
      <c r="F5289">
        <v>4198</v>
      </c>
      <c r="G5289">
        <v>1</v>
      </c>
      <c r="H5289" t="s">
        <v>16</v>
      </c>
      <c r="I5289" s="1">
        <v>-1080400</v>
      </c>
      <c r="J5289" s="1">
        <v>-5274400</v>
      </c>
      <c r="K5289">
        <v>337</v>
      </c>
      <c r="L5289">
        <v>7463</v>
      </c>
      <c r="M5289" t="s">
        <v>16</v>
      </c>
    </row>
    <row r="5290" spans="1:13" x14ac:dyDescent="0.35">
      <c r="A5290">
        <v>510740</v>
      </c>
      <c r="B5290">
        <v>53147</v>
      </c>
      <c r="C5290" t="s">
        <v>5404</v>
      </c>
      <c r="D5290" t="s">
        <v>5287</v>
      </c>
      <c r="E5290" t="s">
        <v>5340</v>
      </c>
      <c r="F5290">
        <v>4028</v>
      </c>
      <c r="G5290">
        <v>1</v>
      </c>
      <c r="H5290" t="s">
        <v>16</v>
      </c>
      <c r="I5290" s="1">
        <v>-1600100</v>
      </c>
      <c r="J5290" s="1">
        <v>-5492100</v>
      </c>
      <c r="K5290">
        <v>264</v>
      </c>
      <c r="L5290">
        <v>344</v>
      </c>
      <c r="M5290" t="s">
        <v>16</v>
      </c>
    </row>
    <row r="5291" spans="1:13" x14ac:dyDescent="0.35">
      <c r="A5291">
        <v>510757</v>
      </c>
      <c r="B5291">
        <v>60038</v>
      </c>
      <c r="C5291" t="s">
        <v>5405</v>
      </c>
      <c r="D5291" t="s">
        <v>5287</v>
      </c>
      <c r="E5291" t="s">
        <v>5304</v>
      </c>
      <c r="F5291">
        <v>3348</v>
      </c>
      <c r="G5291">
        <v>1</v>
      </c>
      <c r="H5291" t="s">
        <v>16</v>
      </c>
      <c r="I5291" s="1">
        <v>-1083800</v>
      </c>
      <c r="J5291" s="1">
        <v>-6147100</v>
      </c>
      <c r="K5291">
        <v>0</v>
      </c>
      <c r="L5291">
        <v>12653</v>
      </c>
      <c r="M5291" t="s">
        <v>16</v>
      </c>
    </row>
    <row r="5292" spans="1:13" x14ac:dyDescent="0.35">
      <c r="A5292">
        <v>510760</v>
      </c>
      <c r="B5292">
        <v>42358</v>
      </c>
      <c r="C5292" t="s">
        <v>5406</v>
      </c>
      <c r="D5292" t="s">
        <v>5287</v>
      </c>
      <c r="E5292" t="s">
        <v>5340</v>
      </c>
      <c r="F5292">
        <v>172783</v>
      </c>
      <c r="G5292">
        <v>3</v>
      </c>
      <c r="H5292" t="s">
        <v>16</v>
      </c>
      <c r="I5292" s="1">
        <v>-1647100</v>
      </c>
      <c r="J5292" s="1">
        <v>-5463600</v>
      </c>
      <c r="K5292">
        <v>227</v>
      </c>
      <c r="L5292">
        <v>4165</v>
      </c>
      <c r="M5292" t="s">
        <v>16</v>
      </c>
    </row>
    <row r="5293" spans="1:13" x14ac:dyDescent="0.35">
      <c r="A5293">
        <v>510770</v>
      </c>
      <c r="B5293">
        <v>42366</v>
      </c>
      <c r="C5293" t="s">
        <v>5407</v>
      </c>
      <c r="D5293" t="s">
        <v>5287</v>
      </c>
      <c r="E5293" t="s">
        <v>5288</v>
      </c>
      <c r="F5293">
        <v>18031</v>
      </c>
      <c r="G5293">
        <v>1</v>
      </c>
      <c r="H5293" t="s">
        <v>16</v>
      </c>
      <c r="I5293" s="1">
        <v>-1483600</v>
      </c>
      <c r="J5293" s="1">
        <v>-5642800</v>
      </c>
      <c r="K5293">
        <v>192</v>
      </c>
      <c r="L5293">
        <v>8802</v>
      </c>
      <c r="M5293" t="s">
        <v>16</v>
      </c>
    </row>
    <row r="5294" spans="1:13" x14ac:dyDescent="0.35">
      <c r="A5294">
        <v>510774</v>
      </c>
      <c r="B5294">
        <v>60127</v>
      </c>
      <c r="C5294" t="s">
        <v>5408</v>
      </c>
      <c r="D5294" t="s">
        <v>5287</v>
      </c>
      <c r="E5294" t="s">
        <v>5292</v>
      </c>
      <c r="F5294">
        <v>2116</v>
      </c>
      <c r="G5294">
        <v>1</v>
      </c>
      <c r="H5294" t="s">
        <v>16</v>
      </c>
      <c r="I5294" s="1">
        <v>-1015500</v>
      </c>
      <c r="J5294" s="1">
        <v>-5239200</v>
      </c>
      <c r="K5294">
        <v>0</v>
      </c>
      <c r="L5294">
        <v>5625</v>
      </c>
      <c r="M5294" t="s">
        <v>16</v>
      </c>
    </row>
    <row r="5295" spans="1:13" x14ac:dyDescent="0.35">
      <c r="A5295">
        <v>510775</v>
      </c>
      <c r="B5295">
        <v>45144</v>
      </c>
      <c r="C5295" t="s">
        <v>5409</v>
      </c>
      <c r="D5295" t="s">
        <v>5287</v>
      </c>
      <c r="E5295" t="s">
        <v>5301</v>
      </c>
      <c r="F5295">
        <v>3650</v>
      </c>
      <c r="G5295">
        <v>1</v>
      </c>
      <c r="H5295" t="s">
        <v>16</v>
      </c>
      <c r="I5295" s="1">
        <v>-1513000</v>
      </c>
      <c r="J5295" s="1">
        <v>-5812700</v>
      </c>
      <c r="K5295">
        <v>300</v>
      </c>
      <c r="L5295">
        <v>1312</v>
      </c>
      <c r="M5295" t="s">
        <v>16</v>
      </c>
    </row>
    <row r="5296" spans="1:13" x14ac:dyDescent="0.35">
      <c r="A5296">
        <v>510776</v>
      </c>
      <c r="B5296">
        <v>60046</v>
      </c>
      <c r="C5296" t="s">
        <v>5410</v>
      </c>
      <c r="D5296" t="s">
        <v>5287</v>
      </c>
      <c r="E5296" t="s">
        <v>5350</v>
      </c>
      <c r="F5296">
        <v>2478</v>
      </c>
      <c r="G5296">
        <v>1</v>
      </c>
      <c r="H5296" t="s">
        <v>16</v>
      </c>
      <c r="I5296" s="1">
        <v>-1381300</v>
      </c>
      <c r="J5296" s="1">
        <v>-5526700</v>
      </c>
      <c r="K5296">
        <v>0</v>
      </c>
      <c r="L5296">
        <v>3345</v>
      </c>
      <c r="M5296" t="s">
        <v>16</v>
      </c>
    </row>
    <row r="5297" spans="1:13" x14ac:dyDescent="0.35">
      <c r="A5297">
        <v>510777</v>
      </c>
      <c r="B5297">
        <v>45179</v>
      </c>
      <c r="C5297" t="s">
        <v>1754</v>
      </c>
      <c r="D5297" t="s">
        <v>5287</v>
      </c>
      <c r="E5297" t="s">
        <v>5292</v>
      </c>
      <c r="F5297">
        <v>7293</v>
      </c>
      <c r="G5297">
        <v>1</v>
      </c>
      <c r="H5297" t="s">
        <v>16</v>
      </c>
      <c r="I5297" s="1">
        <v>-1047000</v>
      </c>
      <c r="J5297" s="1">
        <v>-5050300</v>
      </c>
      <c r="K5297">
        <v>198</v>
      </c>
      <c r="L5297">
        <v>6450</v>
      </c>
      <c r="M5297" t="s">
        <v>16</v>
      </c>
    </row>
    <row r="5298" spans="1:13" x14ac:dyDescent="0.35">
      <c r="A5298">
        <v>510779</v>
      </c>
      <c r="B5298">
        <v>60100</v>
      </c>
      <c r="C5298" t="s">
        <v>5411</v>
      </c>
      <c r="D5298" t="s">
        <v>5287</v>
      </c>
      <c r="E5298" t="s">
        <v>2068</v>
      </c>
      <c r="F5298">
        <v>3249</v>
      </c>
      <c r="G5298">
        <v>1</v>
      </c>
      <c r="H5298" t="s">
        <v>16</v>
      </c>
      <c r="I5298" s="1">
        <v>-1479600</v>
      </c>
      <c r="J5298" s="1">
        <v>-5364000</v>
      </c>
      <c r="K5298">
        <v>0</v>
      </c>
      <c r="L5298">
        <v>3596</v>
      </c>
      <c r="M5298" t="s">
        <v>16</v>
      </c>
    </row>
    <row r="5299" spans="1:13" x14ac:dyDescent="0.35">
      <c r="A5299">
        <v>510780</v>
      </c>
      <c r="B5299">
        <v>42374</v>
      </c>
      <c r="C5299" t="s">
        <v>5412</v>
      </c>
      <c r="D5299" t="s">
        <v>5287</v>
      </c>
      <c r="E5299" t="s">
        <v>5322</v>
      </c>
      <c r="F5299">
        <v>19197</v>
      </c>
      <c r="G5299">
        <v>4</v>
      </c>
      <c r="H5299" t="s">
        <v>5335</v>
      </c>
      <c r="I5299" s="1">
        <v>-1586600</v>
      </c>
      <c r="J5299" s="1">
        <v>-5607700</v>
      </c>
      <c r="K5299">
        <v>141</v>
      </c>
      <c r="L5299">
        <v>12260</v>
      </c>
      <c r="M5299" t="s">
        <v>16</v>
      </c>
    </row>
    <row r="5300" spans="1:13" x14ac:dyDescent="0.35">
      <c r="A5300">
        <v>510785</v>
      </c>
      <c r="B5300">
        <v>42510</v>
      </c>
      <c r="C5300" t="s">
        <v>5413</v>
      </c>
      <c r="D5300" t="s">
        <v>5287</v>
      </c>
      <c r="E5300" t="s">
        <v>5292</v>
      </c>
      <c r="F5300">
        <v>10713</v>
      </c>
      <c r="G5300">
        <v>1</v>
      </c>
      <c r="H5300" t="s">
        <v>16</v>
      </c>
      <c r="I5300" s="1">
        <v>-1161700</v>
      </c>
      <c r="J5300" s="1">
        <v>-5066900</v>
      </c>
      <c r="K5300">
        <v>195</v>
      </c>
      <c r="L5300">
        <v>16848</v>
      </c>
      <c r="M5300" t="s">
        <v>16</v>
      </c>
    </row>
    <row r="5301" spans="1:13" x14ac:dyDescent="0.35">
      <c r="A5301">
        <v>510787</v>
      </c>
      <c r="B5301">
        <v>54348</v>
      </c>
      <c r="C5301" t="s">
        <v>5414</v>
      </c>
      <c r="D5301" t="s">
        <v>5287</v>
      </c>
      <c r="E5301" t="s">
        <v>58</v>
      </c>
      <c r="F5301">
        <v>14254</v>
      </c>
      <c r="G5301">
        <v>1</v>
      </c>
      <c r="H5301" t="s">
        <v>16</v>
      </c>
      <c r="I5301" s="1">
        <v>-1298900</v>
      </c>
      <c r="J5301" s="1">
        <v>-5876400</v>
      </c>
      <c r="K5301">
        <v>370</v>
      </c>
      <c r="L5301">
        <v>13597</v>
      </c>
      <c r="M5301" t="s">
        <v>16</v>
      </c>
    </row>
    <row r="5302" spans="1:13" x14ac:dyDescent="0.35">
      <c r="A5302">
        <v>510788</v>
      </c>
      <c r="B5302">
        <v>60054</v>
      </c>
      <c r="C5302" t="s">
        <v>5415</v>
      </c>
      <c r="D5302" t="s">
        <v>5287</v>
      </c>
      <c r="E5302" t="s">
        <v>5292</v>
      </c>
      <c r="F5302">
        <v>1349</v>
      </c>
      <c r="G5302">
        <v>1</v>
      </c>
      <c r="H5302" t="s">
        <v>16</v>
      </c>
      <c r="I5302" s="1">
        <v>-1209200</v>
      </c>
      <c r="J5302" s="1">
        <v>-5140200</v>
      </c>
      <c r="K5302">
        <v>0</v>
      </c>
      <c r="L5302">
        <v>1479</v>
      </c>
      <c r="M5302" t="s">
        <v>16</v>
      </c>
    </row>
    <row r="5303" spans="1:13" x14ac:dyDescent="0.35">
      <c r="A5303">
        <v>510790</v>
      </c>
      <c r="B5303">
        <v>45152</v>
      </c>
      <c r="C5303" t="s">
        <v>5324</v>
      </c>
      <c r="D5303" t="s">
        <v>5287</v>
      </c>
      <c r="E5303" t="s">
        <v>5324</v>
      </c>
      <c r="F5303">
        <v>105762</v>
      </c>
      <c r="G5303">
        <v>3</v>
      </c>
      <c r="H5303" t="s">
        <v>16</v>
      </c>
      <c r="I5303" s="1">
        <v>-1186400</v>
      </c>
      <c r="J5303" s="1">
        <v>-5550400</v>
      </c>
      <c r="K5303">
        <v>345</v>
      </c>
      <c r="L5303">
        <v>3194</v>
      </c>
      <c r="M5303" t="s">
        <v>16</v>
      </c>
    </row>
    <row r="5304" spans="1:13" x14ac:dyDescent="0.35">
      <c r="A5304">
        <v>510792</v>
      </c>
      <c r="B5304">
        <v>45454</v>
      </c>
      <c r="C5304" t="s">
        <v>5416</v>
      </c>
      <c r="D5304" t="s">
        <v>5287</v>
      </c>
      <c r="E5304" t="s">
        <v>5350</v>
      </c>
      <c r="F5304">
        <v>55134</v>
      </c>
      <c r="G5304">
        <v>2</v>
      </c>
      <c r="H5304" t="s">
        <v>16</v>
      </c>
      <c r="I5304" s="1">
        <v>-1254500</v>
      </c>
      <c r="J5304" s="1">
        <v>-5571100</v>
      </c>
      <c r="K5304">
        <v>365</v>
      </c>
      <c r="L5304">
        <v>9345</v>
      </c>
      <c r="M5304" t="s">
        <v>16</v>
      </c>
    </row>
    <row r="5305" spans="1:13" x14ac:dyDescent="0.35">
      <c r="A5305">
        <v>510794</v>
      </c>
      <c r="B5305">
        <v>53155</v>
      </c>
      <c r="C5305" t="s">
        <v>5417</v>
      </c>
      <c r="D5305" t="s">
        <v>5287</v>
      </c>
      <c r="E5305" t="s">
        <v>2458</v>
      </c>
      <c r="F5305">
        <v>10484</v>
      </c>
      <c r="G5305">
        <v>1</v>
      </c>
      <c r="H5305" t="s">
        <v>16</v>
      </c>
      <c r="I5305" s="1">
        <v>-1080700</v>
      </c>
      <c r="J5305" s="1">
        <v>-5662000</v>
      </c>
      <c r="K5305">
        <v>0</v>
      </c>
      <c r="L5305">
        <v>8225</v>
      </c>
      <c r="M5305" t="s">
        <v>16</v>
      </c>
    </row>
    <row r="5306" spans="1:13" x14ac:dyDescent="0.35">
      <c r="A5306">
        <v>510795</v>
      </c>
      <c r="B5306">
        <v>42528</v>
      </c>
      <c r="C5306" t="s">
        <v>5418</v>
      </c>
      <c r="D5306" t="s">
        <v>5287</v>
      </c>
      <c r="E5306" t="s">
        <v>5308</v>
      </c>
      <c r="F5306">
        <v>76657</v>
      </c>
      <c r="G5306">
        <v>2</v>
      </c>
      <c r="H5306" t="s">
        <v>16</v>
      </c>
      <c r="I5306" s="1">
        <v>-1461900</v>
      </c>
      <c r="J5306" s="1">
        <v>-5748600</v>
      </c>
      <c r="K5306">
        <v>387</v>
      </c>
      <c r="L5306">
        <v>11565</v>
      </c>
      <c r="M5306" t="s">
        <v>16</v>
      </c>
    </row>
    <row r="5307" spans="1:13" x14ac:dyDescent="0.35">
      <c r="A5307">
        <v>510800</v>
      </c>
      <c r="B5307">
        <v>46965</v>
      </c>
      <c r="C5307" t="s">
        <v>5419</v>
      </c>
      <c r="D5307" t="s">
        <v>5287</v>
      </c>
      <c r="E5307" t="s">
        <v>5350</v>
      </c>
      <c r="F5307">
        <v>10478</v>
      </c>
      <c r="G5307">
        <v>1</v>
      </c>
      <c r="H5307" t="s">
        <v>16</v>
      </c>
      <c r="I5307" s="1">
        <v>-1277200</v>
      </c>
      <c r="J5307" s="1">
        <v>-5655400</v>
      </c>
      <c r="K5307">
        <v>393</v>
      </c>
      <c r="L5307">
        <v>11600</v>
      </c>
      <c r="M5307" t="s">
        <v>16</v>
      </c>
    </row>
    <row r="5308" spans="1:13" x14ac:dyDescent="0.35">
      <c r="A5308">
        <v>510805</v>
      </c>
      <c r="B5308">
        <v>45713</v>
      </c>
      <c r="C5308" t="s">
        <v>5420</v>
      </c>
      <c r="D5308" t="s">
        <v>5287</v>
      </c>
      <c r="E5308" t="s">
        <v>5327</v>
      </c>
      <c r="F5308">
        <v>14584</v>
      </c>
      <c r="G5308">
        <v>1</v>
      </c>
      <c r="H5308" t="s">
        <v>16</v>
      </c>
      <c r="I5308" s="1">
        <v>-1051700</v>
      </c>
      <c r="J5308" s="1">
        <v>-5523100</v>
      </c>
      <c r="K5308">
        <v>250</v>
      </c>
      <c r="L5308">
        <v>2302</v>
      </c>
      <c r="M5308" t="s">
        <v>16</v>
      </c>
    </row>
    <row r="5309" spans="1:13" x14ac:dyDescent="0.35">
      <c r="A5309">
        <v>510810</v>
      </c>
      <c r="B5309">
        <v>42404</v>
      </c>
      <c r="C5309" t="s">
        <v>5299</v>
      </c>
      <c r="D5309" t="s">
        <v>5287</v>
      </c>
      <c r="E5309" t="s">
        <v>5299</v>
      </c>
      <c r="F5309">
        <v>3109</v>
      </c>
      <c r="G5309">
        <v>1</v>
      </c>
      <c r="H5309" t="s">
        <v>16</v>
      </c>
      <c r="I5309" s="1">
        <v>-1607900</v>
      </c>
      <c r="J5309" s="1">
        <v>-5355300</v>
      </c>
      <c r="K5309">
        <v>410</v>
      </c>
      <c r="L5309">
        <v>4017</v>
      </c>
      <c r="M5309" t="s">
        <v>16</v>
      </c>
    </row>
    <row r="5310" spans="1:13" x14ac:dyDescent="0.35">
      <c r="A5310">
        <v>510820</v>
      </c>
      <c r="B5310">
        <v>42412</v>
      </c>
      <c r="C5310" t="s">
        <v>5421</v>
      </c>
      <c r="D5310" t="s">
        <v>5287</v>
      </c>
      <c r="E5310" t="s">
        <v>5299</v>
      </c>
      <c r="F5310">
        <v>4101</v>
      </c>
      <c r="G5310">
        <v>1</v>
      </c>
      <c r="H5310" t="s">
        <v>16</v>
      </c>
      <c r="I5310" s="1">
        <v>-1619900</v>
      </c>
      <c r="J5310" s="1">
        <v>-5255600</v>
      </c>
      <c r="K5310">
        <v>335</v>
      </c>
      <c r="L5310">
        <v>2397</v>
      </c>
      <c r="M5310" t="s">
        <v>16</v>
      </c>
    </row>
    <row r="5311" spans="1:13" x14ac:dyDescent="0.35">
      <c r="A5311">
        <v>510830</v>
      </c>
      <c r="B5311">
        <v>54356</v>
      </c>
      <c r="C5311" t="s">
        <v>5422</v>
      </c>
      <c r="D5311" t="s">
        <v>5287</v>
      </c>
      <c r="E5311" t="s">
        <v>5324</v>
      </c>
      <c r="F5311">
        <v>3998</v>
      </c>
      <c r="G5311">
        <v>1</v>
      </c>
      <c r="H5311" t="s">
        <v>16</v>
      </c>
      <c r="I5311" s="1">
        <v>-1153300</v>
      </c>
      <c r="J5311" s="1">
        <v>-5435300</v>
      </c>
      <c r="K5311">
        <v>350</v>
      </c>
      <c r="L5311">
        <v>4581</v>
      </c>
      <c r="M5311" t="s">
        <v>16</v>
      </c>
    </row>
    <row r="5312" spans="1:13" x14ac:dyDescent="0.35">
      <c r="A5312">
        <v>510835</v>
      </c>
      <c r="B5312">
        <v>60062</v>
      </c>
      <c r="C5312" t="s">
        <v>5423</v>
      </c>
      <c r="D5312" t="s">
        <v>5287</v>
      </c>
      <c r="E5312" t="s">
        <v>5332</v>
      </c>
      <c r="F5312">
        <v>2873</v>
      </c>
      <c r="G5312">
        <v>1</v>
      </c>
      <c r="H5312" t="s">
        <v>16</v>
      </c>
      <c r="I5312" s="1">
        <v>-1529400</v>
      </c>
      <c r="J5312" s="1">
        <v>-5906100</v>
      </c>
      <c r="K5312">
        <v>0</v>
      </c>
      <c r="L5312">
        <v>2001</v>
      </c>
      <c r="M5312" t="s">
        <v>16</v>
      </c>
    </row>
    <row r="5313" spans="1:13" x14ac:dyDescent="0.35">
      <c r="A5313">
        <v>510840</v>
      </c>
      <c r="B5313">
        <v>42439</v>
      </c>
      <c r="C5313" t="s">
        <v>1005</v>
      </c>
      <c r="D5313" t="s">
        <v>5287</v>
      </c>
      <c r="E5313" t="s">
        <v>5322</v>
      </c>
      <c r="F5313">
        <v>230307</v>
      </c>
      <c r="G5313">
        <v>4</v>
      </c>
      <c r="H5313" t="s">
        <v>5335</v>
      </c>
      <c r="I5313" s="1">
        <v>-1564700</v>
      </c>
      <c r="J5313" s="1">
        <v>-5613300</v>
      </c>
      <c r="K5313">
        <v>190</v>
      </c>
      <c r="L5313">
        <v>938</v>
      </c>
      <c r="M5313" t="s">
        <v>16</v>
      </c>
    </row>
    <row r="5314" spans="1:13" x14ac:dyDescent="0.35">
      <c r="A5314">
        <v>510850</v>
      </c>
      <c r="B5314">
        <v>45721</v>
      </c>
      <c r="C5314" t="s">
        <v>5424</v>
      </c>
      <c r="D5314" t="s">
        <v>5287</v>
      </c>
      <c r="E5314" t="s">
        <v>5324</v>
      </c>
      <c r="F5314">
        <v>9188</v>
      </c>
      <c r="G5314">
        <v>1</v>
      </c>
      <c r="H5314" t="s">
        <v>16</v>
      </c>
      <c r="I5314" s="1">
        <v>-1230600</v>
      </c>
      <c r="J5314" s="1">
        <v>-5531700</v>
      </c>
      <c r="K5314">
        <v>383</v>
      </c>
      <c r="L5314">
        <v>2950</v>
      </c>
      <c r="M5314" t="s">
        <v>16</v>
      </c>
    </row>
    <row r="5315" spans="1:13" x14ac:dyDescent="0.35">
      <c r="A5315">
        <v>510860</v>
      </c>
      <c r="B5315">
        <v>45390</v>
      </c>
      <c r="C5315" t="s">
        <v>5425</v>
      </c>
      <c r="D5315" t="s">
        <v>5287</v>
      </c>
      <c r="E5315" t="s">
        <v>5292</v>
      </c>
      <c r="F5315">
        <v>18934</v>
      </c>
      <c r="G5315">
        <v>1</v>
      </c>
      <c r="H5315" t="s">
        <v>16</v>
      </c>
      <c r="I5315" s="1">
        <v>-1001200</v>
      </c>
      <c r="J5315" s="1">
        <v>-5111600</v>
      </c>
      <c r="K5315">
        <v>255</v>
      </c>
      <c r="L5315">
        <v>7433</v>
      </c>
      <c r="M5315" t="s">
        <v>16</v>
      </c>
    </row>
    <row r="5316" spans="1:13" x14ac:dyDescent="0.35">
      <c r="A5316">
        <v>510880</v>
      </c>
      <c r="B5316">
        <v>53163</v>
      </c>
      <c r="C5316" t="s">
        <v>5426</v>
      </c>
      <c r="D5316" t="s">
        <v>5287</v>
      </c>
      <c r="E5316" t="s">
        <v>5327</v>
      </c>
      <c r="F5316">
        <v>4877</v>
      </c>
      <c r="G5316">
        <v>1</v>
      </c>
      <c r="H5316" t="s">
        <v>16</v>
      </c>
      <c r="I5316" s="1">
        <v>-1031600</v>
      </c>
      <c r="J5316" s="1">
        <v>-5541000</v>
      </c>
      <c r="K5316">
        <v>300</v>
      </c>
      <c r="L5316">
        <v>1087</v>
      </c>
      <c r="M5316" t="s">
        <v>16</v>
      </c>
    </row>
    <row r="5317" spans="1:13" x14ac:dyDescent="0.35">
      <c r="A5317">
        <v>510885</v>
      </c>
      <c r="B5317">
        <v>53171</v>
      </c>
      <c r="C5317" t="s">
        <v>5427</v>
      </c>
      <c r="D5317" t="s">
        <v>5287</v>
      </c>
      <c r="E5317" t="s">
        <v>5294</v>
      </c>
      <c r="F5317">
        <v>2315</v>
      </c>
      <c r="G5317">
        <v>1</v>
      </c>
      <c r="H5317" t="s">
        <v>16</v>
      </c>
      <c r="I5317" s="1">
        <v>-1436400</v>
      </c>
      <c r="J5317" s="1">
        <v>-5696900</v>
      </c>
      <c r="K5317">
        <v>300</v>
      </c>
      <c r="L5317">
        <v>1942</v>
      </c>
      <c r="M5317" t="s">
        <v>16</v>
      </c>
    </row>
    <row r="5318" spans="1:13" x14ac:dyDescent="0.35">
      <c r="A5318">
        <v>510890</v>
      </c>
      <c r="B5318">
        <v>53180</v>
      </c>
      <c r="C5318" t="s">
        <v>5428</v>
      </c>
      <c r="D5318" t="s">
        <v>5287</v>
      </c>
      <c r="E5318" t="s">
        <v>2458</v>
      </c>
      <c r="F5318">
        <v>5554</v>
      </c>
      <c r="G5318">
        <v>1</v>
      </c>
      <c r="H5318" t="s">
        <v>16</v>
      </c>
      <c r="I5318" s="1">
        <v>-1302600</v>
      </c>
      <c r="J5318" s="1">
        <v>-5707400</v>
      </c>
      <c r="K5318">
        <v>370</v>
      </c>
      <c r="L5318">
        <v>11512</v>
      </c>
      <c r="M5318" t="s">
        <v>16</v>
      </c>
    </row>
    <row r="5319" spans="1:13" x14ac:dyDescent="0.35">
      <c r="A5319">
        <v>510895</v>
      </c>
      <c r="B5319">
        <v>53198</v>
      </c>
      <c r="C5319" t="s">
        <v>5429</v>
      </c>
      <c r="D5319" t="s">
        <v>5287</v>
      </c>
      <c r="E5319" t="s">
        <v>5289</v>
      </c>
      <c r="F5319">
        <v>8133</v>
      </c>
      <c r="G5319">
        <v>1</v>
      </c>
      <c r="H5319" t="s">
        <v>16</v>
      </c>
      <c r="I5319" s="1">
        <v>-998200</v>
      </c>
      <c r="J5319" s="1">
        <v>-5753500</v>
      </c>
      <c r="K5319">
        <v>330</v>
      </c>
      <c r="L5319">
        <v>6500</v>
      </c>
      <c r="M5319" t="s">
        <v>16</v>
      </c>
    </row>
    <row r="5320" spans="1:13" x14ac:dyDescent="0.35">
      <c r="A5320">
        <v>520005</v>
      </c>
      <c r="B5320">
        <v>58998</v>
      </c>
      <c r="C5320" t="s">
        <v>5430</v>
      </c>
      <c r="D5320" t="s">
        <v>5431</v>
      </c>
      <c r="E5320" t="s">
        <v>5432</v>
      </c>
      <c r="F5320">
        <v>5868</v>
      </c>
      <c r="G5320">
        <v>4</v>
      </c>
      <c r="H5320" t="s">
        <v>5433</v>
      </c>
      <c r="I5320" s="1">
        <v>-1675700</v>
      </c>
      <c r="J5320" s="1">
        <v>-4943800</v>
      </c>
      <c r="K5320">
        <v>898</v>
      </c>
      <c r="L5320">
        <v>146</v>
      </c>
      <c r="M5320" t="s">
        <v>16</v>
      </c>
    </row>
    <row r="5321" spans="1:13" x14ac:dyDescent="0.35">
      <c r="A5321">
        <v>520010</v>
      </c>
      <c r="B5321">
        <v>42617</v>
      </c>
      <c r="C5321" t="s">
        <v>5434</v>
      </c>
      <c r="D5321" t="s">
        <v>5431</v>
      </c>
      <c r="E5321" t="s">
        <v>5435</v>
      </c>
      <c r="F5321">
        <v>12640</v>
      </c>
      <c r="G5321">
        <v>4</v>
      </c>
      <c r="H5321" t="s">
        <v>2523</v>
      </c>
      <c r="I5321" s="1">
        <v>-1620400</v>
      </c>
      <c r="J5321" s="1">
        <v>-4870700</v>
      </c>
      <c r="K5321">
        <v>1052</v>
      </c>
      <c r="L5321">
        <v>1044</v>
      </c>
      <c r="M5321" t="s">
        <v>16</v>
      </c>
    </row>
    <row r="5322" spans="1:13" x14ac:dyDescent="0.35">
      <c r="A5322">
        <v>520013</v>
      </c>
      <c r="B5322">
        <v>44814</v>
      </c>
      <c r="C5322" t="s">
        <v>5436</v>
      </c>
      <c r="D5322" t="s">
        <v>5431</v>
      </c>
      <c r="E5322" t="s">
        <v>5437</v>
      </c>
      <c r="F5322">
        <v>18553</v>
      </c>
      <c r="G5322">
        <v>1</v>
      </c>
      <c r="H5322" t="s">
        <v>16</v>
      </c>
      <c r="I5322" s="1">
        <v>-1739600</v>
      </c>
      <c r="J5322" s="1">
        <v>-5037700</v>
      </c>
      <c r="K5322">
        <v>542</v>
      </c>
      <c r="L5322">
        <v>1565</v>
      </c>
      <c r="M5322" t="s">
        <v>16</v>
      </c>
    </row>
    <row r="5323" spans="1:13" x14ac:dyDescent="0.35">
      <c r="A5323">
        <v>520015</v>
      </c>
      <c r="B5323">
        <v>53740</v>
      </c>
      <c r="C5323" t="s">
        <v>5438</v>
      </c>
      <c r="D5323" t="s">
        <v>5431</v>
      </c>
      <c r="E5323" t="s">
        <v>5439</v>
      </c>
      <c r="F5323">
        <v>2510</v>
      </c>
      <c r="G5323">
        <v>1</v>
      </c>
      <c r="H5323" t="s">
        <v>16</v>
      </c>
      <c r="I5323" s="1">
        <v>-1641500</v>
      </c>
      <c r="J5323" s="1">
        <v>-5016600</v>
      </c>
      <c r="K5323">
        <v>649</v>
      </c>
      <c r="L5323">
        <v>115</v>
      </c>
      <c r="M5323" t="s">
        <v>16</v>
      </c>
    </row>
    <row r="5324" spans="1:13" x14ac:dyDescent="0.35">
      <c r="A5324">
        <v>520017</v>
      </c>
      <c r="B5324">
        <v>47503</v>
      </c>
      <c r="C5324" t="s">
        <v>5440</v>
      </c>
      <c r="D5324" t="s">
        <v>5431</v>
      </c>
      <c r="E5324" t="s">
        <v>5435</v>
      </c>
      <c r="F5324">
        <v>5008</v>
      </c>
      <c r="G5324">
        <v>4</v>
      </c>
      <c r="H5324" t="s">
        <v>2523</v>
      </c>
      <c r="I5324" s="1">
        <v>-1498600</v>
      </c>
      <c r="J5324" s="1">
        <v>-4778400</v>
      </c>
      <c r="K5324">
        <v>980</v>
      </c>
      <c r="L5324">
        <v>2029</v>
      </c>
      <c r="M5324" t="s">
        <v>16</v>
      </c>
    </row>
    <row r="5325" spans="1:13" x14ac:dyDescent="0.35">
      <c r="A5325">
        <v>520020</v>
      </c>
      <c r="B5325">
        <v>42625</v>
      </c>
      <c r="C5325" t="s">
        <v>5441</v>
      </c>
      <c r="D5325" t="s">
        <v>5431</v>
      </c>
      <c r="E5325" t="s">
        <v>5442</v>
      </c>
      <c r="F5325">
        <v>2074</v>
      </c>
      <c r="G5325">
        <v>1</v>
      </c>
      <c r="H5325" t="s">
        <v>16</v>
      </c>
      <c r="I5325" s="1">
        <v>-1807400</v>
      </c>
      <c r="J5325" s="1">
        <v>-4876200</v>
      </c>
      <c r="K5325">
        <v>682</v>
      </c>
      <c r="L5325">
        <v>452</v>
      </c>
      <c r="M5325" t="s">
        <v>16</v>
      </c>
    </row>
    <row r="5326" spans="1:13" x14ac:dyDescent="0.35">
      <c r="A5326">
        <v>520025</v>
      </c>
      <c r="B5326">
        <v>59005</v>
      </c>
      <c r="C5326" t="s">
        <v>5443</v>
      </c>
      <c r="D5326" t="s">
        <v>5431</v>
      </c>
      <c r="E5326" t="s">
        <v>5435</v>
      </c>
      <c r="F5326">
        <v>131884</v>
      </c>
      <c r="G5326">
        <v>4</v>
      </c>
      <c r="H5326" t="s">
        <v>2523</v>
      </c>
      <c r="I5326" s="1">
        <v>-1576200</v>
      </c>
      <c r="J5326" s="1">
        <v>-4828200</v>
      </c>
      <c r="K5326">
        <v>1080</v>
      </c>
      <c r="L5326">
        <v>191</v>
      </c>
      <c r="M5326" t="s">
        <v>16</v>
      </c>
    </row>
    <row r="5327" spans="1:13" x14ac:dyDescent="0.35">
      <c r="A5327">
        <v>520030</v>
      </c>
      <c r="B5327">
        <v>42633</v>
      </c>
      <c r="C5327" t="s">
        <v>5444</v>
      </c>
      <c r="D5327" t="s">
        <v>5431</v>
      </c>
      <c r="E5327" t="s">
        <v>5435</v>
      </c>
      <c r="F5327">
        <v>20033</v>
      </c>
      <c r="G5327">
        <v>4</v>
      </c>
      <c r="H5327" t="s">
        <v>2523</v>
      </c>
      <c r="I5327" s="1">
        <v>-1608200</v>
      </c>
      <c r="J5327" s="1">
        <v>-4850700</v>
      </c>
      <c r="K5327">
        <v>1096</v>
      </c>
      <c r="L5327">
        <v>847</v>
      </c>
      <c r="M5327" t="s">
        <v>16</v>
      </c>
    </row>
    <row r="5328" spans="1:13" x14ac:dyDescent="0.35">
      <c r="A5328">
        <v>520050</v>
      </c>
      <c r="B5328">
        <v>42650</v>
      </c>
      <c r="C5328" t="s">
        <v>5445</v>
      </c>
      <c r="D5328" t="s">
        <v>5431</v>
      </c>
      <c r="E5328" t="s">
        <v>5442</v>
      </c>
      <c r="F5328">
        <v>2065</v>
      </c>
      <c r="G5328">
        <v>1</v>
      </c>
      <c r="H5328" t="s">
        <v>16</v>
      </c>
      <c r="I5328" s="1">
        <v>-1772800</v>
      </c>
      <c r="J5328" s="1">
        <v>-4948000</v>
      </c>
      <c r="K5328">
        <v>672</v>
      </c>
      <c r="L5328">
        <v>102</v>
      </c>
      <c r="M5328" t="s">
        <v>16</v>
      </c>
    </row>
    <row r="5329" spans="1:13" x14ac:dyDescent="0.35">
      <c r="A5329">
        <v>520055</v>
      </c>
      <c r="B5329">
        <v>53228</v>
      </c>
      <c r="C5329" t="s">
        <v>5446</v>
      </c>
      <c r="D5329" t="s">
        <v>5431</v>
      </c>
      <c r="E5329" t="s">
        <v>5447</v>
      </c>
      <c r="F5329">
        <v>3136</v>
      </c>
      <c r="G5329">
        <v>1</v>
      </c>
      <c r="H5329" t="s">
        <v>16</v>
      </c>
      <c r="I5329" s="1">
        <v>-1419600</v>
      </c>
      <c r="J5329" s="1">
        <v>-4933900</v>
      </c>
      <c r="K5329">
        <v>375</v>
      </c>
      <c r="L5329">
        <v>503</v>
      </c>
      <c r="M5329" t="s">
        <v>16</v>
      </c>
    </row>
    <row r="5330" spans="1:13" x14ac:dyDescent="0.35">
      <c r="A5330">
        <v>520060</v>
      </c>
      <c r="B5330">
        <v>42668</v>
      </c>
      <c r="C5330" t="s">
        <v>5448</v>
      </c>
      <c r="D5330" t="s">
        <v>5431</v>
      </c>
      <c r="E5330" t="s">
        <v>5449</v>
      </c>
      <c r="F5330">
        <v>6638</v>
      </c>
      <c r="G5330">
        <v>1</v>
      </c>
      <c r="H5330" t="s">
        <v>16</v>
      </c>
      <c r="I5330" s="1">
        <v>-1413300</v>
      </c>
      <c r="J5330" s="1">
        <v>-4751000</v>
      </c>
      <c r="K5330">
        <v>1186</v>
      </c>
      <c r="L5330">
        <v>2593</v>
      </c>
      <c r="M5330" t="s">
        <v>16</v>
      </c>
    </row>
    <row r="5331" spans="1:13" x14ac:dyDescent="0.35">
      <c r="A5331">
        <v>520080</v>
      </c>
      <c r="B5331">
        <v>42684</v>
      </c>
      <c r="C5331" t="s">
        <v>5450</v>
      </c>
      <c r="D5331" t="s">
        <v>5431</v>
      </c>
      <c r="E5331" t="s">
        <v>5451</v>
      </c>
      <c r="F5331">
        <v>8217</v>
      </c>
      <c r="G5331">
        <v>1</v>
      </c>
      <c r="H5331" t="s">
        <v>16</v>
      </c>
      <c r="I5331" s="1">
        <v>-1448100</v>
      </c>
      <c r="J5331" s="1">
        <v>-4649200</v>
      </c>
      <c r="K5331">
        <v>490</v>
      </c>
      <c r="L5331">
        <v>1259</v>
      </c>
      <c r="M5331" t="s">
        <v>16</v>
      </c>
    </row>
    <row r="5332" spans="1:13" x14ac:dyDescent="0.35">
      <c r="A5332">
        <v>520082</v>
      </c>
      <c r="B5332">
        <v>56774</v>
      </c>
      <c r="C5332" t="s">
        <v>5452</v>
      </c>
      <c r="D5332" t="s">
        <v>5431</v>
      </c>
      <c r="E5332" t="s">
        <v>5447</v>
      </c>
      <c r="F5332">
        <v>3492</v>
      </c>
      <c r="G5332">
        <v>1</v>
      </c>
      <c r="H5332" t="s">
        <v>16</v>
      </c>
      <c r="I5332" s="1">
        <v>-1392600</v>
      </c>
      <c r="J5332" s="1">
        <v>-4929700</v>
      </c>
      <c r="K5332">
        <v>55</v>
      </c>
      <c r="L5332">
        <v>1412</v>
      </c>
      <c r="M5332" t="s">
        <v>16</v>
      </c>
    </row>
    <row r="5333" spans="1:13" x14ac:dyDescent="0.35">
      <c r="A5333">
        <v>520085</v>
      </c>
      <c r="B5333">
        <v>44830</v>
      </c>
      <c r="C5333" t="s">
        <v>5453</v>
      </c>
      <c r="D5333" t="s">
        <v>5431</v>
      </c>
      <c r="E5333" t="s">
        <v>5439</v>
      </c>
      <c r="F5333">
        <v>4698</v>
      </c>
      <c r="G5333">
        <v>1</v>
      </c>
      <c r="H5333" t="s">
        <v>16</v>
      </c>
      <c r="I5333" s="1">
        <v>-1625500</v>
      </c>
      <c r="J5333" s="1">
        <v>-4998300</v>
      </c>
      <c r="K5333">
        <v>890</v>
      </c>
      <c r="L5333">
        <v>133</v>
      </c>
      <c r="M5333" t="s">
        <v>16</v>
      </c>
    </row>
    <row r="5334" spans="1:13" x14ac:dyDescent="0.35">
      <c r="A5334">
        <v>520090</v>
      </c>
      <c r="B5334">
        <v>42692</v>
      </c>
      <c r="C5334" t="s">
        <v>5454</v>
      </c>
      <c r="D5334" t="s">
        <v>5431</v>
      </c>
      <c r="E5334" t="s">
        <v>5455</v>
      </c>
      <c r="F5334">
        <v>3527</v>
      </c>
      <c r="G5334">
        <v>1</v>
      </c>
      <c r="H5334" t="s">
        <v>16</v>
      </c>
      <c r="I5334" s="1">
        <v>-1661900</v>
      </c>
      <c r="J5334" s="1">
        <v>-5109400</v>
      </c>
      <c r="K5334">
        <v>641</v>
      </c>
      <c r="L5334">
        <v>408</v>
      </c>
      <c r="M5334" t="s">
        <v>16</v>
      </c>
    </row>
    <row r="5335" spans="1:13" x14ac:dyDescent="0.35">
      <c r="A5335">
        <v>520110</v>
      </c>
      <c r="B5335">
        <v>42714</v>
      </c>
      <c r="C5335" t="s">
        <v>5456</v>
      </c>
      <c r="D5335" t="s">
        <v>5431</v>
      </c>
      <c r="E5335" t="s">
        <v>5457</v>
      </c>
      <c r="F5335">
        <v>325544</v>
      </c>
      <c r="G5335">
        <v>3</v>
      </c>
      <c r="H5335" t="s">
        <v>16</v>
      </c>
      <c r="I5335" s="1">
        <v>-1632700</v>
      </c>
      <c r="J5335" s="1">
        <v>-4895300</v>
      </c>
      <c r="K5335">
        <v>1017</v>
      </c>
      <c r="L5335">
        <v>918</v>
      </c>
      <c r="M5335" t="s">
        <v>16</v>
      </c>
    </row>
    <row r="5336" spans="1:13" x14ac:dyDescent="0.35">
      <c r="A5336">
        <v>520120</v>
      </c>
      <c r="B5336">
        <v>42722</v>
      </c>
      <c r="C5336" t="s">
        <v>5458</v>
      </c>
      <c r="D5336" t="s">
        <v>5431</v>
      </c>
      <c r="E5336" t="s">
        <v>5459</v>
      </c>
      <c r="F5336">
        <v>966</v>
      </c>
      <c r="G5336">
        <v>1</v>
      </c>
      <c r="H5336" t="s">
        <v>16</v>
      </c>
      <c r="I5336" s="1">
        <v>-1833700</v>
      </c>
      <c r="J5336" s="1">
        <v>-4821900</v>
      </c>
      <c r="K5336">
        <v>561</v>
      </c>
      <c r="L5336">
        <v>56</v>
      </c>
      <c r="M5336" t="s">
        <v>16</v>
      </c>
    </row>
    <row r="5337" spans="1:13" x14ac:dyDescent="0.35">
      <c r="A5337">
        <v>520130</v>
      </c>
      <c r="B5337">
        <v>42730</v>
      </c>
      <c r="C5337" t="s">
        <v>5439</v>
      </c>
      <c r="D5337" t="s">
        <v>5431</v>
      </c>
      <c r="E5337" t="s">
        <v>5439</v>
      </c>
      <c r="F5337">
        <v>17705</v>
      </c>
      <c r="G5337">
        <v>1</v>
      </c>
      <c r="H5337" t="s">
        <v>16</v>
      </c>
      <c r="I5337" s="1">
        <v>-1646100</v>
      </c>
      <c r="J5337" s="1">
        <v>-4996200</v>
      </c>
      <c r="K5337">
        <v>692</v>
      </c>
      <c r="L5337">
        <v>961</v>
      </c>
      <c r="M5337" t="s">
        <v>16</v>
      </c>
    </row>
    <row r="5338" spans="1:13" x14ac:dyDescent="0.35">
      <c r="A5338">
        <v>520140</v>
      </c>
      <c r="B5338">
        <v>42749</v>
      </c>
      <c r="C5338" t="s">
        <v>5460</v>
      </c>
      <c r="D5338" t="s">
        <v>5431</v>
      </c>
      <c r="E5338" t="s">
        <v>5432</v>
      </c>
      <c r="F5338">
        <v>475303</v>
      </c>
      <c r="G5338">
        <v>4</v>
      </c>
      <c r="H5338" t="s">
        <v>5433</v>
      </c>
      <c r="I5338" s="1">
        <v>-1682200</v>
      </c>
      <c r="J5338" s="1">
        <v>-4924500</v>
      </c>
      <c r="K5338">
        <v>808</v>
      </c>
      <c r="L5338">
        <v>288</v>
      </c>
      <c r="M5338" t="s">
        <v>16</v>
      </c>
    </row>
    <row r="5339" spans="1:13" x14ac:dyDescent="0.35">
      <c r="A5339">
        <v>520145</v>
      </c>
      <c r="B5339">
        <v>53236</v>
      </c>
      <c r="C5339" t="s">
        <v>5461</v>
      </c>
      <c r="D5339" t="s">
        <v>5431</v>
      </c>
      <c r="E5339" t="s">
        <v>5462</v>
      </c>
      <c r="F5339">
        <v>2702</v>
      </c>
      <c r="G5339">
        <v>1</v>
      </c>
      <c r="H5339" t="s">
        <v>16</v>
      </c>
      <c r="I5339" s="1">
        <v>-1829900</v>
      </c>
      <c r="J5339" s="1">
        <v>-5114500</v>
      </c>
      <c r="K5339">
        <v>0</v>
      </c>
      <c r="L5339">
        <v>602</v>
      </c>
      <c r="M5339" t="s">
        <v>16</v>
      </c>
    </row>
    <row r="5340" spans="1:13" x14ac:dyDescent="0.35">
      <c r="A5340">
        <v>520150</v>
      </c>
      <c r="B5340">
        <v>42757</v>
      </c>
      <c r="C5340" t="s">
        <v>5463</v>
      </c>
      <c r="D5340" t="s">
        <v>5431</v>
      </c>
      <c r="E5340" t="s">
        <v>5462</v>
      </c>
      <c r="F5340">
        <v>3554</v>
      </c>
      <c r="G5340">
        <v>1</v>
      </c>
      <c r="H5340" t="s">
        <v>16</v>
      </c>
      <c r="I5340" s="1">
        <v>-1896500</v>
      </c>
      <c r="J5340" s="1">
        <v>-5192600</v>
      </c>
      <c r="K5340">
        <v>538</v>
      </c>
      <c r="L5340">
        <v>2900</v>
      </c>
      <c r="M5340" t="s">
        <v>16</v>
      </c>
    </row>
    <row r="5341" spans="1:13" x14ac:dyDescent="0.35">
      <c r="A5341">
        <v>520160</v>
      </c>
      <c r="B5341">
        <v>42765</v>
      </c>
      <c r="C5341" t="s">
        <v>5464</v>
      </c>
      <c r="D5341" t="s">
        <v>5431</v>
      </c>
      <c r="E5341" t="s">
        <v>5457</v>
      </c>
      <c r="F5341">
        <v>3880</v>
      </c>
      <c r="G5341">
        <v>1</v>
      </c>
      <c r="H5341" t="s">
        <v>16</v>
      </c>
      <c r="I5341" s="1">
        <v>-1635800</v>
      </c>
      <c r="J5341" s="1">
        <v>-4968100</v>
      </c>
      <c r="K5341">
        <v>716</v>
      </c>
      <c r="L5341">
        <v>153</v>
      </c>
      <c r="M5341" t="s">
        <v>16</v>
      </c>
    </row>
    <row r="5342" spans="1:13" x14ac:dyDescent="0.35">
      <c r="A5342">
        <v>520170</v>
      </c>
      <c r="B5342">
        <v>42773</v>
      </c>
      <c r="C5342" t="s">
        <v>5465</v>
      </c>
      <c r="D5342" t="s">
        <v>5431</v>
      </c>
      <c r="E5342" t="s">
        <v>5465</v>
      </c>
      <c r="F5342">
        <v>17156</v>
      </c>
      <c r="G5342">
        <v>1</v>
      </c>
      <c r="H5342" t="s">
        <v>16</v>
      </c>
      <c r="I5342" s="1">
        <v>-1589800</v>
      </c>
      <c r="J5342" s="1">
        <v>-5225100</v>
      </c>
      <c r="K5342">
        <v>310</v>
      </c>
      <c r="L5342">
        <v>711</v>
      </c>
      <c r="M5342" t="s">
        <v>16</v>
      </c>
    </row>
    <row r="5343" spans="1:13" x14ac:dyDescent="0.35">
      <c r="A5343">
        <v>520180</v>
      </c>
      <c r="B5343">
        <v>42781</v>
      </c>
      <c r="C5343" t="s">
        <v>5466</v>
      </c>
      <c r="D5343" t="s">
        <v>5431</v>
      </c>
      <c r="E5343" t="s">
        <v>5432</v>
      </c>
      <c r="F5343">
        <v>7243</v>
      </c>
      <c r="G5343">
        <v>4</v>
      </c>
      <c r="H5343" t="s">
        <v>5433</v>
      </c>
      <c r="I5343" s="1">
        <v>-1691200</v>
      </c>
      <c r="J5343" s="1">
        <v>-4945100</v>
      </c>
      <c r="K5343">
        <v>859</v>
      </c>
      <c r="L5343">
        <v>218</v>
      </c>
      <c r="M5343" t="s">
        <v>16</v>
      </c>
    </row>
    <row r="5344" spans="1:13" x14ac:dyDescent="0.35">
      <c r="A5344">
        <v>520215</v>
      </c>
      <c r="B5344">
        <v>44938</v>
      </c>
      <c r="C5344" t="s">
        <v>5467</v>
      </c>
      <c r="D5344" t="s">
        <v>5431</v>
      </c>
      <c r="E5344" t="s">
        <v>3045</v>
      </c>
      <c r="F5344">
        <v>7482</v>
      </c>
      <c r="G5344">
        <v>1</v>
      </c>
      <c r="H5344" t="s">
        <v>16</v>
      </c>
      <c r="I5344" s="1">
        <v>-1509100</v>
      </c>
      <c r="J5344" s="1">
        <v>-5063200</v>
      </c>
      <c r="K5344">
        <v>304</v>
      </c>
      <c r="L5344">
        <v>2193</v>
      </c>
      <c r="M5344" t="s">
        <v>16</v>
      </c>
    </row>
    <row r="5345" spans="1:13" x14ac:dyDescent="0.35">
      <c r="A5345">
        <v>520235</v>
      </c>
      <c r="B5345">
        <v>44946</v>
      </c>
      <c r="C5345" t="s">
        <v>5468</v>
      </c>
      <c r="D5345" t="s">
        <v>5431</v>
      </c>
      <c r="E5345" t="s">
        <v>5465</v>
      </c>
      <c r="F5345">
        <v>3495</v>
      </c>
      <c r="G5345">
        <v>1</v>
      </c>
      <c r="H5345" t="s">
        <v>16</v>
      </c>
      <c r="I5345" s="1">
        <v>-1638600</v>
      </c>
      <c r="J5345" s="1">
        <v>-5156000</v>
      </c>
      <c r="K5345">
        <v>416</v>
      </c>
      <c r="L5345">
        <v>1074</v>
      </c>
      <c r="M5345" t="s">
        <v>16</v>
      </c>
    </row>
    <row r="5346" spans="1:13" x14ac:dyDescent="0.35">
      <c r="A5346">
        <v>520250</v>
      </c>
      <c r="B5346">
        <v>42854</v>
      </c>
      <c r="C5346" t="s">
        <v>5469</v>
      </c>
      <c r="D5346" t="s">
        <v>5431</v>
      </c>
      <c r="E5346" t="s">
        <v>3045</v>
      </c>
      <c r="F5346">
        <v>6476</v>
      </c>
      <c r="G5346">
        <v>1</v>
      </c>
      <c r="H5346" t="s">
        <v>16</v>
      </c>
      <c r="I5346" s="1">
        <v>-1492000</v>
      </c>
      <c r="J5346" s="1">
        <v>-5108300</v>
      </c>
      <c r="K5346">
        <v>250</v>
      </c>
      <c r="L5346">
        <v>3050</v>
      </c>
      <c r="M5346" t="s">
        <v>16</v>
      </c>
    </row>
    <row r="5347" spans="1:13" x14ac:dyDescent="0.35">
      <c r="A5347">
        <v>520260</v>
      </c>
      <c r="B5347">
        <v>42862</v>
      </c>
      <c r="C5347" t="s">
        <v>5470</v>
      </c>
      <c r="D5347" t="s">
        <v>5431</v>
      </c>
      <c r="E5347" t="s">
        <v>5439</v>
      </c>
      <c r="F5347">
        <v>3719</v>
      </c>
      <c r="G5347">
        <v>1</v>
      </c>
      <c r="H5347" t="s">
        <v>16</v>
      </c>
      <c r="I5347" s="1">
        <v>-1668200</v>
      </c>
      <c r="J5347" s="1">
        <v>-5046500</v>
      </c>
      <c r="K5347">
        <v>520</v>
      </c>
      <c r="L5347">
        <v>565</v>
      </c>
      <c r="M5347" t="s">
        <v>16</v>
      </c>
    </row>
    <row r="5348" spans="1:13" x14ac:dyDescent="0.35">
      <c r="A5348">
        <v>520280</v>
      </c>
      <c r="B5348">
        <v>42889</v>
      </c>
      <c r="C5348" t="s">
        <v>5471</v>
      </c>
      <c r="D5348" t="s">
        <v>5431</v>
      </c>
      <c r="E5348" t="s">
        <v>5439</v>
      </c>
      <c r="F5348">
        <v>2375</v>
      </c>
      <c r="G5348">
        <v>1</v>
      </c>
      <c r="H5348" t="s">
        <v>16</v>
      </c>
      <c r="I5348" s="1">
        <v>-1646600</v>
      </c>
      <c r="J5348" s="1">
        <v>-4975800</v>
      </c>
      <c r="K5348">
        <v>729</v>
      </c>
      <c r="L5348">
        <v>164</v>
      </c>
      <c r="M5348" t="s">
        <v>16</v>
      </c>
    </row>
    <row r="5349" spans="1:13" x14ac:dyDescent="0.35">
      <c r="A5349">
        <v>520310</v>
      </c>
      <c r="B5349">
        <v>42919</v>
      </c>
      <c r="C5349" t="s">
        <v>5472</v>
      </c>
      <c r="D5349" t="s">
        <v>5431</v>
      </c>
      <c r="E5349" t="s">
        <v>5465</v>
      </c>
      <c r="F5349">
        <v>3299</v>
      </c>
      <c r="G5349">
        <v>1</v>
      </c>
      <c r="H5349" t="s">
        <v>16</v>
      </c>
      <c r="I5349" s="1">
        <v>-1619600</v>
      </c>
      <c r="J5349" s="1">
        <v>-5254500</v>
      </c>
      <c r="K5349">
        <v>342</v>
      </c>
      <c r="L5349">
        <v>1782</v>
      </c>
      <c r="M5349" t="s">
        <v>16</v>
      </c>
    </row>
    <row r="5350" spans="1:13" x14ac:dyDescent="0.35">
      <c r="A5350">
        <v>520320</v>
      </c>
      <c r="B5350">
        <v>42927</v>
      </c>
      <c r="C5350" t="s">
        <v>2027</v>
      </c>
      <c r="D5350" t="s">
        <v>5431</v>
      </c>
      <c r="E5350" t="s">
        <v>5473</v>
      </c>
      <c r="F5350">
        <v>6446</v>
      </c>
      <c r="G5350">
        <v>1</v>
      </c>
      <c r="H5350" t="s">
        <v>16</v>
      </c>
      <c r="I5350" s="1">
        <v>-1497100</v>
      </c>
      <c r="J5350" s="1">
        <v>-4891600</v>
      </c>
      <c r="K5350">
        <v>605</v>
      </c>
      <c r="L5350">
        <v>1093</v>
      </c>
      <c r="M5350" t="s">
        <v>16</v>
      </c>
    </row>
    <row r="5351" spans="1:13" x14ac:dyDescent="0.35">
      <c r="A5351">
        <v>520330</v>
      </c>
      <c r="B5351">
        <v>42935</v>
      </c>
      <c r="C5351" t="s">
        <v>5474</v>
      </c>
      <c r="D5351" t="s">
        <v>5431</v>
      </c>
      <c r="E5351" t="s">
        <v>5432</v>
      </c>
      <c r="F5351">
        <v>20615</v>
      </c>
      <c r="G5351">
        <v>4</v>
      </c>
      <c r="H5351" t="s">
        <v>5433</v>
      </c>
      <c r="I5351" s="1">
        <v>-1697300</v>
      </c>
      <c r="J5351" s="1">
        <v>-4895300</v>
      </c>
      <c r="K5351">
        <v>803</v>
      </c>
      <c r="L5351">
        <v>1276</v>
      </c>
      <c r="M5351" t="s">
        <v>16</v>
      </c>
    </row>
    <row r="5352" spans="1:13" x14ac:dyDescent="0.35">
      <c r="A5352">
        <v>520340</v>
      </c>
      <c r="B5352">
        <v>42943</v>
      </c>
      <c r="C5352" t="s">
        <v>5475</v>
      </c>
      <c r="D5352" t="s">
        <v>5431</v>
      </c>
      <c r="E5352" t="s">
        <v>5465</v>
      </c>
      <c r="F5352">
        <v>8372</v>
      </c>
      <c r="G5352">
        <v>1</v>
      </c>
      <c r="H5352" t="s">
        <v>16</v>
      </c>
      <c r="I5352" s="1">
        <v>-1621000</v>
      </c>
      <c r="J5352" s="1">
        <v>-5217200</v>
      </c>
      <c r="K5352">
        <v>386</v>
      </c>
      <c r="L5352">
        <v>1850</v>
      </c>
      <c r="M5352" t="s">
        <v>16</v>
      </c>
    </row>
    <row r="5353" spans="1:13" x14ac:dyDescent="0.35">
      <c r="A5353">
        <v>520350</v>
      </c>
      <c r="B5353">
        <v>42951</v>
      </c>
      <c r="C5353" t="s">
        <v>5476</v>
      </c>
      <c r="D5353" t="s">
        <v>5431</v>
      </c>
      <c r="E5353" t="s">
        <v>5442</v>
      </c>
      <c r="F5353">
        <v>19574</v>
      </c>
      <c r="G5353">
        <v>1</v>
      </c>
      <c r="H5353" t="s">
        <v>16</v>
      </c>
      <c r="I5353" s="1">
        <v>-1821500</v>
      </c>
      <c r="J5353" s="1">
        <v>-4974200</v>
      </c>
      <c r="K5353">
        <v>619</v>
      </c>
      <c r="L5353">
        <v>1405</v>
      </c>
      <c r="M5353" t="s">
        <v>16</v>
      </c>
    </row>
    <row r="5354" spans="1:13" x14ac:dyDescent="0.35">
      <c r="A5354">
        <v>520355</v>
      </c>
      <c r="B5354">
        <v>47520</v>
      </c>
      <c r="C5354" t="s">
        <v>5477</v>
      </c>
      <c r="D5354" t="s">
        <v>5431</v>
      </c>
      <c r="E5354" t="s">
        <v>5432</v>
      </c>
      <c r="F5354">
        <v>6744</v>
      </c>
      <c r="G5354">
        <v>1</v>
      </c>
      <c r="H5354" t="s">
        <v>16</v>
      </c>
      <c r="I5354" s="1">
        <v>-1661800</v>
      </c>
      <c r="J5354" s="1">
        <v>-4896300</v>
      </c>
      <c r="K5354">
        <v>948</v>
      </c>
      <c r="L5354">
        <v>122</v>
      </c>
      <c r="M5354" t="s">
        <v>16</v>
      </c>
    </row>
    <row r="5355" spans="1:13" x14ac:dyDescent="0.35">
      <c r="A5355">
        <v>520357</v>
      </c>
      <c r="B5355">
        <v>59013</v>
      </c>
      <c r="C5355" t="s">
        <v>5478</v>
      </c>
      <c r="D5355" t="s">
        <v>5431</v>
      </c>
      <c r="E5355" t="s">
        <v>5447</v>
      </c>
      <c r="F5355">
        <v>3160</v>
      </c>
      <c r="G5355">
        <v>1</v>
      </c>
      <c r="H5355" t="s">
        <v>16</v>
      </c>
      <c r="I5355" s="1">
        <v>-1363600</v>
      </c>
      <c r="J5355" s="1">
        <v>-4981000</v>
      </c>
      <c r="K5355">
        <v>290</v>
      </c>
      <c r="L5355">
        <v>1628</v>
      </c>
      <c r="M5355" t="s">
        <v>16</v>
      </c>
    </row>
    <row r="5356" spans="1:13" x14ac:dyDescent="0.35">
      <c r="A5356">
        <v>520360</v>
      </c>
      <c r="B5356">
        <v>42960</v>
      </c>
      <c r="C5356" t="s">
        <v>5479</v>
      </c>
      <c r="D5356" t="s">
        <v>5431</v>
      </c>
      <c r="E5356" t="s">
        <v>5457</v>
      </c>
      <c r="F5356">
        <v>3142</v>
      </c>
      <c r="G5356">
        <v>1</v>
      </c>
      <c r="H5356" t="s">
        <v>16</v>
      </c>
      <c r="I5356" s="1">
        <v>-1643100</v>
      </c>
      <c r="J5356" s="1">
        <v>-4938900</v>
      </c>
      <c r="K5356">
        <v>761</v>
      </c>
      <c r="L5356">
        <v>123</v>
      </c>
      <c r="M5356" t="s">
        <v>16</v>
      </c>
    </row>
    <row r="5357" spans="1:13" x14ac:dyDescent="0.35">
      <c r="A5357">
        <v>520380</v>
      </c>
      <c r="B5357">
        <v>42986</v>
      </c>
      <c r="C5357" t="s">
        <v>5480</v>
      </c>
      <c r="D5357" t="s">
        <v>5431</v>
      </c>
      <c r="E5357" t="s">
        <v>3045</v>
      </c>
      <c r="F5357">
        <v>5073</v>
      </c>
      <c r="G5357">
        <v>1</v>
      </c>
      <c r="H5357" t="s">
        <v>16</v>
      </c>
      <c r="I5357" s="1">
        <v>-1524100</v>
      </c>
      <c r="J5357" s="1">
        <v>-5116100</v>
      </c>
      <c r="K5357">
        <v>263</v>
      </c>
      <c r="L5357">
        <v>1461</v>
      </c>
      <c r="M5357" t="s">
        <v>16</v>
      </c>
    </row>
    <row r="5358" spans="1:13" x14ac:dyDescent="0.35">
      <c r="A5358">
        <v>520390</v>
      </c>
      <c r="B5358">
        <v>42994</v>
      </c>
      <c r="C5358" t="s">
        <v>5481</v>
      </c>
      <c r="D5358" t="s">
        <v>5431</v>
      </c>
      <c r="E5358" t="s">
        <v>5442</v>
      </c>
      <c r="F5358">
        <v>8287</v>
      </c>
      <c r="G5358">
        <v>1</v>
      </c>
      <c r="H5358" t="s">
        <v>16</v>
      </c>
      <c r="I5358" s="1">
        <v>-1814400</v>
      </c>
      <c r="J5358" s="1">
        <v>-4904400</v>
      </c>
      <c r="K5358">
        <v>786</v>
      </c>
      <c r="L5358">
        <v>897</v>
      </c>
      <c r="M5358" t="s">
        <v>16</v>
      </c>
    </row>
    <row r="5359" spans="1:13" x14ac:dyDescent="0.35">
      <c r="A5359">
        <v>520393</v>
      </c>
      <c r="B5359">
        <v>53244</v>
      </c>
      <c r="C5359" t="s">
        <v>5482</v>
      </c>
      <c r="D5359" t="s">
        <v>5431</v>
      </c>
      <c r="E5359" t="s">
        <v>5439</v>
      </c>
      <c r="F5359">
        <v>2238</v>
      </c>
      <c r="G5359">
        <v>1</v>
      </c>
      <c r="H5359" t="s">
        <v>16</v>
      </c>
      <c r="I5359" s="1">
        <v>-1618100</v>
      </c>
      <c r="J5359" s="1">
        <v>-5043100</v>
      </c>
      <c r="K5359">
        <v>520</v>
      </c>
      <c r="L5359">
        <v>199</v>
      </c>
      <c r="M5359" t="s">
        <v>16</v>
      </c>
    </row>
    <row r="5360" spans="1:13" x14ac:dyDescent="0.35">
      <c r="A5360">
        <v>520396</v>
      </c>
      <c r="B5360">
        <v>53252</v>
      </c>
      <c r="C5360" t="s">
        <v>5483</v>
      </c>
      <c r="D5360" t="s">
        <v>5431</v>
      </c>
      <c r="E5360" t="s">
        <v>5451</v>
      </c>
      <c r="F5360">
        <v>3442</v>
      </c>
      <c r="G5360">
        <v>1</v>
      </c>
      <c r="H5360" t="s">
        <v>16</v>
      </c>
      <c r="I5360" s="1">
        <v>-1447900</v>
      </c>
      <c r="J5360" s="1">
        <v>-4640800</v>
      </c>
      <c r="K5360">
        <v>55</v>
      </c>
      <c r="L5360">
        <v>268</v>
      </c>
      <c r="M5360" t="s">
        <v>16</v>
      </c>
    </row>
    <row r="5361" spans="1:13" x14ac:dyDescent="0.35">
      <c r="A5361">
        <v>520400</v>
      </c>
      <c r="B5361">
        <v>43001</v>
      </c>
      <c r="C5361" t="s">
        <v>5484</v>
      </c>
      <c r="D5361" t="s">
        <v>5431</v>
      </c>
      <c r="E5361" t="s">
        <v>5435</v>
      </c>
      <c r="F5361">
        <v>6610</v>
      </c>
      <c r="G5361">
        <v>4</v>
      </c>
      <c r="H5361" t="s">
        <v>2523</v>
      </c>
      <c r="I5361" s="1">
        <v>-1580100</v>
      </c>
      <c r="J5361" s="1">
        <v>-4692700</v>
      </c>
      <c r="K5361">
        <v>926</v>
      </c>
      <c r="L5361">
        <v>1127</v>
      </c>
      <c r="M5361" t="s">
        <v>16</v>
      </c>
    </row>
    <row r="5362" spans="1:13" x14ac:dyDescent="0.35">
      <c r="A5362">
        <v>520410</v>
      </c>
      <c r="B5362">
        <v>43010</v>
      </c>
      <c r="C5362" t="s">
        <v>5485</v>
      </c>
      <c r="D5362" t="s">
        <v>5431</v>
      </c>
      <c r="E5362" t="s">
        <v>5486</v>
      </c>
      <c r="F5362">
        <v>8103</v>
      </c>
      <c r="G5362">
        <v>1</v>
      </c>
      <c r="H5362" t="s">
        <v>16</v>
      </c>
      <c r="I5362" s="1">
        <v>-1876300</v>
      </c>
      <c r="J5362" s="1">
        <v>-5094200</v>
      </c>
      <c r="K5362">
        <v>483</v>
      </c>
      <c r="L5362">
        <v>1654</v>
      </c>
      <c r="M5362" t="s">
        <v>16</v>
      </c>
    </row>
    <row r="5363" spans="1:13" x14ac:dyDescent="0.35">
      <c r="A5363">
        <v>520420</v>
      </c>
      <c r="B5363">
        <v>43028</v>
      </c>
      <c r="C5363" t="s">
        <v>5487</v>
      </c>
      <c r="D5363" t="s">
        <v>5431</v>
      </c>
      <c r="E5363" t="s">
        <v>5455</v>
      </c>
      <c r="F5363">
        <v>1410</v>
      </c>
      <c r="G5363">
        <v>1</v>
      </c>
      <c r="H5363" t="s">
        <v>16</v>
      </c>
      <c r="I5363" s="1">
        <v>-1666800</v>
      </c>
      <c r="J5363" s="1">
        <v>-5064700</v>
      </c>
      <c r="K5363">
        <v>764</v>
      </c>
      <c r="L5363">
        <v>415</v>
      </c>
      <c r="M5363" t="s">
        <v>16</v>
      </c>
    </row>
    <row r="5364" spans="1:13" x14ac:dyDescent="0.35">
      <c r="A5364">
        <v>520425</v>
      </c>
      <c r="B5364">
        <v>9067</v>
      </c>
      <c r="C5364" t="s">
        <v>2531</v>
      </c>
      <c r="D5364" t="s">
        <v>5431</v>
      </c>
      <c r="E5364" t="s">
        <v>5442</v>
      </c>
      <c r="F5364">
        <v>7567</v>
      </c>
      <c r="G5364">
        <v>1</v>
      </c>
      <c r="H5364" t="s">
        <v>16</v>
      </c>
      <c r="I5364" s="1">
        <v>-1849200</v>
      </c>
      <c r="J5364" s="1">
        <v>-4947500</v>
      </c>
      <c r="K5364">
        <v>459</v>
      </c>
      <c r="L5364">
        <v>521</v>
      </c>
      <c r="M5364" t="s">
        <v>16</v>
      </c>
    </row>
    <row r="5365" spans="1:13" x14ac:dyDescent="0.35">
      <c r="A5365">
        <v>520430</v>
      </c>
      <c r="B5365">
        <v>43036</v>
      </c>
      <c r="C5365" t="s">
        <v>5488</v>
      </c>
      <c r="D5365" t="s">
        <v>5431</v>
      </c>
      <c r="E5365" t="s">
        <v>5486</v>
      </c>
      <c r="F5365">
        <v>10892</v>
      </c>
      <c r="G5365">
        <v>1</v>
      </c>
      <c r="H5365" t="s">
        <v>16</v>
      </c>
      <c r="I5365" s="1">
        <v>-1855700</v>
      </c>
      <c r="J5365" s="1">
        <v>-5113100</v>
      </c>
      <c r="K5365">
        <v>469</v>
      </c>
      <c r="L5365">
        <v>2251</v>
      </c>
      <c r="M5365" t="s">
        <v>16</v>
      </c>
    </row>
    <row r="5366" spans="1:13" x14ac:dyDescent="0.35">
      <c r="A5366">
        <v>520440</v>
      </c>
      <c r="B5366">
        <v>43044</v>
      </c>
      <c r="C5366" t="s">
        <v>5489</v>
      </c>
      <c r="D5366" t="s">
        <v>5431</v>
      </c>
      <c r="E5366" t="s">
        <v>5462</v>
      </c>
      <c r="F5366">
        <v>15747</v>
      </c>
      <c r="G5366">
        <v>1</v>
      </c>
      <c r="H5366" t="s">
        <v>16</v>
      </c>
      <c r="I5366" s="1">
        <v>-1695700</v>
      </c>
      <c r="J5366" s="1">
        <v>-5181000</v>
      </c>
      <c r="K5366">
        <v>692</v>
      </c>
      <c r="L5366">
        <v>8653</v>
      </c>
      <c r="M5366" t="s">
        <v>16</v>
      </c>
    </row>
    <row r="5367" spans="1:13" x14ac:dyDescent="0.35">
      <c r="A5367">
        <v>520450</v>
      </c>
      <c r="B5367">
        <v>43052</v>
      </c>
      <c r="C5367" t="s">
        <v>5490</v>
      </c>
      <c r="D5367" t="s">
        <v>5431</v>
      </c>
      <c r="E5367" t="s">
        <v>5442</v>
      </c>
      <c r="F5367">
        <v>62204</v>
      </c>
      <c r="G5367">
        <v>2</v>
      </c>
      <c r="H5367" t="s">
        <v>16</v>
      </c>
      <c r="I5367" s="1">
        <v>-1774400</v>
      </c>
      <c r="J5367" s="1">
        <v>-4862600</v>
      </c>
      <c r="K5367">
        <v>686</v>
      </c>
      <c r="L5367">
        <v>1589</v>
      </c>
      <c r="M5367" t="s">
        <v>16</v>
      </c>
    </row>
    <row r="5368" spans="1:13" x14ac:dyDescent="0.35">
      <c r="A5368">
        <v>520455</v>
      </c>
      <c r="B5368">
        <v>53260</v>
      </c>
      <c r="C5368" t="s">
        <v>5491</v>
      </c>
      <c r="D5368" t="s">
        <v>5431</v>
      </c>
      <c r="E5368" t="s">
        <v>5432</v>
      </c>
      <c r="F5368">
        <v>3157</v>
      </c>
      <c r="G5368">
        <v>1</v>
      </c>
      <c r="H5368" t="s">
        <v>16</v>
      </c>
      <c r="I5368" s="1">
        <v>-1671400</v>
      </c>
      <c r="J5368" s="1">
        <v>-4900200</v>
      </c>
      <c r="K5368">
        <v>866</v>
      </c>
      <c r="L5368">
        <v>311</v>
      </c>
      <c r="M5368" t="s">
        <v>16</v>
      </c>
    </row>
    <row r="5369" spans="1:13" x14ac:dyDescent="0.35">
      <c r="A5369">
        <v>520460</v>
      </c>
      <c r="B5369">
        <v>43060</v>
      </c>
      <c r="C5369" t="s">
        <v>5492</v>
      </c>
      <c r="D5369" t="s">
        <v>5431</v>
      </c>
      <c r="E5369" t="s">
        <v>5437</v>
      </c>
      <c r="F5369">
        <v>3411</v>
      </c>
      <c r="G5369">
        <v>1</v>
      </c>
      <c r="H5369" t="s">
        <v>16</v>
      </c>
      <c r="I5369" s="1">
        <v>-1676200</v>
      </c>
      <c r="J5369" s="1">
        <v>-4969400</v>
      </c>
      <c r="K5369">
        <v>651</v>
      </c>
      <c r="L5369">
        <v>273</v>
      </c>
      <c r="M5369" t="s">
        <v>16</v>
      </c>
    </row>
    <row r="5370" spans="1:13" x14ac:dyDescent="0.35">
      <c r="A5370">
        <v>520465</v>
      </c>
      <c r="B5370">
        <v>9075</v>
      </c>
      <c r="C5370" t="s">
        <v>5493</v>
      </c>
      <c r="D5370" t="s">
        <v>5431</v>
      </c>
      <c r="E5370" t="s">
        <v>5447</v>
      </c>
      <c r="F5370">
        <v>3765</v>
      </c>
      <c r="G5370">
        <v>1</v>
      </c>
      <c r="H5370" t="s">
        <v>16</v>
      </c>
      <c r="I5370" s="1">
        <v>-1379000</v>
      </c>
      <c r="J5370" s="1">
        <v>-4857100</v>
      </c>
      <c r="K5370">
        <v>690</v>
      </c>
      <c r="L5370">
        <v>1974</v>
      </c>
      <c r="M5370" t="s">
        <v>16</v>
      </c>
    </row>
    <row r="5371" spans="1:13" x14ac:dyDescent="0.35">
      <c r="A5371">
        <v>520470</v>
      </c>
      <c r="B5371">
        <v>43079</v>
      </c>
      <c r="C5371" t="s">
        <v>5494</v>
      </c>
      <c r="D5371" t="s">
        <v>5431</v>
      </c>
      <c r="E5371" t="s">
        <v>5447</v>
      </c>
      <c r="F5371">
        <v>9697</v>
      </c>
      <c r="G5371">
        <v>1</v>
      </c>
      <c r="H5371" t="s">
        <v>16</v>
      </c>
      <c r="I5371" s="1">
        <v>-1431400</v>
      </c>
      <c r="J5371" s="1">
        <v>-4915200</v>
      </c>
      <c r="K5371">
        <v>537</v>
      </c>
      <c r="L5371">
        <v>1068</v>
      </c>
      <c r="M5371" t="s">
        <v>16</v>
      </c>
    </row>
    <row r="5372" spans="1:13" x14ac:dyDescent="0.35">
      <c r="A5372">
        <v>520480</v>
      </c>
      <c r="B5372">
        <v>43087</v>
      </c>
      <c r="C5372" t="s">
        <v>5495</v>
      </c>
      <c r="D5372" t="s">
        <v>5431</v>
      </c>
      <c r="E5372" t="s">
        <v>5459</v>
      </c>
      <c r="F5372">
        <v>5767</v>
      </c>
      <c r="G5372">
        <v>1</v>
      </c>
      <c r="H5372" t="s">
        <v>16</v>
      </c>
      <c r="I5372" s="1">
        <v>-1763900</v>
      </c>
      <c r="J5372" s="1">
        <v>-4778200</v>
      </c>
      <c r="K5372">
        <v>877</v>
      </c>
      <c r="L5372">
        <v>2463</v>
      </c>
      <c r="M5372" t="s">
        <v>16</v>
      </c>
    </row>
    <row r="5373" spans="1:13" x14ac:dyDescent="0.35">
      <c r="A5373">
        <v>520485</v>
      </c>
      <c r="B5373">
        <v>60070</v>
      </c>
      <c r="C5373" t="s">
        <v>5496</v>
      </c>
      <c r="D5373" t="s">
        <v>5431</v>
      </c>
      <c r="E5373" t="s">
        <v>5457</v>
      </c>
      <c r="F5373">
        <v>5596</v>
      </c>
      <c r="G5373">
        <v>1</v>
      </c>
      <c r="H5373" t="s">
        <v>16</v>
      </c>
      <c r="I5373" s="1">
        <v>-1629700</v>
      </c>
      <c r="J5373" s="1">
        <v>-4908800</v>
      </c>
      <c r="K5373">
        <v>0</v>
      </c>
      <c r="L5373">
        <v>156</v>
      </c>
      <c r="M5373" t="s">
        <v>16</v>
      </c>
    </row>
    <row r="5374" spans="1:13" x14ac:dyDescent="0.35">
      <c r="A5374">
        <v>520490</v>
      </c>
      <c r="B5374">
        <v>43095</v>
      </c>
      <c r="C5374" t="s">
        <v>5497</v>
      </c>
      <c r="D5374" t="s">
        <v>5431</v>
      </c>
      <c r="E5374" t="s">
        <v>5449</v>
      </c>
      <c r="F5374">
        <v>18238</v>
      </c>
      <c r="G5374">
        <v>1</v>
      </c>
      <c r="H5374" t="s">
        <v>16</v>
      </c>
      <c r="I5374" s="1">
        <v>-1303700</v>
      </c>
      <c r="J5374" s="1">
        <v>-4677200</v>
      </c>
      <c r="K5374">
        <v>643</v>
      </c>
      <c r="L5374">
        <v>724</v>
      </c>
      <c r="M5374" t="s">
        <v>16</v>
      </c>
    </row>
    <row r="5375" spans="1:13" x14ac:dyDescent="0.35">
      <c r="A5375">
        <v>520495</v>
      </c>
      <c r="B5375">
        <v>46973</v>
      </c>
      <c r="C5375" t="s">
        <v>5498</v>
      </c>
      <c r="D5375" t="s">
        <v>5431</v>
      </c>
      <c r="E5375" t="s">
        <v>5447</v>
      </c>
      <c r="F5375">
        <v>6331</v>
      </c>
      <c r="G5375">
        <v>1</v>
      </c>
      <c r="H5375" t="s">
        <v>16</v>
      </c>
      <c r="I5375" s="1">
        <v>-1425800</v>
      </c>
      <c r="J5375" s="1">
        <v>-4965800</v>
      </c>
      <c r="K5375">
        <v>420</v>
      </c>
      <c r="L5375">
        <v>441</v>
      </c>
      <c r="M5375" t="s">
        <v>16</v>
      </c>
    </row>
    <row r="5376" spans="1:13" x14ac:dyDescent="0.35">
      <c r="A5376">
        <v>520500</v>
      </c>
      <c r="B5376">
        <v>43109</v>
      </c>
      <c r="C5376" t="s">
        <v>5499</v>
      </c>
      <c r="D5376" t="s">
        <v>5431</v>
      </c>
      <c r="E5376" t="s">
        <v>5473</v>
      </c>
      <c r="F5376">
        <v>8897</v>
      </c>
      <c r="G5376">
        <v>1</v>
      </c>
      <c r="H5376" t="s">
        <v>16</v>
      </c>
      <c r="I5376" s="1">
        <v>-1535400</v>
      </c>
      <c r="J5376" s="1">
        <v>-4970800</v>
      </c>
      <c r="K5376">
        <v>629</v>
      </c>
      <c r="L5376">
        <v>455</v>
      </c>
      <c r="M5376" t="s">
        <v>16</v>
      </c>
    </row>
    <row r="5377" spans="1:13" x14ac:dyDescent="0.35">
      <c r="A5377">
        <v>520505</v>
      </c>
      <c r="B5377">
        <v>53279</v>
      </c>
      <c r="C5377" t="s">
        <v>5500</v>
      </c>
      <c r="D5377" t="s">
        <v>5431</v>
      </c>
      <c r="E5377" t="s">
        <v>5462</v>
      </c>
      <c r="F5377">
        <v>3530</v>
      </c>
      <c r="G5377">
        <v>1</v>
      </c>
      <c r="H5377" t="s">
        <v>16</v>
      </c>
      <c r="I5377" s="1">
        <v>-1809100</v>
      </c>
      <c r="J5377" s="1">
        <v>-5020100</v>
      </c>
      <c r="K5377">
        <v>442</v>
      </c>
      <c r="L5377">
        <v>297</v>
      </c>
      <c r="M5377" t="s">
        <v>16</v>
      </c>
    </row>
    <row r="5378" spans="1:13" x14ac:dyDescent="0.35">
      <c r="A5378">
        <v>520510</v>
      </c>
      <c r="B5378">
        <v>43117</v>
      </c>
      <c r="C5378" t="s">
        <v>5501</v>
      </c>
      <c r="D5378" t="s">
        <v>5431</v>
      </c>
      <c r="E5378" t="s">
        <v>5459</v>
      </c>
      <c r="F5378">
        <v>75623</v>
      </c>
      <c r="G5378">
        <v>2</v>
      </c>
      <c r="H5378" t="s">
        <v>16</v>
      </c>
      <c r="I5378" s="1">
        <v>-1817000</v>
      </c>
      <c r="J5378" s="1">
        <v>-4794200</v>
      </c>
      <c r="K5378">
        <v>835</v>
      </c>
      <c r="L5378">
        <v>3777</v>
      </c>
      <c r="M5378" t="s">
        <v>16</v>
      </c>
    </row>
    <row r="5379" spans="1:13" x14ac:dyDescent="0.35">
      <c r="A5379">
        <v>520520</v>
      </c>
      <c r="B5379">
        <v>43125</v>
      </c>
      <c r="C5379" t="s">
        <v>5502</v>
      </c>
      <c r="D5379" t="s">
        <v>5431</v>
      </c>
      <c r="E5379" t="s">
        <v>5457</v>
      </c>
      <c r="F5379">
        <v>4477</v>
      </c>
      <c r="G5379">
        <v>1</v>
      </c>
      <c r="H5379" t="s">
        <v>16</v>
      </c>
      <c r="I5379" s="1">
        <v>-1644700</v>
      </c>
      <c r="J5379" s="1">
        <v>-4949400</v>
      </c>
      <c r="K5379">
        <v>763</v>
      </c>
      <c r="L5379">
        <v>207</v>
      </c>
      <c r="M5379" t="s">
        <v>16</v>
      </c>
    </row>
    <row r="5380" spans="1:13" x14ac:dyDescent="0.35">
      <c r="A5380">
        <v>520530</v>
      </c>
      <c r="B5380">
        <v>43133</v>
      </c>
      <c r="C5380" t="s">
        <v>5503</v>
      </c>
      <c r="D5380" t="s">
        <v>5431</v>
      </c>
      <c r="E5380" t="s">
        <v>5449</v>
      </c>
      <c r="F5380">
        <v>9875</v>
      </c>
      <c r="G5380">
        <v>1</v>
      </c>
      <c r="H5380" t="s">
        <v>16</v>
      </c>
      <c r="I5380" s="1">
        <v>-1379800</v>
      </c>
      <c r="J5380" s="1">
        <v>-4745800</v>
      </c>
      <c r="K5380">
        <v>823</v>
      </c>
      <c r="L5380">
        <v>6953</v>
      </c>
      <c r="M5380" t="s">
        <v>16</v>
      </c>
    </row>
    <row r="5381" spans="1:13" x14ac:dyDescent="0.35">
      <c r="A5381">
        <v>520540</v>
      </c>
      <c r="B5381">
        <v>43141</v>
      </c>
      <c r="C5381" t="s">
        <v>5473</v>
      </c>
      <c r="D5381" t="s">
        <v>5431</v>
      </c>
      <c r="E5381" t="s">
        <v>5473</v>
      </c>
      <c r="F5381">
        <v>18637</v>
      </c>
      <c r="G5381">
        <v>1</v>
      </c>
      <c r="H5381" t="s">
        <v>16</v>
      </c>
      <c r="I5381" s="1">
        <v>-1530800</v>
      </c>
      <c r="J5381" s="1">
        <v>-4959800</v>
      </c>
      <c r="K5381">
        <v>571</v>
      </c>
      <c r="L5381">
        <v>213</v>
      </c>
      <c r="M5381" t="s">
        <v>16</v>
      </c>
    </row>
    <row r="5382" spans="1:13" x14ac:dyDescent="0.35">
      <c r="A5382">
        <v>520545</v>
      </c>
      <c r="B5382">
        <v>46981</v>
      </c>
      <c r="C5382" t="s">
        <v>5504</v>
      </c>
      <c r="D5382" t="s">
        <v>5431</v>
      </c>
      <c r="E5382" t="s">
        <v>5437</v>
      </c>
      <c r="F5382">
        <v>7361</v>
      </c>
      <c r="G5382">
        <v>1</v>
      </c>
      <c r="H5382" t="s">
        <v>16</v>
      </c>
      <c r="I5382" s="1">
        <v>-1697200</v>
      </c>
      <c r="J5382" s="1">
        <v>-4977600</v>
      </c>
      <c r="K5382">
        <v>596</v>
      </c>
      <c r="L5382">
        <v>415</v>
      </c>
      <c r="M5382" t="s">
        <v>16</v>
      </c>
    </row>
    <row r="5383" spans="1:13" x14ac:dyDescent="0.35">
      <c r="A5383">
        <v>520547</v>
      </c>
      <c r="B5383">
        <v>53287</v>
      </c>
      <c r="C5383" t="s">
        <v>5505</v>
      </c>
      <c r="D5383" t="s">
        <v>5431</v>
      </c>
      <c r="E5383" t="s">
        <v>5462</v>
      </c>
      <c r="F5383">
        <v>5289</v>
      </c>
      <c r="G5383">
        <v>1</v>
      </c>
      <c r="H5383" t="s">
        <v>16</v>
      </c>
      <c r="I5383" s="1">
        <v>-1840800</v>
      </c>
      <c r="J5383" s="1">
        <v>-5254900</v>
      </c>
      <c r="K5383">
        <v>725</v>
      </c>
      <c r="L5383">
        <v>2354</v>
      </c>
      <c r="M5383" t="s">
        <v>16</v>
      </c>
    </row>
    <row r="5384" spans="1:13" x14ac:dyDescent="0.35">
      <c r="A5384">
        <v>520549</v>
      </c>
      <c r="B5384">
        <v>53295</v>
      </c>
      <c r="C5384" t="s">
        <v>5506</v>
      </c>
      <c r="D5384" t="s">
        <v>5431</v>
      </c>
      <c r="E5384" t="s">
        <v>5435</v>
      </c>
      <c r="F5384">
        <v>48589</v>
      </c>
      <c r="G5384">
        <v>4</v>
      </c>
      <c r="H5384" t="s">
        <v>2523</v>
      </c>
      <c r="I5384" s="1">
        <v>-1607700</v>
      </c>
      <c r="J5384" s="1">
        <v>-4792500</v>
      </c>
      <c r="K5384">
        <v>1057</v>
      </c>
      <c r="L5384">
        <v>388</v>
      </c>
      <c r="M5384" t="s">
        <v>16</v>
      </c>
    </row>
    <row r="5385" spans="1:13" x14ac:dyDescent="0.35">
      <c r="A5385">
        <v>520551</v>
      </c>
      <c r="B5385">
        <v>53309</v>
      </c>
      <c r="C5385" t="s">
        <v>5507</v>
      </c>
      <c r="D5385" t="s">
        <v>5431</v>
      </c>
      <c r="E5385" t="s">
        <v>5435</v>
      </c>
      <c r="F5385">
        <v>14762</v>
      </c>
      <c r="G5385">
        <v>4</v>
      </c>
      <c r="H5385" t="s">
        <v>2523</v>
      </c>
      <c r="I5385" s="1">
        <v>-1579400</v>
      </c>
      <c r="J5385" s="1">
        <v>-4877600</v>
      </c>
      <c r="K5385">
        <v>1152</v>
      </c>
      <c r="L5385">
        <v>1787</v>
      </c>
      <c r="M5385" t="s">
        <v>16</v>
      </c>
    </row>
    <row r="5386" spans="1:13" x14ac:dyDescent="0.35">
      <c r="A5386">
        <v>520552</v>
      </c>
      <c r="B5386">
        <v>47538</v>
      </c>
      <c r="C5386" t="s">
        <v>5508</v>
      </c>
      <c r="D5386" t="s">
        <v>5431</v>
      </c>
      <c r="E5386" t="s">
        <v>5449</v>
      </c>
      <c r="F5386">
        <v>3856</v>
      </c>
      <c r="G5386">
        <v>1</v>
      </c>
      <c r="H5386" t="s">
        <v>16</v>
      </c>
      <c r="I5386" s="1">
        <v>-1415100</v>
      </c>
      <c r="J5386" s="1">
        <v>-4807800</v>
      </c>
      <c r="K5386">
        <v>535</v>
      </c>
      <c r="L5386">
        <v>1708</v>
      </c>
      <c r="M5386" t="s">
        <v>16</v>
      </c>
    </row>
    <row r="5387" spans="1:13" x14ac:dyDescent="0.35">
      <c r="A5387">
        <v>520570</v>
      </c>
      <c r="B5387">
        <v>43184</v>
      </c>
      <c r="C5387" t="s">
        <v>5509</v>
      </c>
      <c r="D5387" t="s">
        <v>5431</v>
      </c>
      <c r="E5387" t="s">
        <v>5455</v>
      </c>
      <c r="F5387">
        <v>2633</v>
      </c>
      <c r="G5387">
        <v>1</v>
      </c>
      <c r="H5387" t="s">
        <v>16</v>
      </c>
      <c r="I5387" s="1">
        <v>-1629400</v>
      </c>
      <c r="J5387" s="1">
        <v>-5054800</v>
      </c>
      <c r="K5387">
        <v>563</v>
      </c>
      <c r="L5387">
        <v>462</v>
      </c>
      <c r="M5387" t="s">
        <v>16</v>
      </c>
    </row>
    <row r="5388" spans="1:13" x14ac:dyDescent="0.35">
      <c r="A5388">
        <v>520580</v>
      </c>
      <c r="B5388">
        <v>43192</v>
      </c>
      <c r="C5388" t="s">
        <v>5510</v>
      </c>
      <c r="D5388" t="s">
        <v>5431</v>
      </c>
      <c r="E5388" t="s">
        <v>5435</v>
      </c>
      <c r="F5388">
        <v>9190</v>
      </c>
      <c r="G5388">
        <v>4</v>
      </c>
      <c r="H5388" t="s">
        <v>2523</v>
      </c>
      <c r="I5388" s="1">
        <v>-1592400</v>
      </c>
      <c r="J5388" s="1">
        <v>-4880900</v>
      </c>
      <c r="K5388">
        <v>962</v>
      </c>
      <c r="L5388">
        <v>1062</v>
      </c>
      <c r="M5388" t="s">
        <v>16</v>
      </c>
    </row>
    <row r="5389" spans="1:13" x14ac:dyDescent="0.35">
      <c r="A5389">
        <v>520590</v>
      </c>
      <c r="B5389">
        <v>43206</v>
      </c>
      <c r="C5389" t="s">
        <v>5511</v>
      </c>
      <c r="D5389" t="s">
        <v>5431</v>
      </c>
      <c r="E5389" t="s">
        <v>5459</v>
      </c>
      <c r="F5389">
        <v>8001</v>
      </c>
      <c r="G5389">
        <v>1</v>
      </c>
      <c r="H5389" t="s">
        <v>16</v>
      </c>
      <c r="I5389" s="1">
        <v>-1814200</v>
      </c>
      <c r="J5389" s="1">
        <v>-4856200</v>
      </c>
      <c r="K5389">
        <v>633</v>
      </c>
      <c r="L5389">
        <v>1881</v>
      </c>
      <c r="M5389" t="s">
        <v>16</v>
      </c>
    </row>
    <row r="5390" spans="1:13" x14ac:dyDescent="0.35">
      <c r="A5390">
        <v>520620</v>
      </c>
      <c r="B5390">
        <v>43230</v>
      </c>
      <c r="C5390" t="s">
        <v>5512</v>
      </c>
      <c r="D5390" t="s">
        <v>5431</v>
      </c>
      <c r="E5390" t="s">
        <v>5435</v>
      </c>
      <c r="F5390">
        <v>36614</v>
      </c>
      <c r="G5390">
        <v>4</v>
      </c>
      <c r="H5390" t="s">
        <v>2523</v>
      </c>
      <c r="I5390" s="1">
        <v>-1676900</v>
      </c>
      <c r="J5390" s="1">
        <v>-4761400</v>
      </c>
      <c r="K5390">
        <v>1189</v>
      </c>
      <c r="L5390">
        <v>6160</v>
      </c>
      <c r="M5390" t="s">
        <v>16</v>
      </c>
    </row>
    <row r="5391" spans="1:13" x14ac:dyDescent="0.35">
      <c r="A5391">
        <v>520630</v>
      </c>
      <c r="B5391">
        <v>43249</v>
      </c>
      <c r="C5391" t="s">
        <v>5513</v>
      </c>
      <c r="D5391" t="s">
        <v>5431</v>
      </c>
      <c r="E5391" t="s">
        <v>5514</v>
      </c>
      <c r="F5391">
        <v>3041</v>
      </c>
      <c r="G5391">
        <v>1</v>
      </c>
      <c r="H5391" t="s">
        <v>16</v>
      </c>
      <c r="I5391" s="1">
        <v>-1719900</v>
      </c>
      <c r="J5391" s="1">
        <v>-4870400</v>
      </c>
      <c r="K5391">
        <v>802</v>
      </c>
      <c r="L5391">
        <v>225</v>
      </c>
      <c r="M5391" t="s">
        <v>16</v>
      </c>
    </row>
    <row r="5392" spans="1:13" x14ac:dyDescent="0.35">
      <c r="A5392">
        <v>520640</v>
      </c>
      <c r="B5392">
        <v>43257</v>
      </c>
      <c r="C5392" t="s">
        <v>5515</v>
      </c>
      <c r="D5392" t="s">
        <v>5431</v>
      </c>
      <c r="E5392" t="s">
        <v>5516</v>
      </c>
      <c r="F5392">
        <v>14547</v>
      </c>
      <c r="G5392">
        <v>1</v>
      </c>
      <c r="H5392" t="s">
        <v>16</v>
      </c>
      <c r="I5392" s="1">
        <v>-1454900</v>
      </c>
      <c r="J5392" s="1">
        <v>-4996900</v>
      </c>
      <c r="K5392">
        <v>389</v>
      </c>
      <c r="L5392">
        <v>4661</v>
      </c>
      <c r="M5392" t="s">
        <v>16</v>
      </c>
    </row>
    <row r="5393" spans="1:13" x14ac:dyDescent="0.35">
      <c r="A5393">
        <v>520650</v>
      </c>
      <c r="B5393">
        <v>43265</v>
      </c>
      <c r="C5393" t="s">
        <v>5517</v>
      </c>
      <c r="D5393" t="s">
        <v>5431</v>
      </c>
      <c r="E5393" t="s">
        <v>5442</v>
      </c>
      <c r="F5393">
        <v>3618</v>
      </c>
      <c r="G5393">
        <v>1</v>
      </c>
      <c r="H5393" t="s">
        <v>16</v>
      </c>
      <c r="I5393" s="1">
        <v>-1728800</v>
      </c>
      <c r="J5393" s="1">
        <v>-4938100</v>
      </c>
      <c r="K5393">
        <v>694</v>
      </c>
      <c r="L5393">
        <v>369</v>
      </c>
      <c r="M5393" t="s">
        <v>16</v>
      </c>
    </row>
    <row r="5394" spans="1:13" x14ac:dyDescent="0.35">
      <c r="A5394">
        <v>520660</v>
      </c>
      <c r="B5394">
        <v>43273</v>
      </c>
      <c r="C5394" t="s">
        <v>5518</v>
      </c>
      <c r="D5394" t="s">
        <v>5431</v>
      </c>
      <c r="E5394" t="s">
        <v>5459</v>
      </c>
      <c r="F5394">
        <v>3055</v>
      </c>
      <c r="G5394">
        <v>1</v>
      </c>
      <c r="H5394" t="s">
        <v>16</v>
      </c>
      <c r="I5394" s="1">
        <v>-1826300</v>
      </c>
      <c r="J5394" s="1">
        <v>-4815100</v>
      </c>
      <c r="K5394">
        <v>692</v>
      </c>
      <c r="L5394">
        <v>579</v>
      </c>
      <c r="M5394" t="s">
        <v>16</v>
      </c>
    </row>
    <row r="5395" spans="1:13" x14ac:dyDescent="0.35">
      <c r="A5395">
        <v>520670</v>
      </c>
      <c r="B5395">
        <v>43281</v>
      </c>
      <c r="C5395" t="s">
        <v>5519</v>
      </c>
      <c r="D5395" t="s">
        <v>5431</v>
      </c>
      <c r="E5395" t="s">
        <v>5451</v>
      </c>
      <c r="F5395">
        <v>3507</v>
      </c>
      <c r="G5395">
        <v>1</v>
      </c>
      <c r="H5395" t="s">
        <v>16</v>
      </c>
      <c r="I5395" s="1">
        <v>-1456400</v>
      </c>
      <c r="J5395" s="1">
        <v>-4617700</v>
      </c>
      <c r="K5395">
        <v>746</v>
      </c>
      <c r="L5395">
        <v>415</v>
      </c>
      <c r="M5395" t="s">
        <v>16</v>
      </c>
    </row>
    <row r="5396" spans="1:13" x14ac:dyDescent="0.35">
      <c r="A5396">
        <v>520680</v>
      </c>
      <c r="B5396">
        <v>43290</v>
      </c>
      <c r="C5396" t="s">
        <v>5520</v>
      </c>
      <c r="D5396" t="s">
        <v>5431</v>
      </c>
      <c r="E5396" t="s">
        <v>5457</v>
      </c>
      <c r="F5396">
        <v>2688</v>
      </c>
      <c r="G5396">
        <v>1</v>
      </c>
      <c r="H5396" t="s">
        <v>16</v>
      </c>
      <c r="I5396" s="1">
        <v>-1625300</v>
      </c>
      <c r="J5396" s="1">
        <v>-4937000</v>
      </c>
      <c r="K5396">
        <v>819</v>
      </c>
      <c r="L5396">
        <v>84</v>
      </c>
      <c r="M5396" t="s">
        <v>16</v>
      </c>
    </row>
    <row r="5397" spans="1:13" x14ac:dyDescent="0.35">
      <c r="A5397">
        <v>520690</v>
      </c>
      <c r="B5397">
        <v>43303</v>
      </c>
      <c r="C5397" t="s">
        <v>624</v>
      </c>
      <c r="D5397" t="s">
        <v>5431</v>
      </c>
      <c r="E5397" t="s">
        <v>5459</v>
      </c>
      <c r="F5397">
        <v>2013</v>
      </c>
      <c r="G5397">
        <v>1</v>
      </c>
      <c r="H5397" t="s">
        <v>16</v>
      </c>
      <c r="I5397" s="1">
        <v>-1815300</v>
      </c>
      <c r="J5397" s="1">
        <v>-4756200</v>
      </c>
      <c r="K5397">
        <v>771</v>
      </c>
      <c r="L5397">
        <v>520</v>
      </c>
      <c r="M5397" t="s">
        <v>16</v>
      </c>
    </row>
    <row r="5398" spans="1:13" x14ac:dyDescent="0.35">
      <c r="A5398">
        <v>520710</v>
      </c>
      <c r="B5398">
        <v>43320</v>
      </c>
      <c r="C5398" t="s">
        <v>5521</v>
      </c>
      <c r="D5398" t="s">
        <v>5431</v>
      </c>
      <c r="E5398" t="s">
        <v>5465</v>
      </c>
      <c r="F5398">
        <v>2236</v>
      </c>
      <c r="G5398">
        <v>1</v>
      </c>
      <c r="H5398" t="s">
        <v>16</v>
      </c>
      <c r="I5398" s="1">
        <v>-1623400</v>
      </c>
      <c r="J5398" s="1">
        <v>-5125600</v>
      </c>
      <c r="K5398">
        <v>506</v>
      </c>
      <c r="L5398">
        <v>687</v>
      </c>
      <c r="M5398" t="s">
        <v>16</v>
      </c>
    </row>
    <row r="5399" spans="1:13" x14ac:dyDescent="0.35">
      <c r="A5399">
        <v>520725</v>
      </c>
      <c r="B5399">
        <v>9083</v>
      </c>
      <c r="C5399" t="s">
        <v>5522</v>
      </c>
      <c r="D5399" t="s">
        <v>5431</v>
      </c>
      <c r="E5399" t="s">
        <v>5462</v>
      </c>
      <c r="F5399">
        <v>8344</v>
      </c>
      <c r="G5399">
        <v>1</v>
      </c>
      <c r="H5399" t="s">
        <v>16</v>
      </c>
      <c r="I5399" s="1">
        <v>-1672000</v>
      </c>
      <c r="J5399" s="1">
        <v>-5231900</v>
      </c>
      <c r="K5399">
        <v>509</v>
      </c>
      <c r="L5399">
        <v>3207</v>
      </c>
      <c r="M5399" t="s">
        <v>16</v>
      </c>
    </row>
    <row r="5400" spans="1:13" x14ac:dyDescent="0.35">
      <c r="A5400">
        <v>520735</v>
      </c>
      <c r="B5400">
        <v>46990</v>
      </c>
      <c r="C5400" t="s">
        <v>5523</v>
      </c>
      <c r="D5400" t="s">
        <v>5431</v>
      </c>
      <c r="E5400" t="s">
        <v>5437</v>
      </c>
      <c r="F5400">
        <v>3718</v>
      </c>
      <c r="G5400">
        <v>1</v>
      </c>
      <c r="H5400" t="s">
        <v>16</v>
      </c>
      <c r="I5400" s="1">
        <v>-1742600</v>
      </c>
      <c r="J5400" s="1">
        <v>-4966500</v>
      </c>
      <c r="K5400">
        <v>578</v>
      </c>
      <c r="L5400">
        <v>603</v>
      </c>
      <c r="M5400" t="s">
        <v>16</v>
      </c>
    </row>
    <row r="5401" spans="1:13" x14ac:dyDescent="0.35">
      <c r="A5401">
        <v>520740</v>
      </c>
      <c r="B5401">
        <v>43354</v>
      </c>
      <c r="C5401" t="s">
        <v>5524</v>
      </c>
      <c r="D5401" t="s">
        <v>5431</v>
      </c>
      <c r="E5401" t="s">
        <v>5437</v>
      </c>
      <c r="F5401">
        <v>10251</v>
      </c>
      <c r="G5401">
        <v>1</v>
      </c>
      <c r="H5401" t="s">
        <v>16</v>
      </c>
      <c r="I5401" s="1">
        <v>-1733900</v>
      </c>
      <c r="J5401" s="1">
        <v>-4993100</v>
      </c>
      <c r="K5401">
        <v>601</v>
      </c>
      <c r="L5401">
        <v>1461</v>
      </c>
      <c r="M5401" t="s">
        <v>16</v>
      </c>
    </row>
    <row r="5402" spans="1:13" x14ac:dyDescent="0.35">
      <c r="A5402">
        <v>520750</v>
      </c>
      <c r="B5402">
        <v>43362</v>
      </c>
      <c r="C5402" t="s">
        <v>3630</v>
      </c>
      <c r="D5402" t="s">
        <v>5431</v>
      </c>
      <c r="E5402" t="s">
        <v>5447</v>
      </c>
      <c r="F5402">
        <v>3174</v>
      </c>
      <c r="G5402">
        <v>1</v>
      </c>
      <c r="H5402" t="s">
        <v>16</v>
      </c>
      <c r="I5402" s="1">
        <v>-1386800</v>
      </c>
      <c r="J5402" s="1">
        <v>-4907300</v>
      </c>
      <c r="K5402">
        <v>453</v>
      </c>
      <c r="L5402">
        <v>301</v>
      </c>
      <c r="M5402" t="s">
        <v>16</v>
      </c>
    </row>
    <row r="5403" spans="1:13" x14ac:dyDescent="0.35">
      <c r="A5403">
        <v>520753</v>
      </c>
      <c r="B5403">
        <v>47546</v>
      </c>
      <c r="C5403" t="s">
        <v>5525</v>
      </c>
      <c r="D5403" t="s">
        <v>5431</v>
      </c>
      <c r="E5403" t="s">
        <v>3045</v>
      </c>
      <c r="F5403">
        <v>6918</v>
      </c>
      <c r="G5403">
        <v>1</v>
      </c>
      <c r="H5403" t="s">
        <v>16</v>
      </c>
      <c r="I5403" s="1">
        <v>-1544600</v>
      </c>
      <c r="J5403" s="1">
        <v>-5036100</v>
      </c>
      <c r="K5403">
        <v>360</v>
      </c>
      <c r="L5403">
        <v>1944</v>
      </c>
      <c r="M5403" t="s">
        <v>16</v>
      </c>
    </row>
    <row r="5404" spans="1:13" x14ac:dyDescent="0.35">
      <c r="A5404">
        <v>520760</v>
      </c>
      <c r="B5404">
        <v>43370</v>
      </c>
      <c r="C5404" t="s">
        <v>5526</v>
      </c>
      <c r="D5404" t="s">
        <v>5431</v>
      </c>
      <c r="E5404" t="s">
        <v>5455</v>
      </c>
      <c r="F5404">
        <v>6373</v>
      </c>
      <c r="G5404">
        <v>1</v>
      </c>
      <c r="H5404" t="s">
        <v>16</v>
      </c>
      <c r="I5404" s="1">
        <v>-1618300</v>
      </c>
      <c r="J5404" s="1">
        <v>-5078000</v>
      </c>
      <c r="K5404">
        <v>476</v>
      </c>
      <c r="L5404">
        <v>1281</v>
      </c>
      <c r="M5404" t="s">
        <v>16</v>
      </c>
    </row>
    <row r="5405" spans="1:13" x14ac:dyDescent="0.35">
      <c r="A5405">
        <v>520780</v>
      </c>
      <c r="B5405">
        <v>43397</v>
      </c>
      <c r="C5405" t="s">
        <v>5527</v>
      </c>
      <c r="D5405" t="s">
        <v>5431</v>
      </c>
      <c r="E5405" t="s">
        <v>5439</v>
      </c>
      <c r="F5405">
        <v>10286</v>
      </c>
      <c r="G5405">
        <v>1</v>
      </c>
      <c r="H5405" t="s">
        <v>16</v>
      </c>
      <c r="I5405" s="1">
        <v>-1658200</v>
      </c>
      <c r="J5405" s="1">
        <v>-5030500</v>
      </c>
      <c r="K5405">
        <v>685</v>
      </c>
      <c r="L5405">
        <v>406</v>
      </c>
      <c r="M5405" t="s">
        <v>16</v>
      </c>
    </row>
    <row r="5406" spans="1:13" x14ac:dyDescent="0.35">
      <c r="A5406">
        <v>520790</v>
      </c>
      <c r="B5406">
        <v>43400</v>
      </c>
      <c r="C5406" t="s">
        <v>5528</v>
      </c>
      <c r="D5406" t="s">
        <v>5431</v>
      </c>
      <c r="E5406" t="s">
        <v>5451</v>
      </c>
      <c r="F5406">
        <v>10382</v>
      </c>
      <c r="G5406">
        <v>1</v>
      </c>
      <c r="H5406" t="s">
        <v>16</v>
      </c>
      <c r="I5406" s="1">
        <v>-1444900</v>
      </c>
      <c r="J5406" s="1">
        <v>-4705000</v>
      </c>
      <c r="K5406">
        <v>440</v>
      </c>
      <c r="L5406">
        <v>3709</v>
      </c>
      <c r="M5406" t="s">
        <v>16</v>
      </c>
    </row>
    <row r="5407" spans="1:13" x14ac:dyDescent="0.35">
      <c r="A5407">
        <v>520800</v>
      </c>
      <c r="B5407">
        <v>43419</v>
      </c>
      <c r="C5407" t="s">
        <v>5529</v>
      </c>
      <c r="D5407" t="s">
        <v>5431</v>
      </c>
      <c r="E5407" t="s">
        <v>5435</v>
      </c>
      <c r="F5407">
        <v>90212</v>
      </c>
      <c r="G5407">
        <v>4</v>
      </c>
      <c r="H5407" t="s">
        <v>2523</v>
      </c>
      <c r="I5407" s="1">
        <v>-1553700</v>
      </c>
      <c r="J5407" s="1">
        <v>-4733400</v>
      </c>
      <c r="K5407">
        <v>916</v>
      </c>
      <c r="L5407">
        <v>5806</v>
      </c>
      <c r="M5407" t="s">
        <v>16</v>
      </c>
    </row>
    <row r="5408" spans="1:13" x14ac:dyDescent="0.35">
      <c r="A5408">
        <v>520810</v>
      </c>
      <c r="B5408">
        <v>43427</v>
      </c>
      <c r="C5408" t="s">
        <v>2716</v>
      </c>
      <c r="D5408" t="s">
        <v>5431</v>
      </c>
      <c r="E5408" t="s">
        <v>5447</v>
      </c>
      <c r="F5408">
        <v>5241</v>
      </c>
      <c r="G5408">
        <v>1</v>
      </c>
      <c r="H5408" t="s">
        <v>16</v>
      </c>
      <c r="I5408" s="1">
        <v>-1365400</v>
      </c>
      <c r="J5408" s="1">
        <v>-4888200</v>
      </c>
      <c r="K5408">
        <v>569</v>
      </c>
      <c r="L5408">
        <v>844</v>
      </c>
      <c r="M5408" t="s">
        <v>16</v>
      </c>
    </row>
    <row r="5409" spans="1:13" x14ac:dyDescent="0.35">
      <c r="A5409">
        <v>520815</v>
      </c>
      <c r="B5409">
        <v>59625</v>
      </c>
      <c r="C5409" t="s">
        <v>5530</v>
      </c>
      <c r="D5409" t="s">
        <v>5431</v>
      </c>
      <c r="E5409" t="s">
        <v>5514</v>
      </c>
      <c r="F5409">
        <v>3289</v>
      </c>
      <c r="G5409">
        <v>1</v>
      </c>
      <c r="H5409" t="s">
        <v>16</v>
      </c>
      <c r="I5409" s="1">
        <v>-1646350</v>
      </c>
      <c r="J5409" s="1">
        <v>-4867010</v>
      </c>
      <c r="K5409">
        <v>0</v>
      </c>
      <c r="L5409">
        <v>595</v>
      </c>
      <c r="M5409" t="s">
        <v>16</v>
      </c>
    </row>
    <row r="5410" spans="1:13" x14ac:dyDescent="0.35">
      <c r="A5410">
        <v>520830</v>
      </c>
      <c r="B5410">
        <v>43150</v>
      </c>
      <c r="C5410" t="s">
        <v>5531</v>
      </c>
      <c r="D5410" t="s">
        <v>5431</v>
      </c>
      <c r="E5410" t="s">
        <v>5451</v>
      </c>
      <c r="F5410">
        <v>5344</v>
      </c>
      <c r="G5410">
        <v>1</v>
      </c>
      <c r="H5410" t="s">
        <v>16</v>
      </c>
      <c r="I5410" s="1">
        <v>-1329500</v>
      </c>
      <c r="J5410" s="1">
        <v>-4639300</v>
      </c>
      <c r="K5410">
        <v>620</v>
      </c>
      <c r="L5410">
        <v>831</v>
      </c>
      <c r="M5410" t="s">
        <v>16</v>
      </c>
    </row>
    <row r="5411" spans="1:13" x14ac:dyDescent="0.35">
      <c r="A5411">
        <v>520840</v>
      </c>
      <c r="B5411">
        <v>43443</v>
      </c>
      <c r="C5411" t="s">
        <v>5532</v>
      </c>
      <c r="D5411" t="s">
        <v>5431</v>
      </c>
      <c r="E5411" t="s">
        <v>5432</v>
      </c>
      <c r="F5411">
        <v>11159</v>
      </c>
      <c r="G5411">
        <v>4</v>
      </c>
      <c r="H5411" t="s">
        <v>5433</v>
      </c>
      <c r="I5411" s="1">
        <v>-1651100</v>
      </c>
      <c r="J5411" s="1">
        <v>-4902400</v>
      </c>
      <c r="K5411">
        <v>982</v>
      </c>
      <c r="L5411">
        <v>162</v>
      </c>
      <c r="M5411" t="s">
        <v>16</v>
      </c>
    </row>
    <row r="5412" spans="1:13" x14ac:dyDescent="0.35">
      <c r="A5412">
        <v>520850</v>
      </c>
      <c r="B5412">
        <v>43451</v>
      </c>
      <c r="C5412" t="s">
        <v>5533</v>
      </c>
      <c r="D5412" t="s">
        <v>5431</v>
      </c>
      <c r="E5412" t="s">
        <v>5459</v>
      </c>
      <c r="F5412">
        <v>4925</v>
      </c>
      <c r="G5412">
        <v>1</v>
      </c>
      <c r="H5412" t="s">
        <v>16</v>
      </c>
      <c r="I5412" s="1">
        <v>-1813300</v>
      </c>
      <c r="J5412" s="1">
        <v>-4808500</v>
      </c>
      <c r="K5412">
        <v>848</v>
      </c>
      <c r="L5412">
        <v>560</v>
      </c>
      <c r="M5412" t="s">
        <v>16</v>
      </c>
    </row>
    <row r="5413" spans="1:13" x14ac:dyDescent="0.35">
      <c r="A5413">
        <v>520860</v>
      </c>
      <c r="B5413">
        <v>43460</v>
      </c>
      <c r="C5413" t="s">
        <v>5534</v>
      </c>
      <c r="D5413" t="s">
        <v>5431</v>
      </c>
      <c r="E5413" t="s">
        <v>5473</v>
      </c>
      <c r="F5413">
        <v>53806</v>
      </c>
      <c r="G5413">
        <v>2</v>
      </c>
      <c r="H5413" t="s">
        <v>16</v>
      </c>
      <c r="I5413" s="1">
        <v>-1531700</v>
      </c>
      <c r="J5413" s="1">
        <v>-4911700</v>
      </c>
      <c r="K5413">
        <v>640</v>
      </c>
      <c r="L5413">
        <v>1547</v>
      </c>
      <c r="M5413" t="s">
        <v>16</v>
      </c>
    </row>
    <row r="5414" spans="1:13" x14ac:dyDescent="0.35">
      <c r="A5414">
        <v>520870</v>
      </c>
      <c r="B5414">
        <v>42609</v>
      </c>
      <c r="C5414" t="s">
        <v>5535</v>
      </c>
      <c r="D5414" t="s">
        <v>5431</v>
      </c>
      <c r="E5414" t="s">
        <v>5432</v>
      </c>
      <c r="F5414">
        <v>1244645</v>
      </c>
      <c r="G5414">
        <v>5</v>
      </c>
      <c r="H5414" t="s">
        <v>5433</v>
      </c>
      <c r="I5414" s="1">
        <v>-1667900</v>
      </c>
      <c r="J5414" s="1">
        <v>-4925400</v>
      </c>
      <c r="K5414">
        <v>749</v>
      </c>
      <c r="L5414">
        <v>739</v>
      </c>
      <c r="M5414" t="s">
        <v>16</v>
      </c>
    </row>
    <row r="5415" spans="1:13" x14ac:dyDescent="0.35">
      <c r="A5415">
        <v>520880</v>
      </c>
      <c r="B5415">
        <v>43478</v>
      </c>
      <c r="C5415" t="s">
        <v>5536</v>
      </c>
      <c r="D5415" t="s">
        <v>5431</v>
      </c>
      <c r="E5415" t="s">
        <v>5432</v>
      </c>
      <c r="F5415">
        <v>24110</v>
      </c>
      <c r="G5415">
        <v>4</v>
      </c>
      <c r="H5415" t="s">
        <v>5433</v>
      </c>
      <c r="I5415" s="1">
        <v>-1649600</v>
      </c>
      <c r="J5415" s="1">
        <v>-4942600</v>
      </c>
      <c r="K5415">
        <v>757</v>
      </c>
      <c r="L5415">
        <v>200</v>
      </c>
      <c r="M5415" t="s">
        <v>16</v>
      </c>
    </row>
    <row r="5416" spans="1:13" x14ac:dyDescent="0.35">
      <c r="A5416">
        <v>520890</v>
      </c>
      <c r="B5416">
        <v>43486</v>
      </c>
      <c r="C5416" t="s">
        <v>5537</v>
      </c>
      <c r="D5416" t="s">
        <v>5431</v>
      </c>
      <c r="E5416" t="s">
        <v>3045</v>
      </c>
      <c r="F5416">
        <v>24472</v>
      </c>
      <c r="G5416">
        <v>1</v>
      </c>
      <c r="H5416" t="s">
        <v>16</v>
      </c>
      <c r="I5416" s="1">
        <v>-1593400</v>
      </c>
      <c r="J5416" s="1">
        <v>-5014000</v>
      </c>
      <c r="K5416">
        <v>496</v>
      </c>
      <c r="L5416">
        <v>3108</v>
      </c>
      <c r="M5416" t="s">
        <v>16</v>
      </c>
    </row>
    <row r="5417" spans="1:13" x14ac:dyDescent="0.35">
      <c r="A5417">
        <v>520910</v>
      </c>
      <c r="B5417">
        <v>43508</v>
      </c>
      <c r="C5417" t="s">
        <v>5538</v>
      </c>
      <c r="D5417" t="s">
        <v>5431</v>
      </c>
      <c r="E5417" t="s">
        <v>5442</v>
      </c>
      <c r="F5417">
        <v>31225</v>
      </c>
      <c r="G5417">
        <v>1</v>
      </c>
      <c r="H5417" t="s">
        <v>16</v>
      </c>
      <c r="I5417" s="1">
        <v>-1801300</v>
      </c>
      <c r="J5417" s="1">
        <v>-4935700</v>
      </c>
      <c r="K5417">
        <v>774</v>
      </c>
      <c r="L5417">
        <v>2475</v>
      </c>
      <c r="M5417" t="s">
        <v>16</v>
      </c>
    </row>
    <row r="5418" spans="1:13" x14ac:dyDescent="0.35">
      <c r="A5418">
        <v>520915</v>
      </c>
      <c r="B5418">
        <v>47554</v>
      </c>
      <c r="C5418" t="s">
        <v>5539</v>
      </c>
      <c r="D5418" t="s">
        <v>5431</v>
      </c>
      <c r="E5418" t="s">
        <v>5486</v>
      </c>
      <c r="F5418">
        <v>4507</v>
      </c>
      <c r="G5418">
        <v>1</v>
      </c>
      <c r="H5418" t="s">
        <v>16</v>
      </c>
      <c r="I5418" s="1">
        <v>-1864200</v>
      </c>
      <c r="J5418" s="1">
        <v>-5006600</v>
      </c>
      <c r="K5418">
        <v>395</v>
      </c>
      <c r="L5418">
        <v>830</v>
      </c>
      <c r="M5418" t="s">
        <v>16</v>
      </c>
    </row>
    <row r="5419" spans="1:13" x14ac:dyDescent="0.35">
      <c r="A5419">
        <v>520920</v>
      </c>
      <c r="B5419">
        <v>43516</v>
      </c>
      <c r="C5419" t="s">
        <v>5540</v>
      </c>
      <c r="D5419" t="s">
        <v>5431</v>
      </c>
      <c r="E5419" t="s">
        <v>5432</v>
      </c>
      <c r="F5419">
        <v>13586</v>
      </c>
      <c r="G5419">
        <v>4</v>
      </c>
      <c r="H5419" t="s">
        <v>5433</v>
      </c>
      <c r="I5419" s="1">
        <v>-1683100</v>
      </c>
      <c r="J5419" s="1">
        <v>-4953200</v>
      </c>
      <c r="K5419">
        <v>707</v>
      </c>
      <c r="L5419">
        <v>517</v>
      </c>
      <c r="M5419" t="s">
        <v>16</v>
      </c>
    </row>
    <row r="5420" spans="1:13" x14ac:dyDescent="0.35">
      <c r="A5420">
        <v>520929</v>
      </c>
      <c r="B5420">
        <v>53325</v>
      </c>
      <c r="C5420" t="s">
        <v>5541</v>
      </c>
      <c r="D5420" t="s">
        <v>5431</v>
      </c>
      <c r="E5420" t="s">
        <v>5473</v>
      </c>
      <c r="F5420">
        <v>2394</v>
      </c>
      <c r="G5420">
        <v>1</v>
      </c>
      <c r="H5420" t="s">
        <v>16</v>
      </c>
      <c r="I5420" s="1">
        <v>-1561400</v>
      </c>
      <c r="J5420" s="1">
        <v>-5002400</v>
      </c>
      <c r="K5420">
        <v>669</v>
      </c>
      <c r="L5420">
        <v>205</v>
      </c>
      <c r="M5420" t="s">
        <v>16</v>
      </c>
    </row>
    <row r="5421" spans="1:13" x14ac:dyDescent="0.35">
      <c r="A5421">
        <v>520940</v>
      </c>
      <c r="B5421">
        <v>43532</v>
      </c>
      <c r="C5421" t="s">
        <v>5542</v>
      </c>
      <c r="D5421" t="s">
        <v>5431</v>
      </c>
      <c r="E5421" t="s">
        <v>5451</v>
      </c>
      <c r="F5421">
        <v>4105</v>
      </c>
      <c r="G5421">
        <v>1</v>
      </c>
      <c r="H5421" t="s">
        <v>16</v>
      </c>
      <c r="I5421" s="1">
        <v>-1393600</v>
      </c>
      <c r="J5421" s="1">
        <v>-4648000</v>
      </c>
      <c r="K5421">
        <v>521</v>
      </c>
      <c r="L5421">
        <v>1229</v>
      </c>
      <c r="M5421" t="s">
        <v>16</v>
      </c>
    </row>
    <row r="5422" spans="1:13" x14ac:dyDescent="0.35">
      <c r="A5422">
        <v>520945</v>
      </c>
      <c r="B5422">
        <v>47562</v>
      </c>
      <c r="C5422" t="s">
        <v>5543</v>
      </c>
      <c r="D5422" t="s">
        <v>5431</v>
      </c>
      <c r="E5422" t="s">
        <v>5473</v>
      </c>
      <c r="F5422">
        <v>2411</v>
      </c>
      <c r="G5422">
        <v>1</v>
      </c>
      <c r="H5422" t="s">
        <v>16</v>
      </c>
      <c r="I5422" s="1">
        <v>-1473200</v>
      </c>
      <c r="J5422" s="1">
        <v>-4970200</v>
      </c>
      <c r="K5422">
        <v>480</v>
      </c>
      <c r="L5422">
        <v>595</v>
      </c>
      <c r="M5422" t="s">
        <v>16</v>
      </c>
    </row>
    <row r="5423" spans="1:13" x14ac:dyDescent="0.35">
      <c r="A5423">
        <v>520960</v>
      </c>
      <c r="B5423">
        <v>43559</v>
      </c>
      <c r="C5423" t="s">
        <v>5544</v>
      </c>
      <c r="D5423" t="s">
        <v>5431</v>
      </c>
      <c r="E5423" t="s">
        <v>5457</v>
      </c>
      <c r="F5423">
        <v>3556</v>
      </c>
      <c r="G5423">
        <v>1</v>
      </c>
      <c r="H5423" t="s">
        <v>16</v>
      </c>
      <c r="I5423" s="1">
        <v>-1571900</v>
      </c>
      <c r="J5423" s="1">
        <v>-4982900</v>
      </c>
      <c r="K5423">
        <v>658</v>
      </c>
      <c r="L5423">
        <v>229</v>
      </c>
      <c r="M5423" t="s">
        <v>16</v>
      </c>
    </row>
    <row r="5424" spans="1:13" x14ac:dyDescent="0.35">
      <c r="A5424">
        <v>520970</v>
      </c>
      <c r="B5424">
        <v>43567</v>
      </c>
      <c r="C5424" t="s">
        <v>1103</v>
      </c>
      <c r="D5424" t="s">
        <v>5431</v>
      </c>
      <c r="E5424" t="s">
        <v>5432</v>
      </c>
      <c r="F5424">
        <v>14004</v>
      </c>
      <c r="G5424">
        <v>4</v>
      </c>
      <c r="H5424" t="s">
        <v>5433</v>
      </c>
      <c r="I5424" s="1">
        <v>-1696200</v>
      </c>
      <c r="J5424" s="1">
        <v>-4922900</v>
      </c>
      <c r="K5424">
        <v>814</v>
      </c>
      <c r="L5424">
        <v>944</v>
      </c>
      <c r="M5424" t="s">
        <v>16</v>
      </c>
    </row>
    <row r="5425" spans="1:13" x14ac:dyDescent="0.35">
      <c r="A5425">
        <v>520980</v>
      </c>
      <c r="B5425">
        <v>43575</v>
      </c>
      <c r="C5425" t="s">
        <v>5545</v>
      </c>
      <c r="D5425" t="s">
        <v>5431</v>
      </c>
      <c r="E5425" t="s">
        <v>5473</v>
      </c>
      <c r="F5425">
        <v>4157</v>
      </c>
      <c r="G5425">
        <v>1</v>
      </c>
      <c r="H5425" t="s">
        <v>16</v>
      </c>
      <c r="I5425" s="1">
        <v>-1472400</v>
      </c>
      <c r="J5425" s="1">
        <v>-4946500</v>
      </c>
      <c r="K5425">
        <v>603</v>
      </c>
      <c r="L5425">
        <v>580</v>
      </c>
      <c r="M5425" t="s">
        <v>16</v>
      </c>
    </row>
    <row r="5426" spans="1:13" x14ac:dyDescent="0.35">
      <c r="A5426">
        <v>520990</v>
      </c>
      <c r="B5426">
        <v>43583</v>
      </c>
      <c r="C5426" t="s">
        <v>5546</v>
      </c>
      <c r="D5426" t="s">
        <v>5431</v>
      </c>
      <c r="E5426" t="s">
        <v>5451</v>
      </c>
      <c r="F5426">
        <v>12674</v>
      </c>
      <c r="G5426">
        <v>1</v>
      </c>
      <c r="H5426" t="s">
        <v>16</v>
      </c>
      <c r="I5426" s="1">
        <v>-1409600</v>
      </c>
      <c r="J5426" s="1">
        <v>-4663200</v>
      </c>
      <c r="K5426">
        <v>571</v>
      </c>
      <c r="L5426">
        <v>1625</v>
      </c>
      <c r="M5426" t="s">
        <v>16</v>
      </c>
    </row>
    <row r="5427" spans="1:13" x14ac:dyDescent="0.35">
      <c r="A5427">
        <v>520993</v>
      </c>
      <c r="B5427">
        <v>53333</v>
      </c>
      <c r="C5427" t="s">
        <v>5547</v>
      </c>
      <c r="D5427" t="s">
        <v>5431</v>
      </c>
      <c r="E5427" t="s">
        <v>5442</v>
      </c>
      <c r="F5427">
        <v>5650</v>
      </c>
      <c r="G5427">
        <v>1</v>
      </c>
      <c r="H5427" t="s">
        <v>16</v>
      </c>
      <c r="I5427" s="1">
        <v>-1848800</v>
      </c>
      <c r="J5427" s="1">
        <v>-4998700</v>
      </c>
      <c r="K5427">
        <v>442</v>
      </c>
      <c r="L5427">
        <v>688</v>
      </c>
      <c r="M5427" t="s">
        <v>16</v>
      </c>
    </row>
    <row r="5428" spans="1:13" x14ac:dyDescent="0.35">
      <c r="A5428">
        <v>520995</v>
      </c>
      <c r="B5428">
        <v>10618</v>
      </c>
      <c r="C5428" t="s">
        <v>5548</v>
      </c>
      <c r="D5428" t="s">
        <v>5431</v>
      </c>
      <c r="E5428" t="s">
        <v>5437</v>
      </c>
      <c r="F5428">
        <v>12703</v>
      </c>
      <c r="G5428">
        <v>1</v>
      </c>
      <c r="H5428" t="s">
        <v>16</v>
      </c>
      <c r="I5428" s="1">
        <v>-1714200</v>
      </c>
      <c r="J5428" s="1">
        <v>-4998700</v>
      </c>
      <c r="K5428">
        <v>550</v>
      </c>
      <c r="L5428">
        <v>956</v>
      </c>
      <c r="M5428" t="s">
        <v>16</v>
      </c>
    </row>
    <row r="5429" spans="1:13" x14ac:dyDescent="0.35">
      <c r="A5429">
        <v>521000</v>
      </c>
      <c r="B5429">
        <v>43591</v>
      </c>
      <c r="C5429" t="s">
        <v>5549</v>
      </c>
      <c r="D5429" t="s">
        <v>5431</v>
      </c>
      <c r="E5429" t="s">
        <v>5457</v>
      </c>
      <c r="F5429">
        <v>44983</v>
      </c>
      <c r="G5429">
        <v>1</v>
      </c>
      <c r="H5429" t="s">
        <v>16</v>
      </c>
      <c r="I5429" s="1">
        <v>-1635800</v>
      </c>
      <c r="J5429" s="1">
        <v>-4949600</v>
      </c>
      <c r="K5429">
        <v>770</v>
      </c>
      <c r="L5429">
        <v>613</v>
      </c>
      <c r="M5429" t="s">
        <v>16</v>
      </c>
    </row>
    <row r="5430" spans="1:13" x14ac:dyDescent="0.35">
      <c r="A5430">
        <v>521010</v>
      </c>
      <c r="B5430">
        <v>43605</v>
      </c>
      <c r="C5430" t="s">
        <v>5550</v>
      </c>
      <c r="D5430" t="s">
        <v>5431</v>
      </c>
      <c r="E5430" t="s">
        <v>5459</v>
      </c>
      <c r="F5430">
        <v>23114</v>
      </c>
      <c r="G5430">
        <v>1</v>
      </c>
      <c r="H5430" t="s">
        <v>16</v>
      </c>
      <c r="I5430" s="1">
        <v>-1772200</v>
      </c>
      <c r="J5430" s="1">
        <v>-4816000</v>
      </c>
      <c r="K5430">
        <v>764</v>
      </c>
      <c r="L5430">
        <v>4368</v>
      </c>
      <c r="M5430" t="s">
        <v>16</v>
      </c>
    </row>
    <row r="5431" spans="1:13" x14ac:dyDescent="0.35">
      <c r="A5431">
        <v>521015</v>
      </c>
      <c r="B5431">
        <v>60089</v>
      </c>
      <c r="C5431" t="s">
        <v>5551</v>
      </c>
      <c r="D5431" t="s">
        <v>5431</v>
      </c>
      <c r="E5431" t="s">
        <v>5473</v>
      </c>
      <c r="F5431">
        <v>2813</v>
      </c>
      <c r="G5431">
        <v>1</v>
      </c>
      <c r="H5431" t="s">
        <v>16</v>
      </c>
      <c r="I5431" s="1">
        <v>-1517000</v>
      </c>
      <c r="J5431" s="1">
        <v>-4967000</v>
      </c>
      <c r="K5431">
        <v>0</v>
      </c>
      <c r="L5431">
        <v>241</v>
      </c>
      <c r="M5431" t="s">
        <v>16</v>
      </c>
    </row>
    <row r="5432" spans="1:13" x14ac:dyDescent="0.35">
      <c r="A5432">
        <v>521020</v>
      </c>
      <c r="B5432">
        <v>43613</v>
      </c>
      <c r="C5432" t="s">
        <v>5552</v>
      </c>
      <c r="D5432" t="s">
        <v>5431</v>
      </c>
      <c r="E5432" t="s">
        <v>5455</v>
      </c>
      <c r="F5432">
        <v>31060</v>
      </c>
      <c r="G5432">
        <v>1</v>
      </c>
      <c r="H5432" t="s">
        <v>16</v>
      </c>
      <c r="I5432" s="1">
        <v>-1644200</v>
      </c>
      <c r="J5432" s="1">
        <v>-5111800</v>
      </c>
      <c r="K5432">
        <v>584</v>
      </c>
      <c r="L5432">
        <v>1026</v>
      </c>
      <c r="M5432" t="s">
        <v>16</v>
      </c>
    </row>
    <row r="5433" spans="1:13" x14ac:dyDescent="0.35">
      <c r="A5433">
        <v>521030</v>
      </c>
      <c r="B5433">
        <v>43621</v>
      </c>
      <c r="C5433" t="s">
        <v>5553</v>
      </c>
      <c r="D5433" t="s">
        <v>5431</v>
      </c>
      <c r="E5433" t="s">
        <v>5455</v>
      </c>
      <c r="F5433">
        <v>2827</v>
      </c>
      <c r="G5433">
        <v>1</v>
      </c>
      <c r="H5433" t="s">
        <v>16</v>
      </c>
      <c r="I5433" s="1">
        <v>-1631800</v>
      </c>
      <c r="J5433" s="1">
        <v>-5090800</v>
      </c>
      <c r="K5433">
        <v>378</v>
      </c>
      <c r="L5433">
        <v>577</v>
      </c>
      <c r="M5433" t="s">
        <v>16</v>
      </c>
    </row>
    <row r="5434" spans="1:13" x14ac:dyDescent="0.35">
      <c r="A5434">
        <v>521040</v>
      </c>
      <c r="B5434">
        <v>43630</v>
      </c>
      <c r="C5434" t="s">
        <v>5554</v>
      </c>
      <c r="D5434" t="s">
        <v>5431</v>
      </c>
      <c r="E5434" t="s">
        <v>5457</v>
      </c>
      <c r="F5434">
        <v>30609</v>
      </c>
      <c r="G5434">
        <v>1</v>
      </c>
      <c r="H5434" t="s">
        <v>16</v>
      </c>
      <c r="I5434" s="1">
        <v>-1602000</v>
      </c>
      <c r="J5434" s="1">
        <v>-4981000</v>
      </c>
      <c r="K5434">
        <v>701</v>
      </c>
      <c r="L5434">
        <v>1471</v>
      </c>
      <c r="M5434" t="s">
        <v>16</v>
      </c>
    </row>
    <row r="5435" spans="1:13" x14ac:dyDescent="0.35">
      <c r="A5435">
        <v>521056</v>
      </c>
      <c r="B5435">
        <v>47007</v>
      </c>
      <c r="C5435" t="s">
        <v>5555</v>
      </c>
      <c r="D5435" t="s">
        <v>5431</v>
      </c>
      <c r="E5435" t="s">
        <v>5457</v>
      </c>
      <c r="F5435">
        <v>4254</v>
      </c>
      <c r="G5435">
        <v>1</v>
      </c>
      <c r="H5435" t="s">
        <v>16</v>
      </c>
      <c r="I5435" s="1">
        <v>-1591900</v>
      </c>
      <c r="J5435" s="1">
        <v>-4960400</v>
      </c>
      <c r="K5435">
        <v>687</v>
      </c>
      <c r="L5435">
        <v>135</v>
      </c>
      <c r="M5435" t="s">
        <v>16</v>
      </c>
    </row>
    <row r="5436" spans="1:13" x14ac:dyDescent="0.35">
      <c r="A5436">
        <v>521060</v>
      </c>
      <c r="B5436">
        <v>43656</v>
      </c>
      <c r="C5436" t="s">
        <v>5556</v>
      </c>
      <c r="D5436" t="s">
        <v>5431</v>
      </c>
      <c r="E5436" t="s">
        <v>5457</v>
      </c>
      <c r="F5436">
        <v>5467</v>
      </c>
      <c r="G5436">
        <v>1</v>
      </c>
      <c r="H5436" t="s">
        <v>16</v>
      </c>
      <c r="I5436" s="1">
        <v>-1575800</v>
      </c>
      <c r="J5436" s="1">
        <v>-4963400</v>
      </c>
      <c r="K5436">
        <v>770</v>
      </c>
      <c r="L5436">
        <v>239</v>
      </c>
      <c r="M5436" t="s">
        <v>16</v>
      </c>
    </row>
    <row r="5437" spans="1:13" x14ac:dyDescent="0.35">
      <c r="A5437">
        <v>521080</v>
      </c>
      <c r="B5437">
        <v>43672</v>
      </c>
      <c r="C5437" t="s">
        <v>1282</v>
      </c>
      <c r="D5437" t="s">
        <v>5431</v>
      </c>
      <c r="E5437" t="s">
        <v>5486</v>
      </c>
      <c r="F5437">
        <v>5409</v>
      </c>
      <c r="G5437">
        <v>1</v>
      </c>
      <c r="H5437" t="s">
        <v>16</v>
      </c>
      <c r="I5437" s="1">
        <v>-1906700</v>
      </c>
      <c r="J5437" s="1">
        <v>-5154400</v>
      </c>
      <c r="K5437">
        <v>442</v>
      </c>
      <c r="L5437">
        <v>2091</v>
      </c>
      <c r="M5437" t="s">
        <v>16</v>
      </c>
    </row>
    <row r="5438" spans="1:13" x14ac:dyDescent="0.35">
      <c r="A5438">
        <v>521090</v>
      </c>
      <c r="B5438">
        <v>43680</v>
      </c>
      <c r="C5438" t="s">
        <v>5557</v>
      </c>
      <c r="D5438" t="s">
        <v>5431</v>
      </c>
      <c r="E5438" t="s">
        <v>5473</v>
      </c>
      <c r="F5438">
        <v>16003</v>
      </c>
      <c r="G5438">
        <v>1</v>
      </c>
      <c r="H5438" t="s">
        <v>16</v>
      </c>
      <c r="I5438" s="1">
        <v>-1495100</v>
      </c>
      <c r="J5438" s="1">
        <v>-4954900</v>
      </c>
      <c r="K5438">
        <v>557</v>
      </c>
      <c r="L5438">
        <v>956</v>
      </c>
      <c r="M5438" t="s">
        <v>16</v>
      </c>
    </row>
    <row r="5439" spans="1:13" x14ac:dyDescent="0.35">
      <c r="A5439">
        <v>521100</v>
      </c>
      <c r="B5439">
        <v>43699</v>
      </c>
      <c r="C5439" t="s">
        <v>5558</v>
      </c>
      <c r="D5439" t="s">
        <v>5431</v>
      </c>
      <c r="E5439" t="s">
        <v>3045</v>
      </c>
      <c r="F5439">
        <v>8208</v>
      </c>
      <c r="G5439">
        <v>1</v>
      </c>
      <c r="H5439" t="s">
        <v>16</v>
      </c>
      <c r="I5439" s="1">
        <v>-1582300</v>
      </c>
      <c r="J5439" s="1">
        <v>-5061300</v>
      </c>
      <c r="K5439">
        <v>348</v>
      </c>
      <c r="L5439">
        <v>2043</v>
      </c>
      <c r="M5439" t="s">
        <v>16</v>
      </c>
    </row>
    <row r="5440" spans="1:13" x14ac:dyDescent="0.35">
      <c r="A5440">
        <v>521120</v>
      </c>
      <c r="B5440">
        <v>43710</v>
      </c>
      <c r="C5440" t="s">
        <v>5559</v>
      </c>
      <c r="D5440" t="s">
        <v>5431</v>
      </c>
      <c r="E5440" t="s">
        <v>5473</v>
      </c>
      <c r="F5440">
        <v>24832</v>
      </c>
      <c r="G5440">
        <v>1</v>
      </c>
      <c r="H5440" t="s">
        <v>16</v>
      </c>
      <c r="I5440" s="1">
        <v>-1556200</v>
      </c>
      <c r="J5440" s="1">
        <v>-4994900</v>
      </c>
      <c r="K5440">
        <v>651</v>
      </c>
      <c r="L5440">
        <v>1277</v>
      </c>
      <c r="M5440" t="s">
        <v>16</v>
      </c>
    </row>
    <row r="5441" spans="1:13" x14ac:dyDescent="0.35">
      <c r="A5441">
        <v>521130</v>
      </c>
      <c r="B5441">
        <v>43729</v>
      </c>
      <c r="C5441" t="s">
        <v>5560</v>
      </c>
      <c r="D5441" t="s">
        <v>5431</v>
      </c>
      <c r="E5441" t="s">
        <v>5486</v>
      </c>
      <c r="F5441">
        <v>5338</v>
      </c>
      <c r="G5441">
        <v>1</v>
      </c>
      <c r="H5441" t="s">
        <v>16</v>
      </c>
      <c r="I5441" s="1">
        <v>-1876900</v>
      </c>
      <c r="J5441" s="1">
        <v>-5134800</v>
      </c>
      <c r="K5441">
        <v>474</v>
      </c>
      <c r="L5441">
        <v>3433</v>
      </c>
      <c r="M5441" t="s">
        <v>16</v>
      </c>
    </row>
    <row r="5442" spans="1:13" x14ac:dyDescent="0.35">
      <c r="A5442">
        <v>521140</v>
      </c>
      <c r="B5442">
        <v>43737</v>
      </c>
      <c r="C5442" t="s">
        <v>5561</v>
      </c>
      <c r="D5442" t="s">
        <v>5431</v>
      </c>
      <c r="E5442" t="s">
        <v>5457</v>
      </c>
      <c r="F5442">
        <v>8710</v>
      </c>
      <c r="G5442">
        <v>1</v>
      </c>
      <c r="H5442" t="s">
        <v>16</v>
      </c>
      <c r="I5442" s="1">
        <v>-1620100</v>
      </c>
      <c r="J5442" s="1">
        <v>-4960800</v>
      </c>
      <c r="K5442">
        <v>839</v>
      </c>
      <c r="L5442">
        <v>383</v>
      </c>
      <c r="M5442" t="s">
        <v>16</v>
      </c>
    </row>
    <row r="5443" spans="1:13" x14ac:dyDescent="0.35">
      <c r="A5443">
        <v>521150</v>
      </c>
      <c r="B5443">
        <v>43745</v>
      </c>
      <c r="C5443" t="s">
        <v>5562</v>
      </c>
      <c r="D5443" t="s">
        <v>5431</v>
      </c>
      <c r="E5443" t="s">
        <v>5442</v>
      </c>
      <c r="F5443">
        <v>88109</v>
      </c>
      <c r="G5443">
        <v>2</v>
      </c>
      <c r="H5443" t="s">
        <v>16</v>
      </c>
      <c r="I5443" s="1">
        <v>-1842000</v>
      </c>
      <c r="J5443" s="1">
        <v>-4921800</v>
      </c>
      <c r="K5443">
        <v>448</v>
      </c>
      <c r="L5443">
        <v>2461</v>
      </c>
      <c r="M5443" t="s">
        <v>16</v>
      </c>
    </row>
    <row r="5444" spans="1:13" x14ac:dyDescent="0.35">
      <c r="A5444">
        <v>521160</v>
      </c>
      <c r="B5444">
        <v>43753</v>
      </c>
      <c r="C5444" t="s">
        <v>5563</v>
      </c>
      <c r="D5444" t="s">
        <v>5431</v>
      </c>
      <c r="E5444" t="s">
        <v>5455</v>
      </c>
      <c r="F5444">
        <v>2718</v>
      </c>
      <c r="G5444">
        <v>1</v>
      </c>
      <c r="H5444" t="s">
        <v>16</v>
      </c>
      <c r="I5444" s="1">
        <v>-1660200</v>
      </c>
      <c r="J5444" s="1">
        <v>-5079400</v>
      </c>
      <c r="K5444">
        <v>637</v>
      </c>
      <c r="L5444">
        <v>1262</v>
      </c>
      <c r="M5444" t="s">
        <v>16</v>
      </c>
    </row>
    <row r="5445" spans="1:13" x14ac:dyDescent="0.35">
      <c r="A5445">
        <v>521170</v>
      </c>
      <c r="B5445">
        <v>43761</v>
      </c>
      <c r="C5445" t="s">
        <v>5564</v>
      </c>
      <c r="D5445" t="s">
        <v>5431</v>
      </c>
      <c r="E5445" t="s">
        <v>5437</v>
      </c>
      <c r="F5445">
        <v>6373</v>
      </c>
      <c r="G5445">
        <v>1</v>
      </c>
      <c r="H5445" t="s">
        <v>16</v>
      </c>
      <c r="I5445" s="1">
        <v>-1704900</v>
      </c>
      <c r="J5445" s="1">
        <v>-5014600</v>
      </c>
      <c r="K5445">
        <v>637</v>
      </c>
      <c r="L5445">
        <v>864</v>
      </c>
      <c r="M5445" t="s">
        <v>16</v>
      </c>
    </row>
    <row r="5446" spans="1:13" x14ac:dyDescent="0.35">
      <c r="A5446">
        <v>521180</v>
      </c>
      <c r="B5446">
        <v>43770</v>
      </c>
      <c r="C5446" t="s">
        <v>5565</v>
      </c>
      <c r="D5446" t="s">
        <v>5431</v>
      </c>
      <c r="E5446" t="s">
        <v>5457</v>
      </c>
      <c r="F5446">
        <v>38968</v>
      </c>
      <c r="G5446">
        <v>1</v>
      </c>
      <c r="H5446" t="s">
        <v>16</v>
      </c>
      <c r="I5446" s="1">
        <v>-1575700</v>
      </c>
      <c r="J5446" s="1">
        <v>-4933400</v>
      </c>
      <c r="K5446">
        <v>666</v>
      </c>
      <c r="L5446">
        <v>1888</v>
      </c>
      <c r="M5446" t="s">
        <v>16</v>
      </c>
    </row>
    <row r="5447" spans="1:13" x14ac:dyDescent="0.35">
      <c r="A5447">
        <v>521190</v>
      </c>
      <c r="B5447">
        <v>43788</v>
      </c>
      <c r="C5447" t="s">
        <v>5566</v>
      </c>
      <c r="D5447" t="s">
        <v>5431</v>
      </c>
      <c r="E5447" t="s">
        <v>5462</v>
      </c>
      <c r="F5447">
        <v>81972</v>
      </c>
      <c r="G5447">
        <v>2</v>
      </c>
      <c r="H5447" t="s">
        <v>16</v>
      </c>
      <c r="I5447" s="1">
        <v>-1788100</v>
      </c>
      <c r="J5447" s="1">
        <v>-5171400</v>
      </c>
      <c r="K5447">
        <v>696</v>
      </c>
      <c r="L5447">
        <v>7174</v>
      </c>
      <c r="M5447" t="s">
        <v>16</v>
      </c>
    </row>
    <row r="5448" spans="1:13" x14ac:dyDescent="0.35">
      <c r="A5448">
        <v>521200</v>
      </c>
      <c r="B5448">
        <v>43796</v>
      </c>
      <c r="C5448" t="s">
        <v>5567</v>
      </c>
      <c r="D5448" t="s">
        <v>5431</v>
      </c>
      <c r="E5448" t="s">
        <v>5455</v>
      </c>
      <c r="F5448">
        <v>2998</v>
      </c>
      <c r="G5448">
        <v>1</v>
      </c>
      <c r="H5448" t="s">
        <v>16</v>
      </c>
      <c r="I5448" s="1">
        <v>-1617800</v>
      </c>
      <c r="J5448" s="1">
        <v>-5095300</v>
      </c>
      <c r="K5448">
        <v>354</v>
      </c>
      <c r="L5448">
        <v>527</v>
      </c>
      <c r="M5448" t="s">
        <v>16</v>
      </c>
    </row>
    <row r="5449" spans="1:13" x14ac:dyDescent="0.35">
      <c r="A5449">
        <v>521205</v>
      </c>
      <c r="B5449">
        <v>53341</v>
      </c>
      <c r="C5449" t="s">
        <v>5568</v>
      </c>
      <c r="D5449" t="s">
        <v>5431</v>
      </c>
      <c r="E5449" t="s">
        <v>5457</v>
      </c>
      <c r="F5449">
        <v>2201</v>
      </c>
      <c r="G5449">
        <v>1</v>
      </c>
      <c r="H5449" t="s">
        <v>16</v>
      </c>
      <c r="I5449" s="1">
        <v>-1595100</v>
      </c>
      <c r="J5449" s="1">
        <v>-4937400</v>
      </c>
      <c r="K5449">
        <v>0</v>
      </c>
      <c r="L5449">
        <v>120</v>
      </c>
      <c r="M5449" t="s">
        <v>16</v>
      </c>
    </row>
    <row r="5450" spans="1:13" x14ac:dyDescent="0.35">
      <c r="A5450">
        <v>521210</v>
      </c>
      <c r="B5450">
        <v>43800</v>
      </c>
      <c r="C5450" t="s">
        <v>5569</v>
      </c>
      <c r="D5450" t="s">
        <v>5431</v>
      </c>
      <c r="E5450" t="s">
        <v>5442</v>
      </c>
      <c r="F5450">
        <v>6731</v>
      </c>
      <c r="G5450">
        <v>1</v>
      </c>
      <c r="H5450" t="s">
        <v>16</v>
      </c>
      <c r="I5450" s="1">
        <v>-1780500</v>
      </c>
      <c r="J5450" s="1">
        <v>-4961400</v>
      </c>
      <c r="K5450">
        <v>807</v>
      </c>
      <c r="L5450">
        <v>454</v>
      </c>
      <c r="M5450" t="s">
        <v>16</v>
      </c>
    </row>
    <row r="5451" spans="1:13" x14ac:dyDescent="0.35">
      <c r="A5451">
        <v>521220</v>
      </c>
      <c r="B5451">
        <v>43818</v>
      </c>
      <c r="C5451" t="s">
        <v>2199</v>
      </c>
      <c r="D5451" t="s">
        <v>5431</v>
      </c>
      <c r="E5451" t="s">
        <v>3045</v>
      </c>
      <c r="F5451">
        <v>18814</v>
      </c>
      <c r="G5451">
        <v>1</v>
      </c>
      <c r="H5451" t="s">
        <v>16</v>
      </c>
      <c r="I5451" s="1">
        <v>-1586500</v>
      </c>
      <c r="J5451" s="1">
        <v>-5086800</v>
      </c>
      <c r="K5451">
        <v>317</v>
      </c>
      <c r="L5451">
        <v>4092</v>
      </c>
      <c r="M5451" t="s">
        <v>16</v>
      </c>
    </row>
    <row r="5452" spans="1:13" x14ac:dyDescent="0.35">
      <c r="A5452">
        <v>521225</v>
      </c>
      <c r="B5452">
        <v>60097</v>
      </c>
      <c r="C5452" t="s">
        <v>2846</v>
      </c>
      <c r="D5452" t="s">
        <v>5431</v>
      </c>
      <c r="E5452" t="s">
        <v>5486</v>
      </c>
      <c r="F5452">
        <v>1225</v>
      </c>
      <c r="G5452">
        <v>1</v>
      </c>
      <c r="H5452" t="s">
        <v>16</v>
      </c>
      <c r="I5452" s="1">
        <v>-1918300</v>
      </c>
      <c r="J5452" s="1">
        <v>-5139100</v>
      </c>
      <c r="K5452">
        <v>0</v>
      </c>
      <c r="L5452">
        <v>458</v>
      </c>
      <c r="M5452" t="s">
        <v>16</v>
      </c>
    </row>
    <row r="5453" spans="1:13" x14ac:dyDescent="0.35">
      <c r="A5453">
        <v>521230</v>
      </c>
      <c r="B5453">
        <v>43826</v>
      </c>
      <c r="C5453" t="s">
        <v>5570</v>
      </c>
      <c r="D5453" t="s">
        <v>5431</v>
      </c>
      <c r="E5453" t="s">
        <v>5432</v>
      </c>
      <c r="F5453">
        <v>8916</v>
      </c>
      <c r="G5453">
        <v>1</v>
      </c>
      <c r="H5453" t="s">
        <v>16</v>
      </c>
      <c r="I5453" s="1">
        <v>-1661900</v>
      </c>
      <c r="J5453" s="1">
        <v>-4874400</v>
      </c>
      <c r="K5453">
        <v>1030</v>
      </c>
      <c r="L5453">
        <v>495</v>
      </c>
      <c r="M5453" t="s">
        <v>16</v>
      </c>
    </row>
    <row r="5454" spans="1:13" x14ac:dyDescent="0.35">
      <c r="A5454">
        <v>521250</v>
      </c>
      <c r="B5454">
        <v>43834</v>
      </c>
      <c r="C5454" t="s">
        <v>5571</v>
      </c>
      <c r="D5454" t="s">
        <v>5431</v>
      </c>
      <c r="E5454" t="s">
        <v>5435</v>
      </c>
      <c r="F5454">
        <v>196046</v>
      </c>
      <c r="G5454">
        <v>4</v>
      </c>
      <c r="H5454" t="s">
        <v>2523</v>
      </c>
      <c r="I5454" s="1">
        <v>-1625300</v>
      </c>
      <c r="J5454" s="1">
        <v>-4795000</v>
      </c>
      <c r="K5454">
        <v>930</v>
      </c>
      <c r="L5454">
        <v>3961</v>
      </c>
      <c r="M5454" t="s">
        <v>16</v>
      </c>
    </row>
    <row r="5455" spans="1:13" x14ac:dyDescent="0.35">
      <c r="A5455">
        <v>521260</v>
      </c>
      <c r="B5455">
        <v>43842</v>
      </c>
      <c r="C5455" t="s">
        <v>5572</v>
      </c>
      <c r="D5455" t="s">
        <v>5431</v>
      </c>
      <c r="E5455" t="s">
        <v>5442</v>
      </c>
      <c r="F5455">
        <v>2655</v>
      </c>
      <c r="G5455">
        <v>1</v>
      </c>
      <c r="H5455" t="s">
        <v>16</v>
      </c>
      <c r="I5455" s="1">
        <v>-1729900</v>
      </c>
      <c r="J5455" s="1">
        <v>-4949100</v>
      </c>
      <c r="K5455">
        <v>658</v>
      </c>
      <c r="L5455">
        <v>460</v>
      </c>
      <c r="M5455" t="s">
        <v>16</v>
      </c>
    </row>
    <row r="5456" spans="1:13" x14ac:dyDescent="0.35">
      <c r="A5456">
        <v>521270</v>
      </c>
      <c r="B5456">
        <v>43850</v>
      </c>
      <c r="C5456" t="s">
        <v>5573</v>
      </c>
      <c r="D5456" t="s">
        <v>5431</v>
      </c>
      <c r="E5456" t="s">
        <v>5451</v>
      </c>
      <c r="F5456">
        <v>6454</v>
      </c>
      <c r="G5456">
        <v>1</v>
      </c>
      <c r="H5456" t="s">
        <v>16</v>
      </c>
      <c r="I5456" s="1">
        <v>-1448800</v>
      </c>
      <c r="J5456" s="1">
        <v>-4611300</v>
      </c>
      <c r="K5456">
        <v>709</v>
      </c>
      <c r="L5456">
        <v>859</v>
      </c>
      <c r="M5456" t="s">
        <v>16</v>
      </c>
    </row>
    <row r="5457" spans="1:13" x14ac:dyDescent="0.35">
      <c r="A5457">
        <v>521280</v>
      </c>
      <c r="B5457">
        <v>43869</v>
      </c>
      <c r="C5457" t="s">
        <v>5574</v>
      </c>
      <c r="D5457" t="s">
        <v>5431</v>
      </c>
      <c r="E5457" t="s">
        <v>5447</v>
      </c>
      <c r="F5457">
        <v>10409</v>
      </c>
      <c r="G5457">
        <v>1</v>
      </c>
      <c r="H5457" t="s">
        <v>16</v>
      </c>
      <c r="I5457" s="1">
        <v>-1401700</v>
      </c>
      <c r="J5457" s="1">
        <v>-4917800</v>
      </c>
      <c r="K5457">
        <v>530</v>
      </c>
      <c r="L5457">
        <v>1703</v>
      </c>
      <c r="M5457" t="s">
        <v>16</v>
      </c>
    </row>
    <row r="5458" spans="1:13" x14ac:dyDescent="0.35">
      <c r="A5458">
        <v>521290</v>
      </c>
      <c r="B5458">
        <v>43877</v>
      </c>
      <c r="C5458" t="s">
        <v>5575</v>
      </c>
      <c r="D5458" t="s">
        <v>5431</v>
      </c>
      <c r="E5458" t="s">
        <v>5442</v>
      </c>
      <c r="F5458">
        <v>2053</v>
      </c>
      <c r="G5458">
        <v>1</v>
      </c>
      <c r="H5458" t="s">
        <v>16</v>
      </c>
      <c r="I5458" s="1">
        <v>-1798100</v>
      </c>
      <c r="J5458" s="1">
        <v>-4864100</v>
      </c>
      <c r="K5458">
        <v>604</v>
      </c>
      <c r="L5458">
        <v>228</v>
      </c>
      <c r="M5458" t="s">
        <v>16</v>
      </c>
    </row>
    <row r="5459" spans="1:13" x14ac:dyDescent="0.35">
      <c r="A5459">
        <v>521295</v>
      </c>
      <c r="B5459">
        <v>47570</v>
      </c>
      <c r="C5459" t="s">
        <v>5576</v>
      </c>
      <c r="D5459" t="s">
        <v>5431</v>
      </c>
      <c r="E5459" t="s">
        <v>3045</v>
      </c>
      <c r="F5459">
        <v>4325</v>
      </c>
      <c r="G5459">
        <v>1</v>
      </c>
      <c r="H5459" t="s">
        <v>16</v>
      </c>
      <c r="I5459" s="1">
        <v>-1544400</v>
      </c>
      <c r="J5459" s="1">
        <v>-5074600</v>
      </c>
      <c r="K5459">
        <v>315</v>
      </c>
      <c r="L5459">
        <v>1150</v>
      </c>
      <c r="M5459" t="s">
        <v>16</v>
      </c>
    </row>
    <row r="5460" spans="1:13" x14ac:dyDescent="0.35">
      <c r="A5460">
        <v>521300</v>
      </c>
      <c r="B5460">
        <v>43885</v>
      </c>
      <c r="C5460" t="s">
        <v>5577</v>
      </c>
      <c r="D5460" t="s">
        <v>5431</v>
      </c>
      <c r="E5460" t="s">
        <v>5462</v>
      </c>
      <c r="F5460">
        <v>10769</v>
      </c>
      <c r="G5460">
        <v>1</v>
      </c>
      <c r="H5460" t="s">
        <v>16</v>
      </c>
      <c r="I5460" s="1">
        <v>-1797100</v>
      </c>
      <c r="J5460" s="1">
        <v>-5033900</v>
      </c>
      <c r="K5460">
        <v>450</v>
      </c>
      <c r="L5460">
        <v>393</v>
      </c>
      <c r="M5460" t="s">
        <v>16</v>
      </c>
    </row>
    <row r="5461" spans="1:13" x14ac:dyDescent="0.35">
      <c r="A5461">
        <v>521305</v>
      </c>
      <c r="B5461">
        <v>47589</v>
      </c>
      <c r="C5461" t="s">
        <v>5578</v>
      </c>
      <c r="D5461" t="s">
        <v>5431</v>
      </c>
      <c r="E5461" t="s">
        <v>5435</v>
      </c>
      <c r="F5461">
        <v>2836</v>
      </c>
      <c r="G5461">
        <v>4</v>
      </c>
      <c r="H5461" t="s">
        <v>2523</v>
      </c>
      <c r="I5461" s="1">
        <v>-1505600</v>
      </c>
      <c r="J5461" s="1">
        <v>-4816100</v>
      </c>
      <c r="K5461">
        <v>675</v>
      </c>
      <c r="L5461">
        <v>1386</v>
      </c>
      <c r="M5461" t="s">
        <v>16</v>
      </c>
    </row>
    <row r="5462" spans="1:13" x14ac:dyDescent="0.35">
      <c r="A5462">
        <v>521308</v>
      </c>
      <c r="B5462">
        <v>44822</v>
      </c>
      <c r="C5462" t="s">
        <v>5579</v>
      </c>
      <c r="D5462" t="s">
        <v>5431</v>
      </c>
      <c r="E5462" t="s">
        <v>5447</v>
      </c>
      <c r="F5462">
        <v>31041</v>
      </c>
      <c r="G5462">
        <v>1</v>
      </c>
      <c r="H5462" t="s">
        <v>16</v>
      </c>
      <c r="I5462" s="1">
        <v>-1353300</v>
      </c>
      <c r="J5462" s="1">
        <v>-4822000</v>
      </c>
      <c r="K5462">
        <v>351</v>
      </c>
      <c r="L5462">
        <v>2860</v>
      </c>
      <c r="M5462" t="s">
        <v>16</v>
      </c>
    </row>
    <row r="5463" spans="1:13" x14ac:dyDescent="0.35">
      <c r="A5463">
        <v>521310</v>
      </c>
      <c r="B5463">
        <v>43893</v>
      </c>
      <c r="C5463" t="s">
        <v>5580</v>
      </c>
      <c r="D5463" t="s">
        <v>5431</v>
      </c>
      <c r="E5463" t="s">
        <v>5462</v>
      </c>
      <c r="F5463">
        <v>45189</v>
      </c>
      <c r="G5463">
        <v>1</v>
      </c>
      <c r="H5463" t="s">
        <v>16</v>
      </c>
      <c r="I5463" s="1">
        <v>-1756900</v>
      </c>
      <c r="J5463" s="1">
        <v>-5255100</v>
      </c>
      <c r="K5463">
        <v>750</v>
      </c>
      <c r="L5463">
        <v>8896</v>
      </c>
      <c r="M5463" t="s">
        <v>16</v>
      </c>
    </row>
    <row r="5464" spans="1:13" x14ac:dyDescent="0.35">
      <c r="A5464">
        <v>521340</v>
      </c>
      <c r="B5464">
        <v>43923</v>
      </c>
      <c r="C5464" t="s">
        <v>5581</v>
      </c>
      <c r="D5464" t="s">
        <v>5431</v>
      </c>
      <c r="E5464" t="s">
        <v>5455</v>
      </c>
      <c r="F5464">
        <v>1848</v>
      </c>
      <c r="G5464">
        <v>1</v>
      </c>
      <c r="H5464" t="s">
        <v>16</v>
      </c>
      <c r="I5464" s="1">
        <v>-1654600</v>
      </c>
      <c r="J5464" s="1">
        <v>-5073900</v>
      </c>
      <c r="K5464">
        <v>678</v>
      </c>
      <c r="L5464">
        <v>460</v>
      </c>
      <c r="M5464" t="s">
        <v>16</v>
      </c>
    </row>
    <row r="5465" spans="1:13" x14ac:dyDescent="0.35">
      <c r="A5465">
        <v>521350</v>
      </c>
      <c r="B5465">
        <v>43931</v>
      </c>
      <c r="C5465" t="s">
        <v>5582</v>
      </c>
      <c r="D5465" t="s">
        <v>5431</v>
      </c>
      <c r="E5465" t="s">
        <v>5449</v>
      </c>
      <c r="F5465">
        <v>7155</v>
      </c>
      <c r="G5465">
        <v>1</v>
      </c>
      <c r="H5465" t="s">
        <v>16</v>
      </c>
      <c r="I5465" s="1">
        <v>-1325600</v>
      </c>
      <c r="J5465" s="1">
        <v>-4690100</v>
      </c>
      <c r="K5465">
        <v>557</v>
      </c>
      <c r="L5465">
        <v>3119</v>
      </c>
      <c r="M5465" t="s">
        <v>16</v>
      </c>
    </row>
    <row r="5466" spans="1:13" x14ac:dyDescent="0.35">
      <c r="A5466">
        <v>521370</v>
      </c>
      <c r="B5466">
        <v>43958</v>
      </c>
      <c r="C5466" t="s">
        <v>5583</v>
      </c>
      <c r="D5466" t="s">
        <v>5431</v>
      </c>
      <c r="E5466" t="s">
        <v>5465</v>
      </c>
      <c r="F5466">
        <v>7844</v>
      </c>
      <c r="G5466">
        <v>1</v>
      </c>
      <c r="H5466" t="s">
        <v>16</v>
      </c>
      <c r="I5466" s="1">
        <v>-1600800</v>
      </c>
      <c r="J5466" s="1">
        <v>-5139700</v>
      </c>
      <c r="K5466">
        <v>472</v>
      </c>
      <c r="L5466">
        <v>2899</v>
      </c>
      <c r="M5466" t="s">
        <v>16</v>
      </c>
    </row>
    <row r="5467" spans="1:13" x14ac:dyDescent="0.35">
      <c r="A5467">
        <v>521375</v>
      </c>
      <c r="B5467">
        <v>47015</v>
      </c>
      <c r="C5467" t="s">
        <v>5584</v>
      </c>
      <c r="D5467" t="s">
        <v>5431</v>
      </c>
      <c r="E5467" t="s">
        <v>5462</v>
      </c>
      <c r="F5467">
        <v>9255</v>
      </c>
      <c r="G5467">
        <v>1</v>
      </c>
      <c r="H5467" t="s">
        <v>16</v>
      </c>
      <c r="I5467" s="1">
        <v>-1744400</v>
      </c>
      <c r="J5467" s="1">
        <v>-5117500</v>
      </c>
      <c r="K5467">
        <v>821</v>
      </c>
      <c r="L5467">
        <v>1874</v>
      </c>
      <c r="M5467" t="s">
        <v>16</v>
      </c>
    </row>
    <row r="5468" spans="1:13" x14ac:dyDescent="0.35">
      <c r="A5468">
        <v>521377</v>
      </c>
      <c r="B5468">
        <v>53350</v>
      </c>
      <c r="C5468" t="s">
        <v>5585</v>
      </c>
      <c r="D5468" t="s">
        <v>5431</v>
      </c>
      <c r="E5468" t="s">
        <v>5447</v>
      </c>
      <c r="F5468">
        <v>4395</v>
      </c>
      <c r="G5468">
        <v>1</v>
      </c>
      <c r="H5468" t="s">
        <v>16</v>
      </c>
      <c r="I5468" s="1">
        <v>-1311300</v>
      </c>
      <c r="J5468" s="1">
        <v>-4860700</v>
      </c>
      <c r="K5468">
        <v>0</v>
      </c>
      <c r="L5468">
        <v>1332</v>
      </c>
      <c r="M5468" t="s">
        <v>16</v>
      </c>
    </row>
    <row r="5469" spans="1:13" x14ac:dyDescent="0.35">
      <c r="A5469">
        <v>521380</v>
      </c>
      <c r="B5469">
        <v>43966</v>
      </c>
      <c r="C5469" t="s">
        <v>1149</v>
      </c>
      <c r="D5469" t="s">
        <v>5431</v>
      </c>
      <c r="E5469" t="s">
        <v>5442</v>
      </c>
      <c r="F5469">
        <v>38997</v>
      </c>
      <c r="G5469">
        <v>1</v>
      </c>
      <c r="H5469" t="s">
        <v>16</v>
      </c>
      <c r="I5469" s="1">
        <v>-1773200</v>
      </c>
      <c r="J5469" s="1">
        <v>-4910100</v>
      </c>
      <c r="K5469">
        <v>771</v>
      </c>
      <c r="L5469">
        <v>2846</v>
      </c>
      <c r="M5469" t="s">
        <v>16</v>
      </c>
    </row>
    <row r="5470" spans="1:13" x14ac:dyDescent="0.35">
      <c r="A5470">
        <v>521385</v>
      </c>
      <c r="B5470">
        <v>47023</v>
      </c>
      <c r="C5470" t="s">
        <v>5586</v>
      </c>
      <c r="D5470" t="s">
        <v>5431</v>
      </c>
      <c r="E5470" t="s">
        <v>5473</v>
      </c>
      <c r="F5470">
        <v>2339</v>
      </c>
      <c r="G5470">
        <v>1</v>
      </c>
      <c r="H5470" t="s">
        <v>16</v>
      </c>
      <c r="I5470" s="1">
        <v>-1532100</v>
      </c>
      <c r="J5470" s="1">
        <v>-5005700</v>
      </c>
      <c r="K5470">
        <v>691</v>
      </c>
      <c r="L5470">
        <v>282</v>
      </c>
      <c r="M5470" t="s">
        <v>16</v>
      </c>
    </row>
    <row r="5471" spans="1:13" x14ac:dyDescent="0.35">
      <c r="A5471">
        <v>521390</v>
      </c>
      <c r="B5471">
        <v>43974</v>
      </c>
      <c r="C5471" t="s">
        <v>5587</v>
      </c>
      <c r="D5471" t="s">
        <v>5431</v>
      </c>
      <c r="E5471" t="s">
        <v>5439</v>
      </c>
      <c r="F5471">
        <v>4954</v>
      </c>
      <c r="G5471">
        <v>1</v>
      </c>
      <c r="H5471" t="s">
        <v>16</v>
      </c>
      <c r="I5471" s="1">
        <v>-1612700</v>
      </c>
      <c r="J5471" s="1">
        <v>-5021500</v>
      </c>
      <c r="K5471">
        <v>615</v>
      </c>
      <c r="L5471">
        <v>684</v>
      </c>
      <c r="M5471" t="s">
        <v>16</v>
      </c>
    </row>
    <row r="5472" spans="1:13" x14ac:dyDescent="0.35">
      <c r="A5472">
        <v>521400</v>
      </c>
      <c r="B5472">
        <v>43982</v>
      </c>
      <c r="C5472" t="s">
        <v>5588</v>
      </c>
      <c r="D5472" t="s">
        <v>5431</v>
      </c>
      <c r="E5472" t="s">
        <v>5516</v>
      </c>
      <c r="F5472">
        <v>13123</v>
      </c>
      <c r="G5472">
        <v>1</v>
      </c>
      <c r="H5472" t="s">
        <v>16</v>
      </c>
      <c r="I5472" s="1">
        <v>-1474500</v>
      </c>
      <c r="J5472" s="1">
        <v>-5057100</v>
      </c>
      <c r="K5472">
        <v>309</v>
      </c>
      <c r="L5472">
        <v>1734</v>
      </c>
      <c r="M5472" t="s">
        <v>16</v>
      </c>
    </row>
    <row r="5473" spans="1:13" x14ac:dyDescent="0.35">
      <c r="A5473">
        <v>521405</v>
      </c>
      <c r="B5473">
        <v>44857</v>
      </c>
      <c r="C5473" t="s">
        <v>2245</v>
      </c>
      <c r="D5473" t="s">
        <v>5431</v>
      </c>
      <c r="E5473" t="s">
        <v>5516</v>
      </c>
      <c r="F5473">
        <v>6877</v>
      </c>
      <c r="G5473">
        <v>1</v>
      </c>
      <c r="H5473" t="s">
        <v>16</v>
      </c>
      <c r="I5473" s="1">
        <v>-1377600</v>
      </c>
      <c r="J5473" s="1">
        <v>-5028100</v>
      </c>
      <c r="K5473">
        <v>263</v>
      </c>
      <c r="L5473">
        <v>2146</v>
      </c>
      <c r="M5473" t="s">
        <v>16</v>
      </c>
    </row>
    <row r="5474" spans="1:13" x14ac:dyDescent="0.35">
      <c r="A5474">
        <v>521410</v>
      </c>
      <c r="B5474">
        <v>43990</v>
      </c>
      <c r="C5474" t="s">
        <v>5589</v>
      </c>
      <c r="D5474" t="s">
        <v>5431</v>
      </c>
      <c r="E5474" t="s">
        <v>5447</v>
      </c>
      <c r="F5474">
        <v>3954</v>
      </c>
      <c r="G5474">
        <v>1</v>
      </c>
      <c r="H5474" t="s">
        <v>16</v>
      </c>
      <c r="I5474" s="1">
        <v>-1373300</v>
      </c>
      <c r="J5474" s="1">
        <v>-4927500</v>
      </c>
      <c r="K5474">
        <v>413</v>
      </c>
      <c r="L5474">
        <v>869</v>
      </c>
      <c r="M5474" t="s">
        <v>16</v>
      </c>
    </row>
    <row r="5475" spans="1:13" x14ac:dyDescent="0.35">
      <c r="A5475">
        <v>521440</v>
      </c>
      <c r="B5475">
        <v>44024</v>
      </c>
      <c r="C5475" t="s">
        <v>5590</v>
      </c>
      <c r="D5475" t="s">
        <v>5431</v>
      </c>
      <c r="E5475" t="s">
        <v>5439</v>
      </c>
      <c r="F5475">
        <v>7223</v>
      </c>
      <c r="G5475">
        <v>1</v>
      </c>
      <c r="H5475" t="s">
        <v>16</v>
      </c>
      <c r="I5475" s="1">
        <v>-1658200</v>
      </c>
      <c r="J5475" s="1">
        <v>-4988200</v>
      </c>
      <c r="K5475">
        <v>649</v>
      </c>
      <c r="L5475">
        <v>300</v>
      </c>
      <c r="M5475" t="s">
        <v>16</v>
      </c>
    </row>
    <row r="5476" spans="1:13" x14ac:dyDescent="0.35">
      <c r="A5476">
        <v>521450</v>
      </c>
      <c r="B5476">
        <v>44032</v>
      </c>
      <c r="C5476" t="s">
        <v>5591</v>
      </c>
      <c r="D5476" t="s">
        <v>5431</v>
      </c>
      <c r="E5476" t="s">
        <v>5432</v>
      </c>
      <c r="F5476">
        <v>19392</v>
      </c>
      <c r="G5476">
        <v>4</v>
      </c>
      <c r="H5476" t="s">
        <v>5433</v>
      </c>
      <c r="I5476" s="1">
        <v>-1640600</v>
      </c>
      <c r="J5476" s="1">
        <v>-4921900</v>
      </c>
      <c r="K5476">
        <v>832</v>
      </c>
      <c r="L5476">
        <v>204</v>
      </c>
      <c r="M5476" t="s">
        <v>16</v>
      </c>
    </row>
    <row r="5477" spans="1:13" x14ac:dyDescent="0.35">
      <c r="A5477">
        <v>521460</v>
      </c>
      <c r="B5477">
        <v>44040</v>
      </c>
      <c r="C5477" t="s">
        <v>5592</v>
      </c>
      <c r="D5477" t="s">
        <v>5431</v>
      </c>
      <c r="E5477" t="s">
        <v>5447</v>
      </c>
      <c r="F5477">
        <v>38517</v>
      </c>
      <c r="G5477">
        <v>1</v>
      </c>
      <c r="H5477" t="s">
        <v>16</v>
      </c>
      <c r="I5477" s="1">
        <v>-1447400</v>
      </c>
      <c r="J5477" s="1">
        <v>-4846000</v>
      </c>
      <c r="K5477">
        <v>583</v>
      </c>
      <c r="L5477">
        <v>9843</v>
      </c>
      <c r="M5477" t="s">
        <v>16</v>
      </c>
    </row>
    <row r="5478" spans="1:13" x14ac:dyDescent="0.35">
      <c r="A5478">
        <v>521470</v>
      </c>
      <c r="B5478">
        <v>44059</v>
      </c>
      <c r="C5478" t="s">
        <v>5593</v>
      </c>
      <c r="D5478" t="s">
        <v>5431</v>
      </c>
      <c r="E5478" t="s">
        <v>5473</v>
      </c>
      <c r="F5478">
        <v>2200</v>
      </c>
      <c r="G5478">
        <v>1</v>
      </c>
      <c r="H5478" t="s">
        <v>16</v>
      </c>
      <c r="I5478" s="1">
        <v>-1502200</v>
      </c>
      <c r="J5478" s="1">
        <v>-4989600</v>
      </c>
      <c r="K5478">
        <v>796</v>
      </c>
      <c r="L5478">
        <v>212</v>
      </c>
      <c r="M5478" t="s">
        <v>16</v>
      </c>
    </row>
    <row r="5479" spans="1:13" x14ac:dyDescent="0.35">
      <c r="A5479">
        <v>521480</v>
      </c>
      <c r="B5479">
        <v>44067</v>
      </c>
      <c r="C5479" t="s">
        <v>4295</v>
      </c>
      <c r="D5479" t="s">
        <v>5431</v>
      </c>
      <c r="E5479" t="s">
        <v>5459</v>
      </c>
      <c r="F5479">
        <v>2094</v>
      </c>
      <c r="G5479">
        <v>1</v>
      </c>
      <c r="H5479" t="s">
        <v>16</v>
      </c>
      <c r="I5479" s="1">
        <v>-1805900</v>
      </c>
      <c r="J5479" s="1">
        <v>-4825500</v>
      </c>
      <c r="K5479">
        <v>719</v>
      </c>
      <c r="L5479">
        <v>302</v>
      </c>
      <c r="M5479" t="s">
        <v>16</v>
      </c>
    </row>
    <row r="5480" spans="1:13" x14ac:dyDescent="0.35">
      <c r="A5480">
        <v>521483</v>
      </c>
      <c r="B5480">
        <v>44865</v>
      </c>
      <c r="C5480" t="s">
        <v>5594</v>
      </c>
      <c r="D5480" t="s">
        <v>5431</v>
      </c>
      <c r="E5480" t="s">
        <v>5516</v>
      </c>
      <c r="F5480">
        <v>12603</v>
      </c>
      <c r="G5480">
        <v>1</v>
      </c>
      <c r="H5480" t="s">
        <v>16</v>
      </c>
      <c r="I5480" s="1">
        <v>-1409900</v>
      </c>
      <c r="J5480" s="1">
        <v>-5032700</v>
      </c>
      <c r="K5480">
        <v>282</v>
      </c>
      <c r="L5480">
        <v>7298</v>
      </c>
      <c r="M5480" t="s">
        <v>16</v>
      </c>
    </row>
    <row r="5481" spans="1:13" x14ac:dyDescent="0.35">
      <c r="A5481">
        <v>521486</v>
      </c>
      <c r="B5481">
        <v>44873</v>
      </c>
      <c r="C5481" t="s">
        <v>5595</v>
      </c>
      <c r="D5481" t="s">
        <v>5431</v>
      </c>
      <c r="E5481" t="s">
        <v>5473</v>
      </c>
      <c r="F5481">
        <v>8470</v>
      </c>
      <c r="G5481">
        <v>1</v>
      </c>
      <c r="H5481" t="s">
        <v>16</v>
      </c>
      <c r="I5481" s="1">
        <v>-1514300</v>
      </c>
      <c r="J5481" s="1">
        <v>-4957100</v>
      </c>
      <c r="K5481">
        <v>562</v>
      </c>
      <c r="L5481">
        <v>412</v>
      </c>
      <c r="M5481" t="s">
        <v>16</v>
      </c>
    </row>
    <row r="5482" spans="1:13" x14ac:dyDescent="0.35">
      <c r="A5482">
        <v>521487</v>
      </c>
      <c r="B5482">
        <v>53368</v>
      </c>
      <c r="C5482" t="s">
        <v>5596</v>
      </c>
      <c r="D5482" t="s">
        <v>5431</v>
      </c>
      <c r="E5482" t="s">
        <v>5447</v>
      </c>
      <c r="F5482">
        <v>2622</v>
      </c>
      <c r="G5482">
        <v>1</v>
      </c>
      <c r="H5482" t="s">
        <v>16</v>
      </c>
      <c r="I5482" s="1">
        <v>-1428900</v>
      </c>
      <c r="J5482" s="1">
        <v>-4938900</v>
      </c>
      <c r="K5482">
        <v>375</v>
      </c>
      <c r="L5482">
        <v>628</v>
      </c>
      <c r="M5482" t="s">
        <v>16</v>
      </c>
    </row>
    <row r="5483" spans="1:13" x14ac:dyDescent="0.35">
      <c r="A5483">
        <v>521490</v>
      </c>
      <c r="B5483">
        <v>44075</v>
      </c>
      <c r="C5483" t="s">
        <v>5597</v>
      </c>
      <c r="D5483" t="s">
        <v>5431</v>
      </c>
      <c r="E5483" t="s">
        <v>5449</v>
      </c>
      <c r="F5483">
        <v>3555</v>
      </c>
      <c r="G5483">
        <v>1</v>
      </c>
      <c r="H5483" t="s">
        <v>16</v>
      </c>
      <c r="I5483" s="1">
        <v>-1374200</v>
      </c>
      <c r="J5483" s="1">
        <v>-4688000</v>
      </c>
      <c r="K5483">
        <v>610</v>
      </c>
      <c r="L5483">
        <v>2135</v>
      </c>
      <c r="M5483" t="s">
        <v>16</v>
      </c>
    </row>
    <row r="5484" spans="1:13" x14ac:dyDescent="0.35">
      <c r="A5484">
        <v>521500</v>
      </c>
      <c r="B5484">
        <v>44083</v>
      </c>
      <c r="C5484" t="s">
        <v>4618</v>
      </c>
      <c r="D5484" t="s">
        <v>5431</v>
      </c>
      <c r="E5484" t="s">
        <v>5457</v>
      </c>
      <c r="F5484">
        <v>6884</v>
      </c>
      <c r="G5484">
        <v>1</v>
      </c>
      <c r="H5484" t="s">
        <v>16</v>
      </c>
      <c r="I5484" s="1">
        <v>-1637100</v>
      </c>
      <c r="J5484" s="1">
        <v>-4932300</v>
      </c>
      <c r="K5484">
        <v>806</v>
      </c>
      <c r="L5484">
        <v>123</v>
      </c>
      <c r="M5484" t="s">
        <v>16</v>
      </c>
    </row>
    <row r="5485" spans="1:13" x14ac:dyDescent="0.35">
      <c r="A5485">
        <v>521520</v>
      </c>
      <c r="B5485">
        <v>44105</v>
      </c>
      <c r="C5485" t="s">
        <v>5598</v>
      </c>
      <c r="D5485" t="s">
        <v>5431</v>
      </c>
      <c r="E5485" t="s">
        <v>5455</v>
      </c>
      <c r="F5485">
        <v>3451</v>
      </c>
      <c r="G5485">
        <v>1</v>
      </c>
      <c r="H5485" t="s">
        <v>16</v>
      </c>
      <c r="I5485" s="1">
        <v>-1603400</v>
      </c>
      <c r="J5485" s="1">
        <v>-5071100</v>
      </c>
      <c r="K5485">
        <v>400</v>
      </c>
      <c r="L5485">
        <v>649</v>
      </c>
      <c r="M5485" t="s">
        <v>16</v>
      </c>
    </row>
    <row r="5486" spans="1:13" x14ac:dyDescent="0.35">
      <c r="A5486">
        <v>521523</v>
      </c>
      <c r="B5486">
        <v>59021</v>
      </c>
      <c r="C5486" t="s">
        <v>5599</v>
      </c>
      <c r="D5486" t="s">
        <v>5431</v>
      </c>
      <c r="E5486" t="s">
        <v>5435</v>
      </c>
      <c r="F5486">
        <v>83599</v>
      </c>
      <c r="G5486">
        <v>4</v>
      </c>
      <c r="H5486" t="s">
        <v>2523</v>
      </c>
      <c r="I5486" s="1">
        <v>-1605900</v>
      </c>
      <c r="J5486" s="1">
        <v>-4803900</v>
      </c>
      <c r="K5486">
        <v>1100</v>
      </c>
      <c r="L5486">
        <v>191</v>
      </c>
      <c r="M5486" t="s">
        <v>16</v>
      </c>
    </row>
    <row r="5487" spans="1:13" x14ac:dyDescent="0.35">
      <c r="A5487">
        <v>521525</v>
      </c>
      <c r="B5487">
        <v>47600</v>
      </c>
      <c r="C5487" t="s">
        <v>5600</v>
      </c>
      <c r="D5487" t="s">
        <v>5431</v>
      </c>
      <c r="E5487" t="s">
        <v>5516</v>
      </c>
      <c r="F5487">
        <v>3986</v>
      </c>
      <c r="G5487">
        <v>1</v>
      </c>
      <c r="H5487" t="s">
        <v>16</v>
      </c>
      <c r="I5487" s="1">
        <v>-1324400</v>
      </c>
      <c r="J5487" s="1">
        <v>-4950400</v>
      </c>
      <c r="K5487">
        <v>304</v>
      </c>
      <c r="L5487">
        <v>1242</v>
      </c>
      <c r="M5487" t="s">
        <v>16</v>
      </c>
    </row>
    <row r="5488" spans="1:13" x14ac:dyDescent="0.35">
      <c r="A5488">
        <v>521530</v>
      </c>
      <c r="B5488">
        <v>44113</v>
      </c>
      <c r="C5488" t="s">
        <v>5601</v>
      </c>
      <c r="D5488" t="s">
        <v>5431</v>
      </c>
      <c r="E5488" t="s">
        <v>5514</v>
      </c>
      <c r="F5488">
        <v>14374</v>
      </c>
      <c r="G5488">
        <v>1</v>
      </c>
      <c r="H5488" t="s">
        <v>16</v>
      </c>
      <c r="I5488" s="1">
        <v>-1703100</v>
      </c>
      <c r="J5488" s="1">
        <v>-4829600</v>
      </c>
      <c r="K5488">
        <v>806</v>
      </c>
      <c r="L5488">
        <v>1972</v>
      </c>
      <c r="M5488" t="s">
        <v>16</v>
      </c>
    </row>
    <row r="5489" spans="1:13" x14ac:dyDescent="0.35">
      <c r="A5489">
        <v>521540</v>
      </c>
      <c r="B5489">
        <v>44121</v>
      </c>
      <c r="C5489" t="s">
        <v>5602</v>
      </c>
      <c r="D5489" t="s">
        <v>5431</v>
      </c>
      <c r="E5489" t="s">
        <v>5457</v>
      </c>
      <c r="F5489">
        <v>4430</v>
      </c>
      <c r="G5489">
        <v>1</v>
      </c>
      <c r="H5489" t="s">
        <v>16</v>
      </c>
      <c r="I5489" s="1">
        <v>-1622000</v>
      </c>
      <c r="J5489" s="1">
        <v>-4919300</v>
      </c>
      <c r="K5489">
        <v>1040</v>
      </c>
      <c r="L5489">
        <v>209</v>
      </c>
      <c r="M5489" t="s">
        <v>16</v>
      </c>
    </row>
    <row r="5490" spans="1:13" x14ac:dyDescent="0.35">
      <c r="A5490">
        <v>521550</v>
      </c>
      <c r="B5490">
        <v>44130</v>
      </c>
      <c r="C5490" t="s">
        <v>5603</v>
      </c>
      <c r="D5490" t="s">
        <v>5431</v>
      </c>
      <c r="E5490" t="s">
        <v>5459</v>
      </c>
      <c r="F5490">
        <v>4736</v>
      </c>
      <c r="G5490">
        <v>1</v>
      </c>
      <c r="H5490" t="s">
        <v>16</v>
      </c>
      <c r="I5490" s="1">
        <v>-1823400</v>
      </c>
      <c r="J5490" s="1">
        <v>-4783900</v>
      </c>
      <c r="K5490">
        <v>810</v>
      </c>
      <c r="L5490">
        <v>413</v>
      </c>
      <c r="M5490" t="s">
        <v>16</v>
      </c>
    </row>
    <row r="5491" spans="1:13" x14ac:dyDescent="0.35">
      <c r="A5491">
        <v>521560</v>
      </c>
      <c r="B5491">
        <v>44148</v>
      </c>
      <c r="C5491" t="s">
        <v>5604</v>
      </c>
      <c r="D5491" t="s">
        <v>5431</v>
      </c>
      <c r="E5491" t="s">
        <v>5435</v>
      </c>
      <c r="F5491">
        <v>25969</v>
      </c>
      <c r="G5491">
        <v>4</v>
      </c>
      <c r="H5491" t="s">
        <v>2523</v>
      </c>
      <c r="I5491" s="1">
        <v>-1516000</v>
      </c>
      <c r="J5491" s="1">
        <v>-4828400</v>
      </c>
      <c r="K5491">
        <v>629</v>
      </c>
      <c r="L5491">
        <v>3137</v>
      </c>
      <c r="M5491" t="s">
        <v>16</v>
      </c>
    </row>
    <row r="5492" spans="1:13" x14ac:dyDescent="0.35">
      <c r="A5492">
        <v>521565</v>
      </c>
      <c r="B5492">
        <v>47031</v>
      </c>
      <c r="C5492" t="s">
        <v>5605</v>
      </c>
      <c r="D5492" t="s">
        <v>5431</v>
      </c>
      <c r="E5492" t="s">
        <v>5462</v>
      </c>
      <c r="F5492">
        <v>3229</v>
      </c>
      <c r="G5492">
        <v>1</v>
      </c>
      <c r="H5492" t="s">
        <v>16</v>
      </c>
      <c r="I5492" s="1">
        <v>-1673300</v>
      </c>
      <c r="J5492" s="1">
        <v>-5153300</v>
      </c>
      <c r="K5492">
        <v>741</v>
      </c>
      <c r="L5492">
        <v>1320</v>
      </c>
      <c r="M5492" t="s">
        <v>16</v>
      </c>
    </row>
    <row r="5493" spans="1:13" x14ac:dyDescent="0.35">
      <c r="A5493">
        <v>521570</v>
      </c>
      <c r="B5493">
        <v>44156</v>
      </c>
      <c r="C5493" t="s">
        <v>5606</v>
      </c>
      <c r="D5493" t="s">
        <v>5431</v>
      </c>
      <c r="E5493" t="s">
        <v>5437</v>
      </c>
      <c r="F5493">
        <v>21199</v>
      </c>
      <c r="G5493">
        <v>1</v>
      </c>
      <c r="H5493" t="s">
        <v>16</v>
      </c>
      <c r="I5493" s="1">
        <v>-1680500</v>
      </c>
      <c r="J5493" s="1">
        <v>-4992600</v>
      </c>
      <c r="K5493">
        <v>596</v>
      </c>
      <c r="L5493">
        <v>1539</v>
      </c>
      <c r="M5493" t="s">
        <v>16</v>
      </c>
    </row>
    <row r="5494" spans="1:13" x14ac:dyDescent="0.35">
      <c r="A5494">
        <v>521580</v>
      </c>
      <c r="B5494">
        <v>44164</v>
      </c>
      <c r="C5494" t="s">
        <v>5607</v>
      </c>
      <c r="D5494" t="s">
        <v>5431</v>
      </c>
      <c r="E5494" t="s">
        <v>5514</v>
      </c>
      <c r="F5494">
        <v>2260</v>
      </c>
      <c r="G5494">
        <v>1</v>
      </c>
      <c r="H5494" t="s">
        <v>16</v>
      </c>
      <c r="I5494" s="1">
        <v>-1732400</v>
      </c>
      <c r="J5494" s="1">
        <v>-4842400</v>
      </c>
      <c r="K5494">
        <v>754</v>
      </c>
      <c r="L5494">
        <v>58</v>
      </c>
      <c r="M5494" t="s">
        <v>16</v>
      </c>
    </row>
    <row r="5495" spans="1:13" x14ac:dyDescent="0.35">
      <c r="A5495">
        <v>521590</v>
      </c>
      <c r="B5495">
        <v>44172</v>
      </c>
      <c r="C5495" t="s">
        <v>5608</v>
      </c>
      <c r="D5495" t="s">
        <v>5431</v>
      </c>
      <c r="E5495" t="s">
        <v>5437</v>
      </c>
      <c r="F5495">
        <v>3622</v>
      </c>
      <c r="G5495">
        <v>1</v>
      </c>
      <c r="H5495" t="s">
        <v>16</v>
      </c>
      <c r="I5495" s="1">
        <v>-1679600</v>
      </c>
      <c r="J5495" s="1">
        <v>-5016500</v>
      </c>
      <c r="K5495">
        <v>719</v>
      </c>
      <c r="L5495">
        <v>387</v>
      </c>
      <c r="M5495" t="s">
        <v>16</v>
      </c>
    </row>
    <row r="5496" spans="1:13" x14ac:dyDescent="0.35">
      <c r="A5496">
        <v>521600</v>
      </c>
      <c r="B5496">
        <v>44180</v>
      </c>
      <c r="C5496" t="s">
        <v>5609</v>
      </c>
      <c r="D5496" t="s">
        <v>5431</v>
      </c>
      <c r="E5496" t="s">
        <v>5442</v>
      </c>
      <c r="F5496">
        <v>2618</v>
      </c>
      <c r="G5496">
        <v>1</v>
      </c>
      <c r="H5496" t="s">
        <v>16</v>
      </c>
      <c r="I5496" s="1">
        <v>-1817700</v>
      </c>
      <c r="J5496" s="1">
        <v>-4935400</v>
      </c>
      <c r="K5496">
        <v>733</v>
      </c>
      <c r="L5496">
        <v>433</v>
      </c>
      <c r="M5496" t="s">
        <v>16</v>
      </c>
    </row>
    <row r="5497" spans="1:13" x14ac:dyDescent="0.35">
      <c r="A5497">
        <v>521630</v>
      </c>
      <c r="B5497">
        <v>44210</v>
      </c>
      <c r="C5497" t="s">
        <v>5610</v>
      </c>
      <c r="D5497" t="s">
        <v>5431</v>
      </c>
      <c r="E5497" t="s">
        <v>5486</v>
      </c>
      <c r="F5497">
        <v>7724</v>
      </c>
      <c r="G5497">
        <v>1</v>
      </c>
      <c r="H5497" t="s">
        <v>16</v>
      </c>
      <c r="I5497" s="1">
        <v>-1891600</v>
      </c>
      <c r="J5497" s="1">
        <v>-5065400</v>
      </c>
      <c r="K5497">
        <v>479</v>
      </c>
      <c r="L5497">
        <v>1153</v>
      </c>
      <c r="M5497" t="s">
        <v>16</v>
      </c>
    </row>
    <row r="5498" spans="1:13" x14ac:dyDescent="0.35">
      <c r="A5498">
        <v>521640</v>
      </c>
      <c r="B5498">
        <v>44229</v>
      </c>
      <c r="C5498" t="s">
        <v>5611</v>
      </c>
      <c r="D5498" t="s">
        <v>5431</v>
      </c>
      <c r="E5498" t="s">
        <v>5437</v>
      </c>
      <c r="F5498">
        <v>10926</v>
      </c>
      <c r="G5498">
        <v>1</v>
      </c>
      <c r="H5498" t="s">
        <v>16</v>
      </c>
      <c r="I5498" s="1">
        <v>-1694800</v>
      </c>
      <c r="J5498" s="1">
        <v>-5044900</v>
      </c>
      <c r="K5498">
        <v>721</v>
      </c>
      <c r="L5498">
        <v>3781</v>
      </c>
      <c r="M5498" t="s">
        <v>16</v>
      </c>
    </row>
    <row r="5499" spans="1:13" x14ac:dyDescent="0.35">
      <c r="A5499">
        <v>521645</v>
      </c>
      <c r="B5499">
        <v>53376</v>
      </c>
      <c r="C5499" t="s">
        <v>5612</v>
      </c>
      <c r="D5499" t="s">
        <v>5431</v>
      </c>
      <c r="E5499" t="s">
        <v>5462</v>
      </c>
      <c r="F5499">
        <v>2748</v>
      </c>
      <c r="G5499">
        <v>1</v>
      </c>
      <c r="H5499" t="s">
        <v>16</v>
      </c>
      <c r="I5499" s="1">
        <v>-1752900</v>
      </c>
      <c r="J5499" s="1">
        <v>-5206400</v>
      </c>
      <c r="K5499">
        <v>889</v>
      </c>
      <c r="L5499">
        <v>1029</v>
      </c>
      <c r="M5499" t="s">
        <v>16</v>
      </c>
    </row>
    <row r="5500" spans="1:13" x14ac:dyDescent="0.35">
      <c r="A5500">
        <v>521680</v>
      </c>
      <c r="B5500">
        <v>44261</v>
      </c>
      <c r="C5500" t="s">
        <v>5613</v>
      </c>
      <c r="D5500" t="s">
        <v>5431</v>
      </c>
      <c r="E5500" t="s">
        <v>5457</v>
      </c>
      <c r="F5500">
        <v>9864</v>
      </c>
      <c r="G5500">
        <v>1</v>
      </c>
      <c r="H5500" t="s">
        <v>16</v>
      </c>
      <c r="I5500" s="1">
        <v>-1609500</v>
      </c>
      <c r="J5500" s="1">
        <v>-4933800</v>
      </c>
      <c r="K5500">
        <v>720</v>
      </c>
      <c r="L5500">
        <v>540</v>
      </c>
      <c r="M5500" t="s">
        <v>16</v>
      </c>
    </row>
    <row r="5501" spans="1:13" x14ac:dyDescent="0.35">
      <c r="A5501">
        <v>521690</v>
      </c>
      <c r="B5501">
        <v>44270</v>
      </c>
      <c r="C5501" t="s">
        <v>5614</v>
      </c>
      <c r="D5501" t="s">
        <v>5431</v>
      </c>
      <c r="E5501" t="s">
        <v>5473</v>
      </c>
      <c r="F5501">
        <v>2852</v>
      </c>
      <c r="G5501">
        <v>1</v>
      </c>
      <c r="H5501" t="s">
        <v>16</v>
      </c>
      <c r="I5501" s="1">
        <v>-1476400</v>
      </c>
      <c r="J5501" s="1">
        <v>-4957800</v>
      </c>
      <c r="K5501">
        <v>753</v>
      </c>
      <c r="L5501">
        <v>906</v>
      </c>
      <c r="M5501" t="s">
        <v>16</v>
      </c>
    </row>
    <row r="5502" spans="1:13" x14ac:dyDescent="0.35">
      <c r="A5502">
        <v>521710</v>
      </c>
      <c r="B5502">
        <v>44296</v>
      </c>
      <c r="C5502" t="s">
        <v>5615</v>
      </c>
      <c r="D5502" t="s">
        <v>5431</v>
      </c>
      <c r="E5502" t="s">
        <v>5442</v>
      </c>
      <c r="F5502">
        <v>23310</v>
      </c>
      <c r="G5502">
        <v>1</v>
      </c>
      <c r="H5502" t="s">
        <v>16</v>
      </c>
      <c r="I5502" s="1">
        <v>-1730300</v>
      </c>
      <c r="J5502" s="1">
        <v>-4901800</v>
      </c>
      <c r="K5502">
        <v>742</v>
      </c>
      <c r="L5502">
        <v>2405</v>
      </c>
      <c r="M5502" t="s">
        <v>16</v>
      </c>
    </row>
    <row r="5503" spans="1:13" x14ac:dyDescent="0.35">
      <c r="A5503">
        <v>521720</v>
      </c>
      <c r="B5503">
        <v>44300</v>
      </c>
      <c r="C5503" t="s">
        <v>1872</v>
      </c>
      <c r="D5503" t="s">
        <v>5431</v>
      </c>
      <c r="E5503" t="s">
        <v>5465</v>
      </c>
      <c r="F5503">
        <v>11139</v>
      </c>
      <c r="G5503">
        <v>1</v>
      </c>
      <c r="H5503" t="s">
        <v>16</v>
      </c>
      <c r="I5503" s="1">
        <v>-1642700</v>
      </c>
      <c r="J5503" s="1">
        <v>-5182200</v>
      </c>
      <c r="K5503">
        <v>389</v>
      </c>
      <c r="L5503">
        <v>2047</v>
      </c>
      <c r="M5503" t="s">
        <v>16</v>
      </c>
    </row>
    <row r="5504" spans="1:13" x14ac:dyDescent="0.35">
      <c r="A5504">
        <v>521730</v>
      </c>
      <c r="B5504">
        <v>44318</v>
      </c>
      <c r="C5504" t="s">
        <v>5616</v>
      </c>
      <c r="D5504" t="s">
        <v>5431</v>
      </c>
      <c r="E5504" t="s">
        <v>5435</v>
      </c>
      <c r="F5504">
        <v>20460</v>
      </c>
      <c r="G5504">
        <v>4</v>
      </c>
      <c r="H5504" t="s">
        <v>2523</v>
      </c>
      <c r="I5504" s="1">
        <v>-1585200</v>
      </c>
      <c r="J5504" s="1">
        <v>-4895900</v>
      </c>
      <c r="K5504">
        <v>770</v>
      </c>
      <c r="L5504">
        <v>2227</v>
      </c>
      <c r="M5504" t="s">
        <v>16</v>
      </c>
    </row>
    <row r="5505" spans="1:13" x14ac:dyDescent="0.35">
      <c r="A5505">
        <v>521740</v>
      </c>
      <c r="B5505">
        <v>44326</v>
      </c>
      <c r="C5505" t="s">
        <v>5514</v>
      </c>
      <c r="D5505" t="s">
        <v>5431</v>
      </c>
      <c r="E5505" t="s">
        <v>5514</v>
      </c>
      <c r="F5505">
        <v>26857</v>
      </c>
      <c r="G5505">
        <v>1</v>
      </c>
      <c r="H5505" t="s">
        <v>16</v>
      </c>
      <c r="I5505" s="1">
        <v>-1730100</v>
      </c>
      <c r="J5505" s="1">
        <v>-4828000</v>
      </c>
      <c r="K5505">
        <v>758</v>
      </c>
      <c r="L5505">
        <v>1073</v>
      </c>
      <c r="M5505" t="s">
        <v>16</v>
      </c>
    </row>
    <row r="5506" spans="1:13" x14ac:dyDescent="0.35">
      <c r="A5506">
        <v>521760</v>
      </c>
      <c r="B5506">
        <v>44342</v>
      </c>
      <c r="C5506" t="s">
        <v>5617</v>
      </c>
      <c r="D5506" t="s">
        <v>5431</v>
      </c>
      <c r="E5506" t="s">
        <v>5435</v>
      </c>
      <c r="F5506">
        <v>76376</v>
      </c>
      <c r="G5506">
        <v>4</v>
      </c>
      <c r="H5506" t="s">
        <v>2523</v>
      </c>
      <c r="I5506" s="1">
        <v>-1545300</v>
      </c>
      <c r="J5506" s="1">
        <v>-4761400</v>
      </c>
      <c r="K5506">
        <v>944</v>
      </c>
      <c r="L5506">
        <v>2539</v>
      </c>
      <c r="M5506" t="s">
        <v>16</v>
      </c>
    </row>
    <row r="5507" spans="1:13" x14ac:dyDescent="0.35">
      <c r="A5507">
        <v>521770</v>
      </c>
      <c r="B5507">
        <v>44350</v>
      </c>
      <c r="C5507" t="s">
        <v>5618</v>
      </c>
      <c r="D5507" t="s">
        <v>5431</v>
      </c>
      <c r="E5507" t="s">
        <v>5442</v>
      </c>
      <c r="F5507">
        <v>16226</v>
      </c>
      <c r="G5507">
        <v>1</v>
      </c>
      <c r="H5507" t="s">
        <v>16</v>
      </c>
      <c r="I5507" s="1">
        <v>-1752600</v>
      </c>
      <c r="J5507" s="1">
        <v>-4944900</v>
      </c>
      <c r="K5507">
        <v>610</v>
      </c>
      <c r="L5507">
        <v>1428</v>
      </c>
      <c r="M5507" t="s">
        <v>16</v>
      </c>
    </row>
    <row r="5508" spans="1:13" x14ac:dyDescent="0.35">
      <c r="A5508">
        <v>521800</v>
      </c>
      <c r="B5508">
        <v>44385</v>
      </c>
      <c r="C5508" t="s">
        <v>5447</v>
      </c>
      <c r="D5508" t="s">
        <v>5431</v>
      </c>
      <c r="E5508" t="s">
        <v>5447</v>
      </c>
      <c r="F5508">
        <v>39238</v>
      </c>
      <c r="G5508">
        <v>1</v>
      </c>
      <c r="H5508" t="s">
        <v>16</v>
      </c>
      <c r="I5508" s="1">
        <v>-1344100</v>
      </c>
      <c r="J5508" s="1">
        <v>-4914900</v>
      </c>
      <c r="K5508">
        <v>396</v>
      </c>
      <c r="L5508">
        <v>4820</v>
      </c>
      <c r="M5508" t="s">
        <v>16</v>
      </c>
    </row>
    <row r="5509" spans="1:13" x14ac:dyDescent="0.35">
      <c r="A5509">
        <v>521805</v>
      </c>
      <c r="B5509">
        <v>59030</v>
      </c>
      <c r="C5509" t="s">
        <v>5619</v>
      </c>
      <c r="D5509" t="s">
        <v>5431</v>
      </c>
      <c r="E5509" t="s">
        <v>5442</v>
      </c>
      <c r="F5509">
        <v>3008</v>
      </c>
      <c r="G5509">
        <v>1</v>
      </c>
      <c r="H5509" t="s">
        <v>16</v>
      </c>
      <c r="I5509" s="1">
        <v>-1781500</v>
      </c>
      <c r="J5509" s="1">
        <v>-5016400</v>
      </c>
      <c r="K5509">
        <v>470</v>
      </c>
      <c r="L5509">
        <v>603</v>
      </c>
      <c r="M5509" t="s">
        <v>16</v>
      </c>
    </row>
    <row r="5510" spans="1:13" x14ac:dyDescent="0.35">
      <c r="A5510">
        <v>521810</v>
      </c>
      <c r="B5510">
        <v>44393</v>
      </c>
      <c r="C5510" t="s">
        <v>5620</v>
      </c>
      <c r="D5510" t="s">
        <v>5431</v>
      </c>
      <c r="E5510" t="s">
        <v>5462</v>
      </c>
      <c r="F5510">
        <v>3310</v>
      </c>
      <c r="G5510">
        <v>1</v>
      </c>
      <c r="H5510" t="s">
        <v>16</v>
      </c>
      <c r="I5510" s="1">
        <v>-1735400</v>
      </c>
      <c r="J5510" s="1">
        <v>-5267900</v>
      </c>
      <c r="K5510">
        <v>858</v>
      </c>
      <c r="L5510">
        <v>550</v>
      </c>
      <c r="M5510" t="s">
        <v>16</v>
      </c>
    </row>
    <row r="5511" spans="1:13" x14ac:dyDescent="0.35">
      <c r="A5511">
        <v>521830</v>
      </c>
      <c r="B5511">
        <v>44415</v>
      </c>
      <c r="C5511" t="s">
        <v>5621</v>
      </c>
      <c r="D5511" t="s">
        <v>5431</v>
      </c>
      <c r="E5511" t="s">
        <v>5451</v>
      </c>
      <c r="F5511">
        <v>28850</v>
      </c>
      <c r="G5511">
        <v>1</v>
      </c>
      <c r="H5511" t="s">
        <v>16</v>
      </c>
      <c r="I5511" s="1">
        <v>-1409300</v>
      </c>
      <c r="J5511" s="1">
        <v>-4636900</v>
      </c>
      <c r="K5511">
        <v>811</v>
      </c>
      <c r="L5511">
        <v>1949</v>
      </c>
      <c r="M5511" t="s">
        <v>16</v>
      </c>
    </row>
    <row r="5512" spans="1:13" x14ac:dyDescent="0.35">
      <c r="A5512">
        <v>521839</v>
      </c>
      <c r="B5512">
        <v>53384</v>
      </c>
      <c r="C5512" t="s">
        <v>5622</v>
      </c>
      <c r="D5512" t="s">
        <v>5431</v>
      </c>
      <c r="E5512" t="s">
        <v>5442</v>
      </c>
      <c r="F5512">
        <v>3298</v>
      </c>
      <c r="G5512">
        <v>1</v>
      </c>
      <c r="H5512" t="s">
        <v>16</v>
      </c>
      <c r="I5512" s="1">
        <v>-1725100</v>
      </c>
      <c r="J5512" s="1">
        <v>-4924400</v>
      </c>
      <c r="K5512">
        <v>748</v>
      </c>
      <c r="L5512">
        <v>347</v>
      </c>
      <c r="M5512" t="s">
        <v>16</v>
      </c>
    </row>
    <row r="5513" spans="1:13" x14ac:dyDescent="0.35">
      <c r="A5513">
        <v>521850</v>
      </c>
      <c r="B5513">
        <v>44423</v>
      </c>
      <c r="C5513" t="s">
        <v>5623</v>
      </c>
      <c r="D5513" t="s">
        <v>5431</v>
      </c>
      <c r="E5513" t="s">
        <v>5486</v>
      </c>
      <c r="F5513">
        <v>50000</v>
      </c>
      <c r="G5513">
        <v>1</v>
      </c>
      <c r="H5513" t="s">
        <v>16</v>
      </c>
      <c r="I5513" s="1">
        <v>-1844800</v>
      </c>
      <c r="J5513" s="1">
        <v>-5045200</v>
      </c>
      <c r="K5513">
        <v>541</v>
      </c>
      <c r="L5513">
        <v>3780</v>
      </c>
      <c r="M5513" t="s">
        <v>16</v>
      </c>
    </row>
    <row r="5514" spans="1:13" x14ac:dyDescent="0.35">
      <c r="A5514">
        <v>521860</v>
      </c>
      <c r="B5514">
        <v>44431</v>
      </c>
      <c r="C5514" t="s">
        <v>5624</v>
      </c>
      <c r="D5514" t="s">
        <v>5431</v>
      </c>
      <c r="E5514" t="s">
        <v>5473</v>
      </c>
      <c r="F5514">
        <v>10485</v>
      </c>
      <c r="G5514">
        <v>1</v>
      </c>
      <c r="H5514" t="s">
        <v>16</v>
      </c>
      <c r="I5514" s="1">
        <v>-1531500</v>
      </c>
      <c r="J5514" s="1">
        <v>-4958400</v>
      </c>
      <c r="K5514">
        <v>582</v>
      </c>
      <c r="L5514">
        <v>268</v>
      </c>
      <c r="M5514" t="s">
        <v>16</v>
      </c>
    </row>
    <row r="5515" spans="1:13" x14ac:dyDescent="0.35">
      <c r="A5515">
        <v>521870</v>
      </c>
      <c r="B5515">
        <v>44440</v>
      </c>
      <c r="C5515" t="s">
        <v>5625</v>
      </c>
      <c r="D5515" t="s">
        <v>5431</v>
      </c>
      <c r="E5515" t="s">
        <v>5473</v>
      </c>
      <c r="F5515">
        <v>4167</v>
      </c>
      <c r="G5515">
        <v>1</v>
      </c>
      <c r="H5515" t="s">
        <v>16</v>
      </c>
      <c r="I5515" s="1">
        <v>-1544700</v>
      </c>
      <c r="J5515" s="1">
        <v>-4951000</v>
      </c>
      <c r="K5515">
        <v>589</v>
      </c>
      <c r="L5515">
        <v>159</v>
      </c>
      <c r="M5515" t="s">
        <v>16</v>
      </c>
    </row>
    <row r="5516" spans="1:13" x14ac:dyDescent="0.35">
      <c r="A5516">
        <v>521878</v>
      </c>
      <c r="B5516">
        <v>47619</v>
      </c>
      <c r="C5516" t="s">
        <v>5626</v>
      </c>
      <c r="D5516" t="s">
        <v>5431</v>
      </c>
      <c r="E5516" t="s">
        <v>5442</v>
      </c>
      <c r="F5516">
        <v>2959</v>
      </c>
      <c r="G5516">
        <v>1</v>
      </c>
      <c r="H5516" t="s">
        <v>16</v>
      </c>
      <c r="I5516" s="1">
        <v>-1777400</v>
      </c>
      <c r="J5516" s="1">
        <v>-4877300</v>
      </c>
      <c r="K5516">
        <v>663</v>
      </c>
      <c r="L5516">
        <v>256</v>
      </c>
      <c r="M5516" t="s">
        <v>16</v>
      </c>
    </row>
    <row r="5517" spans="1:13" x14ac:dyDescent="0.35">
      <c r="A5517">
        <v>521880</v>
      </c>
      <c r="B5517">
        <v>44466</v>
      </c>
      <c r="C5517" t="s">
        <v>5627</v>
      </c>
      <c r="D5517" t="s">
        <v>5431</v>
      </c>
      <c r="E5517" t="s">
        <v>5462</v>
      </c>
      <c r="F5517">
        <v>149382</v>
      </c>
      <c r="G5517">
        <v>3</v>
      </c>
      <c r="H5517" t="s">
        <v>16</v>
      </c>
      <c r="I5517" s="1">
        <v>-1779800</v>
      </c>
      <c r="J5517" s="1">
        <v>-5092800</v>
      </c>
      <c r="K5517">
        <v>715</v>
      </c>
      <c r="L5517">
        <v>8388</v>
      </c>
      <c r="M5517" t="s">
        <v>16</v>
      </c>
    </row>
    <row r="5518" spans="1:13" x14ac:dyDescent="0.35">
      <c r="A5518">
        <v>521890</v>
      </c>
      <c r="B5518">
        <v>44474</v>
      </c>
      <c r="C5518" t="s">
        <v>5628</v>
      </c>
      <c r="D5518" t="s">
        <v>5431</v>
      </c>
      <c r="E5518" t="s">
        <v>5473</v>
      </c>
      <c r="F5518">
        <v>18025</v>
      </c>
      <c r="G5518">
        <v>1</v>
      </c>
      <c r="H5518" t="s">
        <v>16</v>
      </c>
      <c r="I5518" s="1">
        <v>-1516400</v>
      </c>
      <c r="J5518" s="1">
        <v>-4980300</v>
      </c>
      <c r="K5518">
        <v>632</v>
      </c>
      <c r="L5518">
        <v>748</v>
      </c>
      <c r="M5518" t="s">
        <v>16</v>
      </c>
    </row>
    <row r="5519" spans="1:13" x14ac:dyDescent="0.35">
      <c r="A5519">
        <v>521900</v>
      </c>
      <c r="B5519">
        <v>44482</v>
      </c>
      <c r="C5519" t="s">
        <v>5629</v>
      </c>
      <c r="D5519" t="s">
        <v>5431</v>
      </c>
      <c r="E5519" t="s">
        <v>5439</v>
      </c>
      <c r="F5519">
        <v>7647</v>
      </c>
      <c r="G5519">
        <v>1</v>
      </c>
      <c r="H5519" t="s">
        <v>16</v>
      </c>
      <c r="I5519" s="1">
        <v>-1619800</v>
      </c>
      <c r="J5519" s="1">
        <v>-5031400</v>
      </c>
      <c r="K5519">
        <v>607</v>
      </c>
      <c r="L5519">
        <v>496</v>
      </c>
      <c r="M5519" t="s">
        <v>16</v>
      </c>
    </row>
    <row r="5520" spans="1:13" x14ac:dyDescent="0.35">
      <c r="A5520">
        <v>521910</v>
      </c>
      <c r="B5520">
        <v>44490</v>
      </c>
      <c r="C5520" t="s">
        <v>5630</v>
      </c>
      <c r="D5520" t="s">
        <v>5431</v>
      </c>
      <c r="E5520" t="s">
        <v>5439</v>
      </c>
      <c r="F5520">
        <v>5658</v>
      </c>
      <c r="G5520">
        <v>1</v>
      </c>
      <c r="H5520" t="s">
        <v>16</v>
      </c>
      <c r="I5520" s="1">
        <v>-1657400</v>
      </c>
      <c r="J5520" s="1">
        <v>-4969400</v>
      </c>
      <c r="K5520">
        <v>639</v>
      </c>
      <c r="L5520">
        <v>139</v>
      </c>
      <c r="M5520" t="s">
        <v>16</v>
      </c>
    </row>
    <row r="5521" spans="1:13" x14ac:dyDescent="0.35">
      <c r="A5521">
        <v>521920</v>
      </c>
      <c r="B5521">
        <v>44504</v>
      </c>
      <c r="C5521" t="s">
        <v>5631</v>
      </c>
      <c r="D5521" t="s">
        <v>5431</v>
      </c>
      <c r="E5521" t="s">
        <v>5514</v>
      </c>
      <c r="F5521">
        <v>3542</v>
      </c>
      <c r="G5521">
        <v>1</v>
      </c>
      <c r="H5521" t="s">
        <v>16</v>
      </c>
      <c r="I5521" s="1">
        <v>-1731600</v>
      </c>
      <c r="J5521" s="1">
        <v>-4848200</v>
      </c>
      <c r="K5521">
        <v>754</v>
      </c>
      <c r="L5521">
        <v>1108</v>
      </c>
      <c r="M5521" t="s">
        <v>16</v>
      </c>
    </row>
    <row r="5522" spans="1:13" x14ac:dyDescent="0.35">
      <c r="A5522">
        <v>521925</v>
      </c>
      <c r="B5522">
        <v>47627</v>
      </c>
      <c r="C5522" t="s">
        <v>5632</v>
      </c>
      <c r="D5522" t="s">
        <v>5431</v>
      </c>
      <c r="E5522" t="s">
        <v>3045</v>
      </c>
      <c r="F5522">
        <v>4594</v>
      </c>
      <c r="G5522">
        <v>1</v>
      </c>
      <c r="H5522" t="s">
        <v>16</v>
      </c>
      <c r="I5522" s="1">
        <v>-1576900</v>
      </c>
      <c r="J5522" s="1">
        <v>-5110600</v>
      </c>
      <c r="K5522">
        <v>362</v>
      </c>
      <c r="L5522">
        <v>1160</v>
      </c>
      <c r="M5522" t="s">
        <v>16</v>
      </c>
    </row>
    <row r="5523" spans="1:13" x14ac:dyDescent="0.35">
      <c r="A5523">
        <v>521930</v>
      </c>
      <c r="B5523">
        <v>44512</v>
      </c>
      <c r="C5523" t="s">
        <v>5633</v>
      </c>
      <c r="D5523" t="s">
        <v>5431</v>
      </c>
      <c r="E5523" t="s">
        <v>5462</v>
      </c>
      <c r="F5523">
        <v>35027</v>
      </c>
      <c r="G5523">
        <v>1</v>
      </c>
      <c r="H5523" t="s">
        <v>16</v>
      </c>
      <c r="I5523" s="1">
        <v>-1781400</v>
      </c>
      <c r="J5523" s="1">
        <v>-5059700</v>
      </c>
      <c r="K5523">
        <v>562</v>
      </c>
      <c r="L5523">
        <v>1127</v>
      </c>
      <c r="M5523" t="s">
        <v>16</v>
      </c>
    </row>
    <row r="5524" spans="1:13" x14ac:dyDescent="0.35">
      <c r="A5524">
        <v>521935</v>
      </c>
      <c r="B5524">
        <v>10634</v>
      </c>
      <c r="C5524" t="s">
        <v>3955</v>
      </c>
      <c r="D5524" t="s">
        <v>5431</v>
      </c>
      <c r="E5524" t="s">
        <v>5473</v>
      </c>
      <c r="F5524">
        <v>3485</v>
      </c>
      <c r="G5524">
        <v>1</v>
      </c>
      <c r="H5524" t="s">
        <v>16</v>
      </c>
      <c r="I5524" s="1">
        <v>-1529800</v>
      </c>
      <c r="J5524" s="1">
        <v>-4942700</v>
      </c>
      <c r="K5524">
        <v>611</v>
      </c>
      <c r="L5524">
        <v>806</v>
      </c>
      <c r="M5524" t="s">
        <v>16</v>
      </c>
    </row>
    <row r="5525" spans="1:13" x14ac:dyDescent="0.35">
      <c r="A5525">
        <v>521940</v>
      </c>
      <c r="B5525">
        <v>44520</v>
      </c>
      <c r="C5525" t="s">
        <v>5634</v>
      </c>
      <c r="D5525" t="s">
        <v>5431</v>
      </c>
      <c r="E5525" t="s">
        <v>5462</v>
      </c>
      <c r="F5525">
        <v>5873</v>
      </c>
      <c r="G5525">
        <v>1</v>
      </c>
      <c r="H5525" t="s">
        <v>16</v>
      </c>
      <c r="I5525" s="1">
        <v>-1732600</v>
      </c>
      <c r="J5525" s="1">
        <v>-5320500</v>
      </c>
      <c r="K5525">
        <v>691</v>
      </c>
      <c r="L5525">
        <v>1361</v>
      </c>
      <c r="M5525" t="s">
        <v>16</v>
      </c>
    </row>
    <row r="5526" spans="1:13" x14ac:dyDescent="0.35">
      <c r="A5526">
        <v>521945</v>
      </c>
      <c r="B5526">
        <v>59048</v>
      </c>
      <c r="C5526" t="s">
        <v>5635</v>
      </c>
      <c r="D5526" t="s">
        <v>5431</v>
      </c>
      <c r="E5526" t="s">
        <v>5473</v>
      </c>
      <c r="F5526">
        <v>3372</v>
      </c>
      <c r="G5526">
        <v>1</v>
      </c>
      <c r="H5526" t="s">
        <v>16</v>
      </c>
      <c r="I5526" s="1">
        <v>-1513500</v>
      </c>
      <c r="J5526" s="1">
        <v>-4912000</v>
      </c>
      <c r="K5526">
        <v>790</v>
      </c>
      <c r="L5526">
        <v>956</v>
      </c>
      <c r="M5526" t="s">
        <v>16</v>
      </c>
    </row>
    <row r="5527" spans="1:13" x14ac:dyDescent="0.35">
      <c r="A5527">
        <v>521950</v>
      </c>
      <c r="B5527">
        <v>44539</v>
      </c>
      <c r="C5527" t="s">
        <v>5636</v>
      </c>
      <c r="D5527" t="s">
        <v>5431</v>
      </c>
      <c r="E5527" t="s">
        <v>5457</v>
      </c>
      <c r="F5527">
        <v>2851</v>
      </c>
      <c r="G5527">
        <v>1</v>
      </c>
      <c r="H5527" t="s">
        <v>16</v>
      </c>
      <c r="I5527" s="1">
        <v>-1608500</v>
      </c>
      <c r="J5527" s="1">
        <v>-4949400</v>
      </c>
      <c r="K5527">
        <v>837</v>
      </c>
      <c r="L5527">
        <v>170</v>
      </c>
      <c r="M5527" t="s">
        <v>16</v>
      </c>
    </row>
    <row r="5528" spans="1:13" x14ac:dyDescent="0.35">
      <c r="A5528">
        <v>521960</v>
      </c>
      <c r="B5528">
        <v>44547</v>
      </c>
      <c r="C5528" t="s">
        <v>5637</v>
      </c>
      <c r="D5528" t="s">
        <v>5431</v>
      </c>
      <c r="E5528" t="s">
        <v>5447</v>
      </c>
      <c r="F5528">
        <v>4145</v>
      </c>
      <c r="G5528">
        <v>1</v>
      </c>
      <c r="H5528" t="s">
        <v>16</v>
      </c>
      <c r="I5528" s="1">
        <v>-1371400</v>
      </c>
      <c r="J5528" s="1">
        <v>-4901500</v>
      </c>
      <c r="K5528">
        <v>409</v>
      </c>
      <c r="L5528">
        <v>794</v>
      </c>
      <c r="M5528" t="s">
        <v>16</v>
      </c>
    </row>
    <row r="5529" spans="1:13" x14ac:dyDescent="0.35">
      <c r="A5529">
        <v>521970</v>
      </c>
      <c r="B5529">
        <v>44555</v>
      </c>
      <c r="C5529" t="s">
        <v>5638</v>
      </c>
      <c r="D5529" t="s">
        <v>5431</v>
      </c>
      <c r="E5529" t="s">
        <v>5447</v>
      </c>
      <c r="F5529">
        <v>11558</v>
      </c>
      <c r="G5529">
        <v>1</v>
      </c>
      <c r="H5529" t="s">
        <v>16</v>
      </c>
      <c r="I5529" s="1">
        <v>-1443800</v>
      </c>
      <c r="J5529" s="1">
        <v>-4970600</v>
      </c>
      <c r="K5529">
        <v>353</v>
      </c>
      <c r="L5529">
        <v>1202</v>
      </c>
      <c r="M5529" t="s">
        <v>16</v>
      </c>
    </row>
    <row r="5530" spans="1:13" x14ac:dyDescent="0.35">
      <c r="A5530">
        <v>521971</v>
      </c>
      <c r="B5530">
        <v>53392</v>
      </c>
      <c r="C5530" t="s">
        <v>5639</v>
      </c>
      <c r="D5530" t="s">
        <v>5431</v>
      </c>
      <c r="E5530" t="s">
        <v>5462</v>
      </c>
      <c r="F5530">
        <v>4134</v>
      </c>
      <c r="G5530">
        <v>1</v>
      </c>
      <c r="H5530" t="s">
        <v>16</v>
      </c>
      <c r="I5530" s="1">
        <v>-1756100</v>
      </c>
      <c r="J5530" s="1">
        <v>-5063400</v>
      </c>
      <c r="K5530">
        <v>578</v>
      </c>
      <c r="L5530">
        <v>451</v>
      </c>
      <c r="M5530" t="s">
        <v>16</v>
      </c>
    </row>
    <row r="5531" spans="1:13" x14ac:dyDescent="0.35">
      <c r="A5531">
        <v>521973</v>
      </c>
      <c r="B5531">
        <v>53406</v>
      </c>
      <c r="C5531" t="s">
        <v>5640</v>
      </c>
      <c r="D5531" t="s">
        <v>5431</v>
      </c>
      <c r="E5531" t="s">
        <v>5432</v>
      </c>
      <c r="F5531">
        <v>3893</v>
      </c>
      <c r="G5531">
        <v>4</v>
      </c>
      <c r="H5531" t="s">
        <v>5433</v>
      </c>
      <c r="I5531" s="1">
        <v>-1648400</v>
      </c>
      <c r="J5531" s="1">
        <v>-4931100</v>
      </c>
      <c r="K5531">
        <v>0</v>
      </c>
      <c r="L5531">
        <v>132</v>
      </c>
      <c r="M5531" t="s">
        <v>16</v>
      </c>
    </row>
    <row r="5532" spans="1:13" x14ac:dyDescent="0.35">
      <c r="A5532">
        <v>521975</v>
      </c>
      <c r="B5532">
        <v>10642</v>
      </c>
      <c r="C5532" t="s">
        <v>5641</v>
      </c>
      <c r="D5532" t="s">
        <v>5431</v>
      </c>
      <c r="E5532" t="s">
        <v>5435</v>
      </c>
      <c r="F5532">
        <v>55621</v>
      </c>
      <c r="G5532">
        <v>4</v>
      </c>
      <c r="H5532" t="s">
        <v>2523</v>
      </c>
      <c r="I5532" s="1">
        <v>-1594000</v>
      </c>
      <c r="J5532" s="1">
        <v>-4825500</v>
      </c>
      <c r="K5532">
        <v>912</v>
      </c>
      <c r="L5532">
        <v>938</v>
      </c>
      <c r="M5532" t="s">
        <v>16</v>
      </c>
    </row>
    <row r="5533" spans="1:13" x14ac:dyDescent="0.35">
      <c r="A5533">
        <v>521980</v>
      </c>
      <c r="B5533">
        <v>44563</v>
      </c>
      <c r="C5533" t="s">
        <v>1964</v>
      </c>
      <c r="D5533" t="s">
        <v>5431</v>
      </c>
      <c r="E5533" t="s">
        <v>5451</v>
      </c>
      <c r="F5533">
        <v>9786</v>
      </c>
      <c r="G5533">
        <v>1</v>
      </c>
      <c r="H5533" t="s">
        <v>16</v>
      </c>
      <c r="I5533" s="1">
        <v>-1339800</v>
      </c>
      <c r="J5533" s="1">
        <v>-4631800</v>
      </c>
      <c r="K5533">
        <v>677</v>
      </c>
      <c r="L5533">
        <v>3295</v>
      </c>
      <c r="M5533" t="s">
        <v>16</v>
      </c>
    </row>
    <row r="5534" spans="1:13" x14ac:dyDescent="0.35">
      <c r="A5534">
        <v>521990</v>
      </c>
      <c r="B5534">
        <v>44571</v>
      </c>
      <c r="C5534" t="s">
        <v>5642</v>
      </c>
      <c r="D5534" t="s">
        <v>5431</v>
      </c>
      <c r="E5534" t="s">
        <v>5457</v>
      </c>
      <c r="F5534">
        <v>5713</v>
      </c>
      <c r="G5534">
        <v>1</v>
      </c>
      <c r="H5534" t="s">
        <v>16</v>
      </c>
      <c r="I5534" s="1">
        <v>-1593100</v>
      </c>
      <c r="J5534" s="1">
        <v>-4926100</v>
      </c>
      <c r="K5534">
        <v>747</v>
      </c>
      <c r="L5534">
        <v>339</v>
      </c>
      <c r="M5534" t="s">
        <v>16</v>
      </c>
    </row>
    <row r="5535" spans="1:13" x14ac:dyDescent="0.35">
      <c r="A5535">
        <v>522000</v>
      </c>
      <c r="B5535">
        <v>44580</v>
      </c>
      <c r="C5535" t="s">
        <v>5643</v>
      </c>
      <c r="D5535" t="s">
        <v>5431</v>
      </c>
      <c r="E5535" t="s">
        <v>5449</v>
      </c>
      <c r="F5535">
        <v>8177</v>
      </c>
      <c r="G5535">
        <v>1</v>
      </c>
      <c r="H5535" t="s">
        <v>16</v>
      </c>
      <c r="I5535" s="1">
        <v>-1470600</v>
      </c>
      <c r="J5535" s="1">
        <v>-4752500</v>
      </c>
      <c r="K5535">
        <v>986</v>
      </c>
      <c r="L5535">
        <v>3327</v>
      </c>
      <c r="M5535" t="s">
        <v>16</v>
      </c>
    </row>
    <row r="5536" spans="1:13" x14ac:dyDescent="0.35">
      <c r="A5536">
        <v>522005</v>
      </c>
      <c r="B5536">
        <v>47643</v>
      </c>
      <c r="C5536" t="s">
        <v>5644</v>
      </c>
      <c r="D5536" t="s">
        <v>5431</v>
      </c>
      <c r="E5536" t="s">
        <v>5437</v>
      </c>
      <c r="F5536">
        <v>1699</v>
      </c>
      <c r="G5536">
        <v>1</v>
      </c>
      <c r="H5536" t="s">
        <v>16</v>
      </c>
      <c r="I5536" s="1">
        <v>-1681500</v>
      </c>
      <c r="J5536" s="1">
        <v>-5041000</v>
      </c>
      <c r="K5536">
        <v>640</v>
      </c>
      <c r="L5536">
        <v>305</v>
      </c>
      <c r="M5536" t="s">
        <v>16</v>
      </c>
    </row>
    <row r="5537" spans="1:13" x14ac:dyDescent="0.35">
      <c r="A5537">
        <v>522010</v>
      </c>
      <c r="B5537">
        <v>44598</v>
      </c>
      <c r="C5537" t="s">
        <v>5645</v>
      </c>
      <c r="D5537" t="s">
        <v>5431</v>
      </c>
      <c r="E5537" t="s">
        <v>5439</v>
      </c>
      <c r="F5537">
        <v>26784</v>
      </c>
      <c r="G5537">
        <v>1</v>
      </c>
      <c r="H5537" t="s">
        <v>16</v>
      </c>
      <c r="I5537" s="1">
        <v>-1652500</v>
      </c>
      <c r="J5537" s="1">
        <v>-5037200</v>
      </c>
      <c r="K5537">
        <v>579</v>
      </c>
      <c r="L5537">
        <v>826</v>
      </c>
      <c r="M5537" t="s">
        <v>16</v>
      </c>
    </row>
    <row r="5538" spans="1:13" x14ac:dyDescent="0.35">
      <c r="A5538">
        <v>522015</v>
      </c>
      <c r="B5538">
        <v>47651</v>
      </c>
      <c r="C5538" t="s">
        <v>5646</v>
      </c>
      <c r="D5538" t="s">
        <v>5431</v>
      </c>
      <c r="E5538" t="s">
        <v>5473</v>
      </c>
      <c r="F5538">
        <v>4266</v>
      </c>
      <c r="G5538">
        <v>1</v>
      </c>
      <c r="H5538" t="s">
        <v>16</v>
      </c>
      <c r="I5538" s="1">
        <v>-1486300</v>
      </c>
      <c r="J5538" s="1">
        <v>-4932900</v>
      </c>
      <c r="K5538">
        <v>564</v>
      </c>
      <c r="L5538">
        <v>586</v>
      </c>
      <c r="M5538" t="s">
        <v>16</v>
      </c>
    </row>
    <row r="5539" spans="1:13" x14ac:dyDescent="0.35">
      <c r="A5539">
        <v>522020</v>
      </c>
      <c r="B5539">
        <v>44601</v>
      </c>
      <c r="C5539" t="s">
        <v>5647</v>
      </c>
      <c r="D5539" t="s">
        <v>5431</v>
      </c>
      <c r="E5539" t="s">
        <v>5516</v>
      </c>
      <c r="F5539">
        <v>22468</v>
      </c>
      <c r="G5539">
        <v>1</v>
      </c>
      <c r="H5539" t="s">
        <v>16</v>
      </c>
      <c r="I5539" s="1">
        <v>-1327500</v>
      </c>
      <c r="J5539" s="1">
        <v>-5016300</v>
      </c>
      <c r="K5539">
        <v>337</v>
      </c>
      <c r="L5539">
        <v>6144</v>
      </c>
      <c r="M5539" t="s">
        <v>16</v>
      </c>
    </row>
    <row r="5540" spans="1:13" x14ac:dyDescent="0.35">
      <c r="A5540">
        <v>522026</v>
      </c>
      <c r="B5540">
        <v>47040</v>
      </c>
      <c r="C5540" t="s">
        <v>5648</v>
      </c>
      <c r="D5540" t="s">
        <v>5431</v>
      </c>
      <c r="E5540" t="s">
        <v>5514</v>
      </c>
      <c r="F5540">
        <v>3680</v>
      </c>
      <c r="G5540">
        <v>1</v>
      </c>
      <c r="H5540" t="s">
        <v>16</v>
      </c>
      <c r="I5540" s="1">
        <v>-1705900</v>
      </c>
      <c r="J5540" s="1">
        <v>-4866300</v>
      </c>
      <c r="K5540">
        <v>801</v>
      </c>
      <c r="L5540">
        <v>537</v>
      </c>
      <c r="M5540" t="s">
        <v>16</v>
      </c>
    </row>
    <row r="5541" spans="1:13" x14ac:dyDescent="0.35">
      <c r="A5541">
        <v>522028</v>
      </c>
      <c r="B5541">
        <v>59056</v>
      </c>
      <c r="C5541" t="s">
        <v>5649</v>
      </c>
      <c r="D5541" t="s">
        <v>5431</v>
      </c>
      <c r="E5541" t="s">
        <v>5473</v>
      </c>
      <c r="F5541">
        <v>2051</v>
      </c>
      <c r="G5541">
        <v>1</v>
      </c>
      <c r="H5541" t="s">
        <v>16</v>
      </c>
      <c r="I5541" s="1">
        <v>-1535000</v>
      </c>
      <c r="J5541" s="1">
        <v>-4981800</v>
      </c>
      <c r="K5541">
        <v>560</v>
      </c>
      <c r="L5541">
        <v>134</v>
      </c>
      <c r="M5541" t="s">
        <v>16</v>
      </c>
    </row>
    <row r="5542" spans="1:13" x14ac:dyDescent="0.35">
      <c r="A5542">
        <v>522040</v>
      </c>
      <c r="B5542">
        <v>44628</v>
      </c>
      <c r="C5542" t="s">
        <v>3995</v>
      </c>
      <c r="D5542" t="s">
        <v>5431</v>
      </c>
      <c r="E5542" t="s">
        <v>5486</v>
      </c>
      <c r="F5542">
        <v>13832</v>
      </c>
      <c r="G5542">
        <v>1</v>
      </c>
      <c r="H5542" t="s">
        <v>16</v>
      </c>
      <c r="I5542" s="1">
        <v>-1899100</v>
      </c>
      <c r="J5542" s="1">
        <v>-5054400</v>
      </c>
      <c r="K5542">
        <v>367</v>
      </c>
      <c r="L5542">
        <v>414</v>
      </c>
      <c r="M5542" t="s">
        <v>16</v>
      </c>
    </row>
    <row r="5543" spans="1:13" x14ac:dyDescent="0.35">
      <c r="A5543">
        <v>522045</v>
      </c>
      <c r="B5543">
        <v>47660</v>
      </c>
      <c r="C5543" t="s">
        <v>5650</v>
      </c>
      <c r="D5543" t="s">
        <v>5431</v>
      </c>
      <c r="E5543" t="s">
        <v>5432</v>
      </c>
      <c r="F5543">
        <v>70559</v>
      </c>
      <c r="G5543">
        <v>4</v>
      </c>
      <c r="H5543" t="s">
        <v>5433</v>
      </c>
      <c r="I5543" s="1">
        <v>-1670800</v>
      </c>
      <c r="J5543" s="1">
        <v>-4909300</v>
      </c>
      <c r="K5543">
        <v>801</v>
      </c>
      <c r="L5543">
        <v>244</v>
      </c>
      <c r="M5543" t="s">
        <v>16</v>
      </c>
    </row>
    <row r="5544" spans="1:13" x14ac:dyDescent="0.35">
      <c r="A5544">
        <v>522050</v>
      </c>
      <c r="B5544">
        <v>44636</v>
      </c>
      <c r="C5544" t="s">
        <v>5651</v>
      </c>
      <c r="D5544" t="s">
        <v>5431</v>
      </c>
      <c r="E5544" t="s">
        <v>5462</v>
      </c>
      <c r="F5544">
        <v>7333</v>
      </c>
      <c r="G5544">
        <v>1</v>
      </c>
      <c r="H5544" t="s">
        <v>16</v>
      </c>
      <c r="I5544" s="1">
        <v>-1830600</v>
      </c>
      <c r="J5544" s="1">
        <v>-5196200</v>
      </c>
      <c r="K5544">
        <v>742</v>
      </c>
      <c r="L5544">
        <v>5526</v>
      </c>
      <c r="M5544" t="s">
        <v>16</v>
      </c>
    </row>
    <row r="5545" spans="1:13" x14ac:dyDescent="0.35">
      <c r="A5545">
        <v>522060</v>
      </c>
      <c r="B5545">
        <v>44644</v>
      </c>
      <c r="C5545" t="s">
        <v>5652</v>
      </c>
      <c r="D5545" t="s">
        <v>5431</v>
      </c>
      <c r="E5545" t="s">
        <v>5514</v>
      </c>
      <c r="F5545">
        <v>18370</v>
      </c>
      <c r="G5545">
        <v>1</v>
      </c>
      <c r="H5545" t="s">
        <v>16</v>
      </c>
      <c r="I5545" s="1">
        <v>-1665900</v>
      </c>
      <c r="J5545" s="1">
        <v>-4860800</v>
      </c>
      <c r="K5545">
        <v>898</v>
      </c>
      <c r="L5545">
        <v>2264</v>
      </c>
      <c r="M5545" t="s">
        <v>16</v>
      </c>
    </row>
    <row r="5546" spans="1:13" x14ac:dyDescent="0.35">
      <c r="A5546">
        <v>522068</v>
      </c>
      <c r="B5546">
        <v>47058</v>
      </c>
      <c r="C5546" t="s">
        <v>5653</v>
      </c>
      <c r="D5546" t="s">
        <v>5431</v>
      </c>
      <c r="E5546" t="s">
        <v>5451</v>
      </c>
      <c r="F5546">
        <v>6915</v>
      </c>
      <c r="G5546">
        <v>1</v>
      </c>
      <c r="H5546" t="s">
        <v>16</v>
      </c>
      <c r="I5546" s="1">
        <v>-1447400</v>
      </c>
      <c r="J5546" s="1">
        <v>-4648300</v>
      </c>
      <c r="K5546">
        <v>500</v>
      </c>
      <c r="L5546">
        <v>347</v>
      </c>
      <c r="M5546" t="s">
        <v>16</v>
      </c>
    </row>
    <row r="5547" spans="1:13" x14ac:dyDescent="0.35">
      <c r="A5547">
        <v>522070</v>
      </c>
      <c r="B5547">
        <v>44652</v>
      </c>
      <c r="C5547" t="s">
        <v>5654</v>
      </c>
      <c r="D5547" t="s">
        <v>5431</v>
      </c>
      <c r="E5547" t="s">
        <v>5451</v>
      </c>
      <c r="F5547">
        <v>3251</v>
      </c>
      <c r="G5547">
        <v>1</v>
      </c>
      <c r="H5547" t="s">
        <v>16</v>
      </c>
      <c r="I5547" s="1">
        <v>-1480500</v>
      </c>
      <c r="J5547" s="1">
        <v>-4625300</v>
      </c>
      <c r="K5547">
        <v>748</v>
      </c>
      <c r="L5547">
        <v>1598</v>
      </c>
      <c r="M5547" t="s">
        <v>16</v>
      </c>
    </row>
    <row r="5548" spans="1:13" x14ac:dyDescent="0.35">
      <c r="A5548">
        <v>522100</v>
      </c>
      <c r="B5548">
        <v>44687</v>
      </c>
      <c r="C5548" t="s">
        <v>5655</v>
      </c>
      <c r="D5548" t="s">
        <v>5431</v>
      </c>
      <c r="E5548" t="s">
        <v>5457</v>
      </c>
      <c r="F5548">
        <v>3404</v>
      </c>
      <c r="G5548">
        <v>1</v>
      </c>
      <c r="H5548" t="s">
        <v>16</v>
      </c>
      <c r="I5548" s="1">
        <v>-1605400</v>
      </c>
      <c r="J5548" s="1">
        <v>-4960600</v>
      </c>
      <c r="K5548">
        <v>769</v>
      </c>
      <c r="L5548">
        <v>201</v>
      </c>
      <c r="M5548" t="s">
        <v>16</v>
      </c>
    </row>
    <row r="5549" spans="1:13" x14ac:dyDescent="0.35">
      <c r="A5549">
        <v>522108</v>
      </c>
      <c r="B5549">
        <v>47678</v>
      </c>
      <c r="C5549" t="s">
        <v>5656</v>
      </c>
      <c r="D5549" t="s">
        <v>5431</v>
      </c>
      <c r="E5549" t="s">
        <v>5449</v>
      </c>
      <c r="F5549">
        <v>2773</v>
      </c>
      <c r="G5549">
        <v>1</v>
      </c>
      <c r="H5549" t="s">
        <v>16</v>
      </c>
      <c r="I5549" s="1">
        <v>-1377600</v>
      </c>
      <c r="J5549" s="1">
        <v>-4726500</v>
      </c>
      <c r="K5549">
        <v>754</v>
      </c>
      <c r="L5549">
        <v>774</v>
      </c>
      <c r="M5549" t="s">
        <v>16</v>
      </c>
    </row>
    <row r="5550" spans="1:13" x14ac:dyDescent="0.35">
      <c r="A5550">
        <v>522119</v>
      </c>
      <c r="B5550">
        <v>53414</v>
      </c>
      <c r="C5550" t="s">
        <v>5657</v>
      </c>
      <c r="D5550" t="s">
        <v>5431</v>
      </c>
      <c r="E5550" t="s">
        <v>5432</v>
      </c>
      <c r="F5550">
        <v>5620</v>
      </c>
      <c r="G5550">
        <v>1</v>
      </c>
      <c r="H5550" t="s">
        <v>16</v>
      </c>
      <c r="I5550" s="1">
        <v>-1639500</v>
      </c>
      <c r="J5550" s="1">
        <v>-4908000</v>
      </c>
      <c r="K5550">
        <v>0</v>
      </c>
      <c r="L5550">
        <v>106</v>
      </c>
      <c r="M5550" t="s">
        <v>16</v>
      </c>
    </row>
    <row r="5551" spans="1:13" x14ac:dyDescent="0.35">
      <c r="A5551">
        <v>522130</v>
      </c>
      <c r="B5551">
        <v>44717</v>
      </c>
      <c r="C5551" t="s">
        <v>5658</v>
      </c>
      <c r="D5551" t="s">
        <v>5431</v>
      </c>
      <c r="E5551" t="s">
        <v>5459</v>
      </c>
      <c r="F5551">
        <v>2862</v>
      </c>
      <c r="G5551">
        <v>1</v>
      </c>
      <c r="H5551" t="s">
        <v>16</v>
      </c>
      <c r="I5551" s="1">
        <v>-1835400</v>
      </c>
      <c r="J5551" s="1">
        <v>-4778300</v>
      </c>
      <c r="K5551">
        <v>687</v>
      </c>
      <c r="L5551">
        <v>282</v>
      </c>
      <c r="M5551" t="s">
        <v>16</v>
      </c>
    </row>
    <row r="5552" spans="1:13" x14ac:dyDescent="0.35">
      <c r="A5552">
        <v>522140</v>
      </c>
      <c r="B5552">
        <v>44725</v>
      </c>
      <c r="C5552" t="s">
        <v>1781</v>
      </c>
      <c r="D5552" t="s">
        <v>5431</v>
      </c>
      <c r="E5552" t="s">
        <v>5432</v>
      </c>
      <c r="F5552">
        <v>97491</v>
      </c>
      <c r="G5552">
        <v>4</v>
      </c>
      <c r="H5552" t="s">
        <v>5433</v>
      </c>
      <c r="I5552" s="1">
        <v>-1664900</v>
      </c>
      <c r="J5552" s="1">
        <v>-4948900</v>
      </c>
      <c r="K5552">
        <v>756</v>
      </c>
      <c r="L5552">
        <v>713</v>
      </c>
      <c r="M5552" t="s">
        <v>16</v>
      </c>
    </row>
    <row r="5553" spans="1:13" x14ac:dyDescent="0.35">
      <c r="A5553">
        <v>522145</v>
      </c>
      <c r="B5553">
        <v>47066</v>
      </c>
      <c r="C5553" t="s">
        <v>5659</v>
      </c>
      <c r="D5553" t="s">
        <v>5431</v>
      </c>
      <c r="E5553" t="s">
        <v>5447</v>
      </c>
      <c r="F5553">
        <v>3537</v>
      </c>
      <c r="G5553">
        <v>1</v>
      </c>
      <c r="H5553" t="s">
        <v>16</v>
      </c>
      <c r="I5553" s="1">
        <v>-1350900</v>
      </c>
      <c r="J5553" s="1">
        <v>-4874000</v>
      </c>
      <c r="K5553">
        <v>355</v>
      </c>
      <c r="L5553">
        <v>799</v>
      </c>
      <c r="M5553" t="s">
        <v>16</v>
      </c>
    </row>
    <row r="5554" spans="1:13" x14ac:dyDescent="0.35">
      <c r="A5554">
        <v>522150</v>
      </c>
      <c r="B5554">
        <v>44741</v>
      </c>
      <c r="C5554" t="s">
        <v>5660</v>
      </c>
      <c r="D5554" t="s">
        <v>5431</v>
      </c>
      <c r="E5554" t="s">
        <v>5439</v>
      </c>
      <c r="F5554">
        <v>4962</v>
      </c>
      <c r="G5554">
        <v>1</v>
      </c>
      <c r="H5554" t="s">
        <v>16</v>
      </c>
      <c r="I5554" s="1">
        <v>-1661400</v>
      </c>
      <c r="J5554" s="1">
        <v>-5013400</v>
      </c>
      <c r="K5554">
        <v>659</v>
      </c>
      <c r="L5554">
        <v>472</v>
      </c>
      <c r="M5554" t="s">
        <v>16</v>
      </c>
    </row>
    <row r="5555" spans="1:13" x14ac:dyDescent="0.35">
      <c r="A5555">
        <v>522155</v>
      </c>
      <c r="B5555">
        <v>47686</v>
      </c>
      <c r="C5555" t="s">
        <v>5661</v>
      </c>
      <c r="D5555" t="s">
        <v>5431</v>
      </c>
      <c r="E5555" t="s">
        <v>5437</v>
      </c>
      <c r="F5555">
        <v>3852</v>
      </c>
      <c r="G5555">
        <v>1</v>
      </c>
      <c r="H5555" t="s">
        <v>16</v>
      </c>
      <c r="I5555" s="1">
        <v>-1785300</v>
      </c>
      <c r="J5555" s="1">
        <v>-5030200</v>
      </c>
      <c r="K5555">
        <v>459</v>
      </c>
      <c r="L5555">
        <v>934</v>
      </c>
      <c r="M5555" t="s">
        <v>16</v>
      </c>
    </row>
    <row r="5556" spans="1:13" x14ac:dyDescent="0.35">
      <c r="A5556">
        <v>522157</v>
      </c>
      <c r="B5556">
        <v>53422</v>
      </c>
      <c r="C5556" t="s">
        <v>5662</v>
      </c>
      <c r="D5556" t="s">
        <v>5431</v>
      </c>
      <c r="E5556" t="s">
        <v>5516</v>
      </c>
      <c r="F5556">
        <v>3021</v>
      </c>
      <c r="G5556">
        <v>1</v>
      </c>
      <c r="H5556" t="s">
        <v>16</v>
      </c>
      <c r="I5556" s="1">
        <v>-1428500</v>
      </c>
      <c r="J5556" s="1">
        <v>-4992200</v>
      </c>
      <c r="K5556">
        <v>0</v>
      </c>
      <c r="L5556">
        <v>1153</v>
      </c>
      <c r="M5556" t="s">
        <v>16</v>
      </c>
    </row>
    <row r="5557" spans="1:13" x14ac:dyDescent="0.35">
      <c r="A5557">
        <v>522160</v>
      </c>
      <c r="B5557">
        <v>44750</v>
      </c>
      <c r="C5557" t="s">
        <v>5663</v>
      </c>
      <c r="D5557" t="s">
        <v>5431</v>
      </c>
      <c r="E5557" t="s">
        <v>5447</v>
      </c>
      <c r="F5557">
        <v>33382</v>
      </c>
      <c r="G5557">
        <v>1</v>
      </c>
      <c r="H5557" t="s">
        <v>16</v>
      </c>
      <c r="I5557" s="1">
        <v>-1452500</v>
      </c>
      <c r="J5557" s="1">
        <v>-4914100</v>
      </c>
      <c r="K5557">
        <v>520</v>
      </c>
      <c r="L5557">
        <v>2141</v>
      </c>
      <c r="M5557" t="s">
        <v>16</v>
      </c>
    </row>
    <row r="5558" spans="1:13" x14ac:dyDescent="0.35">
      <c r="A5558">
        <v>522170</v>
      </c>
      <c r="B5558">
        <v>44768</v>
      </c>
      <c r="C5558" t="s">
        <v>5664</v>
      </c>
      <c r="D5558" t="s">
        <v>5431</v>
      </c>
      <c r="E5558" t="s">
        <v>5473</v>
      </c>
      <c r="F5558">
        <v>13712</v>
      </c>
      <c r="G5558">
        <v>1</v>
      </c>
      <c r="H5558" t="s">
        <v>16</v>
      </c>
      <c r="I5558" s="1">
        <v>-1549800</v>
      </c>
      <c r="J5558" s="1">
        <v>-4968800</v>
      </c>
      <c r="K5558">
        <v>586</v>
      </c>
      <c r="L5558">
        <v>522</v>
      </c>
      <c r="M5558" t="s">
        <v>16</v>
      </c>
    </row>
    <row r="5559" spans="1:13" x14ac:dyDescent="0.35">
      <c r="A5559">
        <v>522180</v>
      </c>
      <c r="B5559">
        <v>44776</v>
      </c>
      <c r="C5559" t="s">
        <v>5665</v>
      </c>
      <c r="D5559" t="s">
        <v>5431</v>
      </c>
      <c r="E5559" t="s">
        <v>5514</v>
      </c>
      <c r="F5559">
        <v>2727</v>
      </c>
      <c r="G5559">
        <v>1</v>
      </c>
      <c r="H5559" t="s">
        <v>16</v>
      </c>
      <c r="I5559" s="1">
        <v>-1746400</v>
      </c>
      <c r="J5559" s="1">
        <v>-4820300</v>
      </c>
      <c r="K5559">
        <v>807</v>
      </c>
      <c r="L5559">
        <v>626</v>
      </c>
      <c r="M5559" t="s">
        <v>16</v>
      </c>
    </row>
    <row r="5560" spans="1:13" x14ac:dyDescent="0.35">
      <c r="A5560">
        <v>522185</v>
      </c>
      <c r="B5560">
        <v>59064</v>
      </c>
      <c r="C5560" t="s">
        <v>5666</v>
      </c>
      <c r="D5560" t="s">
        <v>5431</v>
      </c>
      <c r="E5560" t="s">
        <v>5435</v>
      </c>
      <c r="F5560">
        <v>114450</v>
      </c>
      <c r="G5560">
        <v>4</v>
      </c>
      <c r="H5560" t="s">
        <v>2523</v>
      </c>
      <c r="I5560" s="1">
        <v>-1606600</v>
      </c>
      <c r="J5560" s="1">
        <v>-4797900</v>
      </c>
      <c r="K5560">
        <v>1080</v>
      </c>
      <c r="L5560">
        <v>60</v>
      </c>
      <c r="M5560" t="s">
        <v>16</v>
      </c>
    </row>
    <row r="5561" spans="1:13" x14ac:dyDescent="0.35">
      <c r="A5561">
        <v>522190</v>
      </c>
      <c r="B5561">
        <v>44784</v>
      </c>
      <c r="C5561" t="s">
        <v>5667</v>
      </c>
      <c r="D5561" t="s">
        <v>5431</v>
      </c>
      <c r="E5561" t="s">
        <v>5437</v>
      </c>
      <c r="F5561">
        <v>3649</v>
      </c>
      <c r="G5561">
        <v>1</v>
      </c>
      <c r="H5561" t="s">
        <v>16</v>
      </c>
      <c r="I5561" s="1">
        <v>-1704500</v>
      </c>
      <c r="J5561" s="1">
        <v>-4963100</v>
      </c>
      <c r="K5561">
        <v>609</v>
      </c>
      <c r="L5561">
        <v>519</v>
      </c>
      <c r="M5561" t="s">
        <v>16</v>
      </c>
    </row>
    <row r="5562" spans="1:13" x14ac:dyDescent="0.35">
      <c r="A5562">
        <v>522200</v>
      </c>
      <c r="B5562">
        <v>44792</v>
      </c>
      <c r="C5562" t="s">
        <v>5668</v>
      </c>
      <c r="D5562" t="s">
        <v>5431</v>
      </c>
      <c r="E5562" t="s">
        <v>5514</v>
      </c>
      <c r="F5562">
        <v>12187</v>
      </c>
      <c r="G5562">
        <v>1</v>
      </c>
      <c r="H5562" t="s">
        <v>16</v>
      </c>
      <c r="I5562" s="1">
        <v>-1674200</v>
      </c>
      <c r="J5562" s="1">
        <v>-4851600</v>
      </c>
      <c r="K5562">
        <v>1002</v>
      </c>
      <c r="L5562">
        <v>954</v>
      </c>
      <c r="M5562" t="s">
        <v>16</v>
      </c>
    </row>
    <row r="5563" spans="1:13" x14ac:dyDescent="0.35">
      <c r="A5563">
        <v>522205</v>
      </c>
      <c r="B5563">
        <v>44920</v>
      </c>
      <c r="C5563" t="s">
        <v>5669</v>
      </c>
      <c r="D5563" t="s">
        <v>5431</v>
      </c>
      <c r="E5563" t="s">
        <v>5442</v>
      </c>
      <c r="F5563">
        <v>5919</v>
      </c>
      <c r="G5563">
        <v>1</v>
      </c>
      <c r="H5563" t="s">
        <v>16</v>
      </c>
      <c r="I5563" s="1">
        <v>-1773500</v>
      </c>
      <c r="J5563" s="1">
        <v>-4980600</v>
      </c>
      <c r="K5563">
        <v>646</v>
      </c>
      <c r="L5563">
        <v>737</v>
      </c>
      <c r="M5563" t="s">
        <v>16</v>
      </c>
    </row>
    <row r="5564" spans="1:13" x14ac:dyDescent="0.35">
      <c r="A5564">
        <v>522220</v>
      </c>
      <c r="B5564">
        <v>53430</v>
      </c>
      <c r="C5564" t="s">
        <v>5670</v>
      </c>
      <c r="D5564" t="s">
        <v>5431</v>
      </c>
      <c r="E5564" t="s">
        <v>5435</v>
      </c>
      <c r="F5564">
        <v>4198</v>
      </c>
      <c r="G5564">
        <v>4</v>
      </c>
      <c r="H5564" t="s">
        <v>2523</v>
      </c>
      <c r="I5564" s="1">
        <v>-1503800</v>
      </c>
      <c r="J5564" s="1">
        <v>-4705900</v>
      </c>
      <c r="K5564">
        <v>0</v>
      </c>
      <c r="L5564">
        <v>1060</v>
      </c>
      <c r="M5564" t="s">
        <v>16</v>
      </c>
    </row>
    <row r="5565" spans="1:13" x14ac:dyDescent="0.35">
      <c r="A5565">
        <v>522230</v>
      </c>
      <c r="B5565">
        <v>56766</v>
      </c>
      <c r="C5565" t="s">
        <v>5671</v>
      </c>
      <c r="D5565" t="s">
        <v>5431</v>
      </c>
      <c r="E5565" t="s">
        <v>5435</v>
      </c>
      <c r="F5565">
        <v>5044</v>
      </c>
      <c r="G5565">
        <v>1</v>
      </c>
      <c r="H5565" t="s">
        <v>16</v>
      </c>
      <c r="I5565" s="1">
        <v>-1545700</v>
      </c>
      <c r="J5565" s="1">
        <v>-4888900</v>
      </c>
      <c r="K5565">
        <v>744</v>
      </c>
      <c r="L5565">
        <v>2181</v>
      </c>
      <c r="M5565" t="s">
        <v>16</v>
      </c>
    </row>
    <row r="5566" spans="1:13" x14ac:dyDescent="0.35">
      <c r="A5566">
        <v>530010</v>
      </c>
      <c r="B5566">
        <v>44954</v>
      </c>
      <c r="C5566" t="s">
        <v>5672</v>
      </c>
      <c r="D5566" t="s">
        <v>5673</v>
      </c>
      <c r="E5566" t="s">
        <v>5672</v>
      </c>
      <c r="F5566">
        <v>2455903</v>
      </c>
      <c r="G5566">
        <v>5</v>
      </c>
      <c r="H5566" t="s">
        <v>2523</v>
      </c>
      <c r="I5566" s="1">
        <v>-1578000</v>
      </c>
      <c r="J5566" s="1">
        <v>-4793000</v>
      </c>
      <c r="K5566">
        <v>1171</v>
      </c>
      <c r="L5566">
        <v>5801</v>
      </c>
      <c r="M5566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Framil Cabizuca</dc:creator>
  <cp:lastModifiedBy>Matheus Framil Cabizuca</cp:lastModifiedBy>
  <dcterms:created xsi:type="dcterms:W3CDTF">2026-08-24T16:34:15Z</dcterms:created>
  <dcterms:modified xsi:type="dcterms:W3CDTF">2026-08-24T16:55:36Z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33b259-87ee-4762-9a8c-7b0d155dd87f_Enabled">
    <vt:lpwstr>true</vt:lpwstr>
  </property>
  <property fmtid="{D5CDD505-2E9C-101B-9397-08002B2CF9AE}" pid="3" name="MSIP_Label_9333b259-87ee-4762-9a8c-7b0d155dd87f_SetDate">
    <vt:lpwstr>2026-08-24T16:55:36Z</vt:lpwstr>
  </property>
  <property fmtid="{D5CDD505-2E9C-101B-9397-08002B2CF9AE}" pid="4" name="MSIP_Label_9333b259-87ee-4762-9a8c-7b0d155dd87f_Method">
    <vt:lpwstr>Privileged</vt:lpwstr>
  </property>
  <property fmtid="{D5CDD505-2E9C-101B-9397-08002B2CF9AE}" pid="5" name="MSIP_Label_9333b259-87ee-4762-9a8c-7b0d155dd87f_Name">
    <vt:lpwstr>_PESSOAL</vt:lpwstr>
  </property>
  <property fmtid="{D5CDD505-2E9C-101B-9397-08002B2CF9AE}" pid="6" name="MSIP_Label_9333b259-87ee-4762-9a8c-7b0d155dd87f_SiteId">
    <vt:lpwstr>ab9bba98-684a-43fb-add8-9c2bebede229</vt:lpwstr>
  </property>
  <property fmtid="{D5CDD505-2E9C-101B-9397-08002B2CF9AE}" pid="7" name="MSIP_Label_9333b259-87ee-4762-9a8c-7b0d155dd87f_ActionId">
    <vt:lpwstr>6c0267a4-0929-4752-a6db-ac19d60876be</vt:lpwstr>
  </property>
  <property fmtid="{D5CDD505-2E9C-101B-9397-08002B2CF9AE}" pid="8" name="MSIP_Label_9333b259-87ee-4762-9a8c-7b0d155dd87f_ContentBits">
    <vt:lpwstr>1</vt:lpwstr>
  </property>
  <property fmtid="{D5CDD505-2E9C-101B-9397-08002B2CF9AE}" pid="9" name="MSIP_Label_9333b259-87ee-4762-9a8c-7b0d155dd87f_Tag">
    <vt:lpwstr>10, 0, 1, 1</vt:lpwstr>
  </property>
</Properties>
</file>